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5.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6.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tables/table17.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8.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tables/table19.xml" ContentType="application/vnd.openxmlformats-officedocument.spreadsheetml.table+xml"/>
  <Override PartName="/xl/queryTables/queryTable12.xml" ContentType="application/vnd.openxmlformats-officedocument.spreadsheetml.queryTable+xml"/>
  <Override PartName="/xl/customProperty29.bin" ContentType="application/vnd.openxmlformats-officedocument.spreadsheetml.customProperty"/>
  <Override PartName="/xl/customProperty30.bin" ContentType="application/vnd.openxmlformats-officedocument.spreadsheetml.customProperty"/>
  <Override PartName="/xl/tables/table20.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6957E67-1A3E-414A-8DB8-C6349ACD7443}" xr6:coauthVersionLast="47" xr6:coauthVersionMax="47" xr10:uidLastSave="{00000000-0000-0000-0000-000000000000}"/>
  <bookViews>
    <workbookView xWindow="13695" yWindow="-16320" windowWidth="29040" windowHeight="15720" tabRatio="892" firstSheet="5" activeTab="9" xr2:uid="{00000000-000D-0000-FFFF-FFFF00000000}"/>
  </bookViews>
  <sheets>
    <sheet name="WireSets" sheetId="70" state="hidden" r:id="rId1"/>
    <sheet name="WorkItemDetails" sheetId="71" state="hidden" r:id="rId2"/>
    <sheet name="WireSets (2)" sheetId="76" state="hidden" r:id="rId3"/>
    <sheet name="WireOffsets (2)" sheetId="75" state="hidden" r:id="rId4"/>
    <sheet name="WireOffsets" sheetId="74" state="hidden" r:id="rId5"/>
    <sheet name="Main" sheetId="8" r:id="rId6"/>
    <sheet name="WireCertData" sheetId="69" state="hidden" r:id="rId7"/>
    <sheet name="Sheet3" sheetId="68" state="hidden" r:id="rId8"/>
    <sheet name="Wire Ranges" sheetId="67" state="hidden" r:id="rId9"/>
    <sheet name="CERT" sheetId="26" r:id="rId10"/>
    <sheet name="customers (Filtered)" sheetId="40" state="hidden" r:id="rId11"/>
    <sheet name="UUT" sheetId="43" state="hidden" r:id="rId12"/>
    <sheet name="Customer Table" sheetId="29" state="hidden" r:id="rId13"/>
    <sheet name="Daqbooks" sheetId="47" state="hidden" r:id="rId14"/>
    <sheet name="AssetPool" sheetId="35" state="hidden" r:id="rId15"/>
    <sheet name="DaqbookServiceRecords" sheetId="54" state="hidden" r:id="rId16"/>
    <sheet name="TUS_Worksheet" sheetId="5" r:id="rId17"/>
    <sheet name="DaqBook_RAW_Data" sheetId="9" r:id="rId18"/>
    <sheet name="Employees" sheetId="38" state="hidden" r:id="rId19"/>
    <sheet name="Standards_Info" sheetId="12" r:id="rId20"/>
    <sheet name="PageNumbers" sheetId="64" r:id="rId21"/>
    <sheet name="Header Info" sheetId="77" state="hidden" r:id="rId22"/>
    <sheet name="Header Info OLD" sheetId="30" r:id="rId23"/>
    <sheet name="Data_Sheet" sheetId="13" r:id="rId24"/>
    <sheet name="Data_Sheet_15_28" sheetId="14" r:id="rId25"/>
    <sheet name="Data_Sheet_29_40" sheetId="15" r:id="rId26"/>
    <sheet name="Packet_Content" sheetId="19" r:id="rId27"/>
    <sheet name="Comparison_Report" sheetId="4" r:id="rId28"/>
    <sheet name="Interp" sheetId="21" r:id="rId29"/>
    <sheet name="Access_Data" sheetId="1" r:id="rId30"/>
    <sheet name="AllDaqbookOffsets" sheetId="78" state="hidden" r:id="rId31"/>
    <sheet name="Standards_Import" sheetId="20" state="hidden" r:id="rId32"/>
    <sheet name="Enabler4Excel_Picklist_Values" sheetId="25" state="hidden" r:id="rId33"/>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 OLD'!$CI$2</definedName>
    <definedName name="Assets_GetAssetByAssetPool" localSheetId="14" hidden="1">AssetPool!$A$1:$Q$71</definedName>
    <definedName name="ClientAssets_GetAssetByAssetId" localSheetId="11" hidden="1">UUT!$A$1:$B$47</definedName>
    <definedName name="CompanyList">_xlfn.ANCHORARRAY('Header Info OLD'!$CG$2)</definedName>
    <definedName name="Condition">Standards_Info!$AC$2:$AC$3</definedName>
    <definedName name="DaqbookAssetId">Main!$E$9</definedName>
    <definedName name="DBTrace">Standards_Info!$M$2:$M$5</definedName>
    <definedName name="ExternalData_1" localSheetId="10" hidden="1">'customers (Filtered)'!$A$1:$O$2</definedName>
    <definedName name="ExternalData_1" localSheetId="13" hidden="1">Daqbooks!$A$1:$F$9</definedName>
    <definedName name="ExternalData_1" localSheetId="15" hidden="1">DaqbookServiceRecords!$A$1:$B$40</definedName>
    <definedName name="ExternalData_1" localSheetId="18" hidden="1">Employees!$A$1:$B$11</definedName>
    <definedName name="ExternalData_1" localSheetId="21" hidden="1">'Header Info'!$A$1:$AO$495</definedName>
    <definedName name="ExternalData_1" localSheetId="31" hidden="1">Standards_Import!$O$1:$Z$41</definedName>
    <definedName name="ExternalData_1" localSheetId="6" hidden="1">WireCertData!$A$1:$AL$67</definedName>
    <definedName name="ExternalData_1" localSheetId="4" hidden="1">WireOffsets!$A$1:$C$895</definedName>
    <definedName name="ExternalData_1" localSheetId="0" hidden="1">WireSets!$A$1:$K$28</definedName>
    <definedName name="ExternalData_1" localSheetId="1" hidden="1">WorkItemDetails!$A$1:$B$20</definedName>
    <definedName name="ExternalData_2" localSheetId="30" hidden="1">AllDaqbookOffsets!$A$1:$D$7556</definedName>
    <definedName name="ExternalData_2" localSheetId="3" hidden="1">'WireOffsets (2)'!$A$1:$BG$183</definedName>
    <definedName name="ExternalData_3" localSheetId="2" hidden="1">'WireSets (2)'!$A$1:$K$28</definedName>
    <definedName name="FurnaceList">_xlfn.ANCHORARRAY('Header Info OLD'!$CH$2)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9">CERT!$A$1:$O$80</definedName>
    <definedName name="_xlnm.Print_Area" localSheetId="27">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26">Packet_Content!$A$1:$I$43</definedName>
    <definedName name="_xlnm.Print_Area" localSheetId="16">TUS_Worksheet!$A$1:$R$56</definedName>
    <definedName name="Query___customers" localSheetId="12" hidden="1">'Customer Table'!$B$3:$P$1653</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7"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8" i="26" l="1"/>
  <c r="Q68" i="26" s="1"/>
  <c r="F67" i="26"/>
  <c r="F66" i="26"/>
  <c r="Q66" i="26" s="1"/>
  <c r="F65" i="26"/>
  <c r="Q65" i="26" s="1"/>
  <c r="F64" i="26"/>
  <c r="Q64" i="26" s="1"/>
  <c r="F63" i="26"/>
  <c r="A2" i="1"/>
  <c r="P6" i="8"/>
  <c r="R7" i="26"/>
  <c r="R62" i="26"/>
  <c r="T62" i="26"/>
  <c r="Q67" i="26"/>
  <c r="D14" i="8" l="1"/>
  <c r="D13" i="8"/>
  <c r="D12" i="8"/>
  <c r="D11" i="8"/>
  <c r="T63" i="26"/>
  <c r="F62" i="26"/>
  <c r="D6" i="8"/>
  <c r="D5" i="8" a="1"/>
  <c r="D5" i="8" s="1"/>
  <c r="E9" i="8"/>
  <c r="BE2" i="30"/>
  <c r="BC2" i="30"/>
  <c r="BB2" i="30"/>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D4" i="8" l="1"/>
  <c r="BU2" i="30"/>
  <c r="E6" i="26"/>
  <c r="CE2" i="30"/>
  <c r="CD2" i="30"/>
  <c r="CC2" i="30"/>
  <c r="G17" i="8" s="1"/>
  <c r="CB2" i="30"/>
  <c r="BZ2" i="30"/>
  <c r="BY2" i="30"/>
  <c r="BX2" i="30"/>
  <c r="BW2" i="30"/>
  <c r="BV2" i="30"/>
  <c r="BT2" i="30"/>
  <c r="BS2" i="30"/>
  <c r="BR2" i="30"/>
  <c r="BQ2" i="30"/>
  <c r="BP2" i="30"/>
  <c r="BO2" i="30"/>
  <c r="BN2" i="30"/>
  <c r="BM2" i="30"/>
  <c r="BL2" i="30"/>
  <c r="BK2" i="30"/>
  <c r="N16" i="26" s="1"/>
  <c r="BJ2" i="30"/>
  <c r="BI2" i="30"/>
  <c r="BH2" i="30"/>
  <c r="BG2" i="30"/>
  <c r="BF2" i="30"/>
  <c r="H14" i="26" s="1"/>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D15" i="1"/>
  <c r="B10" i="1"/>
  <c r="B11" i="1"/>
  <c r="G19"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N25" i="26"/>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L6" i="8"/>
  <c r="P5" i="8"/>
  <c r="R5" i="8" s="1"/>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P2" i="15"/>
  <c r="P2" i="14"/>
  <c r="P1" i="14"/>
  <c r="P2" i="13"/>
  <c r="P1" i="13"/>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6"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7"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8"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5"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<sst xmlns="http://schemas.openxmlformats.org/spreadsheetml/2006/main" count="21659" uniqueCount="5372">
  <si>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</si>
  <si>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</si>
  <si>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</si>
  <si>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</si>
  <si>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</si>
  <si>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</si>
  <si>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</si>
  <si>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</si>
  <si>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</si>
  <si>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</si>
  <si>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</si>
  <si>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</si>
  <si>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</si>
  <si>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</si>
  <si>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</si>
  <si>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</si>
  <si>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</si>
  <si>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</si>
  <si>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</si>
  <si>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</si>
  <si>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</si>
  <si>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</si>
  <si>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</si>
  <si>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</si>
  <si>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</si>
  <si>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</si>
  <si>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</si>
  <si>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</si>
  <si>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</si>
  <si>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</si>
  <si>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</si>
  <si>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</si>
  <si>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</si>
  <si>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</si>
  <si>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</si>
  <si>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</si>
  <si>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</si>
  <si>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</si>
  <si>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</si>
  <si>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</si>
  <si>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</si>
  <si>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</si>
  <si>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</si>
  <si>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</si>
  <si>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</si>
  <si>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</si>
  <si>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</si>
  <si>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</si>
  <si>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</si>
  <si>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</si>
  <si>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</si>
  <si>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</si>
  <si>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</si>
  <si>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</si>
  <si>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</si>
  <si>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</si>
  <si>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</si>
  <si>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</si>
  <si>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</si>
  <si>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</si>
  <si>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</si>
  <si>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</si>
  <si>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</si>
  <si>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</si>
  <si>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</si>
  <si>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</si>
  <si>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</si>
  <si>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</si>
  <si>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</si>
  <si>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</si>
  <si>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</si>
  <si>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</si>
  <si>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</si>
  <si>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</si>
  <si>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</si>
  <si>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</si>
  <si>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</si>
  <si>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</si>
  <si>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</si>
  <si>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</si>
  <si>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</si>
  <si>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</si>
  <si>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</si>
  <si>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</si>
  <si>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</si>
  <si>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</si>
  <si>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</si>
  <si>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</si>
  <si>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</si>
  <si>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</si>
  <si>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</si>
  <si>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</si>
  <si>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</si>
  <si>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</si>
  <si>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</si>
  <si>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</si>
  <si>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</si>
  <si>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</si>
  <si>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</si>
  <si>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</si>
  <si>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</si>
  <si>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</si>
  <si>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</si>
  <si>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</si>
  <si>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</si>
  <si>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</si>
  <si>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</si>
  <si>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</si>
  <si>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</si>
  <si>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</si>
  <si>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</si>
  <si>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</si>
  <si>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</si>
  <si>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</si>
  <si>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</si>
  <si>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</si>
  <si>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</si>
  <si>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</si>
  <si>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</si>
  <si>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</si>
  <si>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</si>
  <si>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</si>
  <si>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</si>
  <si>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</si>
  <si>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</si>
  <si>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</si>
  <si>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</si>
  <si>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</si>
  <si>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</si>
  <si>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</si>
  <si>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</si>
  <si>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</si>
  <si>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</si>
  <si>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</si>
  <si>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</si>
  <si>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</si>
  <si>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</si>
  <si>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</si>
  <si>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</si>
  <si>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</si>
  <si>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</si>
  <si>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</si>
  <si>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</si>
  <si>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</si>
  <si>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</si>
  <si>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</si>
  <si>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</si>
  <si>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</si>
  <si>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</si>
  <si>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</si>
  <si>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</si>
  <si>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</si>
  <si>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</si>
  <si>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</si>
  <si>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</si>
  <si>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</si>
  <si>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</si>
  <si>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</si>
  <si>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</si>
  <si>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</si>
  <si>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</si>
  <si>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</si>
  <si>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</si>
  <si>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</si>
  <si>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</si>
  <si>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</si>
  <si>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</si>
  <si>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</si>
  <si>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</si>
  <si>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</si>
  <si>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</si>
  <si>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</si>
  <si>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</si>
  <si>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</si>
  <si>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</si>
  <si>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</si>
  <si>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</si>
  <si>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</si>
  <si>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</si>
  <si>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</si>
  <si>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</si>
  <si>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</si>
  <si>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</si>
  <si>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</si>
  <si>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</si>
  <si>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</si>
  <si>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</si>
  <si>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</si>
  <si>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</si>
  <si>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</si>
  <si>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</si>
  <si>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</si>
  <si>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</si>
  <si>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</si>
  <si>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</si>
  <si>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</si>
  <si>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</si>
  <si>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</si>
  <si>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</si>
  <si>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</si>
  <si>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</si>
  <si>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</si>
  <si>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</si>
  <si>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</si>
  <si>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</si>
  <si>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</si>
  <si>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</si>
  <si>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</si>
  <si>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</si>
  <si>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</si>
  <si>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</si>
  <si>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</si>
  <si>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</si>
  <si>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</si>
  <si>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</si>
  <si>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</si>
  <si>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</si>
  <si>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</si>
  <si>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</si>
  <si>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</si>
  <si>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</si>
  <si>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</si>
  <si>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</si>
  <si>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</si>
  <si>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</si>
  <si>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</si>
  <si>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</si>
  <si>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</si>
  <si>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</si>
  <si>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</si>
  <si>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</si>
  <si>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</si>
  <si>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</si>
  <si>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</si>
  <si>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</si>
  <si>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</si>
  <si>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</si>
  <si>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</si>
  <si>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</si>
  <si>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</si>
  <si>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</si>
  <si>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</si>
  <si>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</si>
  <si>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</si>
  <si>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</si>
  <si>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</si>
  <si>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</si>
  <si>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</si>
  <si>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</si>
  <si>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</si>
  <si>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</si>
  <si>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</si>
  <si>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</si>
  <si>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</si>
  <si>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</si>
  <si>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</si>
  <si>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</si>
  <si>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</si>
  <si>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</si>
  <si>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</si>
  <si>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</si>
  <si>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</si>
  <si>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</si>
  <si>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</si>
  <si>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</si>
  <si>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</si>
  <si>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</si>
  <si>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</si>
  <si>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</si>
  <si>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</si>
  <si>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</si>
  <si>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</si>
  <si>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</si>
  <si>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</si>
  <si>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</si>
  <si>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</si>
  <si>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</si>
  <si>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</si>
  <si>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</si>
  <si>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</si>
  <si>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</si>
  <si>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</si>
  <si>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</si>
  <si>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</si>
  <si>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</si>
  <si>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</si>
  <si>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</si>
  <si>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</si>
  <si>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</si>
  <si>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</si>
  <si>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</si>
  <si>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</si>
  <si>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</si>
  <si>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</si>
  <si>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</si>
  <si>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</si>
  <si>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</si>
  <si>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</si>
  <si>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</si>
  <si>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</si>
  <si>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</si>
  <si>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</si>
  <si>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</si>
  <si>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</si>
  <si>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</si>
  <si>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</si>
  <si>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</si>
  <si>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</si>
  <si>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</si>
  <si>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</si>
  <si>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</si>
  <si>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</si>
  <si>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</si>
  <si>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</si>
  <si>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</si>
  <si>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</si>
  <si>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</si>
  <si>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</si>
  <si>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</si>
  <si>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</si>
  <si>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</si>
  <si>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</si>
  <si>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</si>
  <si>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</si>
  <si>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</si>
  <si>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</si>
  <si>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</si>
  <si>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</si>
  <si>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</si>
  <si>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</si>
  <si>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</si>
  <si>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</si>
  <si>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</si>
  <si>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</si>
  <si>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</si>
  <si>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</si>
  <si>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</si>
  <si>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</si>
  <si>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</si>
  <si>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</si>
  <si>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</si>
  <si>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</si>
  <si>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</si>
  <si>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</si>
  <si>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</si>
  <si>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</si>
  <si>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</si>
  <si>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</si>
  <si>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</si>
  <si>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</si>
  <si>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</si>
  <si>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</si>
  <si>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</si>
  <si>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</si>
  <si>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</si>
  <si>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</si>
  <si>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</si>
  <si>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</si>
  <si>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</si>
  <si>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</si>
  <si>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</si>
  <si>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</si>
  <si>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</si>
  <si>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</si>
  <si>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</si>
  <si>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</si>
  <si>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</si>
  <si>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</si>
  <si>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</si>
  <si>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</si>
  <si>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</si>
  <si>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</si>
  <si>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</si>
  <si>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</si>
  <si>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</si>
  <si>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</si>
  <si>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</si>
  <si>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</si>
  <si>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</si>
  <si>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</si>
  <si>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</si>
  <si>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</si>
  <si>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</si>
  <si>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</si>
  <si>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</si>
  <si>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</si>
  <si>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</si>
  <si>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</si>
  <si>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</si>
  <si>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</si>
  <si>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</si>
  <si>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</si>
  <si>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</si>
  <si>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</si>
  <si>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</si>
  <si>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</si>
  <si>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</si>
  <si>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</si>
  <si>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</si>
  <si>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</si>
  <si>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</si>
  <si>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</si>
  <si>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</si>
  <si>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</si>
  <si>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</si>
  <si>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</si>
  <si>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</si>
  <si>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</si>
  <si>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</si>
  <si>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</si>
  <si>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</si>
  <si>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</si>
  <si>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</si>
  <si>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</si>
  <si>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</si>
  <si>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</si>
  <si>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</si>
  <si>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</si>
  <si>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</si>
  <si>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</si>
  <si>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</si>
  <si>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</si>
  <si>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</si>
  <si>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</si>
  <si>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</si>
  <si>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</si>
  <si>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</si>
  <si>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</si>
  <si>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</si>
  <si>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</si>
  <si>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</si>
  <si>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</si>
  <si>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</si>
  <si>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</si>
  <si>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</si>
  <si>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</si>
  <si>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</si>
  <si>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</si>
  <si>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</si>
  <si>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</si>
  <si>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</si>
  <si>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</si>
  <si>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</si>
  <si>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</si>
  <si>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</si>
  <si>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</si>
  <si>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</si>
  <si>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</si>
  <si>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</si>
  <si>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</si>
  <si>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</si>
  <si>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</si>
  <si>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</si>
  <si>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</si>
  <si>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</si>
  <si>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</si>
  <si>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</si>
  <si>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</si>
  <si>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</si>
  <si>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</si>
  <si>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</si>
  <si>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</si>
  <si>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</si>
  <si>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</si>
  <si>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</si>
  <si>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</si>
  <si>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</si>
  <si>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</si>
  <si>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</si>
  <si>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</si>
  <si>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</si>
  <si>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</si>
  <si>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</si>
  <si>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</si>
  <si>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</si>
  <si>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</si>
  <si>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</si>
  <si>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</si>
  <si>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</si>
  <si>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</si>
  <si>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</si>
  <si>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</si>
  <si>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</si>
  <si>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</si>
  <si>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</si>
  <si>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</si>
  <si>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</si>
  <si>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</si>
  <si>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</si>
  <si>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</si>
  <si>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</si>
  <si>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</si>
  <si>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</si>
  <si>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</si>
  <si>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</si>
  <si>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</si>
  <si>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</si>
  <si>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</si>
  <si>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</si>
  <si>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</si>
  <si>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</si>
  <si>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</si>
  <si>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</si>
  <si>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</si>
  <si>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</si>
  <si>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</si>
  <si>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</si>
  <si>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</si>
  <si>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</si>
  <si>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</si>
  <si>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</si>
  <si>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</si>
  <si>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</si>
  <si>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</si>
  <si>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</si>
  <si>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</si>
  <si>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</si>
  <si>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</si>
  <si>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</si>
  <si>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</si>
  <si>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</si>
  <si>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</si>
  <si>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</si>
  <si>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</si>
  <si>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</si>
  <si>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</si>
  <si>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</si>
  <si>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</si>
  <si>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</si>
  <si>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</si>
  <si>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</si>
  <si>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</si>
  <si>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</si>
  <si>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</si>
  <si>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</si>
  <si>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</si>
  <si>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</si>
  <si>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</si>
  <si>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</si>
  <si>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</si>
  <si>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</si>
  <si>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</si>
  <si>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</si>
  <si>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</si>
  <si>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</si>
  <si>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</si>
  <si>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</si>
  <si>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</si>
  <si>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</si>
  <si>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</si>
  <si>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</si>
  <si>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</si>
  <si>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</si>
  <si>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</si>
  <si>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</si>
  <si>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</si>
  <si>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</si>
  <si>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</si>
  <si>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</si>
  <si>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</si>
  <si>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</si>
  <si>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</si>
  <si>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</si>
  <si>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</si>
  <si>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</si>
  <si>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</si>
  <si>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</si>
  <si>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</si>
  <si>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</si>
  <si>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</si>
  <si>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</si>
  <si>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</si>
  <si>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</si>
  <si>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</si>
  <si>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</si>
  <si>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</si>
  <si>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</si>
  <si>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</si>
  <si>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</si>
  <si>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</si>
  <si>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</si>
  <si>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</si>
  <si>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</si>
  <si>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</si>
  <si>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</si>
  <si>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</si>
  <si>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</si>
  <si>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</si>
  <si>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</si>
  <si>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</si>
  <si>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</si>
  <si>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</si>
  <si>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</si>
  <si>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</si>
  <si>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</si>
  <si>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</si>
  <si>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</si>
  <si>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</si>
  <si>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</si>
  <si>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</si>
  <si>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</si>
  <si>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</si>
  <si>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</si>
  <si>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</si>
  <si>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</si>
  <si>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</si>
  <si>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</si>
  <si>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AUTOCLAVE NO. 2 (LTC# 1374)</t>
  </si>
  <si>
    <t>ORIZON AEROSTRUCTURES PROCESSING</t>
  </si>
  <si>
    <t>OVEN NO. 11 W-CPI-0304</t>
  </si>
  <si>
    <t>Condition</t>
  </si>
  <si>
    <t>New</t>
  </si>
  <si>
    <t>Used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</si>
  <si>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</si>
  <si>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</si>
  <si>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</si>
  <si>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</si>
  <si>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</si>
  <si>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</si>
  <si>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</si>
  <si>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</si>
  <si>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</si>
  <si>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</si>
  <si>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</si>
  <si>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</si>
  <si>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</si>
  <si>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</si>
  <si>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</si>
  <si>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</si>
  <si>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</si>
  <si>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</si>
  <si>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</si>
  <si>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</si>
  <si>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</si>
  <si>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</si>
  <si>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</si>
  <si>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</si>
  <si>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</si>
  <si>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</si>
  <si>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</si>
  <si>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</si>
  <si>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</si>
  <si>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</si>
  <si>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</si>
  <si>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</si>
  <si>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</si>
  <si>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</si>
  <si>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</si>
  <si>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</si>
  <si>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Penetrant Oven</t>
  </si>
  <si>
    <t>PRI-1383</t>
  </si>
  <si>
    <t>KAMAN COMPOSITES - WICHITA, INC.</t>
  </si>
  <si>
    <t>Ney Furnace</t>
  </si>
  <si>
    <t>Oven No.23</t>
  </si>
  <si>
    <t>WISCONSIN OVEN ZONE 1 &amp; 2</t>
  </si>
  <si>
    <t>Chest Freezer</t>
  </si>
  <si>
    <t>T0254</t>
  </si>
  <si>
    <t>Test Temperature:</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</si>
  <si>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</si>
  <si>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</si>
  <si>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</si>
  <si>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</si>
  <si>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</si>
  <si>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</si>
  <si>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</si>
  <si>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</si>
  <si>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</si>
  <si>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</si>
  <si>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</si>
  <si>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</si>
  <si>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</si>
  <si>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</si>
  <si>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</si>
  <si>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</si>
  <si>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</si>
  <si>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</si>
  <si>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</si>
  <si>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</si>
  <si>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</si>
  <si>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</si>
  <si>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</si>
  <si>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</si>
  <si>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</si>
  <si>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</si>
  <si>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</si>
  <si>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</si>
  <si>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</si>
  <si>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</si>
  <si>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</si>
  <si>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</si>
  <si>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</si>
  <si>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</si>
  <si>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</si>
  <si>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</si>
  <si>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</si>
  <si>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</si>
  <si>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</si>
  <si>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</si>
  <si>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</si>
  <si>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</si>
  <si>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</si>
  <si>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</si>
  <si>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</si>
  <si>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</si>
  <si>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</si>
  <si>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</si>
  <si>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</si>
  <si>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</si>
  <si>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</si>
  <si>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</si>
  <si>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</si>
  <si>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</si>
  <si>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</si>
  <si>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</si>
  <si>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</si>
  <si>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</si>
  <si>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</si>
  <si>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</si>
  <si>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</si>
  <si>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</si>
  <si>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</si>
  <si>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</si>
  <si>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</si>
  <si>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</si>
  <si>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</si>
  <si>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</si>
  <si>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</si>
  <si>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</si>
  <si>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</si>
  <si>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</si>
  <si>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</si>
  <si>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</si>
  <si>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</si>
  <si>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</si>
  <si>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</si>
  <si>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</si>
  <si>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</si>
  <si>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</si>
  <si>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</si>
  <si>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</si>
  <si>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</si>
  <si>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</si>
  <si>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</si>
  <si>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</si>
  <si>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</si>
  <si>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</si>
  <si>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</si>
  <si>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</si>
  <si>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</si>
  <si>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</si>
  <si>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</si>
  <si>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</si>
  <si>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</si>
  <si>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</si>
  <si>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</si>
  <si>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</si>
  <si>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</si>
  <si>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</si>
  <si>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</si>
  <si>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</si>
  <si>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</si>
  <si>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</si>
  <si>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</si>
  <si>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</si>
  <si>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</si>
  <si>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</si>
  <si>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</si>
  <si>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</si>
  <si>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</si>
  <si>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</si>
  <si>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</si>
  <si>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</si>
  <si>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</si>
  <si>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</si>
  <si>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</si>
  <si>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</si>
  <si>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</si>
  <si>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</si>
  <si>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</si>
  <si>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</si>
  <si>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</si>
  <si>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</si>
  <si>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</si>
  <si>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</si>
  <si>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</si>
  <si>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</si>
  <si>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</si>
  <si>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</si>
  <si>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</si>
  <si>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</si>
  <si>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</si>
  <si>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</si>
  <si>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</si>
  <si>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</si>
  <si>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</si>
  <si>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</si>
  <si>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</si>
  <si>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</si>
  <si>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</si>
  <si>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</si>
  <si>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</si>
  <si>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</si>
  <si>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</si>
  <si>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</si>
  <si>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</si>
  <si>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</si>
  <si>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</si>
  <si>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</si>
  <si>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</si>
  <si>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</si>
  <si>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</si>
  <si>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</si>
  <si>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</si>
  <si>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</si>
  <si>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</si>
  <si>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</si>
  <si>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</si>
  <si>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</si>
  <si>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</si>
  <si>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</si>
  <si>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</si>
  <si>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</si>
  <si>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</si>
  <si>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</si>
  <si>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</si>
  <si>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</si>
  <si>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</si>
  <si>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</si>
  <si>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</si>
  <si>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</si>
  <si>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</si>
  <si>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</si>
  <si>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</si>
  <si>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</si>
  <si>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</si>
  <si>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</si>
  <si>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</si>
  <si>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</si>
  <si>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</si>
  <si>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</si>
  <si>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</si>
  <si>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</si>
  <si>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</si>
  <si>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</si>
  <si>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</si>
  <si>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</si>
  <si>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</si>
  <si>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</si>
  <si>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</si>
  <si>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</si>
  <si>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</si>
  <si>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</si>
  <si>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</si>
  <si>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</si>
  <si>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</si>
  <si>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</si>
  <si>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</si>
  <si>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</si>
  <si>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</si>
  <si>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</si>
  <si>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</si>
  <si>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</si>
  <si>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</si>
  <si>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</si>
  <si>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</si>
  <si>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</si>
  <si>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</si>
  <si>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</si>
  <si>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</si>
  <si>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</si>
  <si>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</si>
  <si>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</si>
  <si>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</si>
  <si>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</si>
  <si>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</si>
  <si>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</si>
  <si>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</si>
  <si>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</si>
  <si>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</si>
  <si>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</si>
  <si>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</si>
  <si>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</si>
  <si>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</si>
  <si>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</si>
  <si>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</si>
  <si>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</si>
  <si>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</si>
  <si>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</si>
  <si>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</si>
  <si>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</si>
  <si>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</si>
  <si>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</si>
  <si>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</si>
  <si>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</si>
  <si>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</si>
  <si>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</si>
  <si>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</si>
  <si>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</si>
  <si>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</si>
  <si>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</si>
  <si>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</si>
  <si>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</si>
  <si>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</si>
  <si>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</si>
  <si>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</si>
  <si>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</si>
  <si>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</si>
  <si>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</si>
  <si>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</si>
  <si>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</si>
  <si>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</si>
  <si>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</si>
  <si>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</si>
  <si>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</si>
  <si>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</si>
  <si>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</si>
  <si>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</si>
  <si>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</si>
  <si>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</si>
  <si>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</si>
  <si>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</si>
  <si>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</si>
  <si>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</si>
  <si>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</si>
  <si>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</si>
  <si>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</si>
  <si>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</si>
  <si>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</si>
  <si>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</si>
  <si>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</si>
  <si>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</si>
  <si>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</si>
  <si>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</si>
  <si>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</si>
  <si>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</si>
  <si>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</si>
  <si>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</si>
  <si>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</si>
  <si>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</si>
  <si>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</si>
  <si>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</si>
  <si>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</si>
  <si>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</si>
  <si>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</si>
  <si>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</si>
  <si>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</si>
  <si>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</si>
  <si>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</si>
  <si>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</si>
  <si>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</si>
  <si>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</si>
  <si>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</si>
  <si>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</si>
  <si>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</si>
  <si>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</si>
  <si>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</si>
  <si>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</si>
  <si>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</si>
  <si>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</si>
  <si>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</si>
  <si>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</si>
  <si>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</si>
  <si>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</si>
  <si>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</si>
  <si>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</si>
  <si>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</si>
  <si>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</si>
  <si>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</si>
  <si>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</si>
  <si>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</si>
  <si>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</si>
  <si>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</si>
  <si>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</si>
  <si>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</si>
  <si>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</si>
  <si>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</si>
  <si>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</si>
  <si>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</si>
  <si>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</si>
  <si>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</si>
  <si>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</si>
  <si>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</si>
  <si>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</si>
  <si>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</si>
  <si>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</si>
  <si>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</si>
  <si>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</si>
  <si>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</si>
  <si>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</si>
  <si>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</si>
  <si>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</si>
  <si>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</si>
  <si>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</si>
  <si>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</si>
  <si>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</si>
  <si>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</si>
  <si>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</si>
  <si>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</si>
  <si>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</si>
  <si>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</si>
  <si>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</si>
  <si>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</si>
  <si>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</si>
  <si>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</si>
  <si>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</si>
  <si>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</si>
  <si>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</si>
  <si>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</si>
  <si>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</si>
  <si>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</si>
  <si>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</si>
  <si>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</si>
  <si>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</si>
  <si>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</si>
  <si>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</si>
  <si>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</si>
  <si>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</si>
  <si>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</si>
  <si>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</si>
  <si>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</si>
  <si>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</si>
  <si>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</si>
  <si>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</si>
  <si>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</si>
  <si>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</si>
  <si>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</si>
  <si>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</si>
  <si>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</si>
  <si>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</si>
  <si>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</si>
  <si>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</si>
  <si>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</si>
  <si>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</si>
  <si>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</si>
  <si>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</si>
  <si>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</si>
  <si>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</si>
  <si>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</si>
  <si>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</si>
  <si>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</si>
  <si>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</si>
  <si>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</si>
  <si>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</si>
  <si>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</si>
  <si>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</si>
  <si>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</si>
  <si>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</si>
  <si>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</si>
  <si>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</si>
  <si>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</si>
  <si>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</si>
  <si>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</si>
  <si>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</si>
  <si>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</si>
  <si>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</si>
  <si>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</si>
  <si>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</si>
  <si>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</si>
  <si>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</si>
  <si>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</si>
  <si>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</si>
  <si>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</si>
  <si>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</si>
  <si>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</si>
  <si>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</si>
  <si>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</si>
  <si>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</si>
  <si>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</si>
  <si>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</si>
  <si>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</si>
  <si>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</si>
  <si>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</si>
  <si>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</si>
  <si>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</si>
  <si>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</si>
  <si>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</si>
  <si>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</si>
  <si>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</si>
  <si>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</si>
  <si>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</si>
  <si>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</si>
  <si>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</si>
  <si>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</si>
  <si>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</si>
  <si>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</si>
  <si>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</si>
  <si>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</si>
  <si>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</si>
  <si>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</si>
  <si>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</si>
  <si>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</si>
  <si>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</si>
  <si>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</si>
  <si>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</si>
  <si>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</si>
  <si>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</si>
  <si>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</si>
  <si>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</si>
  <si>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</si>
  <si>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</si>
  <si>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</si>
  <si>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</si>
  <si>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</si>
  <si>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</si>
  <si>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</si>
  <si>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</si>
  <si>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</si>
  <si>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</si>
  <si>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</si>
  <si>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</si>
  <si>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</si>
  <si>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</si>
  <si>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</si>
  <si>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</si>
  <si>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</si>
  <si>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</si>
  <si>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</si>
  <si>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</si>
  <si>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</si>
  <si>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</si>
  <si>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</si>
  <si>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</si>
  <si>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</si>
  <si>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</si>
  <si>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</si>
  <si>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</si>
  <si>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</si>
  <si>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</si>
  <si>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</si>
  <si>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</si>
  <si>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</si>
  <si>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</si>
  <si>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</si>
  <si>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</si>
  <si>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</si>
  <si>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</si>
  <si>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</si>
  <si>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</si>
  <si>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</si>
  <si>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</si>
  <si>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</si>
  <si>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</si>
  <si>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</si>
  <si>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</si>
  <si>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</si>
  <si>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</si>
  <si>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</si>
  <si>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</si>
  <si>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</si>
  <si>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</si>
  <si>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</si>
  <si>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</si>
  <si>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</si>
  <si>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</si>
  <si>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</si>
  <si>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</si>
  <si>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</si>
  <si>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</si>
  <si>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</si>
  <si>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</si>
  <si>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</si>
  <si>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</si>
  <si>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</si>
  <si>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</si>
  <si>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</si>
  <si>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</si>
  <si>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</si>
  <si>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</si>
  <si>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</si>
  <si>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</si>
  <si>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</si>
  <si>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</si>
  <si>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</si>
  <si>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</si>
  <si>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</si>
  <si>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</si>
  <si>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</si>
  <si>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</si>
  <si>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</si>
  <si>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</si>
  <si>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</si>
  <si>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</si>
  <si>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</si>
  <si>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</si>
  <si>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</si>
  <si>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</si>
  <si>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</si>
  <si>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</si>
  <si>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</si>
  <si>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</si>
  <si>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</si>
  <si>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</si>
  <si>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</si>
  <si>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</si>
  <si>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</si>
  <si>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</si>
  <si>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</si>
  <si>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</si>
  <si>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</si>
  <si>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</si>
  <si>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</si>
  <si>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</si>
  <si>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</si>
  <si>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</si>
  <si>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</si>
  <si>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</si>
  <si>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</si>
  <si>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</si>
  <si>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</si>
  <si>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</si>
  <si>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</si>
  <si>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</si>
  <si>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</si>
  <si>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</si>
  <si>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</si>
  <si>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</si>
  <si>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</si>
  <si>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</si>
  <si>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</si>
  <si>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</si>
  <si>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</si>
  <si>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</si>
  <si>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</si>
  <si>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</si>
  <si>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</si>
  <si>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</si>
  <si>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</si>
  <si>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</si>
  <si>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</si>
  <si>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</si>
  <si>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</si>
  <si>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</si>
  <si>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</si>
  <si>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</si>
  <si>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</si>
  <si>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</si>
  <si>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</si>
  <si>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</si>
  <si>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</si>
  <si>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</si>
  <si>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</si>
  <si>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</si>
  <si>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</si>
  <si>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</si>
  <si>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</si>
  <si>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</si>
  <si>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</si>
  <si>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</si>
  <si>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</si>
  <si>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</si>
  <si>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</si>
  <si>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</si>
  <si>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</si>
  <si>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</si>
  <si>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</si>
  <si>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</si>
  <si>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</si>
  <si>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</si>
  <si>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</si>
  <si>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</si>
  <si>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</si>
  <si>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</si>
  <si>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</si>
  <si>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</si>
  <si>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</si>
  <si>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</si>
  <si>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</si>
  <si>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</si>
  <si>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</si>
  <si>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</si>
  <si>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</si>
  <si>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</si>
  <si>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</si>
  <si>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</si>
  <si>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</si>
  <si>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</si>
  <si>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</si>
  <si>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</si>
  <si>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</si>
  <si>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</si>
  <si>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</si>
  <si>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</si>
  <si>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</si>
  <si>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</si>
  <si>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</si>
  <si>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</si>
  <si>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</si>
  <si>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</si>
  <si>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</si>
  <si>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</si>
  <si>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</si>
  <si>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</si>
  <si>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</si>
  <si>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</si>
  <si>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</si>
  <si>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</si>
  <si>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</si>
  <si>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</si>
  <si>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</si>
  <si>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</si>
  <si>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</si>
  <si>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</si>
  <si>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</si>
  <si>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</si>
  <si>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</si>
  <si>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</si>
  <si>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</si>
  <si>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</si>
  <si>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</si>
  <si>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</si>
  <si>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</si>
  <si>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</si>
  <si>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</si>
  <si>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</si>
  <si>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</si>
  <si>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</si>
  <si>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</si>
  <si>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</si>
  <si>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</si>
  <si>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</si>
  <si>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</si>
  <si>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</si>
  <si>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</si>
  <si>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</si>
  <si>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</si>
  <si>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</si>
  <si>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</si>
  <si>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</si>
  <si>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</si>
  <si>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</si>
  <si>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</si>
  <si>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</si>
  <si>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</si>
  <si>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</si>
  <si>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</si>
  <si>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</si>
  <si>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</si>
  <si>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</si>
  <si>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</si>
  <si>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</si>
  <si>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</si>
  <si>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</si>
  <si>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</si>
  <si>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</si>
  <si>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</si>
  <si>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</si>
  <si>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</si>
  <si>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</si>
  <si>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</si>
  <si>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</si>
  <si>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</si>
  <si>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</si>
  <si>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</si>
  <si>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</si>
  <si>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</si>
  <si>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</si>
  <si>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</si>
  <si>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</si>
  <si>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</si>
  <si>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</si>
  <si>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</si>
  <si>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</si>
  <si>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</si>
  <si>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</si>
  <si>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</si>
  <si>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</si>
  <si>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</si>
  <si>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</si>
  <si>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</si>
  <si>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</si>
  <si>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</si>
  <si>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</si>
  <si>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</si>
  <si>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</si>
  <si>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</si>
  <si>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</si>
  <si>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</si>
  <si>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</si>
  <si>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</si>
  <si>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</si>
  <si>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</si>
  <si>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</si>
  <si>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</si>
  <si>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</si>
  <si>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</si>
  <si>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</si>
  <si>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</si>
  <si>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</si>
  <si>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</si>
  <si>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</si>
  <si>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</si>
  <si>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</si>
  <si>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</si>
  <si>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</si>
  <si>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</si>
  <si>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</si>
  <si>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</si>
  <si>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</si>
  <si>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</si>
  <si>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</si>
  <si>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</si>
  <si>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</si>
  <si>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</si>
  <si>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</si>
  <si>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</si>
  <si>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</si>
  <si>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</si>
  <si>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</si>
  <si>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</si>
  <si>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</si>
  <si>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</si>
  <si>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</si>
  <si>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</si>
  <si>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</si>
  <si>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</si>
  <si>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</si>
  <si>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</si>
  <si>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</si>
  <si>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</si>
  <si>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</si>
  <si>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</si>
  <si>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</si>
  <si>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</si>
  <si>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</si>
  <si>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</si>
  <si>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</si>
  <si>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</si>
  <si>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</si>
  <si>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</si>
  <si>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</si>
  <si>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</si>
  <si>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</si>
  <si>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</si>
  <si>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</si>
  <si>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</si>
  <si>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</si>
  <si>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</si>
  <si>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</si>
  <si>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</si>
  <si>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</si>
  <si>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</si>
  <si>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</si>
  <si>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</si>
  <si>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</si>
  <si>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</si>
  <si>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</si>
  <si>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</si>
  <si>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</si>
  <si>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</si>
  <si>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</si>
  <si>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</si>
  <si>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</si>
  <si>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</si>
  <si>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</si>
  <si>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</si>
  <si>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</si>
  <si>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</si>
  <si>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</si>
  <si>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</si>
  <si>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</si>
  <si>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</si>
  <si>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</si>
  <si>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</si>
  <si>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</si>
  <si>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</si>
  <si>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</si>
  <si>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</si>
  <si>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</si>
  <si>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</si>
  <si>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</si>
  <si>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</si>
  <si>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</si>
  <si>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</si>
  <si>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</si>
  <si>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</si>
  <si>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</si>
  <si>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</si>
  <si>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</si>
  <si>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</si>
  <si>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</si>
  <si>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</si>
  <si>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</si>
  <si>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</si>
  <si>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</si>
  <si>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</si>
  <si>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</si>
  <si>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</si>
  <si>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</si>
  <si>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</si>
  <si>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</si>
  <si>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</si>
  <si>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</si>
  <si>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</si>
  <si>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</si>
  <si>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</si>
  <si>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</si>
  <si>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</si>
  <si>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</si>
  <si>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</si>
  <si>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</si>
  <si>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</si>
  <si>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</si>
  <si>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</si>
  <si>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</si>
  <si>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</si>
  <si>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</si>
  <si>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</si>
  <si>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</si>
  <si>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</si>
  <si>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</si>
  <si>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</si>
  <si>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</si>
  <si>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</si>
  <si>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</si>
  <si>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</si>
  <si>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</si>
  <si>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</si>
  <si>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</si>
  <si>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</si>
  <si>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</si>
  <si>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</si>
  <si>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</si>
  <si>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</si>
  <si>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</si>
  <si>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</si>
  <si>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</si>
  <si>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</si>
  <si>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</si>
  <si>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</si>
  <si>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</si>
  <si>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</si>
  <si>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</si>
  <si>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</si>
  <si>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</si>
  <si>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</si>
  <si>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</si>
  <si>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</si>
  <si>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</si>
  <si>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</si>
  <si>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</si>
  <si>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</si>
  <si>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</si>
  <si>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</si>
  <si>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</si>
  <si>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</si>
  <si>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</si>
  <si>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</si>
  <si>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</si>
  <si>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</si>
  <si>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</si>
  <si>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</si>
  <si>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</si>
  <si>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</si>
  <si>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</si>
  <si>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</si>
  <si>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</si>
  <si>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</si>
  <si>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</si>
  <si>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</si>
  <si>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</si>
  <si>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</si>
  <si>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</si>
  <si>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</si>
  <si>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</si>
  <si>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</si>
  <si>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</si>
  <si>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</si>
  <si>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</si>
  <si>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</si>
  <si>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</si>
  <si>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</si>
  <si>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</si>
  <si>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</si>
  <si>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</si>
  <si>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</si>
  <si>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</si>
  <si>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</si>
  <si>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</si>
  <si>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</si>
  <si>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</si>
  <si>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</si>
  <si>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</si>
  <si>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</si>
  <si>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</si>
  <si>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</si>
  <si>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</si>
  <si>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</si>
  <si>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</si>
  <si>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</si>
  <si>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</si>
  <si>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</si>
  <si>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</si>
  <si>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</si>
  <si>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</si>
  <si>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</si>
  <si>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</si>
  <si>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</si>
  <si>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</si>
  <si>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</si>
  <si>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</si>
  <si>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</si>
  <si>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</si>
  <si>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</si>
  <si>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</si>
  <si>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</si>
  <si>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</si>
  <si>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</si>
  <si>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</si>
  <si>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</si>
  <si>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</si>
  <si>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</si>
  <si>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</si>
  <si>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</si>
  <si>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</si>
  <si>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</si>
  <si>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</si>
  <si>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</si>
  <si>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</si>
  <si>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</si>
  <si>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</si>
  <si>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</si>
  <si>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</si>
  <si>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</si>
  <si>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</si>
  <si>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</si>
  <si>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</si>
  <si>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</si>
  <si>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</si>
  <si>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</si>
  <si>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</si>
  <si>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</si>
  <si>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</si>
  <si>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</si>
  <si>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</si>
  <si>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</si>
  <si>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</si>
  <si>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</si>
  <si>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</si>
  <si>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</si>
  <si>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</si>
  <si>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</si>
  <si>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</si>
  <si>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</si>
  <si>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</si>
  <si>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</si>
  <si>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</si>
  <si>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</si>
  <si>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</si>
  <si>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</si>
  <si>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</si>
  <si>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</si>
  <si>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</si>
  <si>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</si>
  <si>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</si>
  <si>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</si>
  <si>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</si>
  <si>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</si>
  <si>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</si>
  <si>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</si>
  <si>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</si>
  <si>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</si>
  <si>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</si>
  <si>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</si>
  <si>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</si>
  <si>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</si>
  <si>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</si>
  <si>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</si>
  <si>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</si>
  <si>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</si>
  <si>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</si>
  <si>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</si>
  <si>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</si>
  <si>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</si>
  <si>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</si>
  <si>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</si>
  <si>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</si>
  <si>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</si>
  <si>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</si>
  <si>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</si>
  <si>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</si>
  <si>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</si>
  <si>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</si>
  <si>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</si>
  <si>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</si>
  <si>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</si>
  <si>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</si>
  <si>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</si>
  <si>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</si>
  <si>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</si>
  <si>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</si>
  <si>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</si>
  <si>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</si>
  <si>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</si>
  <si>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</si>
  <si>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</si>
  <si>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</si>
  <si>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</si>
  <si>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</si>
  <si>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</si>
  <si>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</si>
  <si>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</si>
  <si>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</si>
  <si>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</si>
  <si>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</si>
  <si>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</si>
  <si>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</si>
  <si>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</si>
  <si>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</si>
  <si>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</si>
  <si>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</si>
  <si>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</si>
  <si>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</si>
  <si>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</si>
  <si>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</si>
  <si>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</si>
  <si>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</si>
  <si>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</si>
  <si>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</si>
  <si>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</si>
  <si>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</si>
  <si>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</si>
  <si>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</si>
  <si>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</si>
  <si>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</si>
  <si>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</si>
  <si>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</si>
  <si>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</si>
  <si>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</si>
  <si>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</si>
  <si>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</si>
  <si>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</si>
  <si>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</si>
  <si>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</si>
  <si>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</si>
  <si>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</si>
  <si>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</si>
  <si>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</si>
  <si>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</si>
  <si>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</si>
  <si>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</si>
  <si>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</si>
  <si>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</si>
  <si>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</si>
  <si>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</si>
  <si>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</si>
  <si>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</si>
  <si>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</si>
  <si>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</si>
  <si>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</si>
  <si>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</si>
  <si>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</si>
  <si>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</si>
  <si>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</si>
  <si>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</si>
  <si>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</si>
  <si>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</si>
  <si>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</si>
  <si>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</si>
  <si>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</si>
  <si>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</si>
  <si>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</si>
  <si>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</si>
  <si>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</si>
  <si>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</si>
  <si>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</si>
  <si>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</si>
  <si>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</si>
  <si>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</si>
  <si>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</si>
  <si>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</si>
  <si>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</si>
  <si>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</si>
  <si>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</si>
  <si>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</si>
  <si>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</si>
  <si>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</si>
  <si>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</si>
  <si>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</si>
  <si>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</si>
  <si>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</si>
  <si>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</si>
  <si>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</si>
  <si>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</si>
  <si>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</si>
  <si>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</si>
  <si>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</si>
  <si>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</si>
  <si>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</si>
  <si>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</si>
  <si>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</si>
  <si>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</si>
  <si>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</si>
  <si>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</si>
  <si>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</si>
  <si>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</si>
  <si>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</si>
  <si>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</si>
  <si>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</si>
  <si>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</si>
  <si>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</si>
  <si>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</si>
  <si>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</si>
  <si>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</si>
  <si>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</si>
  <si>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</si>
  <si>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</si>
  <si>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</si>
  <si>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</si>
  <si>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</si>
  <si>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</si>
  <si>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</si>
  <si>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</si>
  <si>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</si>
  <si>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</si>
  <si>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</si>
  <si>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</si>
  <si>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</si>
  <si>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</si>
  <si>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</si>
  <si>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</si>
  <si>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</si>
  <si>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</si>
  <si>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</si>
  <si>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</si>
  <si>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</si>
  <si>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</si>
  <si>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</si>
  <si>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</si>
  <si>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</si>
  <si>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</si>
  <si>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</si>
  <si>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</si>
  <si>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</si>
  <si>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</si>
  <si>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</si>
  <si>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</si>
  <si>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</si>
  <si>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</si>
  <si>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</si>
  <si>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</si>
  <si>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</si>
  <si>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</si>
  <si>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</si>
  <si>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</si>
  <si>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</si>
  <si>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</si>
  <si>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</si>
  <si>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</si>
  <si>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</si>
  <si>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</si>
  <si>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</si>
  <si>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</si>
  <si>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</si>
  <si>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</si>
  <si>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</si>
  <si>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</si>
  <si>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</si>
  <si>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</si>
  <si>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</si>
  <si>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</si>
  <si>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</si>
  <si>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</si>
  <si>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</si>
  <si>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</si>
  <si>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</si>
  <si>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</si>
  <si>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</si>
  <si>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</si>
  <si>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</si>
  <si>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</si>
  <si>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</si>
  <si>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</si>
  <si>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</si>
  <si>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</si>
  <si>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</si>
  <si>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</si>
  <si>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</si>
  <si>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</si>
  <si>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</si>
  <si>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</si>
  <si>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</si>
  <si>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</si>
  <si>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</si>
  <si>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</si>
  <si>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</si>
  <si>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</si>
  <si>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</si>
  <si>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</si>
  <si>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</si>
  <si>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</si>
  <si>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</si>
  <si>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</si>
  <si>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</si>
  <si>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</si>
  <si>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</si>
  <si>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</si>
  <si>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</si>
  <si>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</si>
  <si>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</si>
  <si>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</si>
  <si>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</si>
  <si>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</si>
  <si>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</si>
  <si>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</si>
  <si>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</si>
  <si>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</si>
  <si>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</si>
  <si>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</si>
  <si>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</si>
  <si>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</si>
  <si>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</si>
  <si>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</si>
  <si>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</si>
  <si>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</si>
  <si>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</si>
  <si>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</si>
  <si>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</si>
  <si>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</si>
  <si>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</si>
  <si>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</si>
  <si>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</si>
  <si>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</si>
  <si>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</si>
  <si>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</si>
  <si>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</si>
  <si>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</si>
  <si>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</si>
  <si>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</si>
  <si>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</si>
  <si>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</si>
  <si>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</si>
  <si>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</si>
  <si>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</si>
  <si>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</si>
  <si>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</si>
  <si>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</si>
  <si>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</si>
  <si>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</si>
  <si>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</si>
  <si>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</si>
  <si>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</si>
  <si>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</si>
  <si>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</si>
  <si>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</si>
  <si>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</si>
  <si>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</si>
  <si>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</si>
  <si>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</si>
  <si>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</si>
  <si>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</si>
  <si>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</si>
  <si>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</si>
  <si>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</si>
  <si>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</si>
  <si>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</si>
  <si>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</si>
  <si>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</si>
  <si>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</si>
  <si>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</si>
  <si>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</si>
  <si>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</si>
  <si>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</si>
  <si>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</si>
  <si>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</si>
  <si>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</si>
  <si>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</si>
  <si>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</si>
  <si>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</si>
  <si>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</si>
  <si>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</si>
  <si>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</si>
  <si>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</si>
  <si>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</si>
  <si>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</si>
  <si>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</si>
  <si>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</si>
  <si>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</si>
  <si>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</si>
  <si>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</si>
  <si>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</si>
  <si>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</si>
  <si>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</si>
  <si>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</si>
  <si>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</si>
  <si>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</si>
  <si>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</si>
  <si>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</si>
  <si>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</si>
  <si>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</si>
  <si>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</si>
  <si>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</si>
  <si>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</si>
  <si>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</si>
  <si>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</si>
  <si>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</si>
  <si>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</si>
  <si>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</si>
  <si>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</si>
  <si>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</si>
  <si>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</si>
  <si>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</si>
  <si>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</si>
  <si>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</si>
  <si>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</si>
  <si>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</si>
  <si>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</si>
  <si>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</si>
  <si>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</si>
  <si>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</si>
  <si>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</si>
  <si>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</si>
  <si>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</si>
  <si>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</si>
  <si>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</si>
  <si>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</si>
  <si>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</si>
  <si>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</si>
  <si>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</si>
  <si>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</si>
  <si>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</si>
  <si>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</si>
  <si>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</si>
  <si>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</si>
  <si>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</si>
  <si>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</si>
  <si>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</si>
  <si>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</si>
  <si>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</si>
  <si>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</si>
  <si>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</si>
  <si>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</si>
  <si>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</si>
  <si>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</si>
  <si>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</si>
  <si>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</si>
  <si>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</si>
  <si>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</si>
  <si>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</si>
  <si>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</si>
  <si>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</si>
  <si>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</si>
  <si>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</si>
  <si>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</si>
  <si>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</si>
  <si>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</si>
  <si>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</si>
  <si>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</si>
  <si>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</si>
  <si>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</si>
  <si>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</si>
  <si>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</si>
  <si>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</si>
  <si>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</si>
  <si>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</si>
  <si>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</si>
  <si>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</si>
  <si>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</si>
  <si>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</si>
  <si>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</si>
  <si>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</si>
  <si>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</si>
  <si>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</si>
  <si>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</si>
  <si>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</si>
  <si>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</si>
  <si>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</si>
  <si>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</si>
  <si>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</si>
  <si>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</si>
  <si>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</si>
  <si>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</si>
  <si>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</si>
  <si>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</si>
  <si>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</si>
  <si>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</si>
  <si>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</si>
  <si>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</si>
  <si>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</si>
  <si>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</si>
  <si>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</si>
  <si>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</si>
  <si>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</si>
  <si>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</si>
  <si>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</si>
  <si>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</si>
  <si>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</si>
  <si>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</si>
  <si>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</si>
  <si>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</si>
  <si>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</si>
  <si>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</si>
  <si>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</si>
  <si>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</si>
  <si>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</si>
  <si>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</si>
  <si>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</si>
  <si>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</si>
  <si>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</si>
  <si>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</si>
  <si>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</si>
  <si>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</si>
  <si>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</si>
  <si>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</si>
  <si>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</si>
  <si>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</si>
  <si>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</si>
  <si>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</si>
  <si>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</si>
  <si>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</si>
  <si>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</si>
  <si>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</si>
  <si>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</si>
  <si>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</si>
  <si>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</si>
  <si>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</si>
  <si>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</si>
  <si>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</si>
  <si>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</si>
  <si>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</si>
  <si>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</si>
  <si>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</si>
  <si>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</si>
  <si>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</si>
  <si>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</si>
  <si>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</si>
  <si>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</si>
  <si>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</si>
  <si>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</si>
  <si>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</si>
  <si>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</si>
  <si>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</si>
  <si>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</si>
  <si>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</si>
  <si>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</si>
  <si>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</si>
  <si>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</si>
  <si>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</si>
  <si>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</si>
  <si>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</si>
  <si>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</si>
  <si>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</si>
  <si>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</si>
  <si>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</si>
  <si>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</si>
  <si>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</si>
  <si>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</si>
  <si>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</si>
  <si>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</si>
  <si>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</si>
  <si>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</si>
  <si>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</si>
  <si>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</si>
  <si>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</si>
  <si>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</si>
  <si>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</si>
  <si>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</si>
  <si>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</si>
  <si>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</si>
  <si>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</si>
  <si>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</si>
  <si>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</si>
  <si>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</si>
  <si>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</si>
  <si>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</si>
  <si>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</si>
  <si>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</si>
  <si>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</si>
  <si>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</si>
  <si>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</si>
  <si>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</si>
  <si>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</si>
  <si>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</si>
  <si>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</si>
  <si>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</si>
  <si>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</si>
  <si>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</si>
  <si>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</si>
  <si>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</si>
  <si>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</si>
  <si>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</si>
  <si>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</si>
  <si>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</si>
  <si>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</si>
  <si>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</si>
  <si>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</si>
  <si>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</si>
  <si>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</si>
  <si>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</si>
  <si>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</si>
  <si>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</si>
  <si>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</si>
  <si>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</si>
  <si>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</si>
  <si>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</si>
  <si>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</si>
  <si>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</si>
  <si>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</si>
  <si>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</si>
  <si>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</si>
  <si>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</si>
  <si>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</si>
  <si>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</si>
  <si>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</si>
  <si>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</si>
  <si>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</si>
  <si>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</si>
  <si>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</si>
  <si>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</si>
  <si>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</si>
  <si>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</si>
  <si>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</si>
  <si>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</si>
  <si>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</si>
  <si>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</si>
  <si>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</si>
  <si>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</si>
  <si>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</si>
  <si>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</si>
  <si>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</si>
  <si>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</si>
  <si>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</si>
  <si>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</si>
  <si>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</si>
  <si>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</si>
  <si>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</si>
  <si>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</si>
  <si>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</si>
  <si>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</si>
  <si>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</si>
  <si>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</si>
  <si>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</si>
  <si>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</si>
  <si>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</si>
  <si>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</si>
  <si>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</si>
  <si>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</si>
  <si>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</si>
  <si>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</si>
  <si>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</si>
  <si>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</si>
  <si>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</si>
  <si>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</si>
  <si>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</si>
  <si>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</si>
  <si>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</si>
  <si>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</si>
  <si>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</si>
  <si>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</si>
  <si>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</si>
  <si>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</si>
  <si>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</si>
  <si>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</si>
  <si>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</si>
  <si>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</si>
  <si>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</si>
  <si>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</si>
  <si>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</si>
  <si>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</si>
  <si>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</si>
  <si>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</si>
  <si>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</si>
  <si>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</si>
  <si>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</si>
  <si>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</si>
  <si>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</si>
  <si>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</si>
  <si>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</si>
  <si>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</si>
  <si>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</si>
  <si>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</si>
  <si>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</si>
  <si>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</si>
  <si>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</si>
  <si>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</si>
  <si>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</si>
  <si>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</si>
  <si>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</si>
  <si>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</si>
  <si>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</si>
  <si>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</si>
  <si>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</si>
  <si>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</si>
  <si>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</si>
  <si>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</si>
  <si>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</si>
  <si>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</si>
  <si>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</si>
  <si>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</si>
  <si>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</si>
  <si>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</si>
  <si>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</si>
  <si>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</si>
  <si>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</si>
  <si>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</si>
  <si>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</si>
  <si>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</si>
  <si>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</si>
  <si>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</si>
  <si>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</si>
  <si>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</si>
  <si>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</si>
  <si>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</si>
  <si>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</si>
  <si>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</si>
  <si>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</si>
  <si>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</si>
  <si>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</si>
  <si>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</si>
  <si>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</si>
  <si>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</si>
  <si>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</si>
  <si>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</si>
  <si>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</si>
  <si>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</si>
  <si>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</si>
  <si>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</si>
  <si>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</si>
  <si>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</si>
  <si>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</si>
  <si>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</si>
  <si>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</si>
  <si>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</si>
  <si>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</si>
  <si>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</si>
  <si>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</si>
  <si>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</si>
  <si>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</si>
  <si>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</si>
  <si>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</si>
  <si>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</si>
  <si>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</si>
  <si>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</si>
  <si>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</si>
  <si>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</si>
  <si>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</si>
  <si>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</si>
  <si>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</si>
  <si>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</si>
  <si>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</si>
  <si>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</si>
  <si>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</si>
  <si>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</si>
  <si>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</si>
  <si>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</si>
  <si>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</si>
  <si>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</si>
  <si>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</si>
  <si>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</si>
  <si>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</si>
  <si>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</si>
  <si>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</si>
  <si>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</si>
  <si>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</si>
  <si>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</si>
  <si>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</si>
  <si>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</si>
  <si>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</si>
  <si>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</si>
  <si>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</si>
  <si>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</si>
  <si>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</si>
  <si>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</si>
  <si>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</si>
  <si>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</si>
  <si>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</si>
  <si>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</si>
  <si>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</si>
  <si>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</si>
  <si>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</si>
  <si>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</si>
  <si>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</si>
  <si>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</si>
  <si>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</si>
  <si>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</si>
  <si>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</si>
  <si>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</si>
  <si>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</si>
  <si>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</si>
  <si>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</si>
  <si>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</si>
  <si>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</si>
  <si>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</si>
  <si>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</si>
  <si>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</si>
  <si>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</si>
  <si>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</si>
  <si>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</si>
  <si>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</si>
  <si>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</si>
  <si>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</si>
  <si>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</si>
  <si>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</si>
  <si>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</si>
  <si>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</si>
  <si>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</si>
  <si>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</si>
  <si>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</si>
  <si>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</si>
  <si>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</si>
  <si>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</si>
  <si>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</si>
  <si>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</si>
  <si>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</si>
  <si>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</si>
  <si>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</si>
  <si>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</si>
  <si>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</si>
  <si>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</si>
  <si>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</si>
  <si>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</si>
  <si>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</si>
  <si>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</si>
  <si>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</si>
  <si>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</si>
  <si>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</si>
  <si>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</si>
  <si>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</si>
  <si>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</si>
  <si>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</si>
  <si>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</si>
  <si>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</si>
  <si>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</si>
  <si>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</si>
  <si>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</si>
  <si>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</si>
  <si>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</si>
  <si>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</si>
  <si>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</si>
  <si>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</si>
  <si>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</si>
  <si>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</si>
  <si>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</si>
  <si>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</si>
  <si>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</si>
  <si>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</si>
  <si>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</si>
  <si>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</si>
  <si>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</si>
  <si>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</si>
  <si>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</si>
  <si>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</si>
  <si>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</si>
  <si>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</si>
  <si>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</si>
  <si>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</si>
  <si>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</si>
  <si>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</si>
  <si>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</si>
  <si>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</si>
  <si>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</si>
  <si>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</si>
  <si>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</si>
  <si>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</si>
  <si>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</si>
  <si>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</si>
  <si>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</si>
  <si>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</si>
  <si>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</si>
  <si>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</si>
  <si>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</si>
  <si>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</si>
  <si>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</si>
  <si>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</si>
  <si>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</si>
  <si>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</si>
  <si>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</si>
  <si>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</si>
  <si>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</si>
  <si>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</si>
  <si>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</si>
  <si>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</si>
  <si>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</si>
  <si>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</si>
  <si>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</si>
  <si>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</si>
  <si>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</si>
  <si>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</si>
  <si>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</si>
  <si>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</si>
  <si>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</si>
  <si>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</si>
  <si>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</si>
  <si>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</si>
  <si>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</si>
  <si>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</si>
  <si>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</si>
  <si>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</si>
  <si>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</si>
  <si>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</si>
  <si>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</si>
  <si>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</si>
  <si>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</si>
  <si>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</si>
  <si>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</si>
  <si>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</si>
  <si>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</si>
  <si>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</si>
  <si>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</si>
  <si>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</si>
  <si>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</si>
  <si>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</si>
  <si>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</si>
  <si>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</si>
  <si>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</si>
  <si>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</si>
  <si>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</si>
  <si>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</si>
  <si>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</si>
  <si>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</si>
  <si>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</si>
  <si>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</si>
  <si>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</si>
  <si>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</si>
  <si>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</si>
  <si>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</si>
  <si>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</si>
  <si>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</si>
  <si>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</si>
  <si>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</si>
  <si>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</si>
  <si>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</si>
  <si>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</si>
  <si>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</si>
  <si>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</si>
  <si>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</si>
  <si>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</si>
  <si>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</si>
  <si>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</si>
  <si>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</si>
  <si>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</si>
  <si>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</si>
  <si>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</si>
  <si>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</si>
  <si>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</si>
  <si>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</si>
  <si>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</si>
  <si>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</si>
  <si>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</si>
  <si>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</si>
  <si>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</si>
  <si>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</si>
  <si>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</si>
  <si>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</si>
  <si>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</si>
  <si>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</si>
  <si>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</si>
  <si>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</si>
  <si>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</si>
  <si>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</si>
  <si>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</si>
  <si>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</si>
  <si>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</si>
  <si>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</si>
  <si>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</si>
  <si>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</si>
  <si>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</si>
  <si>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</si>
  <si>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</si>
  <si>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</si>
  <si>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</si>
  <si>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</si>
  <si>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</si>
  <si>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</si>
  <si>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</si>
  <si>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</si>
  <si>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</si>
  <si>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</si>
  <si>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</si>
  <si>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</si>
  <si>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</si>
  <si>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</si>
  <si>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</si>
  <si>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</si>
  <si>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</si>
  <si>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</si>
  <si>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</si>
  <si>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</si>
  <si>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</si>
  <si>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</si>
  <si>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</si>
  <si>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</si>
  <si>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</si>
  <si>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</si>
  <si>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</si>
  <si>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</si>
  <si>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</si>
  <si>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</si>
  <si>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</si>
  <si>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</si>
  <si>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</si>
  <si>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</si>
  <si>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</si>
  <si>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</si>
  <si>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</si>
  <si>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</si>
  <si>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</si>
  <si>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</si>
  <si>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</si>
  <si>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</si>
  <si>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</si>
  <si>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</si>
  <si>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</si>
  <si>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</si>
  <si>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</si>
  <si>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</si>
  <si>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</si>
  <si>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</si>
  <si>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</si>
  <si>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</si>
  <si>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</si>
  <si>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</si>
  <si>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</si>
  <si>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</si>
  <si>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</si>
  <si>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</si>
  <si>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</si>
  <si>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</si>
  <si>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</si>
  <si>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</si>
  <si>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</si>
  <si>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</si>
  <si>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</si>
  <si>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</si>
  <si>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</si>
  <si>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</si>
  <si>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</si>
  <si>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</si>
  <si>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</si>
  <si>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</si>
  <si>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</si>
  <si>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</si>
  <si>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</si>
  <si>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</si>
  <si>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</si>
  <si>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</si>
  <si>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</si>
  <si>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</si>
  <si>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</si>
  <si>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</si>
  <si>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</si>
  <si>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</si>
  <si>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</si>
  <si>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</si>
  <si>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</si>
  <si>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</si>
  <si>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</si>
  <si>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</si>
  <si>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</si>
  <si>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</si>
  <si>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</si>
  <si>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</si>
  <si>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</si>
  <si>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</si>
  <si>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</si>
  <si>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</si>
  <si>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</si>
  <si>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</si>
  <si>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</si>
  <si>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</si>
  <si>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</si>
  <si>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</si>
  <si>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</si>
  <si>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</si>
  <si>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</si>
  <si>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</si>
  <si>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</si>
  <si>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</si>
  <si>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</si>
  <si>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</si>
  <si>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</si>
  <si>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</si>
  <si>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</si>
  <si>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</si>
  <si>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</si>
  <si>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</si>
  <si>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</si>
  <si>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</si>
  <si>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</si>
  <si>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</si>
  <si>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</si>
  <si>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</si>
  <si>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</si>
  <si>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</si>
  <si>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</si>
  <si>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</si>
  <si>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</si>
  <si>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</si>
  <si>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</si>
  <si>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</si>
  <si>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</si>
  <si>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</si>
  <si>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</si>
  <si>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</si>
  <si>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</si>
  <si>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</si>
  <si>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</si>
  <si>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</si>
  <si>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</si>
  <si>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</si>
  <si>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</si>
  <si>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</si>
  <si>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</si>
  <si>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</si>
  <si>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</si>
  <si>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</si>
  <si>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</si>
  <si>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</si>
  <si>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</si>
  <si>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</si>
  <si>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</si>
  <si>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</si>
  <si>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</si>
  <si>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</si>
  <si>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</si>
  <si>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</si>
  <si>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</si>
  <si>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</si>
  <si>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</si>
  <si>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</si>
  <si>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</si>
  <si>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</si>
  <si>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</si>
  <si>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</si>
  <si>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</si>
  <si>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</si>
  <si>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</si>
  <si>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</si>
  <si>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</si>
  <si>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</si>
  <si>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</si>
  <si>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</si>
  <si>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</si>
  <si>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</si>
  <si>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</si>
  <si>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</si>
  <si>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</si>
  <si>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</si>
  <si>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</si>
  <si>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</si>
  <si>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</si>
  <si>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</si>
  <si>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</si>
  <si>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</si>
  <si>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</si>
  <si>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</si>
  <si>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</si>
  <si>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</si>
  <si>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</si>
  <si>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</si>
  <si>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</si>
  <si>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</si>
  <si>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</si>
  <si>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</si>
  <si>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</si>
  <si>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</si>
  <si>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</si>
  <si>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</si>
  <si>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</si>
  <si>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</si>
  <si>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</si>
  <si>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</si>
  <si>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</si>
  <si>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</si>
  <si>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</si>
  <si>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</si>
  <si>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</si>
  <si>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</si>
  <si>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</si>
  <si>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</si>
  <si>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</si>
  <si>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</si>
  <si>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</si>
  <si>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</si>
  <si>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</si>
  <si>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</si>
  <si>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</si>
  <si>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</si>
  <si>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</si>
  <si>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</si>
  <si>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</si>
  <si>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</si>
  <si>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</si>
  <si>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</si>
  <si>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</si>
  <si>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</si>
  <si>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</si>
  <si>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</si>
  <si>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</si>
  <si>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</si>
  <si>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</si>
  <si>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</si>
  <si>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</si>
  <si>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</si>
  <si>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</si>
  <si>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</si>
  <si>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</si>
  <si>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</si>
  <si>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</si>
  <si>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</si>
  <si>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</si>
  <si>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</si>
  <si>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</si>
  <si>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</si>
  <si>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</si>
  <si>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</si>
  <si>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</si>
  <si>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</si>
  <si>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</si>
  <si>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</si>
  <si>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</si>
  <si>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</si>
  <si>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</si>
  <si>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</si>
  <si>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</si>
  <si>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</si>
  <si>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</si>
  <si>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</si>
  <si>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</si>
  <si>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</si>
  <si>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</si>
  <si>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</si>
  <si>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</si>
  <si>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</si>
  <si>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</si>
  <si>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</si>
  <si>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</si>
  <si>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</si>
  <si>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</si>
  <si>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</si>
  <si>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</si>
  <si>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</si>
  <si>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</si>
  <si>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</si>
  <si>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</si>
  <si>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</si>
  <si>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</si>
  <si>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</si>
  <si>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</si>
  <si>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</si>
  <si>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</si>
  <si>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</si>
  <si>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</si>
  <si>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</si>
  <si>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</si>
  <si>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</si>
  <si>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</si>
  <si>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</si>
  <si>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</si>
  <si>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</si>
  <si>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</si>
  <si>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</si>
  <si>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</si>
  <si>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</si>
  <si>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</si>
  <si>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</si>
  <si>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</si>
  <si>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</si>
  <si>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</si>
  <si>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</si>
  <si>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</si>
  <si>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</si>
  <si>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</si>
  <si>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</si>
  <si>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</si>
  <si>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</si>
  <si>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</si>
  <si>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</si>
  <si>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</si>
  <si>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</si>
  <si>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</si>
  <si>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</si>
  <si>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</si>
  <si>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</si>
  <si>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</si>
  <si>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</si>
  <si>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</si>
  <si>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</si>
  <si>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</si>
  <si>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</si>
  <si>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</si>
  <si>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</si>
  <si>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</si>
  <si>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</si>
  <si>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</si>
  <si>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</si>
  <si>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</si>
  <si>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</si>
  <si>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</si>
  <si>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</si>
  <si>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</si>
  <si>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</si>
  <si>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</si>
  <si>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</si>
  <si>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</si>
  <si>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</si>
  <si>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</si>
  <si>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</si>
  <si>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</si>
  <si>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</si>
  <si>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</si>
  <si>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</si>
  <si>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</si>
  <si>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</si>
  <si>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</si>
  <si>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</si>
  <si>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</si>
  <si>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</si>
  <si>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</si>
  <si>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</si>
  <si>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</si>
  <si>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</si>
  <si>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</si>
  <si>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</si>
  <si>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</si>
  <si>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</si>
  <si>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</si>
  <si>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</si>
  <si>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</si>
  <si>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</si>
  <si>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</si>
  <si>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</si>
  <si>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</si>
  <si>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</si>
  <si>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</si>
  <si>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</si>
  <si>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</si>
  <si>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</si>
  <si>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</si>
  <si>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</si>
  <si>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</si>
  <si>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</si>
  <si>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</si>
  <si>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</si>
  <si>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</si>
  <si>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</si>
  <si>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</si>
  <si>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</si>
  <si>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</si>
  <si>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</si>
  <si>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</si>
  <si>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</si>
  <si>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</si>
  <si>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</si>
  <si>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</si>
  <si>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</si>
  <si>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</si>
  <si>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</si>
  <si>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</si>
  <si>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</si>
  <si>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</si>
  <si>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</si>
  <si>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</si>
  <si>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</si>
  <si>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</si>
  <si>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</si>
  <si>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</si>
  <si>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</si>
  <si>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</si>
  <si>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</si>
  <si>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</si>
  <si>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</si>
  <si>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</si>
  <si>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</si>
  <si>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</si>
  <si>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</si>
  <si>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</si>
  <si>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</si>
  <si>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</si>
  <si>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</si>
  <si>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</si>
  <si>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</si>
  <si>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</si>
  <si>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</si>
  <si>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</si>
  <si>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</si>
  <si>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</si>
  <si>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</si>
  <si>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</si>
  <si>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</si>
  <si>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</si>
  <si>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</si>
  <si>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</si>
  <si>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</si>
  <si>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</si>
  <si>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</si>
  <si>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</si>
  <si>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</si>
  <si>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</si>
  <si>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</si>
  <si>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</si>
  <si>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</si>
  <si>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</si>
  <si>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</si>
  <si>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</si>
  <si>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</si>
  <si>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</si>
  <si>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</si>
  <si>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</si>
  <si>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</si>
  <si>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</si>
  <si>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</si>
  <si>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</si>
  <si>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</si>
  <si>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</si>
  <si>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</si>
  <si>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</si>
  <si>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</si>
  <si>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</si>
  <si>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</si>
  <si>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</si>
  <si>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</si>
  <si>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</si>
  <si>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</si>
  <si>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</si>
  <si>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</si>
  <si>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</si>
  <si>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</si>
  <si>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</si>
  <si>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</si>
  <si>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</si>
  <si>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</si>
  <si>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</si>
  <si>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</si>
  <si>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</si>
  <si>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</si>
  <si>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</si>
  <si>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</si>
  <si>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</si>
  <si>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</si>
  <si>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</si>
  <si>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</si>
  <si>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</si>
  <si>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</si>
  <si>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</si>
  <si>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</si>
  <si>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</si>
  <si>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</si>
  <si>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</si>
  <si>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</si>
  <si>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</si>
  <si>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</si>
  <si>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</si>
  <si>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</si>
  <si>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</si>
  <si>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</si>
  <si>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</si>
  <si>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</si>
  <si>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</si>
  <si>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</si>
  <si>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</si>
  <si>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</si>
  <si>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</si>
  <si>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</si>
  <si>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</si>
  <si>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</si>
  <si>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</si>
  <si>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</si>
  <si>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</si>
  <si>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</si>
  <si>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</si>
  <si>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</si>
  <si>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</si>
  <si>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</si>
  <si>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</si>
  <si>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</si>
  <si>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</si>
  <si>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</si>
  <si>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</si>
  <si>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</si>
  <si>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</si>
  <si>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</si>
  <si>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</si>
  <si>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</si>
  <si>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</si>
  <si>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</si>
  <si>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</si>
  <si>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</si>
  <si>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</si>
  <si>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</si>
  <si>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</si>
  <si>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</si>
  <si>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</si>
  <si>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</si>
  <si>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</si>
  <si>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</si>
  <si>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</si>
  <si>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</si>
  <si>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</si>
  <si>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</si>
  <si>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</si>
  <si>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</si>
  <si>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</si>
  <si>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</si>
  <si>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</si>
  <si>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</si>
  <si>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</si>
  <si>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</si>
  <si>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</si>
  <si>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</si>
  <si>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</si>
  <si>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</si>
  <si>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</si>
  <si>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</si>
  <si>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</si>
  <si>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</si>
  <si>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</si>
  <si>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</si>
  <si>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</si>
  <si>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</si>
  <si>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</si>
  <si>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</si>
  <si>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</si>
  <si>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</si>
  <si>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</si>
  <si>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</si>
  <si>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</si>
  <si>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</si>
  <si>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</si>
  <si>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</si>
  <si>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</si>
  <si>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</si>
  <si>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</si>
  <si>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</si>
  <si>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</si>
  <si>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</si>
  <si>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</si>
  <si>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</si>
  <si>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</si>
  <si>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</si>
  <si>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</si>
  <si>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</si>
  <si>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</si>
  <si>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</si>
  <si>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</si>
  <si>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</si>
  <si>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</si>
  <si>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</si>
  <si>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</si>
  <si>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</si>
  <si>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</si>
  <si>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</si>
  <si>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</si>
  <si>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</si>
  <si>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</si>
  <si>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</si>
  <si>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</si>
  <si>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</si>
  <si>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</si>
  <si>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</si>
  <si>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</si>
  <si>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</si>
  <si>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</si>
  <si>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</si>
  <si>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</si>
  <si>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</si>
  <si>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</si>
  <si>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</si>
  <si>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</si>
  <si>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</si>
  <si>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</si>
  <si>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</si>
  <si>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</si>
  <si>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</si>
  <si>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</si>
  <si>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</si>
  <si>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</si>
  <si>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</si>
  <si>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</si>
  <si>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</si>
  <si>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</si>
  <si>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</si>
  <si>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</si>
  <si>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</si>
  <si>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</si>
  <si>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</si>
  <si>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</si>
  <si>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</si>
  <si>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</si>
  <si>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</si>
  <si>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</si>
  <si>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</si>
  <si>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</si>
  <si>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</si>
  <si>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</si>
  <si>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</si>
  <si>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</si>
  <si>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</si>
  <si>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</si>
  <si>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</si>
  <si>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</si>
  <si>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</si>
  <si>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</si>
  <si>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</si>
  <si>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</si>
  <si>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</si>
  <si>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</si>
  <si>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</si>
  <si>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</si>
  <si>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</si>
  <si>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</si>
  <si>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</si>
  <si>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</si>
  <si>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</si>
  <si>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</si>
  <si>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</si>
  <si>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</si>
  <si>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</si>
  <si>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</si>
  <si>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</si>
  <si>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</si>
  <si>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</si>
  <si>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</si>
  <si>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</si>
  <si>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</si>
  <si>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</si>
  <si>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</si>
  <si>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</si>
  <si>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</si>
  <si>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</si>
  <si>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</si>
  <si>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</si>
  <si>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</si>
  <si>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</si>
  <si>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</si>
  <si>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</si>
  <si>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</si>
  <si>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</si>
  <si>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</si>
  <si>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</si>
  <si>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</si>
  <si>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</si>
  <si>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</si>
  <si>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</si>
  <si>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</si>
  <si>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</si>
  <si>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</si>
  <si>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</si>
  <si>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</si>
  <si>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</si>
  <si>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</si>
  <si>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</si>
  <si>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</si>
  <si>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</si>
  <si>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</si>
  <si>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</si>
  <si>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</si>
  <si>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</si>
  <si>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</si>
  <si>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</si>
  <si>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</si>
  <si>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</si>
  <si>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</si>
  <si>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</si>
  <si>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</si>
  <si>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</si>
  <si>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</si>
  <si>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</si>
  <si>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</si>
  <si>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</si>
  <si>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</si>
  <si>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</si>
  <si>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</si>
  <si>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</si>
  <si>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</si>
  <si>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</si>
  <si>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</si>
  <si>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</si>
  <si>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</si>
  <si>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</si>
  <si>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</si>
  <si>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</si>
  <si>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</si>
  <si>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</si>
  <si>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</si>
  <si>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</si>
  <si>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</si>
  <si>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</si>
  <si>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</si>
  <si>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</si>
  <si>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</si>
  <si>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</si>
  <si>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</si>
  <si>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</si>
  <si>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</si>
  <si>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</si>
  <si>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</si>
  <si>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</si>
  <si>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</si>
  <si>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</si>
  <si>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</si>
  <si>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</si>
  <si>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</si>
  <si>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</si>
  <si>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</si>
  <si>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</si>
  <si>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</si>
  <si>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</si>
  <si>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</si>
  <si>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</si>
  <si>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</si>
  <si>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</si>
  <si>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</si>
  <si>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</si>
  <si>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</si>
  <si>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</si>
  <si>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</si>
  <si>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</si>
  <si>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</si>
  <si>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</si>
  <si>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</si>
  <si>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</si>
  <si>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</si>
  <si>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</si>
  <si>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</si>
  <si>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</si>
  <si>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</si>
  <si>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</si>
  <si>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</si>
  <si>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</si>
  <si>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</si>
  <si>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</si>
  <si>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</si>
  <si>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</si>
  <si>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</si>
  <si>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</si>
  <si>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</si>
  <si>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</si>
  <si>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</si>
  <si>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</si>
  <si>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</si>
  <si>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</si>
  <si>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</si>
  <si>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</si>
  <si>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</si>
  <si>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</si>
  <si>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</si>
  <si>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</si>
  <si>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</si>
  <si>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</si>
  <si>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</si>
  <si>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</si>
  <si>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</si>
  <si>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</si>
  <si>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</si>
  <si>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</si>
  <si>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</si>
  <si>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</si>
  <si>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</si>
  <si>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</si>
  <si>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</si>
  <si>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</si>
  <si>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</si>
  <si>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</si>
  <si>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</si>
  <si>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</si>
  <si>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</si>
  <si>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</si>
  <si>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</si>
  <si>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</si>
  <si>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</si>
  <si>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</si>
  <si>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</si>
  <si>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</si>
  <si>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</si>
  <si>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</si>
  <si>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</si>
  <si>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</si>
  <si>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</si>
  <si>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</si>
  <si>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</si>
  <si>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</si>
  <si>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</si>
  <si>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</si>
  <si>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</si>
  <si>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</si>
  <si>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</si>
  <si>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</si>
  <si>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</si>
  <si>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</si>
  <si>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</si>
  <si>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</si>
  <si>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</si>
  <si>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</si>
  <si>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</si>
  <si>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</si>
  <si>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</si>
  <si>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</si>
  <si>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</si>
  <si>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</si>
  <si>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</si>
  <si>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</si>
  <si>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</si>
  <si>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</si>
  <si>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</si>
  <si>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</si>
  <si>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</si>
  <si>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</si>
  <si>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</si>
  <si>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</si>
  <si>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</si>
  <si>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</si>
  <si>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</si>
  <si>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</si>
  <si>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</si>
  <si>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</si>
  <si>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</si>
  <si>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</si>
  <si>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</si>
  <si>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</si>
  <si>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</si>
  <si>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</si>
  <si>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</si>
  <si>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</si>
  <si>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</si>
  <si>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</si>
  <si>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</si>
  <si>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</si>
  <si>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</si>
  <si>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</si>
  <si>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</si>
  <si>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</si>
  <si>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</si>
  <si>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</si>
  <si>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</si>
  <si>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</si>
  <si>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</si>
  <si>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</si>
  <si>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</si>
  <si>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</si>
  <si>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</si>
  <si>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</si>
  <si>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</si>
  <si>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</si>
  <si>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</si>
  <si>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</si>
  <si>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</si>
  <si>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</si>
  <si>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</si>
  <si>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</si>
  <si>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</si>
  <si>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</si>
  <si>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</si>
  <si>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</si>
  <si>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</si>
  <si>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</si>
  <si>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</si>
  <si>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</si>
  <si>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</si>
  <si>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</si>
  <si>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</si>
  <si>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</si>
  <si>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</si>
  <si>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</si>
  <si>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</si>
  <si>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</si>
  <si>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</si>
  <si>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</si>
  <si>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</si>
  <si>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</si>
  <si>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</si>
  <si>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</si>
  <si>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</si>
  <si>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</si>
  <si>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</si>
  <si>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</si>
  <si>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</si>
  <si>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</si>
  <si>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</si>
  <si>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</si>
  <si>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</si>
  <si>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</si>
  <si>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</si>
  <si>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</si>
  <si>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</si>
  <si>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</si>
  <si>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</si>
  <si>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</si>
  <si>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</si>
  <si>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</si>
  <si>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</si>
  <si>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</si>
  <si>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</si>
  <si>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</si>
  <si>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</si>
  <si>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</si>
  <si>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</si>
  <si>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</si>
  <si>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</si>
  <si>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</si>
  <si>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</si>
  <si>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</si>
  <si>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</si>
  <si>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</si>
  <si>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</si>
  <si>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</si>
  <si>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</si>
  <si>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</si>
  <si>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</si>
  <si>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</si>
  <si>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</si>
  <si>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</si>
  <si>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</si>
  <si>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</si>
  <si>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</si>
  <si>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</si>
  <si>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</si>
  <si>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</si>
  <si>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</si>
  <si>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</si>
  <si>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</si>
  <si>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</si>
  <si>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</si>
  <si>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</si>
  <si>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</si>
  <si>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</si>
  <si>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</si>
  <si>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</si>
  <si>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</si>
  <si>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</si>
  <si>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</si>
  <si>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</si>
  <si>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</si>
  <si>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</si>
  <si>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</si>
  <si>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</si>
  <si>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</si>
  <si>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</si>
  <si>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</si>
  <si>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</si>
  <si>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</si>
  <si>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</si>
  <si>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</si>
  <si>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</si>
  <si>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</si>
  <si>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</si>
  <si>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</si>
  <si>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</si>
  <si>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</si>
  <si>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</si>
  <si>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</si>
  <si>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</si>
  <si>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</si>
  <si>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</si>
  <si>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</si>
  <si>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</si>
  <si>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</si>
  <si>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</si>
  <si>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</si>
  <si>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</si>
  <si>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</si>
  <si>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</si>
  <si>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</si>
  <si>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</si>
  <si>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</si>
  <si>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</si>
  <si>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</si>
  <si>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</si>
  <si>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</si>
  <si>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</si>
  <si>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</si>
  <si>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</si>
  <si>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</si>
  <si>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</si>
  <si>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</si>
  <si>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</si>
  <si>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</si>
  <si>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</si>
  <si>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</si>
  <si>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</si>
  <si>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</si>
  <si>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</si>
  <si>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</si>
  <si>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</si>
  <si>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</si>
  <si>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</si>
  <si>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</si>
  <si>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</si>
  <si>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</si>
  <si>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</si>
  <si>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</si>
  <si>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</si>
  <si>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</si>
  <si>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</si>
  <si>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</si>
  <si>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</si>
  <si>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</si>
  <si>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</si>
  <si>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</si>
  <si>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</si>
  <si>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</si>
  <si>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</si>
  <si>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</si>
  <si>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</si>
  <si>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</si>
  <si>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</si>
  <si>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</si>
  <si>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</si>
  <si>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</si>
  <si>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</si>
  <si>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</si>
  <si>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</si>
  <si>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</si>
  <si>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</si>
  <si>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</si>
  <si>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</si>
  <si>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</si>
  <si>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</si>
  <si>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</si>
  <si>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</si>
  <si>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</si>
  <si>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</si>
  <si>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</si>
  <si>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</si>
  <si>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</si>
  <si>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</si>
  <si>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</si>
  <si>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</si>
  <si>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</si>
  <si>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</si>
  <si>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</si>
  <si>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</si>
  <si>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</si>
  <si>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</si>
  <si>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</si>
  <si>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</si>
  <si>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</si>
  <si>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</si>
  <si>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</si>
  <si>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</si>
  <si>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</si>
  <si>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</si>
  <si>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</si>
  <si>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</si>
  <si>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</si>
  <si>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</si>
  <si>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</si>
  <si>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</si>
  <si>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</si>
  <si>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</si>
  <si>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</si>
  <si>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</si>
  <si>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</si>
  <si>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</si>
  <si>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</si>
  <si>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</si>
  <si>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</si>
  <si>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</si>
  <si>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</si>
  <si>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</si>
  <si>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</si>
  <si>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</si>
  <si>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</si>
  <si>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</si>
  <si>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</si>
  <si>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</si>
  <si>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</si>
  <si>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</si>
  <si>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</si>
  <si>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</si>
  <si>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</si>
  <si>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</si>
  <si>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</si>
  <si>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</si>
  <si>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</si>
  <si>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</si>
  <si>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</si>
  <si>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</si>
  <si>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</si>
  <si>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</si>
  <si>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</si>
  <si>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</si>
  <si>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</si>
  <si>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</si>
  <si>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</si>
  <si>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</si>
  <si>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</si>
  <si>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</si>
  <si>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</si>
  <si>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</si>
  <si>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</si>
  <si>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</si>
  <si>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</si>
  <si>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</si>
  <si>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</si>
  <si>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</si>
  <si>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</si>
  <si>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</si>
  <si>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</si>
  <si>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</si>
  <si>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</si>
  <si>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</si>
  <si>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</si>
  <si>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</si>
  <si>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</si>
  <si>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</si>
  <si>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</si>
  <si>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</si>
  <si>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</si>
  <si>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</si>
  <si>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</si>
  <si>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</si>
  <si>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</si>
  <si>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</si>
  <si>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</si>
  <si>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</si>
  <si>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</si>
  <si>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</si>
  <si>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</si>
  <si>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</si>
  <si>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</si>
  <si>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</si>
  <si>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</si>
  <si>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</si>
  <si>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</si>
  <si>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</si>
  <si>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</si>
  <si>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</si>
  <si>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</si>
  <si>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</si>
  <si>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</si>
  <si>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</si>
  <si>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</si>
  <si>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</si>
  <si>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</si>
  <si>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</si>
  <si>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</si>
  <si>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</si>
  <si>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</si>
  <si>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</si>
  <si>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</si>
  <si>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</si>
  <si>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</si>
  <si>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</si>
  <si>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</si>
  <si>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</si>
  <si>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</si>
  <si>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</si>
  <si>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</si>
  <si>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</si>
  <si>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</si>
  <si>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</si>
  <si>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</si>
  <si>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</si>
  <si>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</si>
  <si>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</si>
  <si>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</si>
  <si>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</si>
  <si>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</si>
  <si>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</si>
  <si>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</si>
  <si>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</si>
  <si>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</si>
  <si>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</si>
  <si>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</si>
  <si>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</si>
  <si>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</si>
  <si>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</si>
  <si>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</si>
  <si>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</si>
  <si>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</si>
  <si>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</si>
  <si>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</si>
  <si>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</si>
  <si>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</si>
  <si>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</si>
  <si>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</si>
  <si>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</si>
  <si>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</si>
  <si>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</si>
  <si>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</si>
  <si>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</si>
  <si>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</si>
  <si>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</si>
  <si>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</si>
  <si>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</si>
  <si>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</si>
  <si>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</si>
  <si>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</si>
  <si>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</si>
  <si>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</si>
  <si>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</si>
  <si>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</si>
  <si>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</si>
  <si>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</si>
  <si>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</si>
  <si>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</si>
  <si>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</si>
  <si>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</si>
  <si>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</si>
  <si>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</si>
  <si>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</si>
  <si>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</si>
  <si>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</si>
  <si>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</si>
  <si>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</si>
  <si>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</si>
  <si>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</si>
  <si>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</si>
  <si>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</si>
  <si>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</si>
  <si>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</si>
  <si>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</si>
  <si>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</si>
  <si>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</si>
  <si>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</si>
  <si>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</si>
  <si>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</si>
  <si>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</si>
  <si>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</si>
  <si>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</si>
  <si>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</si>
  <si>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</si>
  <si>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</si>
  <si>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</si>
  <si>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</si>
  <si>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</si>
  <si>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</si>
  <si>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</si>
  <si>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</si>
  <si>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</si>
  <si>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</si>
  <si>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</si>
  <si>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</si>
  <si>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</si>
  <si>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</si>
  <si>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</si>
  <si>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</si>
  <si>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</si>
  <si>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</si>
  <si>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</si>
  <si>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</si>
  <si>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</si>
  <si>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</si>
  <si>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</si>
  <si>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</si>
  <si>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</si>
  <si>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</si>
  <si>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</si>
  <si>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</si>
  <si>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</si>
  <si>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</si>
  <si>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</si>
  <si>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</si>
  <si>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</si>
  <si>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</si>
  <si>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</si>
  <si>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</si>
  <si>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</si>
  <si>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</si>
  <si>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</si>
  <si>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</si>
  <si>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</si>
  <si>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</si>
  <si>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</si>
  <si>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</si>
  <si>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</si>
  <si>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</si>
  <si>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</si>
  <si>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</si>
  <si>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</si>
  <si>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</si>
  <si>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</si>
  <si>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</si>
  <si>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</si>
  <si>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</si>
  <si>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</si>
  <si>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</si>
  <si>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</si>
  <si>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</si>
  <si>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</si>
  <si>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</si>
  <si>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</si>
  <si>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</si>
  <si>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</si>
  <si>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</si>
  <si>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</si>
  <si>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</si>
  <si>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</si>
  <si>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</si>
  <si>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</si>
  <si>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</si>
  <si>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</si>
  <si>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</si>
  <si>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</si>
  <si>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</si>
  <si>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</si>
  <si>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</si>
  <si>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</si>
  <si>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</si>
  <si>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</si>
  <si>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</si>
  <si>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</si>
  <si>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</si>
  <si>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</si>
  <si>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</si>
  <si>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</si>
  <si>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</si>
  <si>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</si>
  <si>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</si>
  <si>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</si>
  <si>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</si>
  <si>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</si>
  <si>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</si>
  <si>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</si>
  <si>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</si>
  <si>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</si>
  <si>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</si>
  <si>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</si>
  <si>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</si>
  <si>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</si>
  <si>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</si>
  <si>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</si>
  <si>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</si>
  <si>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</si>
  <si>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</si>
  <si>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</si>
  <si>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</si>
  <si>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</si>
  <si>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</si>
  <si>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</si>
  <si>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</si>
  <si>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</si>
  <si>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</si>
  <si>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</si>
  <si>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</si>
  <si>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</si>
  <si>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</si>
  <si>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</si>
  <si>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</si>
  <si>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</si>
  <si>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</si>
  <si>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</si>
  <si>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</si>
  <si>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</si>
  <si>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</si>
  <si>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</si>
  <si>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</si>
  <si>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</si>
  <si>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</si>
  <si>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</si>
  <si>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</si>
  <si>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</si>
  <si>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</si>
  <si>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</si>
  <si>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</si>
  <si>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</si>
  <si>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</si>
  <si>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</si>
  <si>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</si>
  <si>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</si>
  <si>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</si>
  <si>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</si>
  <si>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</si>
  <si>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</si>
  <si>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</si>
  <si>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</si>
  <si>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</si>
  <si>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</si>
  <si>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</si>
  <si>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</si>
  <si>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</si>
  <si>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</si>
  <si>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</si>
  <si>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</si>
  <si>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</si>
  <si>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</si>
  <si>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</si>
  <si>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</si>
  <si>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</si>
  <si>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</si>
  <si>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</si>
  <si>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</si>
  <si>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</si>
  <si>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</si>
  <si>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</si>
  <si>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</si>
  <si>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</si>
  <si>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</si>
  <si>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</si>
  <si>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</si>
  <si>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</si>
  <si>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</si>
  <si>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</si>
  <si>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</si>
  <si>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</si>
  <si>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</si>
  <si>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</si>
  <si>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</si>
  <si>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</si>
  <si>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</si>
  <si>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</si>
  <si>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</si>
  <si>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</si>
  <si>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</si>
  <si>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</si>
  <si>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</si>
  <si>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</si>
  <si>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</si>
  <si>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</si>
  <si>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</si>
  <si>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</si>
  <si>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</si>
  <si>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</si>
  <si>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</si>
  <si>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</si>
  <si>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</si>
  <si>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</si>
  <si>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</si>
  <si>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</si>
  <si>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</si>
  <si>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</si>
  <si>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</si>
  <si>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</si>
  <si>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</si>
  <si>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</si>
  <si>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</si>
  <si>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</si>
  <si>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</si>
  <si>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</si>
  <si>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</si>
  <si>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</si>
  <si>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</si>
  <si>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</si>
  <si>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</si>
  <si>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</si>
  <si>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</si>
  <si>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</si>
  <si>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</si>
  <si>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</si>
  <si>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</si>
  <si>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</si>
  <si>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</si>
  <si>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</si>
  <si>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</si>
  <si>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</si>
  <si>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</si>
  <si>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</si>
  <si>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</si>
  <si>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</si>
  <si>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</si>
  <si>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</si>
  <si>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</si>
  <si>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</si>
  <si>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</si>
  <si>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</si>
  <si>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</si>
  <si>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</si>
  <si>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</si>
  <si>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</si>
  <si>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</si>
  <si>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</si>
  <si>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</si>
  <si>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</si>
  <si>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</si>
  <si>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</si>
  <si>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</si>
  <si>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</si>
  <si>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</si>
  <si>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</si>
  <si>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</si>
  <si>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</si>
  <si>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</si>
  <si>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</si>
  <si>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</si>
  <si>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</si>
  <si>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</si>
  <si>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</si>
  <si>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</si>
  <si>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</si>
  <si>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</si>
  <si>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</si>
  <si>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</si>
  <si>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</si>
  <si>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</si>
  <si>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</si>
  <si>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</si>
  <si>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</si>
  <si>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</si>
  <si>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</si>
  <si>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</si>
  <si>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</si>
  <si>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</si>
  <si>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</si>
  <si>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</si>
  <si>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</si>
  <si>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</si>
  <si>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</si>
  <si>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</si>
  <si>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</si>
  <si>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</si>
  <si>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</si>
  <si>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</si>
  <si>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</si>
  <si>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</si>
  <si>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</si>
  <si>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</si>
  <si>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</si>
  <si>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</si>
  <si>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</si>
  <si>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</si>
  <si>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</si>
  <si>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</si>
  <si>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</si>
  <si>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</si>
  <si>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</si>
  <si>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</si>
  <si>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</si>
  <si>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</si>
  <si>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</si>
  <si>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</si>
  <si>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</si>
  <si>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</si>
  <si>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</si>
  <si>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</si>
  <si>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</si>
  <si>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</si>
  <si>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</si>
  <si>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</si>
  <si>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</si>
  <si>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</si>
  <si>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</si>
  <si>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</si>
  <si>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</si>
  <si>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</si>
  <si>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</si>
  <si>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</si>
  <si>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</si>
  <si>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</si>
  <si>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</si>
  <si>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</si>
  <si>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</si>
  <si>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</si>
  <si>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</si>
  <si>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</si>
  <si>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</si>
  <si>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</si>
  <si>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</si>
  <si>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</si>
  <si>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</si>
  <si>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</si>
  <si>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</si>
  <si>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</si>
  <si>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</si>
  <si>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</si>
  <si>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</si>
  <si>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</si>
  <si>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</si>
  <si>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</si>
  <si>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</si>
  <si>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</si>
  <si>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</si>
  <si>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</si>
  <si>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</si>
  <si>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</si>
  <si>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</si>
  <si>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</si>
  <si>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</si>
  <si>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</si>
  <si>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</si>
  <si>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</si>
  <si>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</si>
  <si>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</si>
  <si>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</si>
  <si>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</si>
  <si>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</si>
  <si>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</si>
  <si>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</si>
  <si>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</si>
  <si>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</si>
  <si>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</si>
  <si>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</si>
  <si>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</si>
  <si>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</si>
  <si>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</si>
  <si>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</si>
  <si>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</si>
  <si>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</si>
  <si>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</si>
  <si>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</si>
  <si>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</si>
  <si>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</si>
  <si>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</si>
  <si>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</si>
  <si>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</si>
  <si>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</si>
  <si>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</si>
  <si>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</si>
  <si>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</si>
  <si>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</si>
  <si>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</si>
  <si>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</si>
  <si>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</si>
  <si>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</si>
  <si>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</si>
  <si>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</si>
  <si>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</si>
  <si>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</si>
  <si>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</si>
  <si>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</si>
  <si>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</si>
  <si>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</si>
  <si>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</si>
  <si>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</si>
  <si>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</si>
  <si>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</si>
  <si>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</si>
  <si>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</si>
  <si>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</si>
  <si>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</si>
  <si>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</si>
  <si>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</si>
  <si>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</si>
  <si>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</si>
  <si>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</si>
  <si>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</si>
  <si>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</si>
  <si>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</si>
  <si>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</si>
  <si>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</si>
  <si>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</si>
  <si>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</si>
  <si>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</si>
  <si>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</si>
  <si>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</si>
  <si>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</si>
  <si>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</si>
  <si>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</si>
  <si>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</si>
  <si>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</si>
  <si>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</si>
  <si>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</si>
  <si>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</si>
  <si>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</si>
  <si>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</si>
  <si>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</si>
  <si>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</si>
  <si>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</si>
  <si>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</si>
  <si>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</si>
  <si>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</si>
  <si>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</si>
  <si>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</si>
  <si>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</si>
  <si>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</si>
  <si>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</si>
  <si>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</si>
  <si>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</si>
  <si>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</si>
  <si>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</si>
  <si>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</si>
  <si>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</si>
  <si>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</si>
  <si>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</si>
  <si>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</si>
  <si>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</si>
  <si>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</si>
  <si>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</si>
  <si>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</si>
  <si>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</si>
  <si>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</si>
  <si>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</si>
  <si>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</si>
  <si>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</si>
  <si>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</si>
  <si>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</si>
  <si>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</si>
  <si>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</si>
  <si>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</si>
  <si>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</si>
  <si>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</si>
  <si>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</si>
  <si>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</si>
  <si>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</si>
  <si>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</si>
  <si>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</si>
  <si>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</si>
  <si>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</si>
  <si>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</si>
  <si>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</si>
  <si>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</si>
  <si>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</si>
  <si>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</si>
  <si>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</si>
  <si>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</si>
  <si>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</si>
  <si>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</si>
  <si>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</si>
  <si>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</si>
  <si>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</si>
  <si>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</si>
  <si>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</si>
  <si>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</si>
  <si>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</si>
  <si>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</si>
  <si>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</si>
  <si>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</si>
  <si>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</si>
  <si>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</si>
  <si>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</si>
  <si>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</si>
  <si>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</si>
  <si>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</si>
  <si>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</si>
  <si>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</si>
  <si>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</si>
  <si>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</si>
  <si>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</si>
  <si>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</si>
  <si>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</si>
  <si>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</si>
  <si>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</si>
  <si>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</si>
  <si>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</si>
  <si>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</si>
  <si>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</si>
  <si>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</si>
  <si>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</si>
  <si>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</si>
  <si>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</si>
  <si>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</si>
  <si>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</si>
  <si>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</si>
  <si>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</si>
  <si>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</si>
  <si>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</si>
  <si>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</si>
  <si>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</si>
  <si>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</si>
  <si>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</si>
  <si>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</si>
  <si>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</si>
  <si>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</si>
  <si>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</si>
  <si>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</si>
  <si>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</si>
  <si>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</si>
  <si>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</si>
  <si>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</si>
  <si>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</si>
  <si>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</si>
  <si>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</si>
  <si>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</si>
  <si>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</si>
  <si>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</si>
  <si>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</si>
  <si>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</si>
  <si>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</si>
  <si>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</si>
  <si>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</si>
  <si>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</si>
  <si>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</si>
  <si>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</si>
  <si>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</si>
  <si>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</si>
  <si>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</si>
  <si>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</si>
  <si>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</si>
  <si>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</si>
  <si>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</si>
  <si>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</si>
  <si>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</si>
  <si>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</si>
  <si>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</si>
  <si>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</si>
  <si>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</si>
  <si>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</si>
  <si>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</si>
  <si>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</si>
  <si>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</si>
  <si>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</si>
  <si>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</si>
  <si>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</si>
  <si>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</si>
  <si>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</si>
  <si>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</si>
  <si>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</si>
  <si>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</si>
  <si>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</si>
  <si>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</si>
  <si>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</si>
  <si>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</si>
  <si>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</si>
  <si>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</si>
  <si>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</si>
  <si>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</si>
  <si>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</si>
  <si>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</si>
  <si>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</si>
  <si>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</si>
  <si>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</si>
  <si>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</si>
  <si>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</si>
  <si>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</si>
  <si>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</si>
  <si>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</si>
  <si>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</si>
  <si>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</si>
  <si>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</si>
  <si>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</si>
  <si>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</si>
  <si>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</si>
  <si>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</si>
  <si>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</si>
  <si>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</si>
  <si>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</si>
  <si>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</si>
  <si>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</si>
  <si>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</si>
  <si>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</si>
  <si>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</si>
  <si>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</si>
  <si>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</si>
  <si>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</si>
  <si>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</si>
  <si>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</si>
  <si>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</si>
  <si>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</si>
  <si>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</si>
  <si>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</si>
  <si>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</si>
  <si>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</si>
  <si>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</si>
  <si>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</si>
  <si>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</si>
  <si>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</si>
  <si>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</si>
  <si>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</si>
  <si>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</si>
  <si>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</si>
  <si>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</si>
  <si>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</si>
  <si>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</si>
  <si>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</si>
  <si>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</si>
  <si>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</si>
  <si>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</si>
  <si>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</si>
  <si>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</si>
  <si>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</si>
  <si>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</si>
  <si>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</si>
  <si>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</si>
  <si>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</si>
  <si>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</si>
  <si>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</si>
  <si>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</si>
  <si>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</si>
  <si>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</si>
  <si>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</si>
  <si>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</si>
  <si>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</si>
  <si>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</si>
  <si>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</si>
  <si>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</si>
  <si>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</si>
  <si>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</si>
  <si>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</si>
  <si>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</si>
  <si>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</si>
  <si>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</si>
  <si>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</si>
  <si>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</si>
  <si>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</si>
  <si>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CompanyId</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</si>
  <si>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</si>
  <si>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</si>
  <si>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</si>
  <si>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</si>
  <si>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</si>
  <si>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</si>
  <si>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</si>
  <si>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</si>
  <si>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</si>
  <si>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</si>
  <si>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</si>
  <si>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</si>
  <si>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</si>
  <si>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</si>
  <si>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</si>
  <si>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</si>
  <si>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</si>
  <si>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</si>
  <si>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</si>
  <si>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</si>
  <si>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</si>
  <si>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Unidentified</t>
  </si>
  <si>
    <t>K800SET</t>
  </si>
  <si>
    <t>Pyrometry Department</t>
  </si>
  <si>
    <t>K900SET</t>
  </si>
  <si>
    <t>Thermometers</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</si>
  <si>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</si>
  <si>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</si>
  <si>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</si>
  <si>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</si>
  <si>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</si>
  <si>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</si>
  <si>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</si>
  <si>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</si>
  <si>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</si>
  <si>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</si>
  <si>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</si>
  <si>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</si>
  <si>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</si>
  <si>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</si>
  <si>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</si>
  <si>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</si>
  <si>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</si>
  <si>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</si>
  <si>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</si>
  <si>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</si>
  <si>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</si>
  <si>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</si>
  <si>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</si>
  <si>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</si>
  <si>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</si>
  <si>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</si>
  <si>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</si>
  <si>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</si>
  <si>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</si>
  <si>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</si>
  <si>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</si>
  <si>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</si>
  <si>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</si>
  <si>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</si>
  <si>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</si>
  <si>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</si>
  <si>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</si>
  <si>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</si>
  <si>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</si>
  <si>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</si>
  <si>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</si>
  <si>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</si>
  <si>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</si>
  <si>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</si>
  <si>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</si>
  <si>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</si>
  <si>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</si>
  <si>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</si>
  <si>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</si>
  <si>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</si>
  <si>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</si>
  <si>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</si>
  <si>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</si>
  <si>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</si>
  <si>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</si>
  <si>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</si>
  <si>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</si>
  <si>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</si>
  <si>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</si>
  <si>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</si>
  <si>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</si>
  <si>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</si>
  <si>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</si>
  <si>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</si>
  <si>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</si>
  <si>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</si>
  <si>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</si>
  <si>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</si>
  <si>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</si>
  <si>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</si>
  <si>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</si>
  <si>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</si>
  <si>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</si>
  <si>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</si>
  <si>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</si>
  <si>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</si>
  <si>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</si>
  <si>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</si>
  <si>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</si>
  <si>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</si>
  <si>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</si>
  <si>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</si>
  <si>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</si>
  <si>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</si>
  <si>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</si>
  <si>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</si>
  <si>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</si>
  <si>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</si>
  <si>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</si>
  <si>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</si>
  <si>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</si>
  <si>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</si>
  <si>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</si>
  <si>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</si>
  <si>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</si>
  <si>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</si>
  <si>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</si>
  <si>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</si>
  <si>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</si>
  <si>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</si>
  <si>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</si>
  <si>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</si>
  <si>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</si>
  <si>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</si>
  <si>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</si>
  <si>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</si>
  <si>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</si>
  <si>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</si>
  <si>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</si>
  <si>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</si>
  <si>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</si>
  <si>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</si>
  <si>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</si>
  <si>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</si>
  <si>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</si>
  <si>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</si>
  <si>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</si>
  <si>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</si>
  <si>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</si>
  <si>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</si>
  <si>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</si>
  <si>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</si>
  <si>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</si>
  <si>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</si>
  <si>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</si>
  <si>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</si>
  <si>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</si>
  <si>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</si>
  <si>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</si>
  <si>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</si>
  <si>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</si>
  <si>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</si>
  <si>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</si>
  <si>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</si>
  <si>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</si>
  <si>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</si>
  <si>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</si>
  <si>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</si>
  <si>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</si>
  <si>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</si>
  <si>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</si>
  <si>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</si>
  <si>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</si>
  <si>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</si>
  <si>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</si>
  <si>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</si>
  <si>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</si>
  <si>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</si>
  <si>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</si>
  <si>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</si>
  <si>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</si>
  <si>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</si>
  <si>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</si>
  <si>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</si>
  <si>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</si>
  <si>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</si>
  <si>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</si>
  <si>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</si>
  <si>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</si>
  <si>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</si>
  <si>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</si>
  <si>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</si>
  <si>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</si>
  <si>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</si>
  <si>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</si>
  <si>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</si>
  <si>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</si>
  <si>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</si>
  <si>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</si>
  <si>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</si>
  <si>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</si>
  <si>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</si>
  <si>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</si>
  <si>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</si>
  <si>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</si>
  <si>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</si>
  <si>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</si>
  <si>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</si>
  <si>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</si>
  <si>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</si>
  <si>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</si>
  <si>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</si>
  <si>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</si>
  <si>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</si>
  <si>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</si>
  <si>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</si>
  <si>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</si>
  <si>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</si>
  <si>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</si>
  <si>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</si>
  <si>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</si>
  <si>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</si>
  <si>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</si>
  <si>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</si>
  <si>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</si>
  <si>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</si>
  <si>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</si>
  <si>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</si>
  <si>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</si>
  <si>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</si>
  <si>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</si>
  <si>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</si>
  <si>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</si>
  <si>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</si>
  <si>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</si>
  <si>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</si>
  <si>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</si>
  <si>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</si>
  <si>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</si>
  <si>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</si>
  <si>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</si>
  <si>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</si>
  <si>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</si>
  <si>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</si>
  <si>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</si>
  <si>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</si>
  <si>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</si>
  <si>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</si>
  <si>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</si>
  <si>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</si>
  <si>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</si>
  <si>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</si>
  <si>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</si>
  <si>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</si>
  <si>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</si>
  <si>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</si>
  <si>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</si>
  <si>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</si>
  <si>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</si>
  <si>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</si>
  <si>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</si>
  <si>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</si>
  <si>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</si>
  <si>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</si>
  <si>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</si>
  <si>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</si>
  <si>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</si>
  <si>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</si>
  <si>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</si>
  <si>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</si>
  <si>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</si>
  <si>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</si>
  <si>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</si>
  <si>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</si>
  <si>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</si>
  <si>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</si>
  <si>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</si>
  <si>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</si>
  <si>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</si>
  <si>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</si>
  <si>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</si>
  <si>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</si>
  <si>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</si>
  <si>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</si>
  <si>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</si>
  <si>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</si>
  <si>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</si>
  <si>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</si>
  <si>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</si>
  <si>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</si>
  <si>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</si>
  <si>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</si>
  <si>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</si>
  <si>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</si>
  <si>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</si>
  <si>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</si>
  <si>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</si>
  <si>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</si>
  <si>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</si>
  <si>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</si>
  <si>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</si>
  <si>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</si>
  <si>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</si>
  <si>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</si>
  <si>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</si>
  <si>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</si>
  <si>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</si>
  <si>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</si>
  <si>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</si>
  <si>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</si>
  <si>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</si>
  <si>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</si>
  <si>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</si>
  <si>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</si>
  <si>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</si>
  <si>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</si>
  <si>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</si>
  <si>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</si>
  <si>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</si>
  <si>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</si>
  <si>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</si>
  <si>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</si>
  <si>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</si>
  <si>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</si>
  <si>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</si>
  <si>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</si>
  <si>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</si>
  <si>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</si>
  <si>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</si>
  <si>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</si>
  <si>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</si>
  <si>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</si>
  <si>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</si>
  <si>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</si>
  <si>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</si>
  <si>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</si>
  <si>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</si>
  <si>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</si>
  <si>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</si>
  <si>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</si>
  <si>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</si>
  <si>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</si>
  <si>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</si>
  <si>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</si>
  <si>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</si>
  <si>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</si>
  <si>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</si>
  <si>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</si>
  <si>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</si>
  <si>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</si>
  <si>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</si>
  <si>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</si>
  <si>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</si>
  <si>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</si>
  <si>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</si>
  <si>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</si>
  <si>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</si>
  <si>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</si>
  <si>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</si>
  <si>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</si>
  <si>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</si>
  <si>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</si>
  <si>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</si>
  <si>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</si>
  <si>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</si>
  <si>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</si>
  <si>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</si>
  <si>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</si>
  <si>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</si>
  <si>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</si>
  <si>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</si>
  <si>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</si>
  <si>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</si>
  <si>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</si>
  <si>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</si>
  <si>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</si>
  <si>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</si>
  <si>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</si>
  <si>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</si>
  <si>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</si>
  <si>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</si>
  <si>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</si>
  <si>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</si>
  <si>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</si>
  <si>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</si>
  <si>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</si>
  <si>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</si>
  <si>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</si>
  <si>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</si>
  <si>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</si>
  <si>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</si>
  <si>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</si>
  <si>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</si>
  <si>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</si>
  <si>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</si>
  <si>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</si>
  <si>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</si>
  <si>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</si>
  <si>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</si>
  <si>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</si>
  <si>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</si>
  <si>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</si>
  <si>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</si>
  <si>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</si>
  <si>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</si>
  <si>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</si>
  <si>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</si>
  <si>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</si>
  <si>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</si>
  <si>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</si>
  <si>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</si>
  <si>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</si>
  <si>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</si>
  <si>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</si>
  <si>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</si>
  <si>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</si>
  <si>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</si>
  <si>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</si>
  <si>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</si>
  <si>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</si>
  <si>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</si>
  <si>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</si>
  <si>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</si>
  <si>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</si>
  <si>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</si>
  <si>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</si>
  <si>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</si>
  <si>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</si>
  <si>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</si>
  <si>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</si>
  <si>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</si>
  <si>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</si>
  <si>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</si>
  <si>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</si>
  <si>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</si>
  <si>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</si>
  <si>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</si>
  <si>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</si>
  <si>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</si>
  <si>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</si>
  <si>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</si>
  <si>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</si>
  <si>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</si>
  <si>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</si>
  <si>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</si>
  <si>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</si>
  <si>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</si>
  <si>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</si>
  <si>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</si>
  <si>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</si>
  <si>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</si>
  <si>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</si>
  <si>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</si>
  <si>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</si>
  <si>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</si>
  <si>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</si>
  <si>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</si>
  <si>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</si>
  <si>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</si>
  <si>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</si>
  <si>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</si>
  <si>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</si>
  <si>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</si>
  <si>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</si>
  <si>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</si>
  <si>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</si>
  <si>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</si>
  <si>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</si>
  <si>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</si>
  <si>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</si>
  <si>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</si>
  <si>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</si>
  <si>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</si>
  <si>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</si>
  <si>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</si>
  <si>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</si>
  <si>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</si>
  <si>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</si>
  <si>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</si>
  <si>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</si>
  <si>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</si>
  <si>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</si>
  <si>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</si>
  <si>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</si>
  <si>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</si>
  <si>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</si>
  <si>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</si>
  <si>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</si>
  <si>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</si>
  <si>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</si>
  <si>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</si>
  <si>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</si>
  <si>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</si>
  <si>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</si>
  <si>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</si>
  <si>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</si>
  <si>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</si>
  <si>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</si>
  <si>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</si>
  <si>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</si>
  <si>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</si>
  <si>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</si>
  <si>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</si>
  <si>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</si>
  <si>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</si>
  <si>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</si>
  <si>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</si>
  <si>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</si>
  <si>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</si>
  <si>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</si>
  <si>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</si>
  <si>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</si>
  <si>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</si>
  <si>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</si>
  <si>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</si>
  <si>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</si>
  <si>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</si>
  <si>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</si>
  <si>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</si>
  <si>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</si>
  <si>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</si>
  <si>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</si>
  <si>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</si>
  <si>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</si>
  <si>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</si>
  <si>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</si>
  <si>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</si>
  <si>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</si>
  <si>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</si>
  <si>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</si>
  <si>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</si>
  <si>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</si>
  <si>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</si>
  <si>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</si>
  <si>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</si>
  <si>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</si>
  <si>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</si>
  <si>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</si>
  <si>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</si>
  <si>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</si>
  <si>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</si>
  <si>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</si>
  <si>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</si>
  <si>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</si>
  <si>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</si>
  <si>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</si>
  <si>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</si>
  <si>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</si>
  <si>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</si>
  <si>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</si>
  <si>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</si>
  <si>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</si>
  <si>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</si>
  <si>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</si>
  <si>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</si>
  <si>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</si>
  <si>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</si>
  <si>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</si>
  <si>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traceability_no</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</si>
  <si>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</si>
  <si>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</si>
  <si>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</si>
  <si>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</si>
  <si>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</si>
  <si>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</si>
  <si>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</si>
  <si>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</si>
  <si>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</si>
  <si>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</si>
  <si>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</si>
  <si>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</si>
  <si>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</si>
  <si>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</si>
  <si>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</si>
  <si>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</si>
  <si>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</si>
  <si>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</si>
  <si>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</si>
  <si>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</si>
  <si>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</si>
  <si>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</si>
  <si>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</si>
  <si>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</si>
  <si>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</si>
  <si>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</si>
  <si>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</si>
  <si>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</si>
  <si>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</si>
  <si>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</si>
  <si>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</si>
  <si>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</si>
  <si>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</si>
  <si>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</si>
  <si>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</si>
  <si>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</si>
  <si>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</si>
  <si>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</si>
  <si>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</si>
  <si>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</si>
  <si>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</si>
  <si>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</si>
  <si>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</si>
  <si>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</si>
  <si>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</si>
  <si>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</si>
  <si>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</si>
  <si>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</si>
  <si>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</si>
  <si>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</si>
  <si>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</si>
  <si>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</si>
  <si>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</si>
  <si>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</si>
  <si>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</si>
  <si>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</si>
  <si>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</si>
  <si>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</si>
  <si>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</si>
  <si>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</si>
  <si>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</si>
  <si>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</si>
  <si>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</si>
  <si>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</si>
  <si>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</si>
  <si>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</si>
  <si>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</si>
  <si>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</si>
  <si>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</si>
  <si>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</si>
  <si>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</si>
  <si>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</si>
  <si>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</si>
  <si>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</si>
  <si>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</si>
  <si>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</si>
  <si>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</si>
  <si>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</si>
  <si>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</si>
  <si>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</si>
  <si>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</si>
  <si>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</si>
  <si>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</si>
  <si>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</si>
  <si>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</si>
  <si>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</si>
  <si>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</si>
  <si>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</si>
  <si>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</si>
  <si>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</si>
  <si>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</si>
  <si>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</si>
  <si>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</si>
  <si>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</si>
  <si>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</si>
  <si>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</si>
  <si>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</si>
  <si>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</si>
  <si>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</si>
  <si>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</si>
  <si>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</si>
  <si>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</si>
  <si>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</si>
  <si>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</si>
  <si>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</si>
  <si>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</si>
  <si>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</si>
  <si>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</si>
  <si>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</si>
  <si>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</si>
  <si>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</si>
  <si>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</si>
  <si>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</si>
  <si>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</si>
  <si>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</si>
  <si>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</si>
  <si>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</si>
  <si>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</si>
  <si>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</si>
  <si>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</si>
  <si>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</si>
  <si>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</si>
  <si>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</si>
  <si>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</si>
  <si>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</si>
  <si>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</si>
  <si>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</si>
  <si>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</si>
  <si>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</si>
  <si>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</si>
  <si>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</si>
  <si>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</si>
  <si>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</si>
  <si>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</si>
  <si>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</si>
  <si>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</si>
  <si>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</si>
  <si>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</si>
  <si>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</si>
  <si>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</si>
  <si>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</si>
  <si>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</si>
  <si>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</si>
  <si>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</si>
  <si>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</si>
  <si>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</si>
  <si>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</si>
  <si>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</si>
  <si>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</si>
  <si>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</si>
  <si>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</si>
  <si>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</si>
  <si>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</si>
  <si>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</si>
  <si>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</si>
  <si>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</si>
  <si>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</si>
  <si>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</si>
  <si>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</si>
  <si>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</si>
  <si>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</si>
  <si>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</si>
  <si>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</si>
  <si>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</si>
  <si>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</si>
  <si>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</si>
  <si>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</si>
  <si>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</si>
  <si>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</si>
  <si>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</si>
  <si>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</si>
  <si>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</si>
  <si>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</si>
  <si>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</si>
  <si>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</si>
  <si>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</si>
  <si>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</si>
  <si>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</si>
  <si>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</si>
  <si>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</si>
  <si>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</si>
  <si>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</si>
  <si>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</si>
  <si>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</si>
  <si>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</si>
  <si>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</si>
  <si>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</si>
  <si>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</si>
  <si>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</si>
  <si>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</si>
  <si>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</si>
  <si>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</si>
  <si>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</si>
  <si>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</si>
  <si>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</si>
  <si>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</si>
  <si>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</si>
  <si>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</si>
  <si>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</si>
  <si>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</si>
  <si>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</si>
  <si>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</si>
  <si>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</si>
  <si>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</si>
  <si>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</si>
  <si>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</si>
  <si>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</si>
  <si>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</si>
  <si>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</si>
  <si>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</si>
  <si>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</si>
  <si>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</si>
  <si>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</si>
  <si>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</si>
  <si>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</si>
  <si>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</si>
  <si>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</si>
  <si>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</si>
  <si>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</si>
  <si>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</si>
  <si>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</si>
  <si>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</si>
  <si>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</si>
  <si>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</si>
  <si>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</si>
  <si>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</si>
  <si>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</si>
  <si>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</si>
  <si>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</si>
  <si>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</si>
  <si>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</si>
  <si>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</si>
  <si>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</si>
  <si>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</si>
  <si>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</si>
  <si>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</si>
  <si>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</si>
  <si>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</si>
  <si>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</si>
  <si>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</si>
  <si>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</si>
  <si>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</si>
  <si>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</si>
  <si>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</si>
  <si>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</si>
  <si>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</si>
  <si>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</si>
  <si>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</si>
  <si>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</si>
  <si>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</si>
  <si>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</si>
  <si>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</si>
  <si>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</si>
  <si>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</si>
  <si>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</si>
  <si>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</si>
  <si>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</si>
  <si>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</si>
  <si>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</si>
  <si>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</si>
  <si>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</si>
  <si>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</si>
  <si>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</si>
  <si>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</si>
  <si>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</si>
  <si>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</si>
  <si>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</si>
  <si>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</si>
  <si>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</si>
  <si>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</si>
  <si>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</si>
  <si>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</si>
  <si>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</si>
  <si>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</si>
  <si>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</si>
  <si>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</si>
  <si>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</si>
  <si>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</si>
  <si>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</si>
  <si>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</si>
  <si>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</si>
  <si>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</si>
  <si>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</si>
  <si>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</si>
  <si>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</si>
  <si>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</si>
  <si>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</si>
  <si>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</si>
  <si>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</si>
  <si>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</si>
  <si>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</si>
  <si>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</si>
  <si>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</si>
  <si>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</si>
  <si>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</si>
  <si>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</si>
  <si>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</si>
  <si>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</si>
  <si>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</si>
  <si>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</si>
  <si>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</si>
  <si>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</si>
  <si>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</si>
  <si>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</si>
  <si>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</si>
  <si>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</si>
  <si>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</si>
  <si>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</si>
  <si>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</si>
  <si>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</si>
  <si>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</si>
  <si>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</si>
  <si>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</si>
  <si>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</si>
  <si>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</si>
  <si>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</si>
  <si>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</si>
  <si>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</si>
  <si>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</si>
  <si>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</si>
  <si>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</si>
  <si>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</si>
  <si>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</si>
  <si>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</si>
  <si>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</si>
  <si>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</si>
  <si>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</si>
  <si>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</si>
  <si>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</si>
  <si>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</si>
  <si>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</si>
  <si>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</si>
  <si>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</si>
  <si>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</si>
  <si>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</si>
  <si>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</si>
  <si>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</si>
  <si>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</si>
  <si>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</si>
  <si>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</si>
  <si>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</si>
  <si>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</si>
  <si>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</si>
  <si>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</si>
  <si>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</si>
  <si>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</si>
  <si>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</si>
  <si>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</si>
  <si>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PART NUMBER</t>
  </si>
  <si>
    <t>CATEGORY</t>
  </si>
  <si>
    <t>Ver. 06.21.25</t>
  </si>
  <si>
    <t xml:space="preserve"> </t>
  </si>
  <si>
    <t>Dropped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</si>
</sst>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21" borderId="4" xfId="0" applyNumberFormat="1" applyFont="1" applyFill="1" applyBorder="1" applyAlignment="1" applyProtection="1">
      <alignment horizontal="left"/>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1" fontId="140" fillId="0" borderId="0" xfId="0" applyNumberFormat="1" applyFont="1"/>
    <xf numFmtId="1" fontId="141" fillId="0" borderId="0" xfId="0" applyNumberFormat="1" applyFont="1"/>
    <xf numFmtId="0" fontId="141" fillId="0" borderId="0" xfId="0"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4">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10/relationships/person" Target="persons/person.xml"/><Relationship Id="rId47"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alcChain" Target="calcChai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3.xml"/><Relationship Id="rId20" Type="http://schemas.openxmlformats.org/officeDocument/2006/relationships/worksheet" Target="worksheets/sheet20.xml"/><Relationship Id="rId41" Type="http://schemas.microsoft.com/office/2017/06/relationships/rdRichValueTypes" Target="richData/rdRichValueTypes.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5"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DF4C97F5-8F28-4151-B0A6-DA22784AB0BF}" autoFormatId="16" applyNumberFormats="0" applyBorderFormats="0" applyFontFormats="0" applyPatternFormats="0" applyAlignmentFormats="0" applyWidthHeightFormats="0">
  <queryTableRefresh nextId="29">
    <queryTableFields count="15">
      <queryTableField id="6" name="company_name" tableColumnId="1"/>
      <queryTableField id="2" name="Address1" tableColumnId="2"/>
      <queryTableField id="3" name="Address2" tableColumnId="3"/>
      <queryTableField id="9" name="Attention1" tableColumnId="6"/>
      <queryTableField id="10" name="Attention2" tableColumnId="7"/>
      <queryTableField id="11" name="Company" tableColumnId="8"/>
      <queryTableField id="12" name="Country" tableColumnId="9"/>
      <queryTableField id="13" name="Email" tableColumnId="10"/>
      <queryTableField id="14" name="FaxNumber" tableColumnId="11"/>
      <queryTableField id="15" name="FirstName" tableColumnId="12"/>
      <queryTableField id="16" name="LastName" tableColumnId="13"/>
      <queryTableField id="17" name="PhoneNumber" tableColumnId="14"/>
      <queryTableField id="18" name="StateProvince" tableColumnId="15"/>
      <queryTableField id="4" name="Merged" tableColumnId="4"/>
      <queryTableField id="7" name="company_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8"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428C289E-6995-48A0-9EEA-BF59C6892A54}" autoFormatId="16" applyNumberFormats="0" applyBorderFormats="0" applyFontFormats="0" applyPatternFormats="0" applyAlignmentFormats="0" applyWidthHeightFormats="0">
  <queryTableRefresh nextId="81">
    <queryTableFields count="12">
      <queryTableField id="1" name="Point" tableColumnId="1"/>
      <queryTableField id="71" name="10" tableColumnId="2"/>
      <queryTableField id="72" name="255" tableColumnId="3"/>
      <queryTableField id="68" name="500" tableColumnId="10"/>
      <queryTableField id="69" name="750" tableColumnId="11"/>
      <queryTableField id="70" name="1000" tableColumnId="12"/>
      <queryTableField id="73" name="1250" tableColumnId="4"/>
      <queryTableField id="74" name="1500" tableColumnId="5"/>
      <queryTableField id="75" name="1750" tableColumnId="6"/>
      <queryTableField id="76" name="2000" tableColumnId="7"/>
      <queryTableField id="77" name="2125" tableColumnId="8"/>
      <queryTableField id="78" name="2250" tableColumnId="9"/>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1</v>
  </rv>
  <rv s="1">
    <fb t="e">#N/A</fb>
    <v>6</v>
    <v>7</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3"/>
    <tableColumn id="2" xr3:uid="{D07D770F-21F7-425E-8CCA-AA85FFD513A3}" uniqueName="2" name="serial_number" queryTableFieldId="2" dataDxfId="132"/>
    <tableColumn id="3" xr3:uid="{D963BD5C-EE98-4CDD-ABAE-5315BBDA1135}" uniqueName="3" name="asset_tag" queryTableFieldId="3" dataDxfId="131"/>
    <tableColumn id="4" xr3:uid="{44F03B5B-6C09-4D5C-B2E2-D809B4EDF2B0}" uniqueName="4" name="custom_order_number" queryTableFieldId="4" dataDxfId="130"/>
    <tableColumn id="5" xr3:uid="{412A70E1-7452-417E-A3A9-BD3499EBD33C}" uniqueName="5" name="service_date" queryTableFieldId="5" dataDxfId="129"/>
    <tableColumn id="6" xr3:uid="{B359FFDA-2633-4F67-9E7E-BA0BB88ADA64}" uniqueName="6" name="next_service_date" queryTableFieldId="6" dataDxfId="128"/>
    <tableColumn id="7" xr3:uid="{297A4F29-F6E9-4BD3-A7A2-5F1039480BAE}" uniqueName="7" name="certificate_number" queryTableFieldId="7" dataDxfId="127"/>
    <tableColumn id="8" xr3:uid="{7C740CB9-37DA-435E-A87E-AF050E31623C}" uniqueName="8" name="wire_roll_cert_number" queryTableFieldId="8" dataDxfId="126"/>
    <tableColumn id="9" xr3:uid="{5B17E9FC-0D68-4EA9-9145-B5DC8FAF5A93}" uniqueName="9" name="type" queryTableFieldId="9" dataDxfId="125"/>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24"/>
    <tableColumn id="3" xr3:uid="{37D1A07F-082E-4D98-AFD9-F707806612C9}" name="asset_tag" dataDxfId="123"/>
    <tableColumn id="4" xr3:uid="{3FF57BA7-FC77-437C-97A5-C7081FD8D4DE}" name="custom_order_number" dataDxfId="122"/>
    <tableColumn id="5" xr3:uid="{BFC48BBF-DC93-404A-B8CA-201FCFAD1511}" name="service_date" dataDxfId="121"/>
    <tableColumn id="6" xr3:uid="{BD8B0AA5-CC61-45C2-A09A-6946B3B77D26}" name="next_service_date" dataDxfId="120"/>
    <tableColumn id="7" xr3:uid="{83FB4A78-97D6-405C-BC9A-A1B004C5FD2F}" name="certificate_number" dataDxfId="119"/>
    <tableColumn id="8" xr3:uid="{9B31C191-2956-4492-BF06-2523F1E9FA0C}" name="wire_roll_cert_number" dataDxfId="118"/>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17">
  <autoFilter ref="A1:C9" xr:uid="{8AF992F3-27EF-4265-960D-70EC6F74FAFA}"/>
  <sortState xmlns:xlrd2="http://schemas.microsoft.com/office/spreadsheetml/2017/richdata2" ref="A2:C9">
    <sortCondition ref="B1:B9"/>
  </sortState>
  <tableColumns count="3">
    <tableColumn id="1" xr3:uid="{1F7D0D09-7152-4679-B25C-65CF0E0AB2D4}" name="Type" dataDxfId="116"/>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O2" tableType="queryTable" totalsRowShown="0">
  <autoFilter ref="A1:O2" xr:uid="{5FE2D8A6-1B1B-49C0-90E8-5D8B31A4DFC7}"/>
  <tableColumns count="15">
    <tableColumn id="1" xr3:uid="{BEB70F6C-3EF4-4748-B458-CF24E1FA78EE}" uniqueName="1" name="company_name" queryTableFieldId="6"/>
    <tableColumn id="2" xr3:uid="{C9506E55-F4F0-4B43-A492-B05EA4C3DD0C}" uniqueName="2" name="Address1" queryTableFieldId="2"/>
    <tableColumn id="3" xr3:uid="{BC477621-3BE0-470C-AB25-CEF05CF08813}" uniqueName="3" name="Address2" queryTableFieldId="3"/>
    <tableColumn id="6" xr3:uid="{4D2C9E73-596B-4CA1-98FC-B6E9094293C5}" uniqueName="6" name="Attention1" queryTableFieldId="9"/>
    <tableColumn id="7" xr3:uid="{60BD01D4-F905-4D99-A7D0-73DD9508676E}" uniqueName="7" name="Attention2" queryTableFieldId="10"/>
    <tableColumn id="8" xr3:uid="{E33D5FCD-34E6-4AAA-9E5C-6821D30F912D}" uniqueName="8" name="Company" queryTableFieldId="11"/>
    <tableColumn id="9" xr3:uid="{BCE7770B-CEAB-43AD-831D-5BAB2A302A0F}" uniqueName="9" name="Country" queryTableFieldId="12"/>
    <tableColumn id="10" xr3:uid="{FC8F63BE-6134-49C3-895D-C555571FEA1D}" uniqueName="10" name="Email" queryTableFieldId="13"/>
    <tableColumn id="11" xr3:uid="{31DD264C-2309-41BF-A15A-BCE4D8DAD096}" uniqueName="11" name="FaxNumber" queryTableFieldId="14"/>
    <tableColumn id="12" xr3:uid="{C955D16C-2FF2-4D7C-8C7C-8B441FE640F3}" uniqueName="12" name="FirstName" queryTableFieldId="15"/>
    <tableColumn id="13" xr3:uid="{92E197A7-C7DB-4E20-9ABC-9A2F3E859942}" uniqueName="13" name="LastName" queryTableFieldId="16"/>
    <tableColumn id="14" xr3:uid="{FCFC520C-39EE-4982-895B-CE1CC768D61D}" uniqueName="14" name="PhoneNumber" queryTableFieldId="17"/>
    <tableColumn id="15" xr3:uid="{9F443D01-1B87-4B60-887E-FB9923BB662A}" uniqueName="15" name="StateProvince" queryTableFieldId="18"/>
    <tableColumn id="4" xr3:uid="{C6245EBF-0E96-4FD4-8CA7-22EB39E4F493}" uniqueName="4" name="Merged" queryTableFieldId="4"/>
    <tableColumn id="5" xr3:uid="{CCBEA54E-B8F5-4EC0-A4FF-8F1558BF95D9}" uniqueName="5" name="company_id" queryTableFieldId="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P1653" tableType="queryTable" totalsRowShown="0" headerRowDxfId="115" dataDxfId="114">
  <autoFilter ref="B3:P1653" xr:uid="{7FFB3A25-33B3-41D4-A4EC-161ECACD71F3}"/>
  <tableColumns count="15">
    <tableColumn id="1" xr3:uid="{8A9F4AE6-308A-42C4-B23A-7C7293DE7F0A}" uniqueName="1" name="company_name" queryTableFieldId="22"/>
    <tableColumn id="18" xr3:uid="{5DE66976-8962-4778-9F2F-F1825B5EABCC}" uniqueName="18" name="Address1" queryTableFieldId="18" dataDxfId="44"/>
    <tableColumn id="19" xr3:uid="{31D68568-B5E1-4705-9496-19F08F967786}" uniqueName="19" name="Address2" queryTableFieldId="19" dataDxfId="4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42"/>
    <tableColumn id="2" xr3:uid="{95339291-2A8D-485F-84D8-6C671DD7D038}" uniqueName="2" name="company_id" queryTableFieldId="2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13" dataDxfId="11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6"/>
    <tableColumn id="12" xr3:uid="{C13B0E02-FD03-4438-B98A-E6A8ED8A9F13}" uniqueName="12" name="manufacturer_part_number" queryTableFieldId="25"/>
    <tableColumn id="11" xr3:uid="{48BC425D-225D-4DB3-A151-D583A73AA082}" uniqueName="11" name="notes" queryTableFieldId="11" dataDxfId="4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1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10"/>
    <tableColumn id="7" xr3:uid="{3E130632-D63E-485B-AA7F-FF01BB115CD8}" uniqueName="7" name="AddressLine2" queryTableFieldId="7" dataDxfId="109"/>
    <tableColumn id="8" xr3:uid="{B07B805E-B475-4FEF-A83E-C870164F0C1C}" uniqueName="8" name="AddressLine3" queryTableFieldId="8" dataDxfId="108"/>
    <tableColumn id="9" xr3:uid="{3603DEDD-08A6-4233-A5D5-79D5A1A0055E}" uniqueName="9" name="FormNumber" queryTableFieldId="9" dataDxfId="107"/>
    <tableColumn id="10" xr3:uid="{B63B6E05-D199-4BCD-9A28-28B5F5832CE0}" uniqueName="10" name="CalibrationMethod" queryTableFieldId="10" dataDxfId="106"/>
    <tableColumn id="11" xr3:uid="{EC51B02C-FD97-492B-BF24-15D683C6ED4C}" uniqueName="11" name="ToleranceSource" queryTableFieldId="11" dataDxfId="105"/>
    <tableColumn id="12" xr3:uid="{706BF144-B069-4B3F-AFB9-7848E93D758C}" uniqueName="12" name="Item" queryTableFieldId="12" dataDxfId="104"/>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03"/>
    <tableColumn id="18" xr3:uid="{2B4941C4-9755-4A0D-86C3-2C668815DEF2}" uniqueName="18" name="Tolerance" queryTableFieldId="18" dataDxfId="102"/>
    <tableColumn id="19" xr3:uid="{756D3CB6-E1A4-4B24-93A7-8AB4732E9BE6}" uniqueName="19" name="HeatingMethod" queryTableFieldId="19" dataDxfId="101"/>
    <tableColumn id="20" xr3:uid="{A46E5597-E3E9-444B-8D64-D35898DCC2B4}" uniqueName="20" name="WorkingZoneSize" queryTableFieldId="20" dataDxfId="100"/>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99"/>
    <tableColumn id="32" xr3:uid="{1852EB3E-F034-42EA-8A35-98DDD1845F7B}" uniqueName="32" name="TestLocation" queryTableFieldId="32" dataDxfId="98"/>
    <tableColumn id="33" xr3:uid="{15129CDA-47B3-4B02-8524-3F9672DC4216}" uniqueName="33" name="OvenLocation" queryTableFieldId="33" dataDxfId="97"/>
    <tableColumn id="34" xr3:uid="{F4A9D00F-E54E-4736-976C-15166BF81AEF}" uniqueName="34" name="Condition" queryTableFieldId="34" dataDxfId="96"/>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5"/>
    <tableColumn id="42" xr3:uid="{DE38F25C-1140-4F85-923A-0F00CD57A527}" uniqueName="42" name="LagLimit" queryTableFieldId="42"/>
    <tableColumn id="43" xr3:uid="{48FE8EA3-4F69-40FE-B646-3710DE02D2CB}" uniqueName="43" name="RecoveryLimit" queryTableFieldId="4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4" dataDxfId="93">
  <autoFilter ref="A1:AP524" xr:uid="{52283BBB-F64D-40EC-A855-EA187553BDB5}"/>
  <tableColumns count="42">
    <tableColumn id="1" xr3:uid="{A987BB49-0CAD-4504-840A-C5054006E8B1}" name="Column1" dataDxfId="92"/>
    <tableColumn id="2" xr3:uid="{9B49AB3A-BA03-441C-973E-37C13FD71EDA}" name="Customer" dataDxfId="91"/>
    <tableColumn id="3" xr3:uid="{8F8D5C19-E6F3-4A6A-85B6-2737B3806A69}" name="Furnace" dataDxfId="90"/>
    <tableColumn id="4" xr3:uid="{37536E97-8FAD-42E5-B467-C028EBF1FD67}" name="Concatenated Reference" dataDxfId="89"/>
    <tableColumn id="5" xr3:uid="{5CC99D59-066B-4C4B-948B-95B9C27DE3C7}" name="Address Line 1" dataDxfId="88"/>
    <tableColumn id="6" xr3:uid="{E67099E9-4051-42BB-B63D-500A1D2B560A}" name="Address Line 2" dataDxfId="87"/>
    <tableColumn id="7" xr3:uid="{61A93EEF-0CE9-4D8E-95C5-FD32A5A4BC8E}" name="Address Line 3" dataDxfId="86"/>
    <tableColumn id="8" xr3:uid="{2F0DB7F6-3B08-4390-9DF6-540465A65961}" name="Form Number:" dataDxfId="85"/>
    <tableColumn id="9" xr3:uid="{5AF32C11-B524-4825-A4C3-76B8A2FF1C94}" name="Calibration Method" dataDxfId="84"/>
    <tableColumn id="10" xr3:uid="{526EA414-CA16-4AF3-9117-A7DE7D6BC013}" name="Tolerance Source" dataDxfId="83"/>
    <tableColumn id="11" xr3:uid="{D502D306-59C0-4D92-B0C8-AAFB6632A667}" name="Item" dataDxfId="82"/>
    <tableColumn id="12" xr3:uid="{797754D1-931C-4C52-A2C4-612FF381BC48}" name="Model Number" dataDxfId="81"/>
    <tableColumn id="13" xr3:uid="{BBEB7322-B09B-4208-966B-8DE9D7F2CFC0}" name="Serial Number" dataDxfId="80"/>
    <tableColumn id="14" xr3:uid="{696AC0B4-7919-4B5D-B714-F63A8070B923}" name="Unit Number" dataDxfId="79"/>
    <tableColumn id="15" xr3:uid="{70D21DFD-588A-4161-B95E-EBE5B34A50E3}" name="Class" dataDxfId="78"/>
    <tableColumn id="16" xr3:uid="{0EBE7F60-1E92-4DD1-94E4-EB9813385557}" name="Range" dataDxfId="77"/>
    <tableColumn id="17" xr3:uid="{C67F2B6F-1AE4-4EF5-ACDB-079D17A3EC54}" name="Tolerance" dataDxfId="76"/>
    <tableColumn id="18" xr3:uid="{21A0C815-9D2F-4301-B7A4-53F0C7B9E691}" name="Heating Method" dataDxfId="75"/>
    <tableColumn id="19" xr3:uid="{91B76172-A766-495D-91B5-57968753A0A6}" name="Working Zone Size" dataDxfId="74"/>
    <tableColumn id="20" xr3:uid="{29FA2FFE-23F0-4B31-824B-25B30CE5D087}" name="Cubic Feet" dataDxfId="73"/>
    <tableColumn id="21" xr3:uid="{2A0866BE-9774-4AA4-BABB-7F13A689062E}" name="Cal. Interval" dataDxfId="72"/>
    <tableColumn id="22" xr3:uid="{62C65A52-85A6-4762-A05A-C38EAF3E3228}" name="Controller" dataDxfId="71"/>
    <tableColumn id="23" xr3:uid="{4FED36EA-F57D-4588-B504-B403675027AC}" name="Cont S/N" dataDxfId="70"/>
    <tableColumn id="24" xr3:uid="{3CA0C733-7C4A-4224-881D-3922A674A378}" name="Cont Tol." dataDxfId="69"/>
    <tableColumn id="25" xr3:uid="{0A968E33-8069-42C6-8632-634E7C7E055C}" name="Recorder" dataDxfId="68"/>
    <tableColumn id="26" xr3:uid="{935D9B22-9631-4B0A-AD26-E313F61FD100}" name="Rec S/N" dataDxfId="67"/>
    <tableColumn id="27" xr3:uid="{4852C9B9-5C1E-414B-A725-9D9E5FBE1880}" name="Rec Tol." dataDxfId="66"/>
    <tableColumn id="28" xr3:uid="{F0744C7D-E7C1-4117-9DCF-C011CC116BEF}" name="Furnace Specific Comments" dataDxfId="65"/>
    <tableColumn id="29" xr3:uid="{1D4C4ABD-093F-4012-BB97-849B89CCF511}" name="Test Location" dataDxfId="64"/>
    <tableColumn id="30" xr3:uid="{B17CEE47-005B-4C5E-97FF-7817C982F050}" name="Oven Location" dataDxfId="63"/>
    <tableColumn id="31" xr3:uid="{A3FB0B73-6760-4F45-A7BD-98BDBEC512C3}" name="Condition" dataDxfId="62"/>
    <tableColumn id="32" xr3:uid="{980EF1C5-9BCB-48F8-A39F-07D3430296B9}" name="PB" dataDxfId="61"/>
    <tableColumn id="33" xr3:uid="{2F436CAE-1E97-4231-9DA4-B673A4CB7F4E}" name="Intergral" dataDxfId="60"/>
    <tableColumn id="34" xr3:uid="{D1AABE92-4EC2-4ECF-8027-B0AABE469674}" name="Derivative" dataDxfId="59"/>
    <tableColumn id="35" xr3:uid="{B2F598DB-FD0C-4ABA-8C48-8E99BFBE1788}" name="Other 1" dataDxfId="58"/>
    <tableColumn id="36" xr3:uid="{273FF7AF-5D95-48B4-933B-32309F5AF9FE}" name="Other 2" dataDxfId="57"/>
    <tableColumn id="37" xr3:uid="{01D307CC-841C-4BD5-B290-2A3BE09DE96C}" name="Fine Print" dataDxfId="56"/>
    <tableColumn id="38" xr3:uid="{13AEA69B-7C28-4D2C-9925-580CB4591308}" name="Check Rec" dataDxfId="55"/>
    <tableColumn id="39" xr3:uid="{5F4A1A72-54D4-4A82-AA84-D8715EC24190}" name="Load" dataDxfId="54"/>
    <tableColumn id="40" xr3:uid="{A292DE76-023E-4C51-BC22-BC36C0020C5F}" name="Lag Limit" dataDxfId="53"/>
    <tableColumn id="41" xr3:uid="{2CF6E803-8BAB-4910-82F4-97A52950BA71}" name="Recovery Limit" dataDxfId="52"/>
    <tableColumn id="42" xr3:uid="{966CA662-2FAA-45E6-885F-89DA490C05D6}" name="Furnace Lookup" dataDxfId="5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0" dataDxfId="49" headerRowCellStyle="Normal 2" dataCellStyle="Normal 2">
  <autoFilter ref="U11:V25" xr:uid="{DCCFF26E-EC5C-4962-98DB-A7DA1F3C8CE2}"/>
  <tableColumns count="2">
    <tableColumn id="1" xr3:uid="{DFC40837-B092-4826-9847-4A23BE22020F}" name="4" dataDxfId="48" dataCellStyle="Normal 2"/>
    <tableColumn id="2" xr3:uid="{0711DB07-19DA-4D5E-A417-C242A0304453}" name="10" dataDxfId="47" dataCellStyle="Normal 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FCA0F5C1-D47B-4E8A-B342-1442F0126DA1}" uniqueName="2" name="10" queryTableFieldId="71"/>
    <tableColumn id="3" xr3:uid="{80F5DD50-71B7-44DB-A673-50DFE2EB8661}" uniqueName="3" name="255" queryTableFieldId="72"/>
    <tableColumn id="10" xr3:uid="{AADD1F97-B9B3-486D-8F6A-798E917CA013}" uniqueName="10" name="500" queryTableFieldId="68"/>
    <tableColumn id="11" xr3:uid="{56AAE99A-659C-4814-AA12-8DCA9B421A8E}" uniqueName="11" name="750" queryTableFieldId="69"/>
    <tableColumn id="12" xr3:uid="{C94D8324-CE33-403E-BD5C-B82ABBD7B791}" uniqueName="12" name="1000" queryTableFieldId="70"/>
    <tableColumn id="4" xr3:uid="{7D5336C8-4B7B-41E1-9C7E-B5D9A291385A}" uniqueName="4" name="1250" queryTableFieldId="73"/>
    <tableColumn id="5" xr3:uid="{039B54B9-1B5E-4CFA-BD31-299BABFB9FF5}" uniqueName="5" name="1500" queryTableFieldId="74"/>
    <tableColumn id="6" xr3:uid="{AA2A2DA8-B332-4BC2-8C27-C3849A3E441C}" uniqueName="6" name="1750" queryTableFieldId="75"/>
    <tableColumn id="7" xr3:uid="{B2B31256-43AC-4366-8F45-F591E2F0C9A2}" uniqueName="7" name="2000" queryTableFieldId="76"/>
    <tableColumn id="8" xr3:uid="{47594434-D5CC-4356-8E5D-A77BFDB8FFF7}" uniqueName="8" name="2125" queryTableFieldId="77"/>
    <tableColumn id="9" xr3:uid="{CAC0C1F2-383A-4512-9ABA-7EE5431F38EC}" uniqueName="9" name="2250" queryTableFieldId="78"/>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8.xml"/><Relationship Id="rId4" Type="http://schemas.openxmlformats.org/officeDocument/2006/relationships/vmlDrawing" Target="../drawings/vmlDrawing3.v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20.xml"/></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7" sqref="B7"/>
    </sheetView>
  </sheetViews>
  <sheetFormatPr defaultRowHeight="12.75" x14ac:dyDescent="0.2"/>
  <cols>
    <col min="1" max="1" width="22" bestFit="1" customWidth="1"/>
    <col min="2" max="2" width="53.710937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c r="B12"/>
    </row>
    <row r="13" spans="1:2" x14ac:dyDescent="0.2">
      <c r="A13"/>
      <c r="B13"/>
    </row>
    <row r="14" spans="1:2" x14ac:dyDescent="0.2">
      <c r="A14"/>
      <c r="B14"/>
    </row>
    <row r="15" spans="1:2" x14ac:dyDescent="0.2">
      <c r="A15"/>
      <c r="B15"/>
    </row>
    <row r="16" spans="1:2"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4968</v>
      </c>
      <c r="B1" t="s">
        <v>4969</v>
      </c>
      <c r="C1" t="s">
        <v>4970</v>
      </c>
      <c r="D1" t="s">
        <v>4971</v>
      </c>
      <c r="E1" t="s">
        <v>4972</v>
      </c>
      <c r="F1" t="s">
        <v>4973</v>
      </c>
      <c r="G1" t="s">
        <v>4974</v>
      </c>
      <c r="H1" t="s">
        <v>4975</v>
      </c>
      <c r="I1" t="s">
        <v>5016</v>
      </c>
      <c r="J1" t="s">
        <v>4678</v>
      </c>
      <c r="K1" t="s">
        <v>4679</v>
      </c>
    </row>
    <row r="2" spans="1:11" x14ac:dyDescent="0.2">
      <c r="A2">
        <v>1235770</v>
      </c>
      <c r="B2" t="s">
        <v>4561</v>
      </c>
      <c r="C2" t="s">
        <v>4562</v>
      </c>
      <c r="D2" t="s">
        <v>4767</v>
      </c>
      <c r="E2" s="111">
        <v>45747</v>
      </c>
      <c r="F2" s="111">
        <v>47573</v>
      </c>
      <c r="G2" t="s">
        <v>4768</v>
      </c>
      <c r="I2" t="s">
        <v>4677</v>
      </c>
      <c r="J2">
        <v>-100</v>
      </c>
      <c r="K2">
        <v>450</v>
      </c>
    </row>
    <row r="3" spans="1:11" x14ac:dyDescent="0.2">
      <c r="A3">
        <v>1235660</v>
      </c>
      <c r="B3" t="s">
        <v>237</v>
      </c>
      <c r="C3" t="s">
        <v>4548</v>
      </c>
      <c r="D3" t="s">
        <v>4976</v>
      </c>
      <c r="E3" s="111">
        <v>45775</v>
      </c>
      <c r="F3" s="111">
        <v>47601</v>
      </c>
      <c r="G3" t="s">
        <v>4977</v>
      </c>
      <c r="I3" t="s">
        <v>4671</v>
      </c>
      <c r="J3">
        <v>-50</v>
      </c>
      <c r="K3">
        <v>450</v>
      </c>
    </row>
    <row r="4" spans="1:11" x14ac:dyDescent="0.2">
      <c r="A4">
        <v>1235502</v>
      </c>
      <c r="B4" t="s">
        <v>238</v>
      </c>
      <c r="C4" t="s">
        <v>4506</v>
      </c>
      <c r="D4" t="s">
        <v>4978</v>
      </c>
      <c r="E4" s="111">
        <v>45778</v>
      </c>
      <c r="F4" s="111">
        <v>47604</v>
      </c>
      <c r="G4" t="s">
        <v>4979</v>
      </c>
      <c r="H4" t="s">
        <v>4980</v>
      </c>
      <c r="I4" t="s">
        <v>4671</v>
      </c>
      <c r="J4">
        <v>-50</v>
      </c>
      <c r="K4">
        <v>450</v>
      </c>
    </row>
    <row r="5" spans="1:11" x14ac:dyDescent="0.2">
      <c r="A5">
        <v>1235505</v>
      </c>
      <c r="B5" t="s">
        <v>239</v>
      </c>
      <c r="C5" t="s">
        <v>4510</v>
      </c>
      <c r="D5" t="s">
        <v>4783</v>
      </c>
      <c r="E5" s="111">
        <v>45708</v>
      </c>
      <c r="F5" s="111">
        <v>47534</v>
      </c>
      <c r="G5" t="s">
        <v>4784</v>
      </c>
      <c r="H5" t="s">
        <v>4981</v>
      </c>
      <c r="I5" t="s">
        <v>4671</v>
      </c>
      <c r="J5">
        <v>-50</v>
      </c>
      <c r="K5">
        <v>450</v>
      </c>
    </row>
    <row r="6" spans="1:11" x14ac:dyDescent="0.2">
      <c r="A6">
        <v>1235646</v>
      </c>
      <c r="B6" t="s">
        <v>240</v>
      </c>
      <c r="C6" t="s">
        <v>4544</v>
      </c>
      <c r="D6" t="s">
        <v>4982</v>
      </c>
      <c r="E6" s="111">
        <v>45777</v>
      </c>
      <c r="F6" s="111">
        <v>47603</v>
      </c>
      <c r="G6" t="s">
        <v>4983</v>
      </c>
      <c r="H6" t="s">
        <v>4980</v>
      </c>
      <c r="I6" t="s">
        <v>4671</v>
      </c>
      <c r="J6">
        <v>-50</v>
      </c>
      <c r="K6">
        <v>450</v>
      </c>
    </row>
    <row r="7" spans="1:11" x14ac:dyDescent="0.2">
      <c r="A7">
        <v>1235659</v>
      </c>
      <c r="B7" t="s">
        <v>241</v>
      </c>
      <c r="C7" t="s">
        <v>4546</v>
      </c>
      <c r="D7" t="s">
        <v>4794</v>
      </c>
      <c r="E7" s="111">
        <v>45758</v>
      </c>
      <c r="F7" s="111">
        <v>47584</v>
      </c>
      <c r="G7" t="s">
        <v>4795</v>
      </c>
      <c r="H7" t="s">
        <v>4981</v>
      </c>
      <c r="I7" t="s">
        <v>4671</v>
      </c>
      <c r="J7">
        <v>-50</v>
      </c>
      <c r="K7">
        <v>450</v>
      </c>
    </row>
    <row r="8" spans="1:11" x14ac:dyDescent="0.2">
      <c r="A8">
        <v>1235504</v>
      </c>
      <c r="B8" t="s">
        <v>242</v>
      </c>
      <c r="C8" t="s">
        <v>4509</v>
      </c>
      <c r="D8" t="s">
        <v>4984</v>
      </c>
      <c r="E8" s="111">
        <v>45719</v>
      </c>
      <c r="F8" s="111">
        <v>47545</v>
      </c>
      <c r="G8" t="s">
        <v>4985</v>
      </c>
      <c r="H8" t="s">
        <v>4986</v>
      </c>
      <c r="I8" t="s">
        <v>4671</v>
      </c>
      <c r="J8">
        <v>-50</v>
      </c>
      <c r="K8">
        <v>450</v>
      </c>
    </row>
    <row r="9" spans="1:11" x14ac:dyDescent="0.2">
      <c r="A9">
        <v>1235506</v>
      </c>
      <c r="B9" t="s">
        <v>243</v>
      </c>
      <c r="C9" t="s">
        <v>4511</v>
      </c>
      <c r="D9" t="s">
        <v>4987</v>
      </c>
      <c r="E9" s="111">
        <v>45755</v>
      </c>
      <c r="F9" s="111">
        <v>47581</v>
      </c>
      <c r="G9" t="s">
        <v>4988</v>
      </c>
      <c r="H9" t="s">
        <v>4981</v>
      </c>
      <c r="I9" t="s">
        <v>4671</v>
      </c>
      <c r="J9">
        <v>-50</v>
      </c>
      <c r="K9">
        <v>450</v>
      </c>
    </row>
    <row r="10" spans="1:11" x14ac:dyDescent="0.2">
      <c r="A10">
        <v>1235510</v>
      </c>
      <c r="B10" t="s">
        <v>244</v>
      </c>
      <c r="C10" t="s">
        <v>4515</v>
      </c>
      <c r="D10" t="s">
        <v>4989</v>
      </c>
      <c r="E10" s="111">
        <v>45646</v>
      </c>
      <c r="F10" s="111">
        <v>47472</v>
      </c>
      <c r="G10" t="s">
        <v>4990</v>
      </c>
      <c r="H10" t="s">
        <v>4991</v>
      </c>
      <c r="I10" t="s">
        <v>4671</v>
      </c>
      <c r="J10">
        <v>-50</v>
      </c>
      <c r="K10">
        <v>450</v>
      </c>
    </row>
    <row r="11" spans="1:11" x14ac:dyDescent="0.2">
      <c r="A11">
        <v>1235508</v>
      </c>
      <c r="B11" t="s">
        <v>3959</v>
      </c>
      <c r="C11" t="s">
        <v>4513</v>
      </c>
      <c r="D11" t="s">
        <v>4992</v>
      </c>
      <c r="E11" s="111">
        <v>45765</v>
      </c>
      <c r="F11" s="111">
        <v>47591</v>
      </c>
      <c r="G11" t="s">
        <v>4993</v>
      </c>
      <c r="H11" t="s">
        <v>4994</v>
      </c>
      <c r="I11" t="s">
        <v>4672</v>
      </c>
      <c r="J11">
        <v>70</v>
      </c>
      <c r="K11">
        <v>450</v>
      </c>
    </row>
    <row r="12" spans="1:11" x14ac:dyDescent="0.2">
      <c r="A12">
        <v>1235777</v>
      </c>
      <c r="B12" t="s">
        <v>247</v>
      </c>
      <c r="C12" t="s">
        <v>4564</v>
      </c>
      <c r="D12" t="s">
        <v>4995</v>
      </c>
      <c r="E12" s="111">
        <v>45687</v>
      </c>
      <c r="F12" s="111">
        <v>47513</v>
      </c>
      <c r="G12" t="s">
        <v>4996</v>
      </c>
      <c r="H12" t="s">
        <v>4997</v>
      </c>
      <c r="I12" t="s">
        <v>4672</v>
      </c>
      <c r="J12">
        <v>70</v>
      </c>
      <c r="K12">
        <v>450</v>
      </c>
    </row>
    <row r="13" spans="1:11" x14ac:dyDescent="0.2">
      <c r="A13">
        <v>1235400</v>
      </c>
      <c r="B13" t="s">
        <v>248</v>
      </c>
      <c r="C13" t="s">
        <v>4483</v>
      </c>
      <c r="D13" t="s">
        <v>4998</v>
      </c>
      <c r="E13" s="111">
        <v>45765</v>
      </c>
      <c r="F13" s="111">
        <v>47591</v>
      </c>
      <c r="G13" t="s">
        <v>4999</v>
      </c>
      <c r="H13" t="s">
        <v>5000</v>
      </c>
      <c r="I13" t="s">
        <v>4672</v>
      </c>
      <c r="J13">
        <v>70</v>
      </c>
      <c r="K13">
        <v>450</v>
      </c>
    </row>
    <row r="14" spans="1:11" x14ac:dyDescent="0.2">
      <c r="A14">
        <v>1235661</v>
      </c>
      <c r="B14" t="s">
        <v>249</v>
      </c>
      <c r="C14" t="s">
        <v>4549</v>
      </c>
      <c r="D14" t="s">
        <v>4841</v>
      </c>
      <c r="E14" s="111">
        <v>45763</v>
      </c>
      <c r="F14" s="111">
        <v>47589</v>
      </c>
      <c r="G14" t="s">
        <v>4842</v>
      </c>
      <c r="I14" t="s">
        <v>4672</v>
      </c>
      <c r="J14">
        <v>70</v>
      </c>
      <c r="K14">
        <v>450</v>
      </c>
    </row>
    <row r="15" spans="1:11" x14ac:dyDescent="0.2">
      <c r="A15">
        <v>1235507</v>
      </c>
      <c r="B15" t="s">
        <v>250</v>
      </c>
      <c r="C15" t="s">
        <v>4512</v>
      </c>
      <c r="D15" t="s">
        <v>4846</v>
      </c>
      <c r="E15" s="111">
        <v>45765</v>
      </c>
      <c r="F15" s="111">
        <v>47591</v>
      </c>
      <c r="G15" t="s">
        <v>4847</v>
      </c>
      <c r="H15" t="s">
        <v>5000</v>
      </c>
      <c r="I15" t="s">
        <v>4672</v>
      </c>
      <c r="J15">
        <v>70</v>
      </c>
      <c r="K15">
        <v>450</v>
      </c>
    </row>
    <row r="16" spans="1:11" x14ac:dyDescent="0.2">
      <c r="A16">
        <v>1235500</v>
      </c>
      <c r="B16" t="s">
        <v>251</v>
      </c>
      <c r="C16" t="s">
        <v>4504</v>
      </c>
      <c r="D16" t="s">
        <v>4851</v>
      </c>
      <c r="E16" s="111">
        <v>45758</v>
      </c>
      <c r="F16" s="111">
        <v>47584</v>
      </c>
      <c r="G16" t="s">
        <v>4852</v>
      </c>
      <c r="H16" t="s">
        <v>5001</v>
      </c>
      <c r="I16" t="s">
        <v>4672</v>
      </c>
      <c r="J16">
        <v>70</v>
      </c>
      <c r="K16">
        <v>450</v>
      </c>
    </row>
    <row r="17" spans="1:11" x14ac:dyDescent="0.2">
      <c r="A17">
        <v>1235509</v>
      </c>
      <c r="B17" t="s">
        <v>252</v>
      </c>
      <c r="C17" t="s">
        <v>4514</v>
      </c>
      <c r="D17" t="s">
        <v>5002</v>
      </c>
      <c r="E17" s="111">
        <v>45763</v>
      </c>
      <c r="F17" s="111">
        <v>47589</v>
      </c>
      <c r="G17" t="s">
        <v>5003</v>
      </c>
      <c r="H17" t="s">
        <v>5001</v>
      </c>
      <c r="I17" t="s">
        <v>4672</v>
      </c>
      <c r="J17">
        <v>70</v>
      </c>
      <c r="K17">
        <v>450</v>
      </c>
    </row>
    <row r="18" spans="1:11" x14ac:dyDescent="0.2">
      <c r="A18">
        <v>1235498</v>
      </c>
      <c r="B18" t="s">
        <v>253</v>
      </c>
      <c r="C18" t="s">
        <v>4503</v>
      </c>
      <c r="D18" t="s">
        <v>5004</v>
      </c>
      <c r="E18" s="111">
        <v>45667</v>
      </c>
      <c r="F18" s="111">
        <v>47493</v>
      </c>
      <c r="G18" t="s">
        <v>5005</v>
      </c>
      <c r="H18" t="s">
        <v>4994</v>
      </c>
      <c r="I18" t="s">
        <v>4672</v>
      </c>
      <c r="J18">
        <v>70</v>
      </c>
      <c r="K18">
        <v>450</v>
      </c>
    </row>
    <row r="19" spans="1:11" x14ac:dyDescent="0.2">
      <c r="A19">
        <v>1235401</v>
      </c>
      <c r="B19" t="s">
        <v>254</v>
      </c>
      <c r="C19" t="s">
        <v>4486</v>
      </c>
      <c r="D19" t="s">
        <v>5006</v>
      </c>
      <c r="E19" s="111">
        <v>45763</v>
      </c>
      <c r="F19" s="111">
        <v>47589</v>
      </c>
      <c r="G19" t="s">
        <v>5007</v>
      </c>
      <c r="H19" t="s">
        <v>5008</v>
      </c>
      <c r="I19" t="s">
        <v>4672</v>
      </c>
      <c r="J19">
        <v>70</v>
      </c>
      <c r="K19">
        <v>450</v>
      </c>
    </row>
    <row r="20" spans="1:11" x14ac:dyDescent="0.2">
      <c r="A20">
        <v>1235402</v>
      </c>
      <c r="B20" t="s">
        <v>255</v>
      </c>
      <c r="C20" t="s">
        <v>4488</v>
      </c>
      <c r="D20" t="s">
        <v>4873</v>
      </c>
      <c r="E20" s="111">
        <v>45758</v>
      </c>
      <c r="F20" s="111">
        <v>47584</v>
      </c>
      <c r="G20" t="s">
        <v>4874</v>
      </c>
      <c r="H20" t="s">
        <v>4997</v>
      </c>
      <c r="I20" t="s">
        <v>4672</v>
      </c>
      <c r="J20">
        <v>70</v>
      </c>
      <c r="K20">
        <v>450</v>
      </c>
    </row>
    <row r="21" spans="1:11" x14ac:dyDescent="0.2">
      <c r="A21">
        <v>1235673</v>
      </c>
      <c r="B21" t="s">
        <v>2480</v>
      </c>
      <c r="C21" t="s">
        <v>4550</v>
      </c>
      <c r="D21" t="s">
        <v>5009</v>
      </c>
      <c r="E21" s="111">
        <v>45775</v>
      </c>
      <c r="F21" s="111"/>
      <c r="G21" t="s">
        <v>5010</v>
      </c>
      <c r="H21" t="s">
        <v>5011</v>
      </c>
      <c r="I21" t="s">
        <v>4670</v>
      </c>
      <c r="J21">
        <v>70</v>
      </c>
      <c r="K21">
        <v>500</v>
      </c>
    </row>
    <row r="22" spans="1:11" x14ac:dyDescent="0.2">
      <c r="A22">
        <v>1235526</v>
      </c>
      <c r="B22" t="s">
        <v>256</v>
      </c>
      <c r="C22" t="s">
        <v>4518</v>
      </c>
      <c r="D22" t="s">
        <v>5012</v>
      </c>
      <c r="E22" s="111">
        <v>45649</v>
      </c>
      <c r="F22" s="111">
        <v>47475</v>
      </c>
      <c r="G22" t="s">
        <v>5013</v>
      </c>
      <c r="H22" t="s">
        <v>5014</v>
      </c>
      <c r="I22" t="s">
        <v>4670</v>
      </c>
      <c r="J22">
        <v>70</v>
      </c>
      <c r="K22">
        <v>500</v>
      </c>
    </row>
    <row r="23" spans="1:11" x14ac:dyDescent="0.2">
      <c r="A23">
        <v>2635568</v>
      </c>
      <c r="B23" t="s">
        <v>257</v>
      </c>
      <c r="C23" t="s">
        <v>4578</v>
      </c>
      <c r="D23" t="s">
        <v>4893</v>
      </c>
      <c r="E23" s="111">
        <v>45559</v>
      </c>
      <c r="F23" s="111">
        <v>47385</v>
      </c>
      <c r="G23" t="s">
        <v>4894</v>
      </c>
      <c r="H23" t="s">
        <v>5014</v>
      </c>
      <c r="I23" t="s">
        <v>4670</v>
      </c>
      <c r="J23">
        <v>70</v>
      </c>
      <c r="K23">
        <v>500</v>
      </c>
    </row>
    <row r="24" spans="1:11" x14ac:dyDescent="0.2">
      <c r="A24">
        <v>1235704</v>
      </c>
      <c r="B24" t="s">
        <v>644</v>
      </c>
      <c r="C24" t="s">
        <v>4556</v>
      </c>
      <c r="D24" t="s">
        <v>4923</v>
      </c>
      <c r="E24" s="111">
        <v>45643</v>
      </c>
      <c r="F24" s="111">
        <v>47469</v>
      </c>
      <c r="G24" t="s">
        <v>4924</v>
      </c>
      <c r="H24" t="s">
        <v>5015</v>
      </c>
      <c r="I24" t="s">
        <v>5017</v>
      </c>
    </row>
    <row r="25" spans="1:11" x14ac:dyDescent="0.2">
      <c r="A25">
        <v>1235767</v>
      </c>
      <c r="B25" t="s">
        <v>583</v>
      </c>
      <c r="E25" s="111"/>
      <c r="F25" s="111"/>
      <c r="I25" t="s">
        <v>4674</v>
      </c>
      <c r="J25">
        <v>70</v>
      </c>
      <c r="K25">
        <v>1000</v>
      </c>
    </row>
    <row r="26" spans="1:11" x14ac:dyDescent="0.2">
      <c r="A26">
        <v>1235772</v>
      </c>
      <c r="B26" t="s">
        <v>593</v>
      </c>
      <c r="E26" s="111"/>
      <c r="F26" s="111"/>
      <c r="I26" t="s">
        <v>4675</v>
      </c>
      <c r="J26">
        <v>200</v>
      </c>
      <c r="K26">
        <v>1850</v>
      </c>
    </row>
    <row r="27" spans="1:11" x14ac:dyDescent="0.2">
      <c r="A27">
        <v>1235768</v>
      </c>
      <c r="B27" t="s">
        <v>605</v>
      </c>
      <c r="E27" s="111"/>
      <c r="F27" s="111"/>
      <c r="I27" t="s">
        <v>4676</v>
      </c>
      <c r="J27">
        <v>700</v>
      </c>
      <c r="K27">
        <v>2200</v>
      </c>
    </row>
    <row r="28" spans="1:11" x14ac:dyDescent="0.2">
      <c r="A28">
        <v>1235769</v>
      </c>
      <c r="B28" t="s">
        <v>606</v>
      </c>
      <c r="E28" s="111"/>
      <c r="F28" s="111"/>
      <c r="I28" t="s">
        <v>4673</v>
      </c>
      <c r="J28">
        <v>700</v>
      </c>
      <c r="K28">
        <v>2200</v>
      </c>
    </row>
  </sheetData>
  <sheetProtection algorithmName="SHA-512" hashValue="+UPFWlOQ/S1GOhKMwN27xXwX3UgV76aSbi0Djkwigyv0VYUxKhjYECH7vM8yuwf4rBL9R1HBIB2rW3qKICrvbw==" saltValue="h9qxy5ySzj/YwtWKrzvI7Q==" spinCount="100000" sheet="1" objects="1" scenarios="1"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5018</v>
      </c>
      <c r="B1" t="s">
        <v>5020</v>
      </c>
      <c r="C1" t="s">
        <v>5022</v>
      </c>
      <c r="D1" t="s">
        <v>5024</v>
      </c>
      <c r="E1" t="s">
        <v>5034</v>
      </c>
      <c r="F1" t="s">
        <v>5035</v>
      </c>
      <c r="G1" t="s">
        <v>5036</v>
      </c>
      <c r="H1" t="s">
        <v>5043</v>
      </c>
      <c r="I1" t="s">
        <v>5045</v>
      </c>
      <c r="J1" t="s">
        <v>5047</v>
      </c>
      <c r="K1" t="s">
        <v>5058</v>
      </c>
      <c r="L1" t="s">
        <v>5059</v>
      </c>
      <c r="M1" t="s">
        <v>5060</v>
      </c>
      <c r="N1" t="s">
        <v>5061</v>
      </c>
      <c r="O1" t="s">
        <v>5081</v>
      </c>
      <c r="P1" t="s">
        <v>5083</v>
      </c>
      <c r="Q1" t="s">
        <v>5102</v>
      </c>
      <c r="R1" t="s">
        <v>5116</v>
      </c>
      <c r="S1" t="s">
        <v>5117</v>
      </c>
      <c r="T1" t="s">
        <v>5121</v>
      </c>
      <c r="U1" t="s">
        <v>5145</v>
      </c>
      <c r="V1" t="s">
        <v>5239</v>
      </c>
      <c r="W1" t="s">
        <v>5242</v>
      </c>
      <c r="X1" t="s">
        <v>5244</v>
      </c>
      <c r="Y1" t="s">
        <v>5246</v>
      </c>
      <c r="Z1" t="s">
        <v>5248</v>
      </c>
      <c r="AA1" t="s">
        <v>5249</v>
      </c>
      <c r="AB1" t="s">
        <v>5252</v>
      </c>
      <c r="AC1" t="s">
        <v>5255</v>
      </c>
      <c r="AD1" t="s">
        <v>5256</v>
      </c>
      <c r="AE1" t="s">
        <v>5257</v>
      </c>
      <c r="AF1" t="s">
        <v>5258</v>
      </c>
      <c r="AG1" t="s">
        <v>5259</v>
      </c>
      <c r="AH1" t="s">
        <v>5270</v>
      </c>
      <c r="AI1" t="s">
        <v>5271</v>
      </c>
      <c r="AJ1" t="s">
        <v>5277</v>
      </c>
      <c r="AK1" t="s">
        <v>5278</v>
      </c>
      <c r="AL1" t="s">
        <v>5285</v>
      </c>
      <c r="AM1" t="s">
        <v>5286</v>
      </c>
      <c r="AN1" t="s">
        <v>5291</v>
      </c>
      <c r="AO1" t="s">
        <v>5293</v>
      </c>
      <c r="AP1" t="s">
        <v>5294</v>
      </c>
      <c r="AQ1" t="s">
        <v>5295</v>
      </c>
      <c r="AR1" t="s">
        <v>5296</v>
      </c>
      <c r="AS1" t="s">
        <v>5300</v>
      </c>
      <c r="AT1" t="s">
        <v>5301</v>
      </c>
      <c r="AU1" t="s">
        <v>5302</v>
      </c>
      <c r="AV1" t="s">
        <v>5303</v>
      </c>
      <c r="AW1" t="s">
        <v>5304</v>
      </c>
      <c r="AX1" t="s">
        <v>5306</v>
      </c>
      <c r="AY1" t="s">
        <v>5308</v>
      </c>
      <c r="AZ1" t="s">
        <v>5309</v>
      </c>
      <c r="BA1" t="s">
        <v>5310</v>
      </c>
      <c r="BB1" t="s">
        <v>5331</v>
      </c>
      <c r="BC1" t="s">
        <v>5334</v>
      </c>
      <c r="BD1" t="s">
        <v>5336</v>
      </c>
      <c r="BE1" t="s">
        <v>5337</v>
      </c>
      <c r="BF1" t="s">
        <v>5340</v>
      </c>
      <c r="BG1" t="s">
        <v>5349</v>
      </c>
    </row>
    <row r="2" spans="1:59" x14ac:dyDescent="0.2">
      <c r="A2" t="s">
        <v>5019</v>
      </c>
      <c r="B2" t="s">
        <v>5021</v>
      </c>
      <c r="C2" t="s">
        <v>5023</v>
      </c>
      <c r="D2" t="s">
        <v>5025</v>
      </c>
    </row>
    <row r="3" spans="1:59" x14ac:dyDescent="0.2">
      <c r="A3" t="s">
        <v>5026</v>
      </c>
      <c r="B3" t="s">
        <v>5027</v>
      </c>
      <c r="C3" t="s">
        <v>5023</v>
      </c>
      <c r="D3" t="s">
        <v>5028</v>
      </c>
    </row>
    <row r="4" spans="1:59" x14ac:dyDescent="0.2">
      <c r="A4" t="s">
        <v>5029</v>
      </c>
      <c r="B4" t="s">
        <v>5030</v>
      </c>
      <c r="C4" t="s">
        <v>5031</v>
      </c>
      <c r="D4" t="s">
        <v>5032</v>
      </c>
    </row>
    <row r="5" spans="1:59" x14ac:dyDescent="0.2">
      <c r="A5" t="s">
        <v>5033</v>
      </c>
      <c r="E5" t="s">
        <v>5028</v>
      </c>
      <c r="F5" t="s">
        <v>5028</v>
      </c>
      <c r="G5" t="s">
        <v>5021</v>
      </c>
    </row>
    <row r="6" spans="1:59" x14ac:dyDescent="0.2">
      <c r="A6" t="s">
        <v>5037</v>
      </c>
      <c r="E6" t="s">
        <v>5032</v>
      </c>
      <c r="F6" t="s">
        <v>5038</v>
      </c>
      <c r="G6" t="s">
        <v>5039</v>
      </c>
    </row>
    <row r="7" spans="1:59" x14ac:dyDescent="0.2">
      <c r="A7" t="s">
        <v>5040</v>
      </c>
      <c r="C7" t="s">
        <v>5041</v>
      </c>
      <c r="D7" t="s">
        <v>5042</v>
      </c>
      <c r="E7" t="s">
        <v>5031</v>
      </c>
      <c r="H7" t="s">
        <v>5044</v>
      </c>
      <c r="I7" t="s">
        <v>5046</v>
      </c>
      <c r="J7" t="s">
        <v>5048</v>
      </c>
    </row>
    <row r="8" spans="1:59" x14ac:dyDescent="0.2">
      <c r="A8" t="s">
        <v>5049</v>
      </c>
      <c r="C8" t="s">
        <v>5050</v>
      </c>
      <c r="D8" t="s">
        <v>5042</v>
      </c>
      <c r="E8" t="s">
        <v>5031</v>
      </c>
      <c r="H8" t="s">
        <v>5051</v>
      </c>
      <c r="I8" t="s">
        <v>5052</v>
      </c>
      <c r="J8" t="s">
        <v>5046</v>
      </c>
    </row>
    <row r="9" spans="1:59" x14ac:dyDescent="0.2">
      <c r="A9" t="s">
        <v>5053</v>
      </c>
      <c r="C9" t="s">
        <v>5041</v>
      </c>
      <c r="D9" t="s">
        <v>5041</v>
      </c>
      <c r="E9" t="s">
        <v>5031</v>
      </c>
      <c r="H9" t="s">
        <v>5042</v>
      </c>
      <c r="I9" t="s">
        <v>5046</v>
      </c>
      <c r="J9" t="s">
        <v>5054</v>
      </c>
    </row>
    <row r="10" spans="1:59" x14ac:dyDescent="0.2">
      <c r="A10" t="s">
        <v>5055</v>
      </c>
      <c r="C10" t="s">
        <v>5041</v>
      </c>
      <c r="D10" t="s">
        <v>5041</v>
      </c>
      <c r="E10" t="s">
        <v>5042</v>
      </c>
    </row>
    <row r="11" spans="1:59" x14ac:dyDescent="0.2">
      <c r="A11" t="s">
        <v>5056</v>
      </c>
      <c r="C11" t="s">
        <v>5052</v>
      </c>
      <c r="D11" t="s">
        <v>5046</v>
      </c>
      <c r="E11" t="s">
        <v>5042</v>
      </c>
    </row>
    <row r="12" spans="1:59" x14ac:dyDescent="0.2">
      <c r="A12" t="s">
        <v>5057</v>
      </c>
      <c r="C12" t="s">
        <v>5031</v>
      </c>
      <c r="D12" t="s">
        <v>5041</v>
      </c>
      <c r="H12" t="s">
        <v>5046</v>
      </c>
      <c r="I12" t="s">
        <v>5051</v>
      </c>
      <c r="K12" t="s">
        <v>5039</v>
      </c>
      <c r="L12" t="s">
        <v>5048</v>
      </c>
      <c r="M12" t="s">
        <v>5039</v>
      </c>
      <c r="N12" t="s">
        <v>5062</v>
      </c>
    </row>
    <row r="13" spans="1:59" x14ac:dyDescent="0.2">
      <c r="A13" t="s">
        <v>5063</v>
      </c>
      <c r="C13" t="s">
        <v>5042</v>
      </c>
      <c r="D13" t="s">
        <v>5054</v>
      </c>
      <c r="H13" t="s">
        <v>5064</v>
      </c>
      <c r="I13" t="s">
        <v>5031</v>
      </c>
      <c r="K13" t="s">
        <v>5032</v>
      </c>
      <c r="L13" t="s">
        <v>5065</v>
      </c>
      <c r="M13" t="s">
        <v>5066</v>
      </c>
      <c r="N13" t="s">
        <v>5067</v>
      </c>
    </row>
    <row r="14" spans="1:59" x14ac:dyDescent="0.2">
      <c r="A14" t="s">
        <v>5068</v>
      </c>
      <c r="C14" t="s">
        <v>5042</v>
      </c>
      <c r="D14" t="s">
        <v>5069</v>
      </c>
      <c r="H14" t="s">
        <v>5070</v>
      </c>
      <c r="I14" t="s">
        <v>5071</v>
      </c>
      <c r="K14" t="s">
        <v>5072</v>
      </c>
      <c r="L14" t="s">
        <v>5073</v>
      </c>
      <c r="M14" t="s">
        <v>5074</v>
      </c>
      <c r="N14" t="s">
        <v>5075</v>
      </c>
    </row>
    <row r="15" spans="1:59" x14ac:dyDescent="0.2">
      <c r="A15" t="s">
        <v>5076</v>
      </c>
      <c r="H15" t="s">
        <v>5038</v>
      </c>
      <c r="I15" t="s">
        <v>5077</v>
      </c>
      <c r="K15" t="s">
        <v>5078</v>
      </c>
      <c r="L15" t="s">
        <v>5079</v>
      </c>
      <c r="M15" t="s">
        <v>5080</v>
      </c>
      <c r="O15" t="s">
        <v>5082</v>
      </c>
      <c r="P15" t="s">
        <v>5084</v>
      </c>
    </row>
    <row r="16" spans="1:59" x14ac:dyDescent="0.2">
      <c r="A16" t="s">
        <v>5085</v>
      </c>
      <c r="H16" t="s">
        <v>5086</v>
      </c>
      <c r="I16" t="s">
        <v>5046</v>
      </c>
      <c r="K16" t="s">
        <v>5051</v>
      </c>
      <c r="L16" t="s">
        <v>5030</v>
      </c>
      <c r="M16" t="s">
        <v>5038</v>
      </c>
      <c r="O16" t="s">
        <v>5087</v>
      </c>
      <c r="P16" t="s">
        <v>5073</v>
      </c>
    </row>
    <row r="17" spans="1:20" x14ac:dyDescent="0.2">
      <c r="A17" t="s">
        <v>5088</v>
      </c>
      <c r="B17" t="s">
        <v>5073</v>
      </c>
      <c r="C17" t="s">
        <v>5051</v>
      </c>
      <c r="D17" t="s">
        <v>5051</v>
      </c>
      <c r="G17" t="s">
        <v>5051</v>
      </c>
    </row>
    <row r="18" spans="1:20" x14ac:dyDescent="0.2">
      <c r="A18" t="s">
        <v>5089</v>
      </c>
      <c r="B18" t="s">
        <v>5090</v>
      </c>
      <c r="C18" t="s">
        <v>5044</v>
      </c>
      <c r="D18" t="s">
        <v>5051</v>
      </c>
    </row>
    <row r="19" spans="1:20" x14ac:dyDescent="0.2">
      <c r="A19" t="s">
        <v>5091</v>
      </c>
      <c r="C19" t="s">
        <v>5041</v>
      </c>
      <c r="D19" t="s">
        <v>5046</v>
      </c>
      <c r="E19" t="s">
        <v>5071</v>
      </c>
    </row>
    <row r="20" spans="1:20" x14ac:dyDescent="0.2">
      <c r="A20" t="s">
        <v>5092</v>
      </c>
      <c r="C20" t="s">
        <v>5041</v>
      </c>
      <c r="D20" t="s">
        <v>5093</v>
      </c>
      <c r="E20" t="s">
        <v>5071</v>
      </c>
    </row>
    <row r="21" spans="1:20" x14ac:dyDescent="0.2">
      <c r="A21" t="s">
        <v>5094</v>
      </c>
      <c r="C21" t="s">
        <v>5051</v>
      </c>
      <c r="D21" t="s">
        <v>5052</v>
      </c>
      <c r="H21" t="s">
        <v>5095</v>
      </c>
      <c r="I21" t="s">
        <v>5046</v>
      </c>
      <c r="K21" t="s">
        <v>5039</v>
      </c>
    </row>
    <row r="22" spans="1:20" x14ac:dyDescent="0.2">
      <c r="A22" t="s">
        <v>5096</v>
      </c>
      <c r="C22" t="s">
        <v>5042</v>
      </c>
      <c r="D22" t="s">
        <v>5097</v>
      </c>
      <c r="H22" t="s">
        <v>5098</v>
      </c>
      <c r="I22" t="s">
        <v>5027</v>
      </c>
      <c r="K22" t="s">
        <v>5039</v>
      </c>
    </row>
    <row r="23" spans="1:20" x14ac:dyDescent="0.2">
      <c r="A23" t="s">
        <v>5099</v>
      </c>
      <c r="C23" t="s">
        <v>5044</v>
      </c>
      <c r="D23" t="s">
        <v>5100</v>
      </c>
      <c r="H23" t="s">
        <v>5095</v>
      </c>
      <c r="I23" t="s">
        <v>5027</v>
      </c>
      <c r="K23" t="s">
        <v>5101</v>
      </c>
      <c r="Q23" t="s">
        <v>5065</v>
      </c>
    </row>
    <row r="24" spans="1:20" x14ac:dyDescent="0.2">
      <c r="A24" t="s">
        <v>5103</v>
      </c>
      <c r="H24" t="s">
        <v>5104</v>
      </c>
      <c r="I24" t="s">
        <v>5073</v>
      </c>
      <c r="K24" t="s">
        <v>5105</v>
      </c>
    </row>
    <row r="25" spans="1:20" x14ac:dyDescent="0.2">
      <c r="A25" t="s">
        <v>5106</v>
      </c>
      <c r="C25" t="s">
        <v>5107</v>
      </c>
      <c r="D25" t="s">
        <v>5051</v>
      </c>
      <c r="H25" t="s">
        <v>5108</v>
      </c>
      <c r="I25" t="s">
        <v>5109</v>
      </c>
      <c r="K25" t="s">
        <v>5110</v>
      </c>
      <c r="L25" t="s">
        <v>5111</v>
      </c>
    </row>
    <row r="26" spans="1:20" x14ac:dyDescent="0.2">
      <c r="A26" t="s">
        <v>5112</v>
      </c>
      <c r="C26" t="s">
        <v>5093</v>
      </c>
      <c r="D26" t="s">
        <v>5069</v>
      </c>
      <c r="H26" t="s">
        <v>5086</v>
      </c>
      <c r="I26" t="s">
        <v>5093</v>
      </c>
      <c r="K26" t="s">
        <v>5041</v>
      </c>
      <c r="Q26" t="s">
        <v>5052</v>
      </c>
    </row>
    <row r="27" spans="1:20" x14ac:dyDescent="0.2">
      <c r="A27" t="s">
        <v>5113</v>
      </c>
      <c r="C27" t="s">
        <v>5046</v>
      </c>
      <c r="D27" t="s">
        <v>5054</v>
      </c>
      <c r="H27" t="s">
        <v>5114</v>
      </c>
      <c r="I27" t="s">
        <v>5046</v>
      </c>
      <c r="K27" t="s">
        <v>5107</v>
      </c>
    </row>
    <row r="28" spans="1:20" x14ac:dyDescent="0.2">
      <c r="A28" t="s">
        <v>5115</v>
      </c>
      <c r="J28" t="s">
        <v>5119</v>
      </c>
      <c r="R28" t="s">
        <v>5104</v>
      </c>
      <c r="S28" t="s">
        <v>5118</v>
      </c>
    </row>
    <row r="29" spans="1:20" x14ac:dyDescent="0.2">
      <c r="A29" t="s">
        <v>5120</v>
      </c>
      <c r="B29" t="s">
        <v>5073</v>
      </c>
      <c r="C29" t="s">
        <v>5050</v>
      </c>
      <c r="D29" t="s">
        <v>5042</v>
      </c>
      <c r="T29" t="s">
        <v>5090</v>
      </c>
    </row>
    <row r="30" spans="1:20" x14ac:dyDescent="0.2">
      <c r="A30" t="s">
        <v>5122</v>
      </c>
      <c r="B30" t="s">
        <v>5074</v>
      </c>
      <c r="C30" t="s">
        <v>5050</v>
      </c>
      <c r="D30" t="s">
        <v>5042</v>
      </c>
    </row>
    <row r="31" spans="1:20" x14ac:dyDescent="0.2">
      <c r="A31" t="s">
        <v>5123</v>
      </c>
      <c r="C31" t="s">
        <v>5051</v>
      </c>
      <c r="D31" t="s">
        <v>5046</v>
      </c>
      <c r="E31" t="s">
        <v>5044</v>
      </c>
    </row>
    <row r="32" spans="1:20" x14ac:dyDescent="0.2">
      <c r="A32" t="s">
        <v>5124</v>
      </c>
      <c r="C32" t="s">
        <v>5109</v>
      </c>
      <c r="D32" t="s">
        <v>5046</v>
      </c>
      <c r="E32" t="s">
        <v>5044</v>
      </c>
    </row>
    <row r="33" spans="1:19" x14ac:dyDescent="0.2">
      <c r="A33" t="s">
        <v>5125</v>
      </c>
      <c r="C33" t="s">
        <v>5046</v>
      </c>
      <c r="D33" t="s">
        <v>5048</v>
      </c>
      <c r="H33" t="s">
        <v>5064</v>
      </c>
      <c r="I33" t="s">
        <v>5114</v>
      </c>
      <c r="K33" t="s">
        <v>5093</v>
      </c>
      <c r="Q33" t="s">
        <v>5093</v>
      </c>
    </row>
    <row r="34" spans="1:19" x14ac:dyDescent="0.2">
      <c r="A34" t="s">
        <v>5126</v>
      </c>
      <c r="C34" t="s">
        <v>5041</v>
      </c>
      <c r="D34" t="s">
        <v>5048</v>
      </c>
      <c r="H34" t="s">
        <v>5108</v>
      </c>
      <c r="I34" t="s">
        <v>5048</v>
      </c>
      <c r="K34" t="s">
        <v>5023</v>
      </c>
      <c r="L34" t="s">
        <v>5127</v>
      </c>
      <c r="M34" t="s">
        <v>5128</v>
      </c>
      <c r="N34" t="s">
        <v>5129</v>
      </c>
      <c r="Q34" t="s">
        <v>5023</v>
      </c>
    </row>
    <row r="35" spans="1:19" x14ac:dyDescent="0.2">
      <c r="A35" t="s">
        <v>5130</v>
      </c>
      <c r="C35" t="s">
        <v>5031</v>
      </c>
      <c r="D35" t="s">
        <v>5050</v>
      </c>
      <c r="H35" t="s">
        <v>5041</v>
      </c>
      <c r="I35" t="s">
        <v>5025</v>
      </c>
      <c r="K35" t="s">
        <v>5111</v>
      </c>
      <c r="Q35" t="s">
        <v>5111</v>
      </c>
    </row>
    <row r="36" spans="1:19" x14ac:dyDescent="0.2">
      <c r="A36" t="s">
        <v>5131</v>
      </c>
      <c r="C36" t="s">
        <v>5042</v>
      </c>
      <c r="D36" t="s">
        <v>5050</v>
      </c>
      <c r="E36" t="s">
        <v>5071</v>
      </c>
      <c r="H36" t="s">
        <v>5100</v>
      </c>
      <c r="I36" t="s">
        <v>5098</v>
      </c>
      <c r="J36" t="s">
        <v>5098</v>
      </c>
    </row>
    <row r="37" spans="1:19" x14ac:dyDescent="0.2">
      <c r="A37" t="s">
        <v>5132</v>
      </c>
      <c r="E37" t="s">
        <v>5038</v>
      </c>
      <c r="F37" t="s">
        <v>5118</v>
      </c>
      <c r="G37" t="s">
        <v>5039</v>
      </c>
    </row>
    <row r="38" spans="1:19" x14ac:dyDescent="0.2">
      <c r="A38" t="s">
        <v>5133</v>
      </c>
      <c r="H38" t="s">
        <v>5072</v>
      </c>
      <c r="I38" t="s">
        <v>5111</v>
      </c>
      <c r="K38" t="s">
        <v>5134</v>
      </c>
      <c r="L38" t="s">
        <v>5135</v>
      </c>
      <c r="M38" t="s">
        <v>5136</v>
      </c>
      <c r="O38" t="s">
        <v>5137</v>
      </c>
      <c r="P38" t="s">
        <v>5138</v>
      </c>
    </row>
    <row r="39" spans="1:19" x14ac:dyDescent="0.2">
      <c r="A39" t="s">
        <v>5139</v>
      </c>
      <c r="H39" t="s">
        <v>5074</v>
      </c>
      <c r="I39" t="s">
        <v>5067</v>
      </c>
      <c r="K39" t="s">
        <v>5140</v>
      </c>
      <c r="L39" t="s">
        <v>5141</v>
      </c>
      <c r="M39" t="s">
        <v>5142</v>
      </c>
      <c r="O39" t="s">
        <v>5082</v>
      </c>
      <c r="P39" t="s">
        <v>5143</v>
      </c>
    </row>
    <row r="40" spans="1:19" x14ac:dyDescent="0.2">
      <c r="A40" t="s">
        <v>5144</v>
      </c>
      <c r="J40" t="s">
        <v>5145</v>
      </c>
      <c r="R40" t="s">
        <v>5027</v>
      </c>
      <c r="S40" t="s">
        <v>5030</v>
      </c>
    </row>
    <row r="41" spans="1:19" x14ac:dyDescent="0.2">
      <c r="A41" t="s">
        <v>5146</v>
      </c>
      <c r="B41" t="s">
        <v>5066</v>
      </c>
      <c r="C41" t="s">
        <v>5109</v>
      </c>
      <c r="D41" t="s">
        <v>5109</v>
      </c>
    </row>
    <row r="42" spans="1:19" x14ac:dyDescent="0.2">
      <c r="A42" t="s">
        <v>5147</v>
      </c>
      <c r="B42" t="s">
        <v>5090</v>
      </c>
      <c r="C42" t="s">
        <v>5109</v>
      </c>
      <c r="D42" t="s">
        <v>5051</v>
      </c>
    </row>
    <row r="43" spans="1:19" x14ac:dyDescent="0.2">
      <c r="A43" t="s">
        <v>5148</v>
      </c>
      <c r="B43" t="s">
        <v>5090</v>
      </c>
      <c r="C43" t="s">
        <v>5109</v>
      </c>
      <c r="D43" t="s">
        <v>5051</v>
      </c>
    </row>
    <row r="44" spans="1:19" x14ac:dyDescent="0.2">
      <c r="A44" t="s">
        <v>5149</v>
      </c>
      <c r="C44" t="s">
        <v>5042</v>
      </c>
      <c r="D44" t="s">
        <v>5048</v>
      </c>
      <c r="E44" t="s">
        <v>5044</v>
      </c>
    </row>
    <row r="45" spans="1:19" x14ac:dyDescent="0.2">
      <c r="A45" t="s">
        <v>5150</v>
      </c>
      <c r="C45" t="s">
        <v>5051</v>
      </c>
      <c r="D45" t="s">
        <v>5069</v>
      </c>
      <c r="E45" t="s">
        <v>5051</v>
      </c>
    </row>
    <row r="46" spans="1:19" x14ac:dyDescent="0.2">
      <c r="A46" t="s">
        <v>5151</v>
      </c>
      <c r="C46" t="s">
        <v>5109</v>
      </c>
      <c r="D46" t="s">
        <v>5054</v>
      </c>
      <c r="E46" t="s">
        <v>5109</v>
      </c>
    </row>
    <row r="47" spans="1:19" x14ac:dyDescent="0.2">
      <c r="A47" t="s">
        <v>5152</v>
      </c>
      <c r="C47" t="s">
        <v>5048</v>
      </c>
      <c r="D47" t="s">
        <v>5054</v>
      </c>
      <c r="H47" t="s">
        <v>5114</v>
      </c>
      <c r="I47" t="s">
        <v>5153</v>
      </c>
      <c r="K47" t="s">
        <v>5154</v>
      </c>
      <c r="L47" t="s">
        <v>5155</v>
      </c>
      <c r="M47" t="s">
        <v>5156</v>
      </c>
      <c r="N47" t="s">
        <v>5157</v>
      </c>
    </row>
    <row r="48" spans="1:19" x14ac:dyDescent="0.2">
      <c r="A48" t="s">
        <v>5158</v>
      </c>
      <c r="C48" t="s">
        <v>5093</v>
      </c>
      <c r="D48" t="s">
        <v>5069</v>
      </c>
      <c r="H48" t="s">
        <v>5086</v>
      </c>
      <c r="I48" t="s">
        <v>5159</v>
      </c>
      <c r="K48" t="s">
        <v>5114</v>
      </c>
      <c r="L48" t="s">
        <v>5160</v>
      </c>
      <c r="M48" t="s">
        <v>5161</v>
      </c>
      <c r="N48" t="s">
        <v>5162</v>
      </c>
    </row>
    <row r="49" spans="1:19" x14ac:dyDescent="0.2">
      <c r="A49" t="s">
        <v>5163</v>
      </c>
      <c r="C49" t="s">
        <v>5044</v>
      </c>
      <c r="D49" t="s">
        <v>5048</v>
      </c>
      <c r="H49" t="s">
        <v>5114</v>
      </c>
      <c r="I49" t="s">
        <v>5160</v>
      </c>
      <c r="K49" t="s">
        <v>5098</v>
      </c>
      <c r="L49" t="s">
        <v>5164</v>
      </c>
      <c r="M49" t="s">
        <v>5165</v>
      </c>
      <c r="N49" t="s">
        <v>5166</v>
      </c>
    </row>
    <row r="50" spans="1:19" x14ac:dyDescent="0.2">
      <c r="A50" t="s">
        <v>5167</v>
      </c>
      <c r="E50" t="s">
        <v>5028</v>
      </c>
      <c r="F50" t="s">
        <v>5028</v>
      </c>
      <c r="G50" t="s">
        <v>5071</v>
      </c>
    </row>
    <row r="51" spans="1:19" x14ac:dyDescent="0.2">
      <c r="A51" t="s">
        <v>5168</v>
      </c>
      <c r="C51" t="s">
        <v>5042</v>
      </c>
      <c r="D51" t="s">
        <v>5051</v>
      </c>
      <c r="E51" t="s">
        <v>5021</v>
      </c>
      <c r="H51" t="s">
        <v>5052</v>
      </c>
      <c r="I51" t="s">
        <v>5095</v>
      </c>
      <c r="J51" t="s">
        <v>5095</v>
      </c>
    </row>
    <row r="52" spans="1:19" x14ac:dyDescent="0.2">
      <c r="A52" t="s">
        <v>5169</v>
      </c>
      <c r="H52" t="s">
        <v>5086</v>
      </c>
      <c r="I52" t="s">
        <v>5097</v>
      </c>
      <c r="K52" t="s">
        <v>5052</v>
      </c>
      <c r="L52" t="s">
        <v>5095</v>
      </c>
      <c r="M52" t="s">
        <v>5170</v>
      </c>
      <c r="O52" t="s">
        <v>5166</v>
      </c>
      <c r="P52" t="s">
        <v>5162</v>
      </c>
    </row>
    <row r="53" spans="1:19" x14ac:dyDescent="0.2">
      <c r="A53" t="s">
        <v>5171</v>
      </c>
      <c r="C53" t="s">
        <v>5039</v>
      </c>
      <c r="D53" t="s">
        <v>5023</v>
      </c>
      <c r="H53" t="s">
        <v>5070</v>
      </c>
      <c r="I53" t="s">
        <v>5127</v>
      </c>
      <c r="K53" t="s">
        <v>5164</v>
      </c>
      <c r="L53" t="s">
        <v>5172</v>
      </c>
      <c r="M53" t="s">
        <v>5159</v>
      </c>
      <c r="N53" t="s">
        <v>5164</v>
      </c>
    </row>
    <row r="54" spans="1:19" x14ac:dyDescent="0.2">
      <c r="A54" t="s">
        <v>5173</v>
      </c>
      <c r="J54" t="s">
        <v>5032</v>
      </c>
      <c r="R54" t="s">
        <v>5072</v>
      </c>
      <c r="S54" t="s">
        <v>5025</v>
      </c>
    </row>
    <row r="55" spans="1:19" x14ac:dyDescent="0.2">
      <c r="A55" t="s">
        <v>5174</v>
      </c>
      <c r="B55" t="s">
        <v>5065</v>
      </c>
      <c r="C55" t="s">
        <v>5050</v>
      </c>
      <c r="D55" t="s">
        <v>5050</v>
      </c>
    </row>
    <row r="56" spans="1:19" x14ac:dyDescent="0.2">
      <c r="A56" t="s">
        <v>5175</v>
      </c>
      <c r="B56" t="s">
        <v>5101</v>
      </c>
      <c r="C56" t="s">
        <v>5044</v>
      </c>
      <c r="D56" t="s">
        <v>5031</v>
      </c>
    </row>
    <row r="57" spans="1:19" x14ac:dyDescent="0.2">
      <c r="A57" t="s">
        <v>5176</v>
      </c>
      <c r="B57" t="s">
        <v>5073</v>
      </c>
      <c r="C57" t="s">
        <v>5050</v>
      </c>
      <c r="D57" t="s">
        <v>5052</v>
      </c>
    </row>
    <row r="58" spans="1:19" x14ac:dyDescent="0.2">
      <c r="A58" t="s">
        <v>5177</v>
      </c>
      <c r="C58" t="s">
        <v>5031</v>
      </c>
      <c r="D58" t="s">
        <v>5042</v>
      </c>
      <c r="E58" t="s">
        <v>5023</v>
      </c>
    </row>
    <row r="59" spans="1:19" x14ac:dyDescent="0.2">
      <c r="A59" t="s">
        <v>5178</v>
      </c>
      <c r="C59" t="s">
        <v>5023</v>
      </c>
      <c r="D59" t="s">
        <v>5044</v>
      </c>
      <c r="E59" t="s">
        <v>5027</v>
      </c>
    </row>
    <row r="60" spans="1:19" x14ac:dyDescent="0.2">
      <c r="A60" t="s">
        <v>5179</v>
      </c>
      <c r="C60" t="s">
        <v>5107</v>
      </c>
      <c r="D60" t="s">
        <v>5048</v>
      </c>
      <c r="H60" t="s">
        <v>5086</v>
      </c>
      <c r="I60" t="s">
        <v>5041</v>
      </c>
      <c r="K60" t="s">
        <v>5071</v>
      </c>
    </row>
    <row r="61" spans="1:19" x14ac:dyDescent="0.2">
      <c r="A61" t="s">
        <v>5180</v>
      </c>
      <c r="H61" t="s">
        <v>5046</v>
      </c>
      <c r="I61" t="s">
        <v>5181</v>
      </c>
      <c r="K61" t="s">
        <v>5182</v>
      </c>
      <c r="L61" t="s">
        <v>5028</v>
      </c>
      <c r="M61" t="s">
        <v>5028</v>
      </c>
      <c r="O61" t="s">
        <v>5118</v>
      </c>
      <c r="P61" t="s">
        <v>5183</v>
      </c>
    </row>
    <row r="62" spans="1:19" x14ac:dyDescent="0.2">
      <c r="A62" t="s">
        <v>5184</v>
      </c>
      <c r="C62" t="s">
        <v>5109</v>
      </c>
      <c r="D62" t="s">
        <v>5054</v>
      </c>
      <c r="H62" t="s">
        <v>5086</v>
      </c>
      <c r="I62" t="s">
        <v>5100</v>
      </c>
      <c r="K62" t="s">
        <v>5030</v>
      </c>
    </row>
    <row r="63" spans="1:19" x14ac:dyDescent="0.2">
      <c r="A63" t="s">
        <v>5185</v>
      </c>
      <c r="H63" t="s">
        <v>5100</v>
      </c>
      <c r="I63" t="s">
        <v>5181</v>
      </c>
      <c r="K63" t="s">
        <v>5159</v>
      </c>
      <c r="L63" t="s">
        <v>5031</v>
      </c>
      <c r="M63" t="s">
        <v>5028</v>
      </c>
      <c r="O63" t="s">
        <v>5072</v>
      </c>
      <c r="P63" t="s">
        <v>5078</v>
      </c>
    </row>
    <row r="64" spans="1:19" x14ac:dyDescent="0.2">
      <c r="A64" t="s">
        <v>5186</v>
      </c>
      <c r="H64" t="s">
        <v>5154</v>
      </c>
      <c r="I64" t="s">
        <v>5095</v>
      </c>
      <c r="K64" t="s">
        <v>5042</v>
      </c>
      <c r="L64" t="s">
        <v>5062</v>
      </c>
      <c r="M64" t="s">
        <v>5187</v>
      </c>
      <c r="O64" t="s">
        <v>5188</v>
      </c>
      <c r="P64" t="s">
        <v>5189</v>
      </c>
    </row>
    <row r="65" spans="1:14" x14ac:dyDescent="0.2">
      <c r="A65" t="s">
        <v>5190</v>
      </c>
      <c r="C65" t="s">
        <v>5041</v>
      </c>
      <c r="D65" t="s">
        <v>5069</v>
      </c>
      <c r="E65" t="s">
        <v>5044</v>
      </c>
    </row>
    <row r="66" spans="1:14" x14ac:dyDescent="0.2">
      <c r="A66" t="s">
        <v>5191</v>
      </c>
      <c r="C66" t="s">
        <v>5100</v>
      </c>
      <c r="D66" t="s">
        <v>5069</v>
      </c>
      <c r="E66" t="s">
        <v>5042</v>
      </c>
    </row>
    <row r="67" spans="1:14" x14ac:dyDescent="0.2">
      <c r="A67" t="s">
        <v>5192</v>
      </c>
      <c r="C67" t="s">
        <v>5100</v>
      </c>
      <c r="D67" t="s">
        <v>5054</v>
      </c>
      <c r="E67" t="s">
        <v>5044</v>
      </c>
    </row>
    <row r="68" spans="1:14" x14ac:dyDescent="0.2">
      <c r="A68" t="s">
        <v>5193</v>
      </c>
      <c r="B68" t="s">
        <v>5074</v>
      </c>
      <c r="C68" t="s">
        <v>5109</v>
      </c>
      <c r="D68" t="s">
        <v>5109</v>
      </c>
    </row>
    <row r="69" spans="1:14" x14ac:dyDescent="0.2">
      <c r="A69" t="s">
        <v>5194</v>
      </c>
      <c r="B69" t="s">
        <v>5065</v>
      </c>
      <c r="C69" t="s">
        <v>5109</v>
      </c>
      <c r="D69" t="s">
        <v>5109</v>
      </c>
    </row>
    <row r="70" spans="1:14" x14ac:dyDescent="0.2">
      <c r="A70" t="s">
        <v>5195</v>
      </c>
      <c r="B70" t="s">
        <v>5074</v>
      </c>
      <c r="C70" t="s">
        <v>5051</v>
      </c>
      <c r="D70" t="s">
        <v>5051</v>
      </c>
    </row>
    <row r="71" spans="1:14" x14ac:dyDescent="0.2">
      <c r="A71" t="s">
        <v>5196</v>
      </c>
      <c r="C71" t="s">
        <v>5023</v>
      </c>
      <c r="D71" t="s">
        <v>5039</v>
      </c>
      <c r="E71" t="s">
        <v>5071</v>
      </c>
      <c r="H71" t="s">
        <v>5110</v>
      </c>
      <c r="I71" t="s">
        <v>5071</v>
      </c>
      <c r="J71" t="s">
        <v>5030</v>
      </c>
    </row>
    <row r="72" spans="1:14" x14ac:dyDescent="0.2">
      <c r="A72" t="s">
        <v>5197</v>
      </c>
      <c r="C72" t="s">
        <v>5093</v>
      </c>
      <c r="D72" t="s">
        <v>5069</v>
      </c>
      <c r="H72" t="s">
        <v>5114</v>
      </c>
      <c r="I72" t="s">
        <v>5181</v>
      </c>
      <c r="K72" t="s">
        <v>5100</v>
      </c>
      <c r="L72" t="s">
        <v>5097</v>
      </c>
      <c r="M72" t="s">
        <v>5181</v>
      </c>
      <c r="N72" t="s">
        <v>5198</v>
      </c>
    </row>
    <row r="73" spans="1:14" x14ac:dyDescent="0.2">
      <c r="A73" t="s">
        <v>5199</v>
      </c>
      <c r="C73" t="s">
        <v>5109</v>
      </c>
      <c r="D73" t="s">
        <v>5069</v>
      </c>
      <c r="H73" t="s">
        <v>5070</v>
      </c>
      <c r="I73" t="s">
        <v>5086</v>
      </c>
      <c r="K73" t="s">
        <v>5069</v>
      </c>
      <c r="L73" t="s">
        <v>5028</v>
      </c>
      <c r="M73" t="s">
        <v>5030</v>
      </c>
      <c r="N73" t="s">
        <v>5182</v>
      </c>
    </row>
    <row r="74" spans="1:14" x14ac:dyDescent="0.2">
      <c r="A74" t="s">
        <v>5200</v>
      </c>
      <c r="C74" t="s">
        <v>5031</v>
      </c>
      <c r="D74" t="s">
        <v>5069</v>
      </c>
      <c r="H74" t="s">
        <v>5182</v>
      </c>
      <c r="I74" t="s">
        <v>5098</v>
      </c>
      <c r="K74" t="s">
        <v>5069</v>
      </c>
      <c r="L74" t="s">
        <v>5025</v>
      </c>
      <c r="M74" t="s">
        <v>5025</v>
      </c>
      <c r="N74" t="s">
        <v>5064</v>
      </c>
    </row>
    <row r="75" spans="1:14" x14ac:dyDescent="0.2">
      <c r="A75" t="s">
        <v>5201</v>
      </c>
      <c r="C75" t="s">
        <v>5041</v>
      </c>
      <c r="D75" t="s">
        <v>5069</v>
      </c>
      <c r="H75" t="s">
        <v>5095</v>
      </c>
      <c r="I75" t="s">
        <v>5164</v>
      </c>
      <c r="K75" t="s">
        <v>5064</v>
      </c>
      <c r="L75" t="s">
        <v>5048</v>
      </c>
      <c r="M75" t="s">
        <v>5107</v>
      </c>
      <c r="N75" t="s">
        <v>5097</v>
      </c>
    </row>
    <row r="76" spans="1:14" x14ac:dyDescent="0.2">
      <c r="A76" t="s">
        <v>5202</v>
      </c>
      <c r="C76" t="s">
        <v>5041</v>
      </c>
      <c r="D76" t="s">
        <v>5054</v>
      </c>
      <c r="H76" t="s">
        <v>5095</v>
      </c>
      <c r="I76" t="s">
        <v>5159</v>
      </c>
      <c r="K76" t="s">
        <v>5108</v>
      </c>
      <c r="L76" t="s">
        <v>5054</v>
      </c>
      <c r="M76" t="s">
        <v>5050</v>
      </c>
      <c r="N76" t="s">
        <v>5182</v>
      </c>
    </row>
    <row r="77" spans="1:14" x14ac:dyDescent="0.2">
      <c r="A77" t="s">
        <v>5203</v>
      </c>
      <c r="C77" t="s">
        <v>5044</v>
      </c>
      <c r="D77" t="s">
        <v>5069</v>
      </c>
      <c r="H77" t="s">
        <v>5181</v>
      </c>
      <c r="I77" t="s">
        <v>5086</v>
      </c>
      <c r="K77" t="s">
        <v>5181</v>
      </c>
      <c r="L77" t="s">
        <v>5100</v>
      </c>
      <c r="M77" t="s">
        <v>5100</v>
      </c>
      <c r="N77" t="s">
        <v>5101</v>
      </c>
    </row>
    <row r="78" spans="1:14" x14ac:dyDescent="0.2">
      <c r="A78" t="s">
        <v>5204</v>
      </c>
      <c r="C78" t="s">
        <v>5044</v>
      </c>
      <c r="D78" t="s">
        <v>5069</v>
      </c>
      <c r="H78" t="s">
        <v>5114</v>
      </c>
      <c r="I78" t="s">
        <v>5114</v>
      </c>
      <c r="K78" t="s">
        <v>5097</v>
      </c>
      <c r="L78" t="s">
        <v>5023</v>
      </c>
      <c r="M78" t="s">
        <v>5051</v>
      </c>
      <c r="N78" t="s">
        <v>5065</v>
      </c>
    </row>
    <row r="79" spans="1:14" x14ac:dyDescent="0.2">
      <c r="A79" t="s">
        <v>5205</v>
      </c>
      <c r="C79" t="s">
        <v>5044</v>
      </c>
      <c r="D79" t="s">
        <v>5054</v>
      </c>
      <c r="H79" t="s">
        <v>5095</v>
      </c>
      <c r="I79" t="s">
        <v>5095</v>
      </c>
      <c r="K79" t="s">
        <v>5069</v>
      </c>
      <c r="L79" t="s">
        <v>5107</v>
      </c>
      <c r="M79" t="s">
        <v>5044</v>
      </c>
      <c r="N79" t="s">
        <v>5065</v>
      </c>
    </row>
    <row r="80" spans="1:14" x14ac:dyDescent="0.2">
      <c r="A80" t="s">
        <v>5206</v>
      </c>
      <c r="C80" t="s">
        <v>5107</v>
      </c>
      <c r="D80" t="s">
        <v>5069</v>
      </c>
      <c r="H80" t="s">
        <v>5114</v>
      </c>
      <c r="I80" t="s">
        <v>5070</v>
      </c>
      <c r="K80" t="s">
        <v>5050</v>
      </c>
      <c r="L80" t="s">
        <v>5038</v>
      </c>
      <c r="M80" t="s">
        <v>5032</v>
      </c>
      <c r="N80" t="s">
        <v>5105</v>
      </c>
    </row>
    <row r="81" spans="1:14" x14ac:dyDescent="0.2">
      <c r="A81" t="s">
        <v>5207</v>
      </c>
      <c r="C81" t="s">
        <v>5109</v>
      </c>
      <c r="D81" t="s">
        <v>5054</v>
      </c>
      <c r="H81" t="s">
        <v>5095</v>
      </c>
      <c r="I81" t="s">
        <v>5070</v>
      </c>
      <c r="K81" t="s">
        <v>5041</v>
      </c>
      <c r="L81" t="s">
        <v>5111</v>
      </c>
      <c r="M81" t="s">
        <v>5025</v>
      </c>
      <c r="N81" t="s">
        <v>5208</v>
      </c>
    </row>
    <row r="82" spans="1:14" x14ac:dyDescent="0.2">
      <c r="A82" t="s">
        <v>5209</v>
      </c>
      <c r="C82" t="s">
        <v>5039</v>
      </c>
      <c r="D82" t="s">
        <v>5039</v>
      </c>
      <c r="E82" t="s">
        <v>5023</v>
      </c>
    </row>
    <row r="83" spans="1:14" x14ac:dyDescent="0.2">
      <c r="A83" t="s">
        <v>5210</v>
      </c>
      <c r="B83" t="s">
        <v>5090</v>
      </c>
      <c r="C83" t="s">
        <v>5042</v>
      </c>
      <c r="D83" t="s">
        <v>5042</v>
      </c>
    </row>
    <row r="84" spans="1:14" x14ac:dyDescent="0.2">
      <c r="A84" t="s">
        <v>5211</v>
      </c>
      <c r="B84" t="s">
        <v>5090</v>
      </c>
      <c r="C84" t="s">
        <v>5042</v>
      </c>
      <c r="D84" t="s">
        <v>5044</v>
      </c>
    </row>
    <row r="85" spans="1:14" x14ac:dyDescent="0.2">
      <c r="A85" t="s">
        <v>5212</v>
      </c>
      <c r="B85" t="s">
        <v>5090</v>
      </c>
      <c r="C85" t="s">
        <v>5042</v>
      </c>
      <c r="D85" t="s">
        <v>5042</v>
      </c>
    </row>
    <row r="86" spans="1:14" x14ac:dyDescent="0.2">
      <c r="A86" t="s">
        <v>5213</v>
      </c>
      <c r="C86" t="s">
        <v>5039</v>
      </c>
      <c r="D86" t="s">
        <v>5039</v>
      </c>
      <c r="E86" t="s">
        <v>5031</v>
      </c>
    </row>
    <row r="87" spans="1:14" x14ac:dyDescent="0.2">
      <c r="A87" t="s">
        <v>5214</v>
      </c>
      <c r="E87" t="s">
        <v>5032</v>
      </c>
      <c r="F87" t="s">
        <v>5104</v>
      </c>
      <c r="G87" t="s">
        <v>5025</v>
      </c>
    </row>
    <row r="88" spans="1:14" x14ac:dyDescent="0.2">
      <c r="A88" t="s">
        <v>5215</v>
      </c>
      <c r="E88" t="s">
        <v>5032</v>
      </c>
      <c r="F88" t="s">
        <v>5104</v>
      </c>
      <c r="G88" t="s">
        <v>5025</v>
      </c>
    </row>
    <row r="89" spans="1:14" x14ac:dyDescent="0.2">
      <c r="A89" t="s">
        <v>5216</v>
      </c>
      <c r="C89" t="s">
        <v>5069</v>
      </c>
      <c r="D89" t="s">
        <v>5046</v>
      </c>
      <c r="E89" t="s">
        <v>5048</v>
      </c>
      <c r="H89" t="s">
        <v>5052</v>
      </c>
      <c r="I89" t="s">
        <v>5093</v>
      </c>
      <c r="J89" t="s">
        <v>5052</v>
      </c>
    </row>
    <row r="90" spans="1:14" x14ac:dyDescent="0.2">
      <c r="A90" t="s">
        <v>5217</v>
      </c>
      <c r="C90" t="s">
        <v>5145</v>
      </c>
      <c r="D90" t="s">
        <v>5110</v>
      </c>
      <c r="H90" t="s">
        <v>5109</v>
      </c>
      <c r="I90" t="s">
        <v>5039</v>
      </c>
      <c r="K90" t="s">
        <v>5218</v>
      </c>
      <c r="L90" t="s">
        <v>5075</v>
      </c>
      <c r="M90" t="s">
        <v>5219</v>
      </c>
      <c r="N90" t="s">
        <v>5220</v>
      </c>
    </row>
    <row r="91" spans="1:14" x14ac:dyDescent="0.2">
      <c r="A91" t="s">
        <v>5221</v>
      </c>
      <c r="C91" t="s">
        <v>5021</v>
      </c>
      <c r="D91" t="s">
        <v>5110</v>
      </c>
      <c r="H91" t="s">
        <v>5051</v>
      </c>
      <c r="I91" t="s">
        <v>5028</v>
      </c>
      <c r="K91" t="s">
        <v>5077</v>
      </c>
      <c r="L91" t="s">
        <v>5222</v>
      </c>
      <c r="M91" t="s">
        <v>5223</v>
      </c>
      <c r="N91" t="s">
        <v>5224</v>
      </c>
    </row>
    <row r="92" spans="1:14" x14ac:dyDescent="0.2">
      <c r="A92" t="s">
        <v>5225</v>
      </c>
      <c r="C92" t="s">
        <v>5021</v>
      </c>
      <c r="D92" t="s">
        <v>5039</v>
      </c>
      <c r="H92" t="s">
        <v>5051</v>
      </c>
      <c r="I92" t="s">
        <v>5038</v>
      </c>
      <c r="K92" t="s">
        <v>5218</v>
      </c>
      <c r="L92" t="s">
        <v>5105</v>
      </c>
      <c r="M92" t="s">
        <v>5226</v>
      </c>
      <c r="N92" t="s">
        <v>5140</v>
      </c>
    </row>
    <row r="93" spans="1:14" x14ac:dyDescent="0.2">
      <c r="A93" t="s">
        <v>5227</v>
      </c>
      <c r="C93" t="s">
        <v>5030</v>
      </c>
      <c r="D93" t="s">
        <v>5031</v>
      </c>
      <c r="H93" t="s">
        <v>5109</v>
      </c>
      <c r="I93" t="s">
        <v>5039</v>
      </c>
      <c r="K93" t="s">
        <v>5077</v>
      </c>
      <c r="L93" t="s">
        <v>5067</v>
      </c>
      <c r="M93" t="s">
        <v>5134</v>
      </c>
      <c r="N93" t="s">
        <v>5140</v>
      </c>
    </row>
    <row r="94" spans="1:14" x14ac:dyDescent="0.2">
      <c r="A94" t="s">
        <v>5228</v>
      </c>
      <c r="C94" t="s">
        <v>5030</v>
      </c>
      <c r="D94" t="s">
        <v>5107</v>
      </c>
      <c r="H94" t="s">
        <v>5042</v>
      </c>
      <c r="I94" t="s">
        <v>5145</v>
      </c>
      <c r="K94" t="s">
        <v>5218</v>
      </c>
      <c r="L94" t="s">
        <v>5229</v>
      </c>
      <c r="M94" t="s">
        <v>5067</v>
      </c>
      <c r="N94" t="s">
        <v>5224</v>
      </c>
    </row>
    <row r="95" spans="1:14" x14ac:dyDescent="0.2">
      <c r="A95" t="s">
        <v>5230</v>
      </c>
      <c r="C95" t="s">
        <v>5071</v>
      </c>
      <c r="D95" t="s">
        <v>5109</v>
      </c>
      <c r="H95" t="s">
        <v>5050</v>
      </c>
      <c r="I95" t="s">
        <v>5071</v>
      </c>
      <c r="K95" t="s">
        <v>5111</v>
      </c>
      <c r="L95" t="s">
        <v>5090</v>
      </c>
      <c r="M95" t="s">
        <v>5183</v>
      </c>
      <c r="N95" t="s">
        <v>5079</v>
      </c>
    </row>
    <row r="96" spans="1:14" x14ac:dyDescent="0.2">
      <c r="A96" t="s">
        <v>5231</v>
      </c>
      <c r="C96" t="s">
        <v>5027</v>
      </c>
      <c r="D96" t="s">
        <v>5052</v>
      </c>
      <c r="E96" t="s">
        <v>5071</v>
      </c>
    </row>
    <row r="97" spans="1:33" x14ac:dyDescent="0.2">
      <c r="A97" t="s">
        <v>5232</v>
      </c>
      <c r="C97" t="s">
        <v>5071</v>
      </c>
      <c r="D97" t="s">
        <v>5041</v>
      </c>
      <c r="E97" t="s">
        <v>5071</v>
      </c>
    </row>
    <row r="98" spans="1:33" x14ac:dyDescent="0.2">
      <c r="A98" t="s">
        <v>5233</v>
      </c>
      <c r="C98" t="s">
        <v>5071</v>
      </c>
      <c r="D98" t="s">
        <v>5050</v>
      </c>
      <c r="E98" t="s">
        <v>5071</v>
      </c>
    </row>
    <row r="99" spans="1:33" x14ac:dyDescent="0.2">
      <c r="A99" t="s">
        <v>5234</v>
      </c>
      <c r="B99" t="s">
        <v>5065</v>
      </c>
      <c r="C99" t="s">
        <v>5107</v>
      </c>
      <c r="D99" t="s">
        <v>5023</v>
      </c>
    </row>
    <row r="100" spans="1:33" x14ac:dyDescent="0.2">
      <c r="A100" t="s">
        <v>5235</v>
      </c>
      <c r="B100" t="s">
        <v>5073</v>
      </c>
      <c r="C100" t="s">
        <v>5107</v>
      </c>
      <c r="D100" t="s">
        <v>5031</v>
      </c>
    </row>
    <row r="101" spans="1:33" x14ac:dyDescent="0.2">
      <c r="A101" t="s">
        <v>5236</v>
      </c>
      <c r="H101" t="s">
        <v>5086</v>
      </c>
      <c r="I101" t="s">
        <v>5054</v>
      </c>
      <c r="K101" t="s">
        <v>5044</v>
      </c>
      <c r="L101" t="s">
        <v>5031</v>
      </c>
      <c r="M101" t="s">
        <v>5025</v>
      </c>
      <c r="O101" t="s">
        <v>5223</v>
      </c>
      <c r="P101" t="s">
        <v>5237</v>
      </c>
    </row>
    <row r="102" spans="1:33" x14ac:dyDescent="0.2">
      <c r="A102" t="s">
        <v>5238</v>
      </c>
      <c r="C102" t="s">
        <v>5030</v>
      </c>
      <c r="U102" t="s">
        <v>5025</v>
      </c>
      <c r="V102" t="s">
        <v>5104</v>
      </c>
    </row>
    <row r="103" spans="1:33" x14ac:dyDescent="0.2">
      <c r="A103" t="s">
        <v>5240</v>
      </c>
      <c r="K103" t="s">
        <v>5241</v>
      </c>
      <c r="W103" t="s">
        <v>5243</v>
      </c>
      <c r="X103" t="s">
        <v>5243</v>
      </c>
    </row>
    <row r="104" spans="1:33" x14ac:dyDescent="0.2">
      <c r="A104" t="s">
        <v>5245</v>
      </c>
      <c r="F104" t="s">
        <v>5028</v>
      </c>
      <c r="Y104" t="s">
        <v>5025</v>
      </c>
    </row>
    <row r="105" spans="1:33" x14ac:dyDescent="0.2">
      <c r="A105" t="s">
        <v>5247</v>
      </c>
      <c r="C105" t="s">
        <v>5032</v>
      </c>
      <c r="Z105" t="s">
        <v>5119</v>
      </c>
      <c r="AA105" t="s">
        <v>5025</v>
      </c>
    </row>
    <row r="106" spans="1:33" x14ac:dyDescent="0.2">
      <c r="A106" t="s">
        <v>5250</v>
      </c>
      <c r="C106" t="s">
        <v>5100</v>
      </c>
      <c r="E106" t="s">
        <v>5071</v>
      </c>
      <c r="V106" t="s">
        <v>5118</v>
      </c>
    </row>
    <row r="107" spans="1:33" x14ac:dyDescent="0.2">
      <c r="A107" t="s">
        <v>5251</v>
      </c>
      <c r="C107" t="s">
        <v>5093</v>
      </c>
      <c r="Z107" t="s">
        <v>5042</v>
      </c>
      <c r="AB107" t="s">
        <v>5048</v>
      </c>
    </row>
    <row r="108" spans="1:33" x14ac:dyDescent="0.2">
      <c r="A108" t="s">
        <v>5253</v>
      </c>
      <c r="C108" t="s">
        <v>5021</v>
      </c>
      <c r="E108" t="s">
        <v>5023</v>
      </c>
      <c r="V108" t="s">
        <v>5095</v>
      </c>
    </row>
    <row r="109" spans="1:33" x14ac:dyDescent="0.2">
      <c r="A109" t="s">
        <v>5254</v>
      </c>
      <c r="F109" t="s">
        <v>5118</v>
      </c>
      <c r="U109" t="s">
        <v>5025</v>
      </c>
      <c r="Y109" t="s">
        <v>5145</v>
      </c>
      <c r="AC109" t="s">
        <v>5110</v>
      </c>
      <c r="AD109" t="s">
        <v>5110</v>
      </c>
      <c r="AE109" t="s">
        <v>5039</v>
      </c>
      <c r="AF109" t="s">
        <v>5025</v>
      </c>
      <c r="AG109" t="s">
        <v>5028</v>
      </c>
    </row>
    <row r="110" spans="1:33" x14ac:dyDescent="0.2">
      <c r="A110" t="s">
        <v>5260</v>
      </c>
      <c r="B110" t="s">
        <v>5066</v>
      </c>
      <c r="C110" t="s">
        <v>5109</v>
      </c>
      <c r="D110" t="s">
        <v>5042</v>
      </c>
    </row>
    <row r="111" spans="1:33" x14ac:dyDescent="0.2">
      <c r="A111" t="s">
        <v>5261</v>
      </c>
      <c r="B111" t="s">
        <v>5066</v>
      </c>
      <c r="C111" t="s">
        <v>5107</v>
      </c>
      <c r="D111" t="s">
        <v>5051</v>
      </c>
      <c r="T111" t="s">
        <v>5066</v>
      </c>
    </row>
    <row r="112" spans="1:33" x14ac:dyDescent="0.2">
      <c r="A112" t="s">
        <v>5262</v>
      </c>
      <c r="B112" t="s">
        <v>5066</v>
      </c>
      <c r="C112" t="s">
        <v>5107</v>
      </c>
      <c r="D112" t="s">
        <v>5042</v>
      </c>
    </row>
    <row r="113" spans="1:39" x14ac:dyDescent="0.2">
      <c r="A113" t="s">
        <v>5263</v>
      </c>
      <c r="C113" t="s">
        <v>5109</v>
      </c>
      <c r="D113" t="s">
        <v>5069</v>
      </c>
      <c r="H113" t="s">
        <v>5095</v>
      </c>
      <c r="I113" t="s">
        <v>5054</v>
      </c>
      <c r="K113" t="s">
        <v>5031</v>
      </c>
      <c r="L113" t="s">
        <v>5073</v>
      </c>
      <c r="M113" t="s">
        <v>5078</v>
      </c>
      <c r="N113" t="s">
        <v>5264</v>
      </c>
    </row>
    <row r="114" spans="1:39" x14ac:dyDescent="0.2">
      <c r="A114" t="s">
        <v>5265</v>
      </c>
      <c r="C114" t="s">
        <v>5109</v>
      </c>
      <c r="D114" t="s">
        <v>5069</v>
      </c>
      <c r="H114" t="s">
        <v>5181</v>
      </c>
      <c r="I114" t="s">
        <v>5054</v>
      </c>
      <c r="K114" t="s">
        <v>5107</v>
      </c>
      <c r="L114" t="s">
        <v>5218</v>
      </c>
      <c r="M114" t="s">
        <v>5229</v>
      </c>
      <c r="N114" t="s">
        <v>5266</v>
      </c>
    </row>
    <row r="115" spans="1:39" x14ac:dyDescent="0.2">
      <c r="A115" t="s">
        <v>5267</v>
      </c>
      <c r="C115" t="s">
        <v>5109</v>
      </c>
      <c r="D115" t="s">
        <v>5069</v>
      </c>
      <c r="H115" t="s">
        <v>5114</v>
      </c>
      <c r="I115" t="s">
        <v>5064</v>
      </c>
      <c r="K115" t="s">
        <v>5051</v>
      </c>
      <c r="L115" t="s">
        <v>5111</v>
      </c>
      <c r="M115" t="s">
        <v>5066</v>
      </c>
      <c r="N115" t="s">
        <v>5222</v>
      </c>
    </row>
    <row r="116" spans="1:39" x14ac:dyDescent="0.2">
      <c r="A116" t="s">
        <v>5268</v>
      </c>
      <c r="C116" t="s">
        <v>5109</v>
      </c>
      <c r="D116" t="s">
        <v>5069</v>
      </c>
      <c r="H116" t="s">
        <v>5181</v>
      </c>
      <c r="I116" t="s">
        <v>5097</v>
      </c>
      <c r="K116" t="s">
        <v>5109</v>
      </c>
      <c r="L116" t="s">
        <v>5087</v>
      </c>
      <c r="M116" t="s">
        <v>5073</v>
      </c>
      <c r="N116" t="s">
        <v>5062</v>
      </c>
    </row>
    <row r="117" spans="1:39" x14ac:dyDescent="0.2">
      <c r="A117" t="s">
        <v>5269</v>
      </c>
      <c r="AH117" t="s">
        <v>5104</v>
      </c>
      <c r="AI117" t="s">
        <v>5104</v>
      </c>
    </row>
    <row r="118" spans="1:39" x14ac:dyDescent="0.2">
      <c r="A118" t="s">
        <v>5272</v>
      </c>
      <c r="C118" t="s">
        <v>5027</v>
      </c>
      <c r="U118" t="s">
        <v>5027</v>
      </c>
      <c r="V118" t="s">
        <v>5110</v>
      </c>
    </row>
    <row r="119" spans="1:39" x14ac:dyDescent="0.2">
      <c r="A119" t="s">
        <v>5273</v>
      </c>
      <c r="J119" t="s">
        <v>5028</v>
      </c>
      <c r="R119" t="s">
        <v>5028</v>
      </c>
      <c r="S119" t="s">
        <v>5038</v>
      </c>
    </row>
    <row r="120" spans="1:39" x14ac:dyDescent="0.2">
      <c r="A120" t="s">
        <v>5274</v>
      </c>
      <c r="K120" t="s">
        <v>5275</v>
      </c>
      <c r="W120" t="s">
        <v>5075</v>
      </c>
      <c r="X120" t="s">
        <v>5164</v>
      </c>
    </row>
    <row r="121" spans="1:39" x14ac:dyDescent="0.2">
      <c r="A121" t="s">
        <v>5276</v>
      </c>
      <c r="R121" t="s">
        <v>5038</v>
      </c>
      <c r="Z121" t="s">
        <v>5052</v>
      </c>
      <c r="AJ121" t="s">
        <v>5109</v>
      </c>
      <c r="AK121" t="s">
        <v>5032</v>
      </c>
    </row>
    <row r="122" spans="1:39" x14ac:dyDescent="0.2">
      <c r="A122" t="s">
        <v>5279</v>
      </c>
      <c r="G122" t="s">
        <v>5098</v>
      </c>
      <c r="Z122" t="s">
        <v>5048</v>
      </c>
      <c r="AA122" t="s">
        <v>5046</v>
      </c>
    </row>
    <row r="123" spans="1:39" x14ac:dyDescent="0.2">
      <c r="A123" t="s">
        <v>5280</v>
      </c>
      <c r="C123" t="s">
        <v>5032</v>
      </c>
      <c r="V123" t="s">
        <v>5118</v>
      </c>
    </row>
    <row r="124" spans="1:39" x14ac:dyDescent="0.2">
      <c r="A124" t="s">
        <v>5281</v>
      </c>
      <c r="K124" t="s">
        <v>5282</v>
      </c>
      <c r="W124" t="s">
        <v>5283</v>
      </c>
      <c r="X124" t="s">
        <v>5101</v>
      </c>
    </row>
    <row r="125" spans="1:39" x14ac:dyDescent="0.2">
      <c r="A125" t="s">
        <v>5284</v>
      </c>
      <c r="G125" t="s">
        <v>5051</v>
      </c>
      <c r="Q125" t="s">
        <v>5072</v>
      </c>
      <c r="AL125" t="s">
        <v>5046</v>
      </c>
      <c r="AM125" t="s">
        <v>5025</v>
      </c>
    </row>
    <row r="126" spans="1:39" x14ac:dyDescent="0.2">
      <c r="A126" t="s">
        <v>5287</v>
      </c>
      <c r="AA126" t="s">
        <v>5027</v>
      </c>
      <c r="AH126" t="s">
        <v>5110</v>
      </c>
      <c r="AI126" t="s">
        <v>5031</v>
      </c>
    </row>
    <row r="127" spans="1:39" x14ac:dyDescent="0.2">
      <c r="A127" t="s">
        <v>5288</v>
      </c>
      <c r="C127" t="s">
        <v>5023</v>
      </c>
      <c r="Z127" t="s">
        <v>5044</v>
      </c>
      <c r="AA127" t="s">
        <v>5110</v>
      </c>
    </row>
    <row r="128" spans="1:39" x14ac:dyDescent="0.2">
      <c r="A128" t="s">
        <v>5289</v>
      </c>
      <c r="G128" t="s">
        <v>5093</v>
      </c>
      <c r="J128" t="s">
        <v>5051</v>
      </c>
      <c r="AL128" t="s">
        <v>5044</v>
      </c>
    </row>
    <row r="129" spans="1:53" x14ac:dyDescent="0.2">
      <c r="A129" t="s">
        <v>5290</v>
      </c>
      <c r="AN129" t="s">
        <v>5030</v>
      </c>
    </row>
    <row r="130" spans="1:53" x14ac:dyDescent="0.2">
      <c r="A130" t="s">
        <v>5292</v>
      </c>
      <c r="F130" t="s">
        <v>5039</v>
      </c>
      <c r="G130" t="s">
        <v>5025</v>
      </c>
      <c r="R130" t="s">
        <v>5042</v>
      </c>
      <c r="AH130" t="s">
        <v>5110</v>
      </c>
      <c r="AI130" t="s">
        <v>5072</v>
      </c>
      <c r="AJ130" t="s">
        <v>5072</v>
      </c>
      <c r="AO130" t="s">
        <v>5039</v>
      </c>
      <c r="AP130" t="s">
        <v>5110</v>
      </c>
      <c r="AQ130" t="s">
        <v>5044</v>
      </c>
      <c r="AR130" t="s">
        <v>5042</v>
      </c>
    </row>
    <row r="131" spans="1:53" x14ac:dyDescent="0.2">
      <c r="A131" t="s">
        <v>5297</v>
      </c>
      <c r="F131" t="s">
        <v>5042</v>
      </c>
      <c r="G131" t="s">
        <v>5042</v>
      </c>
      <c r="R131" t="s">
        <v>5108</v>
      </c>
      <c r="AH131" t="s">
        <v>5042</v>
      </c>
      <c r="AI131" t="s">
        <v>5050</v>
      </c>
      <c r="AJ131" t="s">
        <v>5050</v>
      </c>
      <c r="AO131" t="s">
        <v>5021</v>
      </c>
      <c r="AP131" t="s">
        <v>5100</v>
      </c>
      <c r="AQ131" t="s">
        <v>5108</v>
      </c>
      <c r="AR131" t="s">
        <v>5181</v>
      </c>
    </row>
    <row r="132" spans="1:53" x14ac:dyDescent="0.2">
      <c r="A132" t="s">
        <v>5298</v>
      </c>
      <c r="F132" t="s">
        <v>5030</v>
      </c>
      <c r="G132" t="s">
        <v>5072</v>
      </c>
      <c r="R132" t="s">
        <v>5039</v>
      </c>
      <c r="AH132" t="s">
        <v>5071</v>
      </c>
      <c r="AI132" t="s">
        <v>5039</v>
      </c>
      <c r="AJ132" t="s">
        <v>5039</v>
      </c>
      <c r="AO132" t="s">
        <v>5145</v>
      </c>
      <c r="AP132" t="s">
        <v>5028</v>
      </c>
      <c r="AQ132" t="s">
        <v>5025</v>
      </c>
      <c r="AR132" t="s">
        <v>5072</v>
      </c>
    </row>
    <row r="133" spans="1:53" x14ac:dyDescent="0.2">
      <c r="A133" t="s">
        <v>5299</v>
      </c>
      <c r="AS133" t="s">
        <v>5101</v>
      </c>
      <c r="AT133" t="s">
        <v>5065</v>
      </c>
      <c r="AU133" t="s">
        <v>5065</v>
      </c>
      <c r="AV133" t="s">
        <v>5090</v>
      </c>
      <c r="AW133" t="s">
        <v>5305</v>
      </c>
      <c r="AX133" t="s">
        <v>5066</v>
      </c>
    </row>
    <row r="134" spans="1:53" x14ac:dyDescent="0.2">
      <c r="A134" t="s">
        <v>5307</v>
      </c>
      <c r="J134" t="s">
        <v>5023</v>
      </c>
      <c r="K134" t="s">
        <v>5027</v>
      </c>
      <c r="P134" t="s">
        <v>5109</v>
      </c>
      <c r="X134" t="s">
        <v>5051</v>
      </c>
      <c r="AT134" t="s">
        <v>5025</v>
      </c>
      <c r="AY134" t="s">
        <v>5031</v>
      </c>
      <c r="AZ134" t="s">
        <v>5051</v>
      </c>
      <c r="BA134" t="s">
        <v>5042</v>
      </c>
    </row>
    <row r="135" spans="1:53" x14ac:dyDescent="0.2">
      <c r="A135" t="s">
        <v>5311</v>
      </c>
      <c r="C135" t="s">
        <v>5048</v>
      </c>
      <c r="D135" t="s">
        <v>5069</v>
      </c>
      <c r="H135" t="s">
        <v>5046</v>
      </c>
      <c r="I135" t="s">
        <v>5050</v>
      </c>
      <c r="K135" t="s">
        <v>5109</v>
      </c>
      <c r="L135" t="s">
        <v>5074</v>
      </c>
      <c r="M135" t="s">
        <v>5208</v>
      </c>
      <c r="N135" t="s">
        <v>5142</v>
      </c>
    </row>
    <row r="136" spans="1:53" x14ac:dyDescent="0.2">
      <c r="A136" t="s">
        <v>5312</v>
      </c>
      <c r="C136" t="s">
        <v>5093</v>
      </c>
      <c r="D136" t="s">
        <v>5069</v>
      </c>
      <c r="H136" t="s">
        <v>5046</v>
      </c>
      <c r="I136" t="s">
        <v>5042</v>
      </c>
      <c r="K136" t="s">
        <v>5107</v>
      </c>
      <c r="L136" t="s">
        <v>5038</v>
      </c>
      <c r="M136" t="s">
        <v>5229</v>
      </c>
      <c r="N136" t="s">
        <v>5079</v>
      </c>
    </row>
    <row r="137" spans="1:53" x14ac:dyDescent="0.2">
      <c r="A137" t="s">
        <v>5313</v>
      </c>
      <c r="C137" t="s">
        <v>5050</v>
      </c>
      <c r="D137" t="s">
        <v>5069</v>
      </c>
      <c r="E137" t="s">
        <v>5051</v>
      </c>
    </row>
    <row r="138" spans="1:53" x14ac:dyDescent="0.2">
      <c r="A138" t="s">
        <v>5314</v>
      </c>
      <c r="C138" t="s">
        <v>5041</v>
      </c>
      <c r="D138" t="s">
        <v>5069</v>
      </c>
      <c r="E138" t="s">
        <v>5044</v>
      </c>
    </row>
    <row r="139" spans="1:53" x14ac:dyDescent="0.2">
      <c r="A139" t="s">
        <v>5315</v>
      </c>
      <c r="C139" t="s">
        <v>5041</v>
      </c>
      <c r="D139" t="s">
        <v>5069</v>
      </c>
      <c r="E139" t="s">
        <v>5044</v>
      </c>
    </row>
    <row r="140" spans="1:53" x14ac:dyDescent="0.2">
      <c r="A140" t="s">
        <v>5316</v>
      </c>
      <c r="E140" t="s">
        <v>5104</v>
      </c>
      <c r="F140" t="s">
        <v>5028</v>
      </c>
      <c r="G140" t="s">
        <v>5030</v>
      </c>
    </row>
    <row r="141" spans="1:53" x14ac:dyDescent="0.2">
      <c r="A141" t="s">
        <v>5317</v>
      </c>
      <c r="E141" t="s">
        <v>5118</v>
      </c>
      <c r="F141" t="s">
        <v>5038</v>
      </c>
      <c r="G141" t="s">
        <v>5021</v>
      </c>
    </row>
    <row r="142" spans="1:53" x14ac:dyDescent="0.2">
      <c r="A142" t="s">
        <v>5318</v>
      </c>
      <c r="B142" t="s">
        <v>5090</v>
      </c>
      <c r="C142" t="s">
        <v>5031</v>
      </c>
      <c r="D142" t="s">
        <v>5031</v>
      </c>
    </row>
    <row r="143" spans="1:53" x14ac:dyDescent="0.2">
      <c r="A143" t="s">
        <v>5319</v>
      </c>
      <c r="B143" t="s">
        <v>5073</v>
      </c>
      <c r="C143" t="s">
        <v>5031</v>
      </c>
      <c r="D143" t="s">
        <v>5023</v>
      </c>
    </row>
    <row r="144" spans="1:53" x14ac:dyDescent="0.2">
      <c r="A144" t="s">
        <v>5320</v>
      </c>
      <c r="B144" t="s">
        <v>5073</v>
      </c>
      <c r="C144" t="s">
        <v>5031</v>
      </c>
      <c r="D144" t="s">
        <v>5023</v>
      </c>
    </row>
    <row r="145" spans="1:58" x14ac:dyDescent="0.2">
      <c r="A145" t="s">
        <v>5321</v>
      </c>
      <c r="C145" t="s">
        <v>5048</v>
      </c>
      <c r="D145" t="s">
        <v>5041</v>
      </c>
      <c r="E145" t="s">
        <v>5046</v>
      </c>
      <c r="H145" t="s">
        <v>5031</v>
      </c>
      <c r="I145" t="s">
        <v>5031</v>
      </c>
      <c r="J145" t="s">
        <v>5107</v>
      </c>
    </row>
    <row r="146" spans="1:58" x14ac:dyDescent="0.2">
      <c r="A146" t="s">
        <v>5322</v>
      </c>
      <c r="C146" t="s">
        <v>5054</v>
      </c>
      <c r="D146" t="s">
        <v>5052</v>
      </c>
      <c r="E146" t="s">
        <v>5069</v>
      </c>
      <c r="H146" t="s">
        <v>5031</v>
      </c>
      <c r="I146" t="s">
        <v>5031</v>
      </c>
      <c r="J146" t="s">
        <v>5107</v>
      </c>
    </row>
    <row r="147" spans="1:58" x14ac:dyDescent="0.2">
      <c r="A147" t="s">
        <v>5323</v>
      </c>
      <c r="C147" t="s">
        <v>5048</v>
      </c>
      <c r="D147" t="s">
        <v>5052</v>
      </c>
      <c r="E147" t="s">
        <v>5048</v>
      </c>
      <c r="H147" t="s">
        <v>5107</v>
      </c>
      <c r="I147" t="s">
        <v>5107</v>
      </c>
      <c r="J147" t="s">
        <v>5109</v>
      </c>
    </row>
    <row r="148" spans="1:58" x14ac:dyDescent="0.2">
      <c r="A148" t="s">
        <v>5324</v>
      </c>
      <c r="C148" t="s">
        <v>5052</v>
      </c>
      <c r="D148" t="s">
        <v>5093</v>
      </c>
      <c r="H148" t="s">
        <v>5108</v>
      </c>
      <c r="I148" t="s">
        <v>5093</v>
      </c>
      <c r="K148" t="s">
        <v>5023</v>
      </c>
      <c r="L148" t="s">
        <v>5073</v>
      </c>
      <c r="M148" t="s">
        <v>5141</v>
      </c>
      <c r="N148" t="s">
        <v>5136</v>
      </c>
    </row>
    <row r="149" spans="1:58" x14ac:dyDescent="0.2">
      <c r="A149" t="s">
        <v>5325</v>
      </c>
      <c r="C149" t="s">
        <v>5041</v>
      </c>
      <c r="D149" t="s">
        <v>5048</v>
      </c>
      <c r="H149" t="s">
        <v>5048</v>
      </c>
      <c r="I149" t="s">
        <v>5041</v>
      </c>
      <c r="K149" t="s">
        <v>5051</v>
      </c>
      <c r="L149" t="s">
        <v>5118</v>
      </c>
      <c r="M149" t="s">
        <v>5066</v>
      </c>
      <c r="N149" t="s">
        <v>5326</v>
      </c>
    </row>
    <row r="150" spans="1:58" x14ac:dyDescent="0.2">
      <c r="A150" t="s">
        <v>5327</v>
      </c>
      <c r="C150" t="s">
        <v>5052</v>
      </c>
      <c r="D150" t="s">
        <v>5054</v>
      </c>
      <c r="H150" t="s">
        <v>5069</v>
      </c>
      <c r="I150" t="s">
        <v>5100</v>
      </c>
      <c r="K150" t="s">
        <v>5041</v>
      </c>
      <c r="L150" t="s">
        <v>5072</v>
      </c>
      <c r="M150" t="s">
        <v>5078</v>
      </c>
      <c r="N150" t="s">
        <v>5237</v>
      </c>
    </row>
    <row r="151" spans="1:58" x14ac:dyDescent="0.2">
      <c r="A151" t="s">
        <v>5328</v>
      </c>
      <c r="C151" t="s">
        <v>5041</v>
      </c>
      <c r="D151" t="s">
        <v>5048</v>
      </c>
      <c r="H151" t="s">
        <v>5093</v>
      </c>
      <c r="I151" t="s">
        <v>5100</v>
      </c>
      <c r="K151" t="s">
        <v>5041</v>
      </c>
      <c r="L151" t="s">
        <v>5118</v>
      </c>
      <c r="M151" t="s">
        <v>5067</v>
      </c>
      <c r="N151" t="s">
        <v>5138</v>
      </c>
    </row>
    <row r="152" spans="1:58" x14ac:dyDescent="0.2">
      <c r="A152" t="s">
        <v>5329</v>
      </c>
      <c r="H152" t="s">
        <v>5054</v>
      </c>
      <c r="I152" t="s">
        <v>5086</v>
      </c>
      <c r="K152" t="s">
        <v>5095</v>
      </c>
      <c r="L152" t="s">
        <v>5093</v>
      </c>
      <c r="M152" t="s">
        <v>5107</v>
      </c>
      <c r="O152" t="s">
        <v>5101</v>
      </c>
      <c r="P152" t="s">
        <v>5140</v>
      </c>
    </row>
    <row r="153" spans="1:58" x14ac:dyDescent="0.2">
      <c r="A153" t="s">
        <v>5330</v>
      </c>
      <c r="F153" t="s">
        <v>5021</v>
      </c>
      <c r="U153" t="s">
        <v>5065</v>
      </c>
      <c r="BB153" t="s">
        <v>5027</v>
      </c>
    </row>
    <row r="154" spans="1:58" x14ac:dyDescent="0.2">
      <c r="A154" t="s">
        <v>5332</v>
      </c>
      <c r="F154" t="s">
        <v>5048</v>
      </c>
      <c r="Y154" t="s">
        <v>5054</v>
      </c>
      <c r="AD154" t="s">
        <v>5093</v>
      </c>
      <c r="AE154" t="s">
        <v>5069</v>
      </c>
      <c r="AF154" t="s">
        <v>5054</v>
      </c>
      <c r="AG154" t="s">
        <v>5069</v>
      </c>
    </row>
    <row r="155" spans="1:58" x14ac:dyDescent="0.2">
      <c r="A155" t="s">
        <v>5333</v>
      </c>
      <c r="C155" t="s">
        <v>5023</v>
      </c>
      <c r="E155" t="s">
        <v>5039</v>
      </c>
      <c r="AA155" t="s">
        <v>5031</v>
      </c>
      <c r="BC155" t="s">
        <v>5111</v>
      </c>
    </row>
    <row r="156" spans="1:58" x14ac:dyDescent="0.2">
      <c r="A156" t="s">
        <v>5335</v>
      </c>
      <c r="F156" t="s">
        <v>5032</v>
      </c>
      <c r="G156" t="s">
        <v>5111</v>
      </c>
      <c r="AL156" t="s">
        <v>5119</v>
      </c>
      <c r="BD156" t="s">
        <v>5030</v>
      </c>
      <c r="BE156" t="s">
        <v>5071</v>
      </c>
    </row>
    <row r="157" spans="1:58" x14ac:dyDescent="0.2">
      <c r="A157" t="s">
        <v>5338</v>
      </c>
      <c r="F157" t="s">
        <v>5042</v>
      </c>
      <c r="G157" t="s">
        <v>5052</v>
      </c>
      <c r="AL157" t="s">
        <v>5165</v>
      </c>
    </row>
    <row r="158" spans="1:58" x14ac:dyDescent="0.2">
      <c r="A158" t="s">
        <v>5339</v>
      </c>
      <c r="C158" t="s">
        <v>5071</v>
      </c>
      <c r="D158" t="s">
        <v>5027</v>
      </c>
      <c r="AA158" t="s">
        <v>5031</v>
      </c>
      <c r="AK158" t="s">
        <v>5065</v>
      </c>
      <c r="BF158" t="s">
        <v>5110</v>
      </c>
    </row>
    <row r="159" spans="1:58" x14ac:dyDescent="0.2">
      <c r="A159" t="s">
        <v>5341</v>
      </c>
      <c r="G159" t="s">
        <v>5086</v>
      </c>
      <c r="K159" t="s">
        <v>5087</v>
      </c>
    </row>
    <row r="160" spans="1:58" x14ac:dyDescent="0.2">
      <c r="A160" t="s">
        <v>5342</v>
      </c>
      <c r="C160" t="s">
        <v>5073</v>
      </c>
      <c r="E160" t="s">
        <v>5032</v>
      </c>
    </row>
    <row r="161" spans="1:59" x14ac:dyDescent="0.2">
      <c r="A161" t="s">
        <v>5343</v>
      </c>
      <c r="G161" t="s">
        <v>5048</v>
      </c>
      <c r="J161" t="s">
        <v>5042</v>
      </c>
      <c r="AL161" t="s">
        <v>5182</v>
      </c>
    </row>
    <row r="162" spans="1:59" x14ac:dyDescent="0.2">
      <c r="A162" t="s">
        <v>5344</v>
      </c>
      <c r="C162" t="s">
        <v>5100</v>
      </c>
      <c r="U162" t="s">
        <v>5048</v>
      </c>
      <c r="Z162" t="s">
        <v>5100</v>
      </c>
      <c r="AA162" t="s">
        <v>5048</v>
      </c>
    </row>
    <row r="163" spans="1:59" x14ac:dyDescent="0.2">
      <c r="A163" t="s">
        <v>5345</v>
      </c>
      <c r="U163" t="s">
        <v>5065</v>
      </c>
      <c r="Z163" t="s">
        <v>5027</v>
      </c>
    </row>
    <row r="164" spans="1:59" x14ac:dyDescent="0.2">
      <c r="A164" t="s">
        <v>5346</v>
      </c>
      <c r="AA164" t="s">
        <v>5051</v>
      </c>
      <c r="AB164" t="s">
        <v>5023</v>
      </c>
      <c r="BD164" t="s">
        <v>5028</v>
      </c>
    </row>
    <row r="165" spans="1:59" x14ac:dyDescent="0.2">
      <c r="A165" t="s">
        <v>5347</v>
      </c>
      <c r="C165" t="s">
        <v>5021</v>
      </c>
      <c r="U165" t="s">
        <v>5072</v>
      </c>
      <c r="V165" t="s">
        <v>5101</v>
      </c>
    </row>
    <row r="166" spans="1:59" x14ac:dyDescent="0.2">
      <c r="A166" t="s">
        <v>5348</v>
      </c>
      <c r="AK166" t="s">
        <v>5070</v>
      </c>
      <c r="AM166" t="s">
        <v>5114</v>
      </c>
      <c r="AR166" t="s">
        <v>5153</v>
      </c>
      <c r="AZ166" t="s">
        <v>5070</v>
      </c>
      <c r="BA166" t="s">
        <v>5108</v>
      </c>
      <c r="BG166" t="s">
        <v>5048</v>
      </c>
    </row>
    <row r="167" spans="1:59" x14ac:dyDescent="0.2">
      <c r="A167" t="s">
        <v>5350</v>
      </c>
      <c r="F167" t="s">
        <v>5032</v>
      </c>
      <c r="G167" t="s">
        <v>5111</v>
      </c>
      <c r="AL167" t="s">
        <v>5119</v>
      </c>
      <c r="BE167" t="s">
        <v>5110</v>
      </c>
    </row>
    <row r="168" spans="1:59" x14ac:dyDescent="0.2">
      <c r="A168" t="s">
        <v>5351</v>
      </c>
      <c r="C168" t="s">
        <v>5031</v>
      </c>
      <c r="U168" t="s">
        <v>5107</v>
      </c>
      <c r="V168" t="s">
        <v>5039</v>
      </c>
    </row>
    <row r="169" spans="1:59" x14ac:dyDescent="0.2">
      <c r="A169" t="s">
        <v>5352</v>
      </c>
      <c r="AP169" t="s">
        <v>5071</v>
      </c>
      <c r="AT169" t="s">
        <v>5051</v>
      </c>
      <c r="AU169" t="s">
        <v>5107</v>
      </c>
      <c r="AV169" t="s">
        <v>5023</v>
      </c>
    </row>
    <row r="170" spans="1:59" x14ac:dyDescent="0.2">
      <c r="A170" t="s">
        <v>5353</v>
      </c>
      <c r="F170" t="s">
        <v>5030</v>
      </c>
      <c r="U170" t="s">
        <v>5109</v>
      </c>
      <c r="Y170" t="s">
        <v>5109</v>
      </c>
      <c r="AC170" t="s">
        <v>5050</v>
      </c>
      <c r="AD170" t="s">
        <v>5042</v>
      </c>
      <c r="AE170" t="s">
        <v>5109</v>
      </c>
      <c r="AF170" t="s">
        <v>5109</v>
      </c>
      <c r="AG170" t="s">
        <v>5023</v>
      </c>
    </row>
    <row r="171" spans="1:59" x14ac:dyDescent="0.2">
      <c r="A171" t="s">
        <v>5354</v>
      </c>
      <c r="J171" t="s">
        <v>5039</v>
      </c>
      <c r="K171" t="s">
        <v>5025</v>
      </c>
      <c r="R171" t="s">
        <v>5039</v>
      </c>
      <c r="S171" t="s">
        <v>5145</v>
      </c>
      <c r="AM171" t="s">
        <v>5110</v>
      </c>
    </row>
    <row r="172" spans="1:59" x14ac:dyDescent="0.2">
      <c r="A172" t="s">
        <v>5355</v>
      </c>
      <c r="C172" t="s">
        <v>5069</v>
      </c>
      <c r="D172" t="s">
        <v>5069</v>
      </c>
      <c r="H172" t="s">
        <v>5097</v>
      </c>
      <c r="I172" t="s">
        <v>5107</v>
      </c>
      <c r="K172" t="s">
        <v>5064</v>
      </c>
      <c r="L172" t="s">
        <v>5070</v>
      </c>
      <c r="M172" t="s">
        <v>5050</v>
      </c>
      <c r="N172" t="s">
        <v>5025</v>
      </c>
    </row>
    <row r="173" spans="1:59" x14ac:dyDescent="0.2">
      <c r="A173" t="s">
        <v>5356</v>
      </c>
      <c r="C173" t="s">
        <v>5069</v>
      </c>
      <c r="D173" t="s">
        <v>5069</v>
      </c>
      <c r="H173" t="s">
        <v>5054</v>
      </c>
      <c r="I173" t="s">
        <v>5031</v>
      </c>
      <c r="K173" t="s">
        <v>5097</v>
      </c>
      <c r="L173" t="s">
        <v>5097</v>
      </c>
      <c r="M173" t="s">
        <v>5109</v>
      </c>
      <c r="N173" t="s">
        <v>5104</v>
      </c>
    </row>
    <row r="174" spans="1:59" x14ac:dyDescent="0.2">
      <c r="A174" t="s">
        <v>5357</v>
      </c>
      <c r="C174" t="s">
        <v>5069</v>
      </c>
      <c r="D174" t="s">
        <v>5069</v>
      </c>
      <c r="H174" t="s">
        <v>5064</v>
      </c>
      <c r="I174" t="s">
        <v>5100</v>
      </c>
      <c r="K174" t="s">
        <v>5069</v>
      </c>
      <c r="L174" t="s">
        <v>5108</v>
      </c>
      <c r="M174" t="s">
        <v>5109</v>
      </c>
      <c r="N174" t="s">
        <v>5038</v>
      </c>
    </row>
    <row r="175" spans="1:59" x14ac:dyDescent="0.2">
      <c r="A175" t="s">
        <v>5358</v>
      </c>
      <c r="C175" t="s">
        <v>5041</v>
      </c>
      <c r="D175" t="s">
        <v>5048</v>
      </c>
      <c r="H175" t="s">
        <v>5054</v>
      </c>
      <c r="I175" t="s">
        <v>5048</v>
      </c>
      <c r="K175" t="s">
        <v>5069</v>
      </c>
      <c r="L175" t="s">
        <v>5182</v>
      </c>
      <c r="M175" t="s">
        <v>5070</v>
      </c>
      <c r="N175" t="s">
        <v>5098</v>
      </c>
    </row>
    <row r="176" spans="1:59" x14ac:dyDescent="0.2">
      <c r="A176" t="s">
        <v>5359</v>
      </c>
      <c r="C176" t="s">
        <v>5052</v>
      </c>
      <c r="D176" t="s">
        <v>5069</v>
      </c>
      <c r="H176" t="s">
        <v>5097</v>
      </c>
      <c r="I176" t="s">
        <v>5070</v>
      </c>
      <c r="K176" t="s">
        <v>5098</v>
      </c>
      <c r="L176" t="s">
        <v>5181</v>
      </c>
      <c r="M176" t="s">
        <v>5050</v>
      </c>
      <c r="N176" t="s">
        <v>5110</v>
      </c>
    </row>
    <row r="177" spans="1:14" x14ac:dyDescent="0.2">
      <c r="A177" t="s">
        <v>5360</v>
      </c>
      <c r="C177" t="s">
        <v>5052</v>
      </c>
      <c r="D177" t="s">
        <v>5054</v>
      </c>
      <c r="H177" t="s">
        <v>5108</v>
      </c>
      <c r="I177" t="s">
        <v>5108</v>
      </c>
      <c r="K177" t="s">
        <v>5159</v>
      </c>
      <c r="L177" t="s">
        <v>5181</v>
      </c>
      <c r="M177" t="s">
        <v>5108</v>
      </c>
      <c r="N177" t="s">
        <v>5114</v>
      </c>
    </row>
    <row r="178" spans="1:14" x14ac:dyDescent="0.2">
      <c r="A178" t="s">
        <v>5361</v>
      </c>
      <c r="B178" t="s">
        <v>5065</v>
      </c>
      <c r="C178" t="s">
        <v>5051</v>
      </c>
      <c r="D178" t="s">
        <v>5031</v>
      </c>
    </row>
    <row r="179" spans="1:14" x14ac:dyDescent="0.2">
      <c r="A179" t="s">
        <v>5362</v>
      </c>
      <c r="B179" t="s">
        <v>5077</v>
      </c>
      <c r="C179" t="s">
        <v>5051</v>
      </c>
      <c r="D179" t="s">
        <v>5031</v>
      </c>
    </row>
    <row r="180" spans="1:14" x14ac:dyDescent="0.2">
      <c r="A180" t="s">
        <v>5363</v>
      </c>
      <c r="B180" t="s">
        <v>5074</v>
      </c>
      <c r="C180" t="s">
        <v>5109</v>
      </c>
      <c r="D180" t="s">
        <v>5031</v>
      </c>
    </row>
    <row r="181" spans="1:14" x14ac:dyDescent="0.2">
      <c r="A181" t="s">
        <v>5364</v>
      </c>
      <c r="C181" t="s">
        <v>5048</v>
      </c>
      <c r="D181" t="s">
        <v>5069</v>
      </c>
      <c r="E181" t="s">
        <v>5069</v>
      </c>
    </row>
    <row r="182" spans="1:14" x14ac:dyDescent="0.2">
      <c r="A182" t="s">
        <v>5365</v>
      </c>
      <c r="C182" t="s">
        <v>5069</v>
      </c>
      <c r="D182" t="s">
        <v>5069</v>
      </c>
      <c r="E182" t="s">
        <v>5069</v>
      </c>
    </row>
    <row r="183" spans="1:14" x14ac:dyDescent="0.2">
      <c r="A183" t="s">
        <v>5366</v>
      </c>
      <c r="C183" t="s">
        <v>5054</v>
      </c>
      <c r="D183" t="s">
        <v>5069</v>
      </c>
      <c r="E183" t="s">
        <v>5069</v>
      </c>
    </row>
  </sheetData>
  <sheetProtection algorithmName="SHA-512" hashValue="306w6uPz0giJpKtRlBmqTnGFb6VaFs7IRQaZyng0yqAtUKmMK/awc5yXXkLTDQRz1rVNVwqcY9XE2+7+ru7JZw==" saltValue="wZSNUpxaB1RJlfaxI3hTv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row r="213" spans="1:3" x14ac:dyDescent="0.2">
      <c r="A213"/>
      <c r="B213"/>
      <c r="C213"/>
    </row>
    <row r="214" spans="1:3" x14ac:dyDescent="0.2">
      <c r="A214"/>
      <c r="B214"/>
      <c r="C214"/>
    </row>
    <row r="215" spans="1:3" x14ac:dyDescent="0.2">
      <c r="A215"/>
      <c r="B215"/>
      <c r="C215"/>
    </row>
    <row r="216" spans="1:3" x14ac:dyDescent="0.2">
      <c r="A216"/>
      <c r="B216"/>
      <c r="C216"/>
    </row>
    <row r="217" spans="1:3" x14ac:dyDescent="0.2">
      <c r="A217"/>
      <c r="B217"/>
      <c r="C217"/>
    </row>
    <row r="218" spans="1:3" x14ac:dyDescent="0.2">
      <c r="A218"/>
      <c r="B218"/>
      <c r="C218"/>
    </row>
    <row r="219" spans="1:3" x14ac:dyDescent="0.2">
      <c r="A219"/>
      <c r="B219"/>
      <c r="C219"/>
    </row>
    <row r="220" spans="1:3" x14ac:dyDescent="0.2">
      <c r="A220"/>
      <c r="B220"/>
      <c r="C220"/>
    </row>
    <row r="221" spans="1:3" x14ac:dyDescent="0.2">
      <c r="A221"/>
      <c r="B221"/>
      <c r="C221"/>
    </row>
    <row r="222" spans="1:3" x14ac:dyDescent="0.2">
      <c r="A222"/>
      <c r="B222"/>
      <c r="C222"/>
    </row>
    <row r="223" spans="1:3" x14ac:dyDescent="0.2">
      <c r="A223"/>
      <c r="B223"/>
      <c r="C223"/>
    </row>
    <row r="224" spans="1:3" x14ac:dyDescent="0.2">
      <c r="A224"/>
      <c r="B224"/>
      <c r="C224"/>
    </row>
    <row r="225" spans="1:3" x14ac:dyDescent="0.2">
      <c r="A225"/>
      <c r="B225"/>
      <c r="C225"/>
    </row>
    <row r="226" spans="1:3" x14ac:dyDescent="0.2">
      <c r="A226"/>
      <c r="B226"/>
      <c r="C226"/>
    </row>
    <row r="227" spans="1:3" x14ac:dyDescent="0.2">
      <c r="A227"/>
      <c r="B227"/>
      <c r="C227"/>
    </row>
    <row r="228" spans="1:3" x14ac:dyDescent="0.2">
      <c r="A228"/>
      <c r="B228"/>
      <c r="C228"/>
    </row>
    <row r="229" spans="1:3" x14ac:dyDescent="0.2">
      <c r="A229"/>
      <c r="B229"/>
      <c r="C229"/>
    </row>
    <row r="230" spans="1:3" x14ac:dyDescent="0.2">
      <c r="A230"/>
      <c r="B230"/>
      <c r="C230"/>
    </row>
    <row r="231" spans="1:3" x14ac:dyDescent="0.2">
      <c r="A231"/>
      <c r="B231"/>
      <c r="C231"/>
    </row>
    <row r="232" spans="1:3" x14ac:dyDescent="0.2">
      <c r="A232"/>
      <c r="B232"/>
      <c r="C232"/>
    </row>
    <row r="233" spans="1:3" x14ac:dyDescent="0.2">
      <c r="A233"/>
      <c r="B233"/>
      <c r="C233"/>
    </row>
    <row r="234" spans="1:3" x14ac:dyDescent="0.2">
      <c r="A234"/>
      <c r="B234"/>
      <c r="C234"/>
    </row>
    <row r="235" spans="1:3" x14ac:dyDescent="0.2">
      <c r="A235"/>
      <c r="B235"/>
      <c r="C235"/>
    </row>
    <row r="236" spans="1:3" x14ac:dyDescent="0.2">
      <c r="A236"/>
      <c r="B236"/>
      <c r="C236"/>
    </row>
    <row r="237" spans="1:3" x14ac:dyDescent="0.2">
      <c r="A237"/>
      <c r="B237"/>
      <c r="C237"/>
    </row>
    <row r="238" spans="1:3" x14ac:dyDescent="0.2">
      <c r="A238"/>
      <c r="B238"/>
      <c r="C238"/>
    </row>
    <row r="239" spans="1:3" x14ac:dyDescent="0.2">
      <c r="A239"/>
      <c r="B239"/>
      <c r="C239"/>
    </row>
    <row r="240" spans="1:3" x14ac:dyDescent="0.2">
      <c r="A240"/>
      <c r="B240"/>
      <c r="C240"/>
    </row>
    <row r="241" spans="1:3" x14ac:dyDescent="0.2">
      <c r="A241"/>
      <c r="B241"/>
      <c r="C241"/>
    </row>
    <row r="242" spans="1:3" x14ac:dyDescent="0.2">
      <c r="A242"/>
      <c r="B242"/>
      <c r="C242"/>
    </row>
    <row r="243" spans="1:3" x14ac:dyDescent="0.2">
      <c r="A243"/>
      <c r="B243"/>
      <c r="C243"/>
    </row>
    <row r="244" spans="1:3" x14ac:dyDescent="0.2">
      <c r="A244"/>
      <c r="B244"/>
      <c r="C244"/>
    </row>
    <row r="245" spans="1:3" x14ac:dyDescent="0.2">
      <c r="A245"/>
      <c r="B245"/>
      <c r="C245"/>
    </row>
    <row r="246" spans="1:3" x14ac:dyDescent="0.2">
      <c r="A246"/>
      <c r="B246"/>
      <c r="C246"/>
    </row>
    <row r="247" spans="1:3" x14ac:dyDescent="0.2">
      <c r="A247"/>
      <c r="B247"/>
      <c r="C247"/>
    </row>
    <row r="248" spans="1:3" x14ac:dyDescent="0.2">
      <c r="A248"/>
      <c r="B248"/>
      <c r="C248"/>
    </row>
    <row r="249" spans="1:3" x14ac:dyDescent="0.2">
      <c r="A249"/>
      <c r="B249"/>
      <c r="C249"/>
    </row>
    <row r="250" spans="1:3" x14ac:dyDescent="0.2">
      <c r="A250"/>
      <c r="B250"/>
      <c r="C250"/>
    </row>
    <row r="251" spans="1:3" x14ac:dyDescent="0.2">
      <c r="A251"/>
      <c r="B251"/>
      <c r="C251"/>
    </row>
    <row r="252" spans="1:3" x14ac:dyDescent="0.2">
      <c r="A252"/>
      <c r="B252"/>
      <c r="C252"/>
    </row>
    <row r="253" spans="1:3" x14ac:dyDescent="0.2">
      <c r="A253"/>
      <c r="B253"/>
      <c r="C253"/>
    </row>
    <row r="254" spans="1:3" x14ac:dyDescent="0.2">
      <c r="A254"/>
      <c r="B254"/>
      <c r="C254"/>
    </row>
    <row r="255" spans="1:3" x14ac:dyDescent="0.2">
      <c r="A255"/>
      <c r="B255"/>
      <c r="C255"/>
    </row>
    <row r="256" spans="1:3" x14ac:dyDescent="0.2">
      <c r="A256"/>
      <c r="B256"/>
      <c r="C256"/>
    </row>
    <row r="257" spans="1:3" x14ac:dyDescent="0.2">
      <c r="A257"/>
      <c r="B257"/>
      <c r="C257"/>
    </row>
    <row r="258" spans="1:3" x14ac:dyDescent="0.2">
      <c r="A258"/>
      <c r="B258"/>
      <c r="C258"/>
    </row>
    <row r="259" spans="1:3" x14ac:dyDescent="0.2">
      <c r="A259"/>
      <c r="B259"/>
      <c r="C259"/>
    </row>
    <row r="260" spans="1:3" x14ac:dyDescent="0.2">
      <c r="A260"/>
      <c r="B260"/>
      <c r="C260"/>
    </row>
    <row r="261" spans="1:3" x14ac:dyDescent="0.2">
      <c r="A261"/>
      <c r="B261"/>
      <c r="C261"/>
    </row>
    <row r="262" spans="1:3" x14ac:dyDescent="0.2">
      <c r="A262"/>
      <c r="B262"/>
      <c r="C262"/>
    </row>
    <row r="263" spans="1:3" x14ac:dyDescent="0.2">
      <c r="A263"/>
      <c r="B263"/>
      <c r="C263"/>
    </row>
    <row r="264" spans="1:3" x14ac:dyDescent="0.2">
      <c r="A264"/>
      <c r="B264"/>
      <c r="C264"/>
    </row>
    <row r="265" spans="1:3" x14ac:dyDescent="0.2">
      <c r="A265"/>
      <c r="B265"/>
      <c r="C265"/>
    </row>
    <row r="266" spans="1:3" x14ac:dyDescent="0.2">
      <c r="A266"/>
      <c r="B266"/>
      <c r="C266"/>
    </row>
    <row r="267" spans="1:3" x14ac:dyDescent="0.2">
      <c r="A267"/>
      <c r="B267"/>
      <c r="C267"/>
    </row>
    <row r="268" spans="1:3" x14ac:dyDescent="0.2">
      <c r="A268"/>
      <c r="B268"/>
      <c r="C268"/>
    </row>
    <row r="269" spans="1:3" x14ac:dyDescent="0.2">
      <c r="A269"/>
      <c r="B269"/>
      <c r="C269"/>
    </row>
    <row r="270" spans="1:3" x14ac:dyDescent="0.2">
      <c r="A270"/>
      <c r="B270"/>
      <c r="C270"/>
    </row>
    <row r="271" spans="1:3" x14ac:dyDescent="0.2">
      <c r="A271"/>
      <c r="B271"/>
      <c r="C271"/>
    </row>
    <row r="272" spans="1:3" x14ac:dyDescent="0.2">
      <c r="A272"/>
      <c r="B272"/>
      <c r="C272"/>
    </row>
    <row r="273" spans="1:3" x14ac:dyDescent="0.2">
      <c r="A273"/>
      <c r="B273"/>
      <c r="C273"/>
    </row>
    <row r="274" spans="1:3" x14ac:dyDescent="0.2">
      <c r="A274"/>
      <c r="B274"/>
      <c r="C274"/>
    </row>
    <row r="275" spans="1:3" x14ac:dyDescent="0.2">
      <c r="A275"/>
      <c r="B275"/>
      <c r="C275"/>
    </row>
    <row r="276" spans="1:3" x14ac:dyDescent="0.2">
      <c r="A276"/>
      <c r="B276"/>
      <c r="C276"/>
    </row>
    <row r="277" spans="1:3" x14ac:dyDescent="0.2">
      <c r="A277"/>
      <c r="B277"/>
      <c r="C277"/>
    </row>
    <row r="278" spans="1:3" x14ac:dyDescent="0.2">
      <c r="A278"/>
      <c r="B278"/>
      <c r="C278"/>
    </row>
    <row r="279" spans="1:3" x14ac:dyDescent="0.2">
      <c r="A279"/>
      <c r="B279"/>
      <c r="C279"/>
    </row>
    <row r="280" spans="1:3" x14ac:dyDescent="0.2">
      <c r="A280"/>
      <c r="B280"/>
      <c r="C280"/>
    </row>
    <row r="281" spans="1:3" x14ac:dyDescent="0.2">
      <c r="A281"/>
      <c r="B281"/>
      <c r="C281"/>
    </row>
    <row r="282" spans="1:3" x14ac:dyDescent="0.2">
      <c r="A282"/>
      <c r="B282"/>
      <c r="C282"/>
    </row>
    <row r="283" spans="1:3" x14ac:dyDescent="0.2">
      <c r="A283"/>
      <c r="B283"/>
      <c r="C283"/>
    </row>
    <row r="284" spans="1:3" x14ac:dyDescent="0.2">
      <c r="A284"/>
      <c r="B284"/>
      <c r="C284"/>
    </row>
    <row r="285" spans="1:3" x14ac:dyDescent="0.2">
      <c r="A285"/>
      <c r="B285"/>
      <c r="C285"/>
    </row>
    <row r="286" spans="1:3" x14ac:dyDescent="0.2">
      <c r="A286"/>
      <c r="B286"/>
      <c r="C286"/>
    </row>
    <row r="287" spans="1:3" x14ac:dyDescent="0.2">
      <c r="A287"/>
      <c r="B287"/>
      <c r="C287"/>
    </row>
    <row r="288" spans="1:3" x14ac:dyDescent="0.2">
      <c r="A288"/>
      <c r="B288"/>
      <c r="C288"/>
    </row>
    <row r="289" spans="1:3" x14ac:dyDescent="0.2">
      <c r="A289"/>
      <c r="B289"/>
      <c r="C289"/>
    </row>
    <row r="290" spans="1:3" x14ac:dyDescent="0.2">
      <c r="A290"/>
      <c r="B290"/>
      <c r="C290"/>
    </row>
    <row r="291" spans="1:3" x14ac:dyDescent="0.2">
      <c r="A291"/>
      <c r="B291"/>
      <c r="C291"/>
    </row>
    <row r="292" spans="1:3" x14ac:dyDescent="0.2">
      <c r="A292"/>
      <c r="B292"/>
      <c r="C292"/>
    </row>
    <row r="293" spans="1:3" x14ac:dyDescent="0.2">
      <c r="A293"/>
      <c r="B293"/>
      <c r="C293"/>
    </row>
    <row r="294" spans="1:3" x14ac:dyDescent="0.2">
      <c r="A294"/>
      <c r="B294"/>
      <c r="C294"/>
    </row>
    <row r="295" spans="1:3" x14ac:dyDescent="0.2">
      <c r="A295"/>
      <c r="B295"/>
      <c r="C295"/>
    </row>
    <row r="296" spans="1:3" x14ac:dyDescent="0.2">
      <c r="A296"/>
      <c r="B296"/>
      <c r="C296"/>
    </row>
    <row r="297" spans="1:3" x14ac:dyDescent="0.2">
      <c r="A297"/>
      <c r="B297"/>
      <c r="C297"/>
    </row>
    <row r="298" spans="1:3" x14ac:dyDescent="0.2">
      <c r="A298"/>
      <c r="B298"/>
      <c r="C298"/>
    </row>
    <row r="299" spans="1:3" x14ac:dyDescent="0.2">
      <c r="A299"/>
      <c r="B299"/>
      <c r="C299"/>
    </row>
    <row r="300" spans="1:3" x14ac:dyDescent="0.2">
      <c r="A300"/>
      <c r="B300"/>
      <c r="C300"/>
    </row>
    <row r="301" spans="1:3" x14ac:dyDescent="0.2">
      <c r="A301"/>
      <c r="B301"/>
      <c r="C301"/>
    </row>
    <row r="302" spans="1:3" x14ac:dyDescent="0.2">
      <c r="A302"/>
      <c r="B302"/>
      <c r="C302"/>
    </row>
    <row r="303" spans="1:3" x14ac:dyDescent="0.2">
      <c r="A303"/>
      <c r="B303"/>
      <c r="C303"/>
    </row>
    <row r="304" spans="1:3" x14ac:dyDescent="0.2">
      <c r="A304"/>
      <c r="B304"/>
      <c r="C304"/>
    </row>
    <row r="305" spans="1:3" x14ac:dyDescent="0.2">
      <c r="A305"/>
      <c r="B305"/>
      <c r="C305"/>
    </row>
    <row r="306" spans="1:3" x14ac:dyDescent="0.2">
      <c r="A306"/>
      <c r="B306"/>
      <c r="C306"/>
    </row>
    <row r="307" spans="1:3" x14ac:dyDescent="0.2">
      <c r="A307"/>
      <c r="B307"/>
      <c r="C307"/>
    </row>
    <row r="308" spans="1:3" x14ac:dyDescent="0.2">
      <c r="A308"/>
      <c r="B308"/>
      <c r="C308"/>
    </row>
    <row r="309" spans="1:3" x14ac:dyDescent="0.2">
      <c r="A309"/>
      <c r="B309"/>
      <c r="C309"/>
    </row>
    <row r="310" spans="1:3" x14ac:dyDescent="0.2">
      <c r="A310"/>
      <c r="B310"/>
      <c r="C310"/>
    </row>
    <row r="311" spans="1:3" x14ac:dyDescent="0.2">
      <c r="A311"/>
      <c r="B311"/>
      <c r="C311"/>
    </row>
    <row r="312" spans="1:3" x14ac:dyDescent="0.2">
      <c r="A312"/>
      <c r="B312"/>
      <c r="C312"/>
    </row>
    <row r="313" spans="1:3" x14ac:dyDescent="0.2">
      <c r="A313"/>
      <c r="B313"/>
      <c r="C313"/>
    </row>
    <row r="314" spans="1:3" x14ac:dyDescent="0.2">
      <c r="A314"/>
      <c r="B314"/>
      <c r="C314"/>
    </row>
    <row r="315" spans="1:3" x14ac:dyDescent="0.2">
      <c r="A315"/>
      <c r="B315"/>
      <c r="C315"/>
    </row>
    <row r="316" spans="1:3" x14ac:dyDescent="0.2">
      <c r="A316"/>
      <c r="B316"/>
      <c r="C316"/>
    </row>
    <row r="317" spans="1:3" x14ac:dyDescent="0.2">
      <c r="A317"/>
      <c r="B317"/>
      <c r="C317"/>
    </row>
    <row r="318" spans="1:3" x14ac:dyDescent="0.2">
      <c r="A318"/>
      <c r="B318"/>
      <c r="C318"/>
    </row>
    <row r="319" spans="1:3" x14ac:dyDescent="0.2">
      <c r="A319"/>
      <c r="B319"/>
      <c r="C319"/>
    </row>
    <row r="320" spans="1:3" x14ac:dyDescent="0.2">
      <c r="A320"/>
      <c r="B320"/>
      <c r="C320"/>
    </row>
    <row r="321" spans="1:3" x14ac:dyDescent="0.2">
      <c r="A321"/>
      <c r="B321"/>
      <c r="C321"/>
    </row>
    <row r="322" spans="1:3" x14ac:dyDescent="0.2">
      <c r="A322"/>
      <c r="B322"/>
      <c r="C322"/>
    </row>
    <row r="323" spans="1:3" x14ac:dyDescent="0.2">
      <c r="A323"/>
      <c r="B323"/>
      <c r="C323"/>
    </row>
    <row r="324" spans="1:3" x14ac:dyDescent="0.2">
      <c r="A324"/>
      <c r="B324"/>
      <c r="C324"/>
    </row>
    <row r="325" spans="1:3" x14ac:dyDescent="0.2">
      <c r="A325"/>
      <c r="B325"/>
      <c r="C325"/>
    </row>
    <row r="326" spans="1:3" x14ac:dyDescent="0.2">
      <c r="A326"/>
      <c r="B326"/>
      <c r="C326"/>
    </row>
    <row r="327" spans="1:3" x14ac:dyDescent="0.2">
      <c r="A327"/>
      <c r="B327"/>
      <c r="C327"/>
    </row>
    <row r="328" spans="1:3" x14ac:dyDescent="0.2">
      <c r="A328"/>
      <c r="B328"/>
      <c r="C328"/>
    </row>
    <row r="329" spans="1:3" x14ac:dyDescent="0.2">
      <c r="A329"/>
      <c r="B329"/>
      <c r="C329"/>
    </row>
    <row r="330" spans="1:3" x14ac:dyDescent="0.2">
      <c r="A330"/>
      <c r="B330"/>
      <c r="C330"/>
    </row>
    <row r="331" spans="1:3" x14ac:dyDescent="0.2">
      <c r="A331"/>
      <c r="B331"/>
      <c r="C331"/>
    </row>
    <row r="332" spans="1:3" x14ac:dyDescent="0.2">
      <c r="A332"/>
      <c r="B332"/>
      <c r="C332"/>
    </row>
    <row r="333" spans="1:3" x14ac:dyDescent="0.2">
      <c r="A333"/>
      <c r="B333"/>
      <c r="C333"/>
    </row>
    <row r="334" spans="1:3" x14ac:dyDescent="0.2">
      <c r="A334"/>
      <c r="B334"/>
      <c r="C334"/>
    </row>
    <row r="335" spans="1:3" x14ac:dyDescent="0.2">
      <c r="A335"/>
      <c r="B335"/>
      <c r="C335"/>
    </row>
    <row r="336" spans="1:3" x14ac:dyDescent="0.2">
      <c r="A336"/>
      <c r="B336"/>
      <c r="C336"/>
    </row>
    <row r="337" spans="1:3" x14ac:dyDescent="0.2">
      <c r="A337"/>
      <c r="B337"/>
      <c r="C337"/>
    </row>
    <row r="338" spans="1:3" x14ac:dyDescent="0.2">
      <c r="A338"/>
      <c r="B338"/>
      <c r="C338"/>
    </row>
    <row r="339" spans="1:3" x14ac:dyDescent="0.2">
      <c r="A339"/>
      <c r="B339"/>
      <c r="C339"/>
    </row>
    <row r="340" spans="1:3" x14ac:dyDescent="0.2">
      <c r="A340"/>
      <c r="B340"/>
      <c r="C340"/>
    </row>
    <row r="341" spans="1:3" x14ac:dyDescent="0.2">
      <c r="A341"/>
      <c r="B341"/>
      <c r="C341"/>
    </row>
    <row r="342" spans="1:3" x14ac:dyDescent="0.2">
      <c r="A342"/>
      <c r="B342"/>
      <c r="C342"/>
    </row>
    <row r="343" spans="1:3" x14ac:dyDescent="0.2">
      <c r="A343"/>
      <c r="B343"/>
      <c r="C343"/>
    </row>
    <row r="344" spans="1:3" x14ac:dyDescent="0.2">
      <c r="A344"/>
      <c r="B344"/>
      <c r="C344"/>
    </row>
    <row r="345" spans="1:3" x14ac:dyDescent="0.2">
      <c r="A345"/>
      <c r="B345"/>
      <c r="C345"/>
    </row>
    <row r="346" spans="1:3" x14ac:dyDescent="0.2">
      <c r="A346"/>
      <c r="B346"/>
      <c r="C346"/>
    </row>
    <row r="347" spans="1:3" x14ac:dyDescent="0.2">
      <c r="A347"/>
      <c r="B347"/>
      <c r="C347"/>
    </row>
    <row r="348" spans="1:3" x14ac:dyDescent="0.2">
      <c r="A348"/>
      <c r="B348"/>
      <c r="C348"/>
    </row>
    <row r="349" spans="1:3" x14ac:dyDescent="0.2">
      <c r="A349"/>
      <c r="B349"/>
      <c r="C349"/>
    </row>
    <row r="350" spans="1:3" x14ac:dyDescent="0.2">
      <c r="A350"/>
      <c r="B350"/>
      <c r="C350"/>
    </row>
    <row r="351" spans="1:3" x14ac:dyDescent="0.2">
      <c r="A351"/>
      <c r="B351"/>
      <c r="C351"/>
    </row>
    <row r="352" spans="1:3" x14ac:dyDescent="0.2">
      <c r="A352"/>
      <c r="B352"/>
      <c r="C352"/>
    </row>
    <row r="353" spans="1:3" x14ac:dyDescent="0.2">
      <c r="A353"/>
      <c r="B353"/>
      <c r="C353"/>
    </row>
    <row r="354" spans="1:3" x14ac:dyDescent="0.2">
      <c r="A354"/>
      <c r="B354"/>
      <c r="C354"/>
    </row>
    <row r="355" spans="1:3" x14ac:dyDescent="0.2">
      <c r="A355"/>
      <c r="B355"/>
      <c r="C355"/>
    </row>
    <row r="356" spans="1:3" x14ac:dyDescent="0.2">
      <c r="A356"/>
      <c r="B356"/>
      <c r="C356"/>
    </row>
    <row r="357" spans="1:3" x14ac:dyDescent="0.2">
      <c r="A357"/>
      <c r="B357"/>
      <c r="C357"/>
    </row>
    <row r="358" spans="1:3" x14ac:dyDescent="0.2">
      <c r="A358"/>
      <c r="B358"/>
      <c r="C358"/>
    </row>
    <row r="359" spans="1:3" x14ac:dyDescent="0.2">
      <c r="A359"/>
      <c r="B359"/>
      <c r="C359"/>
    </row>
    <row r="360" spans="1:3" x14ac:dyDescent="0.2">
      <c r="A360"/>
      <c r="B360"/>
      <c r="C360"/>
    </row>
    <row r="361" spans="1:3" x14ac:dyDescent="0.2">
      <c r="A361"/>
      <c r="B361"/>
      <c r="C361"/>
    </row>
    <row r="362" spans="1:3" x14ac:dyDescent="0.2">
      <c r="A362"/>
      <c r="B362"/>
      <c r="C362"/>
    </row>
    <row r="363" spans="1:3" x14ac:dyDescent="0.2">
      <c r="A363"/>
      <c r="B363"/>
      <c r="C363"/>
    </row>
    <row r="364" spans="1:3" x14ac:dyDescent="0.2">
      <c r="A364"/>
      <c r="B364"/>
      <c r="C364"/>
    </row>
    <row r="365" spans="1:3" x14ac:dyDescent="0.2">
      <c r="A365"/>
      <c r="B365"/>
      <c r="C365"/>
    </row>
    <row r="366" spans="1:3" x14ac:dyDescent="0.2">
      <c r="A366"/>
      <c r="B366"/>
      <c r="C366"/>
    </row>
    <row r="367" spans="1:3" x14ac:dyDescent="0.2">
      <c r="A367"/>
      <c r="B367"/>
      <c r="C367"/>
    </row>
    <row r="368" spans="1:3" x14ac:dyDescent="0.2">
      <c r="A368"/>
      <c r="B368"/>
      <c r="C368"/>
    </row>
    <row r="369" spans="1:3" x14ac:dyDescent="0.2">
      <c r="A369"/>
      <c r="B369"/>
      <c r="C369"/>
    </row>
    <row r="370" spans="1:3" x14ac:dyDescent="0.2">
      <c r="A370"/>
      <c r="B370"/>
      <c r="C370"/>
    </row>
    <row r="371" spans="1:3" x14ac:dyDescent="0.2">
      <c r="A371"/>
      <c r="B371"/>
      <c r="C371"/>
    </row>
    <row r="372" spans="1:3" x14ac:dyDescent="0.2">
      <c r="A372"/>
      <c r="B372"/>
      <c r="C372"/>
    </row>
    <row r="373" spans="1:3" x14ac:dyDescent="0.2">
      <c r="A373"/>
      <c r="B373"/>
      <c r="C373"/>
    </row>
    <row r="374" spans="1:3" x14ac:dyDescent="0.2">
      <c r="A374"/>
      <c r="B374"/>
      <c r="C374"/>
    </row>
    <row r="375" spans="1:3" x14ac:dyDescent="0.2">
      <c r="A375"/>
      <c r="B375"/>
      <c r="C375"/>
    </row>
    <row r="376" spans="1:3" x14ac:dyDescent="0.2">
      <c r="A376"/>
      <c r="B376"/>
      <c r="C376"/>
    </row>
    <row r="377" spans="1:3" x14ac:dyDescent="0.2">
      <c r="A377"/>
      <c r="B377"/>
      <c r="C377"/>
    </row>
    <row r="378" spans="1:3" x14ac:dyDescent="0.2">
      <c r="A378"/>
      <c r="B378"/>
      <c r="C378"/>
    </row>
    <row r="379" spans="1:3" x14ac:dyDescent="0.2">
      <c r="A379"/>
      <c r="B379"/>
      <c r="C379"/>
    </row>
    <row r="380" spans="1:3" x14ac:dyDescent="0.2">
      <c r="A380"/>
      <c r="B380"/>
      <c r="C380"/>
    </row>
    <row r="381" spans="1:3" x14ac:dyDescent="0.2">
      <c r="A381"/>
      <c r="B381"/>
      <c r="C381"/>
    </row>
    <row r="382" spans="1:3" x14ac:dyDescent="0.2">
      <c r="A382"/>
      <c r="B382"/>
      <c r="C382"/>
    </row>
    <row r="383" spans="1:3" x14ac:dyDescent="0.2">
      <c r="A383"/>
      <c r="B383"/>
      <c r="C383"/>
    </row>
    <row r="384" spans="1:3" x14ac:dyDescent="0.2">
      <c r="A384"/>
      <c r="B384"/>
      <c r="C384"/>
    </row>
    <row r="385" spans="1:3" x14ac:dyDescent="0.2">
      <c r="A385"/>
      <c r="B385"/>
      <c r="C385"/>
    </row>
    <row r="386" spans="1:3" x14ac:dyDescent="0.2">
      <c r="A386"/>
      <c r="B386"/>
      <c r="C386"/>
    </row>
    <row r="387" spans="1:3" x14ac:dyDescent="0.2">
      <c r="A387"/>
      <c r="B387"/>
      <c r="C387"/>
    </row>
    <row r="388" spans="1:3" x14ac:dyDescent="0.2">
      <c r="A388"/>
      <c r="B388"/>
      <c r="C388"/>
    </row>
    <row r="389" spans="1:3" x14ac:dyDescent="0.2">
      <c r="A389"/>
      <c r="B389"/>
      <c r="C389"/>
    </row>
    <row r="390" spans="1:3" x14ac:dyDescent="0.2">
      <c r="A390"/>
      <c r="B390"/>
      <c r="C390"/>
    </row>
    <row r="391" spans="1:3" x14ac:dyDescent="0.2">
      <c r="A391"/>
      <c r="B391"/>
      <c r="C391"/>
    </row>
    <row r="392" spans="1:3" x14ac:dyDescent="0.2">
      <c r="A392"/>
      <c r="B392"/>
      <c r="C392"/>
    </row>
    <row r="393" spans="1:3" x14ac:dyDescent="0.2">
      <c r="A393"/>
      <c r="B393"/>
      <c r="C393"/>
    </row>
    <row r="394" spans="1:3" x14ac:dyDescent="0.2">
      <c r="A394"/>
      <c r="B394"/>
      <c r="C394"/>
    </row>
    <row r="395" spans="1:3" x14ac:dyDescent="0.2">
      <c r="A395"/>
      <c r="B395"/>
      <c r="C395"/>
    </row>
    <row r="396" spans="1:3" x14ac:dyDescent="0.2">
      <c r="A396"/>
      <c r="B396"/>
      <c r="C396"/>
    </row>
    <row r="397" spans="1:3" x14ac:dyDescent="0.2">
      <c r="A397"/>
      <c r="B397"/>
      <c r="C397"/>
    </row>
    <row r="398" spans="1:3" x14ac:dyDescent="0.2">
      <c r="A398"/>
      <c r="B398"/>
      <c r="C398"/>
    </row>
    <row r="399" spans="1:3" x14ac:dyDescent="0.2">
      <c r="A399"/>
      <c r="B399"/>
      <c r="C399"/>
    </row>
    <row r="400" spans="1:3" x14ac:dyDescent="0.2">
      <c r="A400"/>
      <c r="B400"/>
      <c r="C400"/>
    </row>
    <row r="401" spans="1:3" x14ac:dyDescent="0.2">
      <c r="A401"/>
      <c r="B401"/>
      <c r="C401"/>
    </row>
    <row r="402" spans="1:3" x14ac:dyDescent="0.2">
      <c r="A402"/>
      <c r="B402"/>
      <c r="C402"/>
    </row>
    <row r="403" spans="1:3" x14ac:dyDescent="0.2">
      <c r="A403"/>
      <c r="B403"/>
      <c r="C403"/>
    </row>
    <row r="404" spans="1:3" x14ac:dyDescent="0.2">
      <c r="A404"/>
      <c r="B404"/>
      <c r="C404"/>
    </row>
    <row r="405" spans="1:3" x14ac:dyDescent="0.2">
      <c r="A405"/>
      <c r="B405"/>
      <c r="C405"/>
    </row>
    <row r="406" spans="1:3" x14ac:dyDescent="0.2">
      <c r="A406"/>
      <c r="B406"/>
      <c r="C406"/>
    </row>
    <row r="407" spans="1:3" x14ac:dyDescent="0.2">
      <c r="A407"/>
      <c r="B407"/>
      <c r="C407"/>
    </row>
    <row r="408" spans="1:3" x14ac:dyDescent="0.2">
      <c r="A408"/>
      <c r="B408"/>
      <c r="C408"/>
    </row>
    <row r="409" spans="1:3" x14ac:dyDescent="0.2">
      <c r="A409"/>
      <c r="B409"/>
      <c r="C409"/>
    </row>
    <row r="410" spans="1:3" x14ac:dyDescent="0.2">
      <c r="A410"/>
      <c r="B410"/>
      <c r="C410"/>
    </row>
    <row r="411" spans="1:3" x14ac:dyDescent="0.2">
      <c r="A411"/>
      <c r="B411"/>
      <c r="C411"/>
    </row>
    <row r="412" spans="1:3" x14ac:dyDescent="0.2">
      <c r="A412"/>
      <c r="B412"/>
      <c r="C412"/>
    </row>
    <row r="413" spans="1:3" x14ac:dyDescent="0.2">
      <c r="A413"/>
      <c r="B413"/>
      <c r="C413"/>
    </row>
    <row r="414" spans="1:3" x14ac:dyDescent="0.2">
      <c r="A414"/>
      <c r="B414"/>
      <c r="C414"/>
    </row>
    <row r="415" spans="1:3" x14ac:dyDescent="0.2">
      <c r="A415"/>
      <c r="B415"/>
      <c r="C415"/>
    </row>
    <row r="416" spans="1:3" x14ac:dyDescent="0.2">
      <c r="A416"/>
      <c r="B416"/>
      <c r="C416"/>
    </row>
    <row r="417" spans="1:3" x14ac:dyDescent="0.2">
      <c r="A417"/>
      <c r="B417"/>
      <c r="C417"/>
    </row>
    <row r="418" spans="1:3" x14ac:dyDescent="0.2">
      <c r="A418"/>
      <c r="B418"/>
      <c r="C418"/>
    </row>
    <row r="419" spans="1:3" x14ac:dyDescent="0.2">
      <c r="A419"/>
      <c r="B419"/>
      <c r="C419"/>
    </row>
    <row r="420" spans="1:3" x14ac:dyDescent="0.2">
      <c r="A420"/>
      <c r="B420"/>
      <c r="C420"/>
    </row>
    <row r="421" spans="1:3" x14ac:dyDescent="0.2">
      <c r="A421"/>
      <c r="B421"/>
      <c r="C421"/>
    </row>
    <row r="422" spans="1:3" x14ac:dyDescent="0.2">
      <c r="A422"/>
      <c r="B422"/>
      <c r="C422"/>
    </row>
    <row r="423" spans="1:3" x14ac:dyDescent="0.2">
      <c r="A423"/>
      <c r="B423"/>
      <c r="C423"/>
    </row>
    <row r="424" spans="1:3" x14ac:dyDescent="0.2">
      <c r="A424"/>
      <c r="B424"/>
      <c r="C424"/>
    </row>
    <row r="425" spans="1:3" x14ac:dyDescent="0.2">
      <c r="A425"/>
      <c r="B425"/>
      <c r="C425"/>
    </row>
    <row r="426" spans="1:3" x14ac:dyDescent="0.2">
      <c r="A426"/>
      <c r="B426"/>
      <c r="C426"/>
    </row>
    <row r="427" spans="1:3" x14ac:dyDescent="0.2">
      <c r="A427"/>
      <c r="B427"/>
      <c r="C427"/>
    </row>
    <row r="428" spans="1:3" x14ac:dyDescent="0.2">
      <c r="A428"/>
      <c r="B428"/>
      <c r="C428"/>
    </row>
    <row r="429" spans="1:3" x14ac:dyDescent="0.2">
      <c r="A429"/>
      <c r="B429"/>
      <c r="C429"/>
    </row>
    <row r="430" spans="1:3" x14ac:dyDescent="0.2">
      <c r="A430"/>
      <c r="B430"/>
      <c r="C430"/>
    </row>
    <row r="431" spans="1:3" x14ac:dyDescent="0.2">
      <c r="A431"/>
      <c r="B431"/>
      <c r="C431"/>
    </row>
    <row r="432" spans="1:3" x14ac:dyDescent="0.2">
      <c r="A432"/>
      <c r="B432"/>
      <c r="C432"/>
    </row>
    <row r="433" spans="1:3" x14ac:dyDescent="0.2">
      <c r="A433"/>
      <c r="B433"/>
      <c r="C433"/>
    </row>
    <row r="434" spans="1:3" x14ac:dyDescent="0.2">
      <c r="A434"/>
      <c r="B434"/>
      <c r="C434"/>
    </row>
    <row r="435" spans="1:3" x14ac:dyDescent="0.2">
      <c r="A435"/>
      <c r="B435"/>
      <c r="C435"/>
    </row>
    <row r="436" spans="1:3" x14ac:dyDescent="0.2">
      <c r="A436"/>
      <c r="B436"/>
      <c r="C436"/>
    </row>
    <row r="437" spans="1:3" x14ac:dyDescent="0.2">
      <c r="A437"/>
      <c r="B437"/>
      <c r="C437"/>
    </row>
    <row r="438" spans="1:3" x14ac:dyDescent="0.2">
      <c r="A438"/>
      <c r="B438"/>
      <c r="C438"/>
    </row>
    <row r="439" spans="1:3" x14ac:dyDescent="0.2">
      <c r="A439"/>
      <c r="B439"/>
      <c r="C439"/>
    </row>
    <row r="440" spans="1:3" x14ac:dyDescent="0.2">
      <c r="A440"/>
      <c r="B440"/>
      <c r="C440"/>
    </row>
    <row r="441" spans="1:3" x14ac:dyDescent="0.2">
      <c r="A441"/>
      <c r="B441"/>
      <c r="C441"/>
    </row>
    <row r="442" spans="1:3" x14ac:dyDescent="0.2">
      <c r="A442"/>
      <c r="B442"/>
      <c r="C442"/>
    </row>
    <row r="443" spans="1:3" x14ac:dyDescent="0.2">
      <c r="A443"/>
      <c r="B443"/>
      <c r="C443"/>
    </row>
    <row r="444" spans="1:3" x14ac:dyDescent="0.2">
      <c r="A444"/>
      <c r="B444"/>
      <c r="C444"/>
    </row>
    <row r="445" spans="1:3" x14ac:dyDescent="0.2">
      <c r="A445"/>
      <c r="B445"/>
      <c r="C445"/>
    </row>
    <row r="446" spans="1:3" x14ac:dyDescent="0.2">
      <c r="A446"/>
      <c r="B446"/>
      <c r="C446"/>
    </row>
    <row r="447" spans="1:3" x14ac:dyDescent="0.2">
      <c r="A447"/>
      <c r="B447"/>
      <c r="C447"/>
    </row>
    <row r="448" spans="1:3" x14ac:dyDescent="0.2">
      <c r="A448"/>
      <c r="B448"/>
      <c r="C448"/>
    </row>
    <row r="449" spans="1:3" x14ac:dyDescent="0.2">
      <c r="A449"/>
      <c r="B449"/>
      <c r="C449"/>
    </row>
    <row r="450" spans="1:3" x14ac:dyDescent="0.2">
      <c r="A450"/>
      <c r="B450"/>
      <c r="C450"/>
    </row>
    <row r="451" spans="1:3" x14ac:dyDescent="0.2">
      <c r="A451"/>
      <c r="B451"/>
      <c r="C451"/>
    </row>
    <row r="452" spans="1:3" x14ac:dyDescent="0.2">
      <c r="A452"/>
      <c r="B452"/>
      <c r="C452"/>
    </row>
    <row r="453" spans="1:3" x14ac:dyDescent="0.2">
      <c r="A453"/>
      <c r="B453"/>
      <c r="C453"/>
    </row>
    <row r="454" spans="1:3" x14ac:dyDescent="0.2">
      <c r="A454"/>
      <c r="B454"/>
      <c r="C454"/>
    </row>
    <row r="455" spans="1:3" x14ac:dyDescent="0.2">
      <c r="A455"/>
      <c r="B455"/>
      <c r="C455"/>
    </row>
    <row r="456" spans="1:3" x14ac:dyDescent="0.2">
      <c r="A456"/>
      <c r="B456"/>
      <c r="C456"/>
    </row>
    <row r="457" spans="1:3" x14ac:dyDescent="0.2">
      <c r="A457"/>
      <c r="B457"/>
      <c r="C457"/>
    </row>
    <row r="458" spans="1:3" x14ac:dyDescent="0.2">
      <c r="A458"/>
      <c r="B458"/>
      <c r="C458"/>
    </row>
    <row r="459" spans="1:3" x14ac:dyDescent="0.2">
      <c r="A459"/>
      <c r="B459"/>
      <c r="C459"/>
    </row>
    <row r="460" spans="1:3" x14ac:dyDescent="0.2">
      <c r="A460"/>
      <c r="B460"/>
      <c r="C460"/>
    </row>
    <row r="461" spans="1:3" x14ac:dyDescent="0.2">
      <c r="A461"/>
      <c r="B461"/>
      <c r="C461"/>
    </row>
    <row r="462" spans="1:3" x14ac:dyDescent="0.2">
      <c r="A462"/>
      <c r="B462"/>
      <c r="C462"/>
    </row>
    <row r="463" spans="1:3" x14ac:dyDescent="0.2">
      <c r="A463"/>
      <c r="B463"/>
      <c r="C463"/>
    </row>
    <row r="464" spans="1:3" x14ac:dyDescent="0.2">
      <c r="A464"/>
      <c r="B464"/>
      <c r="C464"/>
    </row>
    <row r="465" spans="1:3" x14ac:dyDescent="0.2">
      <c r="A465"/>
      <c r="B465"/>
      <c r="C465"/>
    </row>
    <row r="466" spans="1:3" x14ac:dyDescent="0.2">
      <c r="A466"/>
      <c r="B466"/>
      <c r="C466"/>
    </row>
    <row r="467" spans="1:3" x14ac:dyDescent="0.2">
      <c r="A467"/>
      <c r="B467"/>
      <c r="C467"/>
    </row>
    <row r="468" spans="1:3" x14ac:dyDescent="0.2">
      <c r="A468"/>
      <c r="B468"/>
      <c r="C468"/>
    </row>
    <row r="469" spans="1:3" x14ac:dyDescent="0.2">
      <c r="A469"/>
      <c r="B469"/>
      <c r="C469"/>
    </row>
    <row r="470" spans="1:3" x14ac:dyDescent="0.2">
      <c r="A470"/>
      <c r="B470"/>
      <c r="C470"/>
    </row>
    <row r="471" spans="1:3" x14ac:dyDescent="0.2">
      <c r="A471"/>
      <c r="B471"/>
      <c r="C471"/>
    </row>
    <row r="472" spans="1:3" x14ac:dyDescent="0.2">
      <c r="A472"/>
      <c r="B472"/>
      <c r="C472"/>
    </row>
    <row r="473" spans="1:3" x14ac:dyDescent="0.2">
      <c r="A473"/>
      <c r="B473"/>
      <c r="C473"/>
    </row>
    <row r="474" spans="1:3" x14ac:dyDescent="0.2">
      <c r="A474"/>
      <c r="B474"/>
      <c r="C474"/>
    </row>
    <row r="475" spans="1:3" x14ac:dyDescent="0.2">
      <c r="A475"/>
      <c r="B475"/>
      <c r="C475"/>
    </row>
    <row r="476" spans="1:3" x14ac:dyDescent="0.2">
      <c r="A476"/>
      <c r="B476"/>
      <c r="C476"/>
    </row>
    <row r="477" spans="1:3" x14ac:dyDescent="0.2">
      <c r="A477"/>
      <c r="B477"/>
      <c r="C477"/>
    </row>
    <row r="478" spans="1:3" x14ac:dyDescent="0.2">
      <c r="A478"/>
      <c r="B478"/>
      <c r="C478"/>
    </row>
    <row r="479" spans="1:3" x14ac:dyDescent="0.2">
      <c r="A479"/>
      <c r="B479"/>
      <c r="C479"/>
    </row>
    <row r="480" spans="1:3" x14ac:dyDescent="0.2">
      <c r="A480"/>
      <c r="B480"/>
      <c r="C480"/>
    </row>
    <row r="481" spans="1:3" x14ac:dyDescent="0.2">
      <c r="A481"/>
      <c r="B481"/>
      <c r="C481"/>
    </row>
    <row r="482" spans="1:3" x14ac:dyDescent="0.2">
      <c r="A482"/>
      <c r="B482"/>
      <c r="C482"/>
    </row>
    <row r="483" spans="1:3" x14ac:dyDescent="0.2">
      <c r="A483"/>
      <c r="B483"/>
      <c r="C483"/>
    </row>
    <row r="484" spans="1:3" x14ac:dyDescent="0.2">
      <c r="A484"/>
      <c r="B484"/>
      <c r="C484"/>
    </row>
    <row r="485" spans="1:3" x14ac:dyDescent="0.2">
      <c r="A485"/>
      <c r="B485"/>
      <c r="C485"/>
    </row>
    <row r="486" spans="1:3" x14ac:dyDescent="0.2">
      <c r="A486"/>
      <c r="B486"/>
      <c r="C486"/>
    </row>
    <row r="487" spans="1:3" x14ac:dyDescent="0.2">
      <c r="A487"/>
      <c r="B487"/>
      <c r="C487"/>
    </row>
    <row r="488" spans="1:3" x14ac:dyDescent="0.2">
      <c r="A488"/>
      <c r="B488"/>
      <c r="C488"/>
    </row>
    <row r="489" spans="1:3" x14ac:dyDescent="0.2">
      <c r="A489"/>
      <c r="B489"/>
      <c r="C489"/>
    </row>
    <row r="490" spans="1:3" x14ac:dyDescent="0.2">
      <c r="A490"/>
      <c r="B490"/>
      <c r="C490"/>
    </row>
    <row r="491" spans="1:3" x14ac:dyDescent="0.2">
      <c r="A491"/>
      <c r="B491"/>
      <c r="C491"/>
    </row>
    <row r="492" spans="1:3" x14ac:dyDescent="0.2">
      <c r="A492"/>
      <c r="B492"/>
      <c r="C492"/>
    </row>
    <row r="493" spans="1:3" x14ac:dyDescent="0.2">
      <c r="A493"/>
      <c r="B493"/>
      <c r="C493"/>
    </row>
    <row r="494" spans="1:3" x14ac:dyDescent="0.2">
      <c r="A494"/>
      <c r="B494"/>
      <c r="C494"/>
    </row>
    <row r="495" spans="1:3" x14ac:dyDescent="0.2">
      <c r="A495"/>
      <c r="B495"/>
      <c r="C495"/>
    </row>
    <row r="496" spans="1:3" x14ac:dyDescent="0.2">
      <c r="A496"/>
      <c r="B496"/>
      <c r="C496"/>
    </row>
    <row r="497" spans="1:3" x14ac:dyDescent="0.2">
      <c r="A497"/>
      <c r="B497"/>
      <c r="C497"/>
    </row>
    <row r="498" spans="1:3" x14ac:dyDescent="0.2">
      <c r="A498"/>
      <c r="B498"/>
      <c r="C498"/>
    </row>
    <row r="499" spans="1:3" x14ac:dyDescent="0.2">
      <c r="A499"/>
      <c r="B499"/>
      <c r="C499"/>
    </row>
    <row r="500" spans="1:3" x14ac:dyDescent="0.2">
      <c r="A500"/>
      <c r="B500"/>
      <c r="C500"/>
    </row>
    <row r="501" spans="1:3" x14ac:dyDescent="0.2">
      <c r="A501"/>
      <c r="B501"/>
      <c r="C501"/>
    </row>
    <row r="502" spans="1:3" x14ac:dyDescent="0.2">
      <c r="A502"/>
      <c r="B502"/>
      <c r="C502"/>
    </row>
    <row r="503" spans="1:3" x14ac:dyDescent="0.2">
      <c r="A503"/>
      <c r="B503"/>
      <c r="C503"/>
    </row>
    <row r="504" spans="1:3" x14ac:dyDescent="0.2">
      <c r="A504"/>
      <c r="B504"/>
      <c r="C504"/>
    </row>
    <row r="505" spans="1:3" x14ac:dyDescent="0.2">
      <c r="A505"/>
      <c r="B505"/>
      <c r="C505"/>
    </row>
    <row r="506" spans="1:3" x14ac:dyDescent="0.2">
      <c r="A506"/>
      <c r="B506"/>
      <c r="C506"/>
    </row>
    <row r="507" spans="1:3" x14ac:dyDescent="0.2">
      <c r="A507"/>
      <c r="B507"/>
      <c r="C507"/>
    </row>
    <row r="508" spans="1:3" x14ac:dyDescent="0.2">
      <c r="A508"/>
      <c r="B508"/>
      <c r="C508"/>
    </row>
    <row r="509" spans="1:3" x14ac:dyDescent="0.2">
      <c r="A509"/>
      <c r="B509"/>
      <c r="C509"/>
    </row>
    <row r="510" spans="1:3" x14ac:dyDescent="0.2">
      <c r="A510"/>
      <c r="B510"/>
      <c r="C510"/>
    </row>
    <row r="511" spans="1:3" x14ac:dyDescent="0.2">
      <c r="A511"/>
      <c r="B511"/>
      <c r="C511"/>
    </row>
    <row r="512" spans="1:3" x14ac:dyDescent="0.2">
      <c r="A512"/>
      <c r="B512"/>
      <c r="C512"/>
    </row>
    <row r="513" spans="1:3" x14ac:dyDescent="0.2">
      <c r="A513"/>
      <c r="B513"/>
      <c r="C513"/>
    </row>
    <row r="514" spans="1:3" x14ac:dyDescent="0.2">
      <c r="A514"/>
      <c r="B514"/>
      <c r="C514"/>
    </row>
    <row r="515" spans="1:3" x14ac:dyDescent="0.2">
      <c r="A515"/>
      <c r="B515"/>
      <c r="C515"/>
    </row>
    <row r="516" spans="1:3" x14ac:dyDescent="0.2">
      <c r="A516"/>
      <c r="B516"/>
      <c r="C516"/>
    </row>
    <row r="517" spans="1:3" x14ac:dyDescent="0.2">
      <c r="A517"/>
      <c r="B517"/>
      <c r="C517"/>
    </row>
    <row r="518" spans="1:3" x14ac:dyDescent="0.2">
      <c r="A518"/>
      <c r="B518"/>
      <c r="C518"/>
    </row>
    <row r="519" spans="1:3" x14ac:dyDescent="0.2">
      <c r="A519"/>
      <c r="B519"/>
      <c r="C519"/>
    </row>
    <row r="520" spans="1:3" x14ac:dyDescent="0.2">
      <c r="A520"/>
      <c r="B520"/>
      <c r="C520"/>
    </row>
    <row r="521" spans="1:3" x14ac:dyDescent="0.2">
      <c r="A521"/>
      <c r="B521"/>
      <c r="C521"/>
    </row>
    <row r="522" spans="1:3" x14ac:dyDescent="0.2">
      <c r="A522"/>
      <c r="B522"/>
      <c r="C522"/>
    </row>
    <row r="523" spans="1:3" x14ac:dyDescent="0.2">
      <c r="A523"/>
      <c r="B523"/>
      <c r="C523"/>
    </row>
    <row r="524" spans="1:3" x14ac:dyDescent="0.2">
      <c r="A524"/>
      <c r="B524"/>
      <c r="C524"/>
    </row>
    <row r="525" spans="1:3" x14ac:dyDescent="0.2">
      <c r="A525"/>
      <c r="B525"/>
      <c r="C525"/>
    </row>
    <row r="526" spans="1:3" x14ac:dyDescent="0.2">
      <c r="A526"/>
      <c r="B526"/>
      <c r="C526"/>
    </row>
    <row r="527" spans="1:3" x14ac:dyDescent="0.2">
      <c r="A527"/>
      <c r="B527"/>
      <c r="C527"/>
    </row>
    <row r="528" spans="1:3" x14ac:dyDescent="0.2">
      <c r="A528"/>
      <c r="B528"/>
      <c r="C528"/>
    </row>
    <row r="529" spans="1:3" x14ac:dyDescent="0.2">
      <c r="A529"/>
      <c r="B529"/>
      <c r="C529"/>
    </row>
    <row r="530" spans="1:3" x14ac:dyDescent="0.2">
      <c r="A530"/>
      <c r="B530"/>
      <c r="C530"/>
    </row>
    <row r="531" spans="1:3" x14ac:dyDescent="0.2">
      <c r="A531"/>
      <c r="B531"/>
      <c r="C531"/>
    </row>
    <row r="532" spans="1:3" x14ac:dyDescent="0.2">
      <c r="A532"/>
      <c r="B532"/>
      <c r="C532"/>
    </row>
    <row r="533" spans="1:3" x14ac:dyDescent="0.2">
      <c r="A533"/>
      <c r="B533"/>
      <c r="C533"/>
    </row>
    <row r="534" spans="1:3" x14ac:dyDescent="0.2">
      <c r="A534"/>
      <c r="B534"/>
      <c r="C534"/>
    </row>
    <row r="535" spans="1:3" x14ac:dyDescent="0.2">
      <c r="A535"/>
      <c r="B535"/>
      <c r="C535"/>
    </row>
    <row r="536" spans="1:3" x14ac:dyDescent="0.2">
      <c r="A536"/>
      <c r="B536"/>
      <c r="C536"/>
    </row>
    <row r="537" spans="1:3" x14ac:dyDescent="0.2">
      <c r="A537"/>
      <c r="B537"/>
      <c r="C537"/>
    </row>
    <row r="538" spans="1:3" x14ac:dyDescent="0.2">
      <c r="A538"/>
      <c r="B538"/>
      <c r="C538"/>
    </row>
    <row r="539" spans="1:3" x14ac:dyDescent="0.2">
      <c r="A539"/>
      <c r="B539"/>
      <c r="C539"/>
    </row>
    <row r="540" spans="1:3" x14ac:dyDescent="0.2">
      <c r="A540"/>
      <c r="B540"/>
      <c r="C540"/>
    </row>
    <row r="541" spans="1:3" x14ac:dyDescent="0.2">
      <c r="A541"/>
      <c r="B541"/>
      <c r="C541"/>
    </row>
    <row r="542" spans="1:3" x14ac:dyDescent="0.2">
      <c r="A542"/>
      <c r="B542"/>
      <c r="C542"/>
    </row>
    <row r="543" spans="1:3" x14ac:dyDescent="0.2">
      <c r="A543"/>
      <c r="B543"/>
      <c r="C543"/>
    </row>
    <row r="544" spans="1:3" x14ac:dyDescent="0.2">
      <c r="A544"/>
      <c r="B544"/>
      <c r="C544"/>
    </row>
    <row r="545" spans="1:3" x14ac:dyDescent="0.2">
      <c r="A545"/>
      <c r="B545"/>
      <c r="C545"/>
    </row>
    <row r="546" spans="1:3" x14ac:dyDescent="0.2">
      <c r="A546"/>
      <c r="B546"/>
      <c r="C546"/>
    </row>
    <row r="547" spans="1:3" x14ac:dyDescent="0.2">
      <c r="A547"/>
      <c r="B547"/>
      <c r="C547"/>
    </row>
    <row r="548" spans="1:3" x14ac:dyDescent="0.2">
      <c r="A548"/>
      <c r="B548"/>
      <c r="C548"/>
    </row>
    <row r="549" spans="1:3" x14ac:dyDescent="0.2">
      <c r="A549"/>
      <c r="B549"/>
      <c r="C549"/>
    </row>
    <row r="550" spans="1:3" x14ac:dyDescent="0.2">
      <c r="A550"/>
      <c r="B550"/>
      <c r="C550"/>
    </row>
    <row r="551" spans="1:3" x14ac:dyDescent="0.2">
      <c r="A551"/>
      <c r="B551"/>
      <c r="C551"/>
    </row>
    <row r="552" spans="1:3" x14ac:dyDescent="0.2">
      <c r="A552"/>
      <c r="B552"/>
      <c r="C552"/>
    </row>
    <row r="553" spans="1:3" x14ac:dyDescent="0.2">
      <c r="A553"/>
      <c r="B553"/>
      <c r="C553"/>
    </row>
    <row r="554" spans="1:3" x14ac:dyDescent="0.2">
      <c r="A554"/>
      <c r="B554"/>
      <c r="C554"/>
    </row>
    <row r="555" spans="1:3" x14ac:dyDescent="0.2">
      <c r="A555"/>
      <c r="B555"/>
      <c r="C555"/>
    </row>
    <row r="556" spans="1:3" x14ac:dyDescent="0.2">
      <c r="A556"/>
      <c r="B556"/>
      <c r="C556"/>
    </row>
    <row r="557" spans="1:3" x14ac:dyDescent="0.2">
      <c r="A557"/>
      <c r="B557"/>
      <c r="C557"/>
    </row>
    <row r="558" spans="1:3" x14ac:dyDescent="0.2">
      <c r="A558"/>
      <c r="B558"/>
      <c r="C558"/>
    </row>
    <row r="559" spans="1:3" x14ac:dyDescent="0.2">
      <c r="A559"/>
      <c r="B559"/>
      <c r="C559"/>
    </row>
    <row r="560" spans="1:3" x14ac:dyDescent="0.2">
      <c r="A560"/>
      <c r="B560"/>
      <c r="C560"/>
    </row>
    <row r="561" spans="1:3" x14ac:dyDescent="0.2">
      <c r="A561"/>
      <c r="B561"/>
      <c r="C561"/>
    </row>
    <row r="562" spans="1:3" x14ac:dyDescent="0.2">
      <c r="A562"/>
      <c r="B562"/>
      <c r="C562"/>
    </row>
    <row r="563" spans="1:3" x14ac:dyDescent="0.2">
      <c r="A563"/>
      <c r="B563"/>
      <c r="C563"/>
    </row>
    <row r="564" spans="1:3" x14ac:dyDescent="0.2">
      <c r="A564"/>
      <c r="B564"/>
      <c r="C564"/>
    </row>
    <row r="565" spans="1:3" x14ac:dyDescent="0.2">
      <c r="A565"/>
      <c r="B565"/>
      <c r="C565"/>
    </row>
    <row r="566" spans="1:3" x14ac:dyDescent="0.2">
      <c r="A566"/>
      <c r="B566"/>
      <c r="C566"/>
    </row>
    <row r="567" spans="1:3" x14ac:dyDescent="0.2">
      <c r="A567"/>
      <c r="B567"/>
      <c r="C567"/>
    </row>
    <row r="568" spans="1:3" x14ac:dyDescent="0.2">
      <c r="A568"/>
      <c r="B568"/>
      <c r="C568"/>
    </row>
    <row r="569" spans="1:3" x14ac:dyDescent="0.2">
      <c r="A569"/>
      <c r="B569"/>
      <c r="C569"/>
    </row>
    <row r="570" spans="1:3" x14ac:dyDescent="0.2">
      <c r="A570"/>
      <c r="B570"/>
      <c r="C570"/>
    </row>
    <row r="571" spans="1:3" x14ac:dyDescent="0.2">
      <c r="A571"/>
      <c r="B571"/>
      <c r="C571"/>
    </row>
    <row r="572" spans="1:3" x14ac:dyDescent="0.2">
      <c r="A572"/>
      <c r="B572"/>
      <c r="C572"/>
    </row>
    <row r="573" spans="1:3" x14ac:dyDescent="0.2">
      <c r="A573"/>
      <c r="B573"/>
      <c r="C573"/>
    </row>
    <row r="574" spans="1:3" x14ac:dyDescent="0.2">
      <c r="A574"/>
      <c r="B574"/>
      <c r="C574"/>
    </row>
    <row r="575" spans="1:3" x14ac:dyDescent="0.2">
      <c r="A575"/>
      <c r="B575"/>
      <c r="C575"/>
    </row>
    <row r="576" spans="1:3" x14ac:dyDescent="0.2">
      <c r="A576"/>
      <c r="B576"/>
      <c r="C576"/>
    </row>
    <row r="577" spans="1:3" x14ac:dyDescent="0.2">
      <c r="A577"/>
      <c r="B577"/>
      <c r="C577"/>
    </row>
    <row r="578" spans="1:3" x14ac:dyDescent="0.2">
      <c r="A578"/>
      <c r="B578"/>
      <c r="C578"/>
    </row>
    <row r="579" spans="1:3" x14ac:dyDescent="0.2">
      <c r="A579"/>
      <c r="B579"/>
      <c r="C579"/>
    </row>
    <row r="580" spans="1:3" x14ac:dyDescent="0.2">
      <c r="A580"/>
      <c r="B580"/>
      <c r="C580"/>
    </row>
    <row r="581" spans="1:3" x14ac:dyDescent="0.2">
      <c r="A581"/>
      <c r="B581"/>
      <c r="C581"/>
    </row>
    <row r="582" spans="1:3" x14ac:dyDescent="0.2">
      <c r="A582"/>
      <c r="B582"/>
      <c r="C582"/>
    </row>
    <row r="583" spans="1:3" x14ac:dyDescent="0.2">
      <c r="A583"/>
      <c r="B583"/>
      <c r="C583"/>
    </row>
    <row r="584" spans="1:3" x14ac:dyDescent="0.2">
      <c r="A584"/>
      <c r="B584"/>
      <c r="C584"/>
    </row>
    <row r="585" spans="1:3" x14ac:dyDescent="0.2">
      <c r="A585"/>
      <c r="B585"/>
      <c r="C585"/>
    </row>
    <row r="586" spans="1:3" x14ac:dyDescent="0.2">
      <c r="A586"/>
      <c r="B586"/>
      <c r="C586"/>
    </row>
    <row r="587" spans="1:3" x14ac:dyDescent="0.2">
      <c r="A587"/>
      <c r="B587"/>
      <c r="C587"/>
    </row>
    <row r="588" spans="1:3" x14ac:dyDescent="0.2">
      <c r="A588"/>
      <c r="B588"/>
      <c r="C588"/>
    </row>
    <row r="589" spans="1:3" x14ac:dyDescent="0.2">
      <c r="A589"/>
      <c r="B589"/>
      <c r="C589"/>
    </row>
    <row r="590" spans="1:3" x14ac:dyDescent="0.2">
      <c r="A590"/>
      <c r="B590"/>
      <c r="C590"/>
    </row>
    <row r="591" spans="1:3" x14ac:dyDescent="0.2">
      <c r="A591"/>
      <c r="B591"/>
      <c r="C591"/>
    </row>
    <row r="592" spans="1:3" x14ac:dyDescent="0.2">
      <c r="A592"/>
      <c r="B592"/>
      <c r="C592"/>
    </row>
    <row r="593" spans="1:3" x14ac:dyDescent="0.2">
      <c r="A593"/>
      <c r="B593"/>
      <c r="C593"/>
    </row>
    <row r="594" spans="1:3" x14ac:dyDescent="0.2">
      <c r="A594"/>
      <c r="B594"/>
      <c r="C594"/>
    </row>
    <row r="595" spans="1:3" x14ac:dyDescent="0.2">
      <c r="A595"/>
      <c r="B595"/>
      <c r="C595"/>
    </row>
    <row r="596" spans="1:3" x14ac:dyDescent="0.2">
      <c r="A596"/>
      <c r="B596"/>
      <c r="C596"/>
    </row>
    <row r="597" spans="1:3" x14ac:dyDescent="0.2">
      <c r="A597"/>
      <c r="B597"/>
      <c r="C597"/>
    </row>
    <row r="598" spans="1:3" x14ac:dyDescent="0.2">
      <c r="A598"/>
      <c r="B598"/>
      <c r="C598"/>
    </row>
    <row r="599" spans="1:3" x14ac:dyDescent="0.2">
      <c r="A599"/>
      <c r="B599"/>
      <c r="C599"/>
    </row>
    <row r="600" spans="1:3" x14ac:dyDescent="0.2">
      <c r="A600"/>
      <c r="B600"/>
      <c r="C600"/>
    </row>
    <row r="601" spans="1:3" x14ac:dyDescent="0.2">
      <c r="A601"/>
      <c r="B601"/>
      <c r="C601"/>
    </row>
    <row r="602" spans="1:3" x14ac:dyDescent="0.2">
      <c r="A602"/>
      <c r="B602"/>
      <c r="C602"/>
    </row>
    <row r="603" spans="1:3" x14ac:dyDescent="0.2">
      <c r="A603"/>
      <c r="B603"/>
      <c r="C603"/>
    </row>
    <row r="604" spans="1:3" x14ac:dyDescent="0.2">
      <c r="A604"/>
      <c r="B604"/>
      <c r="C604"/>
    </row>
    <row r="605" spans="1:3" x14ac:dyDescent="0.2">
      <c r="A605"/>
      <c r="B605"/>
      <c r="C605"/>
    </row>
    <row r="606" spans="1:3" x14ac:dyDescent="0.2">
      <c r="A606"/>
      <c r="B606"/>
      <c r="C606"/>
    </row>
    <row r="607" spans="1:3" x14ac:dyDescent="0.2">
      <c r="A607"/>
      <c r="B607"/>
      <c r="C607"/>
    </row>
    <row r="608" spans="1:3" x14ac:dyDescent="0.2">
      <c r="A608"/>
      <c r="B608"/>
      <c r="C608"/>
    </row>
    <row r="609" spans="1:3" x14ac:dyDescent="0.2">
      <c r="A609"/>
      <c r="B609"/>
      <c r="C609"/>
    </row>
    <row r="610" spans="1:3" x14ac:dyDescent="0.2">
      <c r="A610"/>
      <c r="B610"/>
      <c r="C610"/>
    </row>
    <row r="611" spans="1:3" x14ac:dyDescent="0.2">
      <c r="A611"/>
      <c r="B611"/>
      <c r="C611"/>
    </row>
    <row r="612" spans="1:3" x14ac:dyDescent="0.2">
      <c r="A612"/>
      <c r="B612"/>
      <c r="C612"/>
    </row>
    <row r="613" spans="1:3" x14ac:dyDescent="0.2">
      <c r="A613"/>
      <c r="B613"/>
      <c r="C613"/>
    </row>
    <row r="614" spans="1:3" x14ac:dyDescent="0.2">
      <c r="A614"/>
      <c r="B614"/>
      <c r="C614"/>
    </row>
    <row r="615" spans="1:3" x14ac:dyDescent="0.2">
      <c r="A615"/>
      <c r="B615"/>
      <c r="C615"/>
    </row>
    <row r="616" spans="1:3" x14ac:dyDescent="0.2">
      <c r="A616"/>
      <c r="B616"/>
      <c r="C616"/>
    </row>
    <row r="617" spans="1:3" x14ac:dyDescent="0.2">
      <c r="A617"/>
      <c r="B617"/>
      <c r="C617"/>
    </row>
    <row r="618" spans="1:3" x14ac:dyDescent="0.2">
      <c r="A618"/>
      <c r="B618"/>
      <c r="C618"/>
    </row>
    <row r="619" spans="1:3" x14ac:dyDescent="0.2">
      <c r="A619"/>
      <c r="B619"/>
      <c r="C619"/>
    </row>
    <row r="620" spans="1:3" x14ac:dyDescent="0.2">
      <c r="A620"/>
      <c r="B620"/>
      <c r="C620"/>
    </row>
    <row r="621" spans="1:3" x14ac:dyDescent="0.2">
      <c r="A621"/>
      <c r="B621"/>
      <c r="C621"/>
    </row>
    <row r="622" spans="1:3" x14ac:dyDescent="0.2">
      <c r="A622"/>
      <c r="B622"/>
      <c r="C622"/>
    </row>
    <row r="623" spans="1:3" x14ac:dyDescent="0.2">
      <c r="A623"/>
      <c r="B623"/>
      <c r="C623"/>
    </row>
    <row r="624" spans="1:3" x14ac:dyDescent="0.2">
      <c r="A624"/>
      <c r="B624"/>
      <c r="C624"/>
    </row>
    <row r="625" spans="1:3" x14ac:dyDescent="0.2">
      <c r="A625"/>
      <c r="B625"/>
      <c r="C625"/>
    </row>
    <row r="626" spans="1:3" x14ac:dyDescent="0.2">
      <c r="A626"/>
      <c r="B626"/>
      <c r="C626"/>
    </row>
    <row r="627" spans="1:3" x14ac:dyDescent="0.2">
      <c r="A627"/>
      <c r="B627"/>
      <c r="C627"/>
    </row>
    <row r="628" spans="1:3" x14ac:dyDescent="0.2">
      <c r="A628"/>
      <c r="B628"/>
      <c r="C628"/>
    </row>
    <row r="629" spans="1:3" x14ac:dyDescent="0.2">
      <c r="A629"/>
      <c r="B629"/>
      <c r="C629"/>
    </row>
    <row r="630" spans="1:3" x14ac:dyDescent="0.2">
      <c r="A630"/>
      <c r="B630"/>
      <c r="C630"/>
    </row>
    <row r="631" spans="1:3" x14ac:dyDescent="0.2">
      <c r="A631"/>
      <c r="B631"/>
      <c r="C631"/>
    </row>
    <row r="632" spans="1:3" x14ac:dyDescent="0.2">
      <c r="A632"/>
      <c r="B632"/>
      <c r="C632"/>
    </row>
    <row r="633" spans="1:3" x14ac:dyDescent="0.2">
      <c r="A633"/>
      <c r="B633"/>
      <c r="C633"/>
    </row>
    <row r="634" spans="1:3" x14ac:dyDescent="0.2">
      <c r="A634"/>
      <c r="B634"/>
      <c r="C634"/>
    </row>
    <row r="635" spans="1:3" x14ac:dyDescent="0.2">
      <c r="A635"/>
      <c r="B635"/>
      <c r="C635"/>
    </row>
    <row r="636" spans="1:3" x14ac:dyDescent="0.2">
      <c r="A636"/>
      <c r="B636"/>
      <c r="C636"/>
    </row>
    <row r="637" spans="1:3" x14ac:dyDescent="0.2">
      <c r="A637"/>
      <c r="B637"/>
      <c r="C637"/>
    </row>
    <row r="638" spans="1:3" x14ac:dyDescent="0.2">
      <c r="A638"/>
      <c r="B638"/>
      <c r="C638"/>
    </row>
    <row r="639" spans="1:3" x14ac:dyDescent="0.2">
      <c r="A639"/>
      <c r="B639"/>
      <c r="C639"/>
    </row>
    <row r="640" spans="1:3" x14ac:dyDescent="0.2">
      <c r="A640"/>
      <c r="B640"/>
      <c r="C640"/>
    </row>
    <row r="641" spans="1:3" x14ac:dyDescent="0.2">
      <c r="A641"/>
      <c r="B641"/>
      <c r="C641"/>
    </row>
    <row r="642" spans="1:3" x14ac:dyDescent="0.2">
      <c r="A642"/>
      <c r="B642"/>
      <c r="C642"/>
    </row>
    <row r="643" spans="1:3" x14ac:dyDescent="0.2">
      <c r="A643"/>
      <c r="B643"/>
      <c r="C643"/>
    </row>
    <row r="644" spans="1:3" x14ac:dyDescent="0.2">
      <c r="A644"/>
      <c r="B644"/>
      <c r="C644"/>
    </row>
    <row r="645" spans="1:3" x14ac:dyDescent="0.2">
      <c r="A645"/>
      <c r="B645"/>
      <c r="C645"/>
    </row>
    <row r="646" spans="1:3" x14ac:dyDescent="0.2">
      <c r="A646"/>
      <c r="B646"/>
      <c r="C646"/>
    </row>
    <row r="647" spans="1:3" x14ac:dyDescent="0.2">
      <c r="A647"/>
      <c r="B647"/>
      <c r="C647"/>
    </row>
    <row r="648" spans="1:3" x14ac:dyDescent="0.2">
      <c r="A648"/>
      <c r="B648"/>
      <c r="C648"/>
    </row>
    <row r="649" spans="1:3" x14ac:dyDescent="0.2">
      <c r="A649"/>
      <c r="B649"/>
      <c r="C649"/>
    </row>
    <row r="650" spans="1:3" x14ac:dyDescent="0.2">
      <c r="A650"/>
      <c r="B650"/>
      <c r="C650"/>
    </row>
    <row r="651" spans="1:3" x14ac:dyDescent="0.2">
      <c r="A651"/>
      <c r="B651"/>
      <c r="C651"/>
    </row>
    <row r="652" spans="1:3" x14ac:dyDescent="0.2">
      <c r="A652"/>
      <c r="B652"/>
      <c r="C652"/>
    </row>
    <row r="653" spans="1:3" x14ac:dyDescent="0.2">
      <c r="A653"/>
      <c r="B653"/>
      <c r="C653"/>
    </row>
    <row r="654" spans="1:3" x14ac:dyDescent="0.2">
      <c r="A654"/>
      <c r="B654"/>
      <c r="C654"/>
    </row>
    <row r="655" spans="1:3" x14ac:dyDescent="0.2">
      <c r="A655"/>
      <c r="B655"/>
      <c r="C655"/>
    </row>
    <row r="656" spans="1:3" x14ac:dyDescent="0.2">
      <c r="A656"/>
      <c r="B656"/>
      <c r="C656"/>
    </row>
    <row r="657" spans="1:3" x14ac:dyDescent="0.2">
      <c r="A657"/>
      <c r="B657"/>
      <c r="C657"/>
    </row>
    <row r="658" spans="1:3" x14ac:dyDescent="0.2">
      <c r="A658"/>
      <c r="B658"/>
      <c r="C658"/>
    </row>
    <row r="659" spans="1:3" x14ac:dyDescent="0.2">
      <c r="A659"/>
      <c r="B659"/>
      <c r="C659"/>
    </row>
    <row r="660" spans="1:3" x14ac:dyDescent="0.2">
      <c r="A660"/>
      <c r="B660"/>
      <c r="C660"/>
    </row>
    <row r="661" spans="1:3" x14ac:dyDescent="0.2">
      <c r="A661"/>
      <c r="B661"/>
      <c r="C661"/>
    </row>
    <row r="662" spans="1:3" x14ac:dyDescent="0.2">
      <c r="A662"/>
      <c r="B662"/>
      <c r="C662"/>
    </row>
    <row r="663" spans="1:3" x14ac:dyDescent="0.2">
      <c r="A663"/>
      <c r="B663"/>
      <c r="C663"/>
    </row>
    <row r="664" spans="1:3" x14ac:dyDescent="0.2">
      <c r="A664"/>
      <c r="B664"/>
      <c r="C664"/>
    </row>
    <row r="665" spans="1:3" x14ac:dyDescent="0.2">
      <c r="A665"/>
      <c r="B665"/>
      <c r="C665"/>
    </row>
    <row r="666" spans="1:3" x14ac:dyDescent="0.2">
      <c r="A666"/>
      <c r="B666"/>
      <c r="C666"/>
    </row>
    <row r="667" spans="1:3" x14ac:dyDescent="0.2">
      <c r="A667"/>
      <c r="B667"/>
      <c r="C667"/>
    </row>
    <row r="668" spans="1:3" x14ac:dyDescent="0.2">
      <c r="A668"/>
      <c r="B668"/>
      <c r="C668"/>
    </row>
    <row r="669" spans="1:3" x14ac:dyDescent="0.2">
      <c r="A669"/>
      <c r="B669"/>
      <c r="C669"/>
    </row>
    <row r="670" spans="1:3" x14ac:dyDescent="0.2">
      <c r="A670"/>
      <c r="B670"/>
      <c r="C670"/>
    </row>
    <row r="671" spans="1:3" x14ac:dyDescent="0.2">
      <c r="A671"/>
      <c r="B671"/>
      <c r="C671"/>
    </row>
    <row r="672" spans="1:3" x14ac:dyDescent="0.2">
      <c r="A672"/>
      <c r="B672"/>
      <c r="C672"/>
    </row>
    <row r="673" spans="1:3" x14ac:dyDescent="0.2">
      <c r="A673"/>
      <c r="B673"/>
      <c r="C673"/>
    </row>
    <row r="674" spans="1:3" x14ac:dyDescent="0.2">
      <c r="A674"/>
      <c r="B674"/>
      <c r="C674"/>
    </row>
    <row r="675" spans="1:3" x14ac:dyDescent="0.2">
      <c r="A675"/>
      <c r="B675"/>
      <c r="C675"/>
    </row>
    <row r="676" spans="1:3" x14ac:dyDescent="0.2">
      <c r="A676"/>
      <c r="B676"/>
      <c r="C676"/>
    </row>
    <row r="677" spans="1:3" x14ac:dyDescent="0.2">
      <c r="A677"/>
      <c r="B677"/>
      <c r="C677"/>
    </row>
    <row r="678" spans="1:3" x14ac:dyDescent="0.2">
      <c r="A678"/>
      <c r="B678"/>
      <c r="C678"/>
    </row>
    <row r="679" spans="1:3" x14ac:dyDescent="0.2">
      <c r="A679"/>
      <c r="B679"/>
      <c r="C679"/>
    </row>
    <row r="680" spans="1:3" x14ac:dyDescent="0.2">
      <c r="A680"/>
      <c r="B680"/>
      <c r="C680"/>
    </row>
    <row r="681" spans="1:3" x14ac:dyDescent="0.2">
      <c r="A681"/>
      <c r="B681"/>
      <c r="C681"/>
    </row>
    <row r="682" spans="1:3" x14ac:dyDescent="0.2">
      <c r="A682"/>
      <c r="B682"/>
      <c r="C682"/>
    </row>
    <row r="683" spans="1:3" x14ac:dyDescent="0.2">
      <c r="A683"/>
      <c r="B683"/>
      <c r="C683"/>
    </row>
    <row r="684" spans="1:3" x14ac:dyDescent="0.2">
      <c r="A684"/>
      <c r="B684"/>
      <c r="C684"/>
    </row>
    <row r="685" spans="1:3" x14ac:dyDescent="0.2">
      <c r="A685"/>
      <c r="B685"/>
      <c r="C685"/>
    </row>
    <row r="686" spans="1:3" x14ac:dyDescent="0.2">
      <c r="A686"/>
      <c r="B686"/>
      <c r="C686"/>
    </row>
    <row r="687" spans="1:3" x14ac:dyDescent="0.2">
      <c r="A687"/>
      <c r="B687"/>
      <c r="C687"/>
    </row>
    <row r="688" spans="1:3" x14ac:dyDescent="0.2">
      <c r="A688"/>
      <c r="B688"/>
      <c r="C688"/>
    </row>
    <row r="689" spans="1:3" x14ac:dyDescent="0.2">
      <c r="A689"/>
      <c r="B689"/>
      <c r="C689"/>
    </row>
    <row r="690" spans="1:3" x14ac:dyDescent="0.2">
      <c r="A690"/>
      <c r="B690"/>
      <c r="C690"/>
    </row>
    <row r="691" spans="1:3" x14ac:dyDescent="0.2">
      <c r="A691"/>
      <c r="B691"/>
      <c r="C691"/>
    </row>
    <row r="692" spans="1:3" x14ac:dyDescent="0.2">
      <c r="A692"/>
      <c r="B692"/>
      <c r="C692"/>
    </row>
    <row r="693" spans="1:3" x14ac:dyDescent="0.2">
      <c r="A693"/>
      <c r="B693"/>
      <c r="C693"/>
    </row>
    <row r="694" spans="1:3" x14ac:dyDescent="0.2">
      <c r="A694"/>
      <c r="B694"/>
      <c r="C694"/>
    </row>
    <row r="695" spans="1:3" x14ac:dyDescent="0.2">
      <c r="A695"/>
      <c r="B695"/>
      <c r="C695"/>
    </row>
    <row r="696" spans="1:3" x14ac:dyDescent="0.2">
      <c r="A696"/>
      <c r="B696"/>
      <c r="C696"/>
    </row>
    <row r="697" spans="1:3" x14ac:dyDescent="0.2">
      <c r="A697"/>
      <c r="B697"/>
      <c r="C697"/>
    </row>
    <row r="698" spans="1:3" x14ac:dyDescent="0.2">
      <c r="A698"/>
      <c r="B698"/>
      <c r="C698"/>
    </row>
    <row r="699" spans="1:3" x14ac:dyDescent="0.2">
      <c r="A699"/>
      <c r="B699"/>
      <c r="C699"/>
    </row>
    <row r="700" spans="1:3" x14ac:dyDescent="0.2">
      <c r="A700"/>
      <c r="B700"/>
      <c r="C700"/>
    </row>
    <row r="701" spans="1:3" x14ac:dyDescent="0.2">
      <c r="A701"/>
      <c r="B701"/>
      <c r="C701"/>
    </row>
    <row r="702" spans="1:3" x14ac:dyDescent="0.2">
      <c r="A702"/>
      <c r="B702"/>
      <c r="C702"/>
    </row>
    <row r="703" spans="1:3" x14ac:dyDescent="0.2">
      <c r="A703"/>
      <c r="B703"/>
      <c r="C703"/>
    </row>
    <row r="704" spans="1:3" x14ac:dyDescent="0.2">
      <c r="A704"/>
      <c r="B704"/>
      <c r="C704"/>
    </row>
    <row r="705" spans="1:3" x14ac:dyDescent="0.2">
      <c r="A705"/>
      <c r="B705"/>
      <c r="C705"/>
    </row>
    <row r="706" spans="1:3" x14ac:dyDescent="0.2">
      <c r="A706"/>
      <c r="B706"/>
      <c r="C706"/>
    </row>
    <row r="707" spans="1:3" x14ac:dyDescent="0.2">
      <c r="A707"/>
      <c r="B707"/>
      <c r="C707"/>
    </row>
    <row r="708" spans="1:3" x14ac:dyDescent="0.2">
      <c r="A708"/>
      <c r="B708"/>
      <c r="C708"/>
    </row>
    <row r="709" spans="1:3" x14ac:dyDescent="0.2">
      <c r="A709"/>
      <c r="B709"/>
      <c r="C709"/>
    </row>
    <row r="710" spans="1:3" x14ac:dyDescent="0.2">
      <c r="A710"/>
      <c r="B710"/>
      <c r="C710"/>
    </row>
    <row r="711" spans="1:3" x14ac:dyDescent="0.2">
      <c r="A711"/>
      <c r="B711"/>
      <c r="C711"/>
    </row>
    <row r="712" spans="1:3" x14ac:dyDescent="0.2">
      <c r="A712"/>
      <c r="B712"/>
      <c r="C712"/>
    </row>
    <row r="713" spans="1:3" x14ac:dyDescent="0.2">
      <c r="A713"/>
      <c r="B713"/>
      <c r="C713"/>
    </row>
    <row r="714" spans="1:3" x14ac:dyDescent="0.2">
      <c r="A714"/>
      <c r="B714"/>
      <c r="C714"/>
    </row>
    <row r="715" spans="1:3" x14ac:dyDescent="0.2">
      <c r="A715"/>
      <c r="B715"/>
      <c r="C715"/>
    </row>
    <row r="716" spans="1:3" x14ac:dyDescent="0.2">
      <c r="A716"/>
      <c r="B716"/>
      <c r="C716"/>
    </row>
    <row r="717" spans="1:3" x14ac:dyDescent="0.2">
      <c r="A717"/>
      <c r="B717"/>
      <c r="C717"/>
    </row>
    <row r="718" spans="1:3" x14ac:dyDescent="0.2">
      <c r="A718"/>
      <c r="B718"/>
      <c r="C718"/>
    </row>
    <row r="719" spans="1:3" x14ac:dyDescent="0.2">
      <c r="A719"/>
      <c r="B719"/>
      <c r="C719"/>
    </row>
    <row r="720" spans="1:3" x14ac:dyDescent="0.2">
      <c r="A720"/>
      <c r="B720"/>
      <c r="C720"/>
    </row>
    <row r="721" spans="1:3" x14ac:dyDescent="0.2">
      <c r="A721"/>
      <c r="B721"/>
      <c r="C721"/>
    </row>
    <row r="722" spans="1:3" x14ac:dyDescent="0.2">
      <c r="A722"/>
      <c r="B722"/>
      <c r="C722"/>
    </row>
    <row r="723" spans="1:3" x14ac:dyDescent="0.2">
      <c r="A723"/>
      <c r="B723"/>
      <c r="C723"/>
    </row>
    <row r="724" spans="1:3" x14ac:dyDescent="0.2">
      <c r="A724"/>
      <c r="B724"/>
      <c r="C724"/>
    </row>
    <row r="725" spans="1:3" x14ac:dyDescent="0.2">
      <c r="A725"/>
      <c r="B725"/>
      <c r="C725"/>
    </row>
    <row r="726" spans="1:3" x14ac:dyDescent="0.2">
      <c r="A726"/>
      <c r="B726"/>
      <c r="C726"/>
    </row>
    <row r="727" spans="1:3" x14ac:dyDescent="0.2">
      <c r="A727"/>
      <c r="B727"/>
      <c r="C727"/>
    </row>
    <row r="728" spans="1:3" x14ac:dyDescent="0.2">
      <c r="A728"/>
      <c r="B728"/>
      <c r="C728"/>
    </row>
    <row r="729" spans="1:3" x14ac:dyDescent="0.2">
      <c r="A729"/>
      <c r="B729"/>
      <c r="C729"/>
    </row>
    <row r="730" spans="1:3" x14ac:dyDescent="0.2">
      <c r="A730"/>
      <c r="B730"/>
      <c r="C730"/>
    </row>
    <row r="731" spans="1:3" x14ac:dyDescent="0.2">
      <c r="A731"/>
      <c r="B731"/>
      <c r="C731"/>
    </row>
    <row r="732" spans="1:3" x14ac:dyDescent="0.2">
      <c r="A732"/>
      <c r="B732"/>
      <c r="C732"/>
    </row>
    <row r="733" spans="1:3" x14ac:dyDescent="0.2">
      <c r="A733"/>
      <c r="B733"/>
      <c r="C733"/>
    </row>
    <row r="734" spans="1:3" x14ac:dyDescent="0.2">
      <c r="A734"/>
      <c r="B734"/>
      <c r="C734"/>
    </row>
    <row r="735" spans="1:3" x14ac:dyDescent="0.2">
      <c r="A735"/>
      <c r="B735"/>
      <c r="C735"/>
    </row>
    <row r="736" spans="1:3" x14ac:dyDescent="0.2">
      <c r="A736"/>
      <c r="B736"/>
      <c r="C736"/>
    </row>
    <row r="737" spans="1:3" x14ac:dyDescent="0.2">
      <c r="A737"/>
      <c r="B737"/>
      <c r="C737"/>
    </row>
    <row r="738" spans="1:3" x14ac:dyDescent="0.2">
      <c r="A738"/>
      <c r="B738"/>
      <c r="C738"/>
    </row>
    <row r="739" spans="1:3" x14ac:dyDescent="0.2">
      <c r="A739"/>
      <c r="B739"/>
      <c r="C739"/>
    </row>
    <row r="740" spans="1:3" x14ac:dyDescent="0.2">
      <c r="A740"/>
      <c r="B740"/>
      <c r="C740"/>
    </row>
    <row r="741" spans="1:3" x14ac:dyDescent="0.2">
      <c r="A741"/>
      <c r="B741"/>
      <c r="C741"/>
    </row>
    <row r="742" spans="1:3" x14ac:dyDescent="0.2">
      <c r="A742"/>
      <c r="B742"/>
      <c r="C742"/>
    </row>
    <row r="743" spans="1:3" x14ac:dyDescent="0.2">
      <c r="A743"/>
      <c r="B743"/>
      <c r="C743"/>
    </row>
    <row r="744" spans="1:3" x14ac:dyDescent="0.2">
      <c r="A744"/>
      <c r="B744"/>
      <c r="C744"/>
    </row>
    <row r="745" spans="1:3" x14ac:dyDescent="0.2">
      <c r="A745"/>
      <c r="B745"/>
      <c r="C745"/>
    </row>
    <row r="746" spans="1:3" x14ac:dyDescent="0.2">
      <c r="A746"/>
      <c r="B746"/>
      <c r="C746"/>
    </row>
    <row r="747" spans="1:3" x14ac:dyDescent="0.2">
      <c r="A747"/>
      <c r="B747"/>
      <c r="C747"/>
    </row>
    <row r="748" spans="1:3" x14ac:dyDescent="0.2">
      <c r="A748"/>
      <c r="B748"/>
      <c r="C748"/>
    </row>
    <row r="749" spans="1:3" x14ac:dyDescent="0.2">
      <c r="A749"/>
      <c r="B749"/>
      <c r="C749"/>
    </row>
    <row r="750" spans="1:3" x14ac:dyDescent="0.2">
      <c r="A750"/>
      <c r="B750"/>
      <c r="C750"/>
    </row>
    <row r="751" spans="1:3" x14ac:dyDescent="0.2">
      <c r="A751"/>
      <c r="B751"/>
      <c r="C751"/>
    </row>
    <row r="752" spans="1:3" x14ac:dyDescent="0.2">
      <c r="A752"/>
      <c r="B752"/>
      <c r="C752"/>
    </row>
    <row r="753" spans="1:3" x14ac:dyDescent="0.2">
      <c r="A753"/>
      <c r="B753"/>
      <c r="C753"/>
    </row>
    <row r="754" spans="1:3" x14ac:dyDescent="0.2">
      <c r="A754"/>
      <c r="B754"/>
      <c r="C754"/>
    </row>
    <row r="755" spans="1:3" x14ac:dyDescent="0.2">
      <c r="A755"/>
      <c r="B755"/>
      <c r="C755"/>
    </row>
    <row r="756" spans="1:3" x14ac:dyDescent="0.2">
      <c r="A756"/>
      <c r="B756"/>
      <c r="C756"/>
    </row>
    <row r="757" spans="1:3" x14ac:dyDescent="0.2">
      <c r="A757"/>
      <c r="B757"/>
      <c r="C757"/>
    </row>
    <row r="758" spans="1:3" x14ac:dyDescent="0.2">
      <c r="A758"/>
      <c r="B758"/>
      <c r="C758"/>
    </row>
    <row r="759" spans="1:3" x14ac:dyDescent="0.2">
      <c r="A759"/>
      <c r="B759"/>
      <c r="C759"/>
    </row>
    <row r="760" spans="1:3" x14ac:dyDescent="0.2">
      <c r="A760"/>
      <c r="B760"/>
      <c r="C760"/>
    </row>
    <row r="761" spans="1:3" x14ac:dyDescent="0.2">
      <c r="A761"/>
      <c r="B761"/>
      <c r="C761"/>
    </row>
    <row r="762" spans="1:3" x14ac:dyDescent="0.2">
      <c r="A762"/>
      <c r="B762"/>
      <c r="C762"/>
    </row>
    <row r="763" spans="1:3" x14ac:dyDescent="0.2">
      <c r="A763"/>
      <c r="B763"/>
      <c r="C763"/>
    </row>
    <row r="764" spans="1:3" x14ac:dyDescent="0.2">
      <c r="A764"/>
      <c r="B764"/>
      <c r="C764"/>
    </row>
    <row r="765" spans="1:3" x14ac:dyDescent="0.2">
      <c r="A765"/>
      <c r="B765"/>
      <c r="C765"/>
    </row>
    <row r="766" spans="1:3" x14ac:dyDescent="0.2">
      <c r="A766"/>
      <c r="B766"/>
      <c r="C766"/>
    </row>
    <row r="767" spans="1:3" x14ac:dyDescent="0.2">
      <c r="A767"/>
      <c r="B767"/>
      <c r="C767"/>
    </row>
    <row r="768" spans="1:3" x14ac:dyDescent="0.2">
      <c r="A768"/>
      <c r="B768"/>
      <c r="C768"/>
    </row>
    <row r="769" spans="1:3" x14ac:dyDescent="0.2">
      <c r="A769"/>
      <c r="B769"/>
      <c r="C769"/>
    </row>
    <row r="770" spans="1:3" x14ac:dyDescent="0.2">
      <c r="A770"/>
      <c r="B770"/>
      <c r="C770"/>
    </row>
    <row r="771" spans="1:3" x14ac:dyDescent="0.2">
      <c r="A771"/>
      <c r="B771"/>
      <c r="C771"/>
    </row>
    <row r="772" spans="1:3" x14ac:dyDescent="0.2">
      <c r="A772"/>
      <c r="B772"/>
      <c r="C772"/>
    </row>
    <row r="773" spans="1:3" x14ac:dyDescent="0.2">
      <c r="A773"/>
      <c r="B773"/>
      <c r="C773"/>
    </row>
    <row r="774" spans="1:3" x14ac:dyDescent="0.2">
      <c r="A774"/>
      <c r="B774"/>
      <c r="C774"/>
    </row>
    <row r="775" spans="1:3" x14ac:dyDescent="0.2">
      <c r="A775"/>
      <c r="B775"/>
      <c r="C775"/>
    </row>
    <row r="776" spans="1:3" x14ac:dyDescent="0.2">
      <c r="A776"/>
      <c r="B776"/>
      <c r="C776"/>
    </row>
    <row r="777" spans="1:3" x14ac:dyDescent="0.2">
      <c r="A777"/>
      <c r="B777"/>
      <c r="C777"/>
    </row>
    <row r="778" spans="1:3" x14ac:dyDescent="0.2">
      <c r="A778"/>
      <c r="B778"/>
      <c r="C778"/>
    </row>
    <row r="779" spans="1:3" x14ac:dyDescent="0.2">
      <c r="A779"/>
      <c r="B779"/>
      <c r="C779"/>
    </row>
    <row r="780" spans="1:3" x14ac:dyDescent="0.2">
      <c r="A780"/>
      <c r="B780"/>
      <c r="C780"/>
    </row>
    <row r="781" spans="1:3" x14ac:dyDescent="0.2">
      <c r="A781"/>
      <c r="B781"/>
      <c r="C781"/>
    </row>
    <row r="782" spans="1:3" x14ac:dyDescent="0.2">
      <c r="A782"/>
      <c r="B782"/>
      <c r="C782"/>
    </row>
    <row r="783" spans="1:3" x14ac:dyDescent="0.2">
      <c r="A783"/>
      <c r="B783"/>
      <c r="C783"/>
    </row>
    <row r="784" spans="1:3" x14ac:dyDescent="0.2">
      <c r="A784"/>
      <c r="B784"/>
      <c r="C784"/>
    </row>
    <row r="785" spans="1:3" x14ac:dyDescent="0.2">
      <c r="A785"/>
      <c r="B785"/>
      <c r="C785"/>
    </row>
    <row r="786" spans="1:3" x14ac:dyDescent="0.2">
      <c r="A786"/>
      <c r="B786"/>
      <c r="C786"/>
    </row>
    <row r="787" spans="1:3" x14ac:dyDescent="0.2">
      <c r="A787"/>
      <c r="B787"/>
      <c r="C787"/>
    </row>
    <row r="788" spans="1:3" x14ac:dyDescent="0.2">
      <c r="A788"/>
      <c r="B788"/>
      <c r="C788"/>
    </row>
    <row r="789" spans="1:3" x14ac:dyDescent="0.2">
      <c r="A789"/>
      <c r="B789"/>
      <c r="C789"/>
    </row>
    <row r="790" spans="1:3" x14ac:dyDescent="0.2">
      <c r="A790"/>
      <c r="B790"/>
      <c r="C790"/>
    </row>
    <row r="791" spans="1:3" x14ac:dyDescent="0.2">
      <c r="A791"/>
      <c r="B791"/>
      <c r="C791"/>
    </row>
    <row r="792" spans="1:3" x14ac:dyDescent="0.2">
      <c r="A792"/>
      <c r="B792"/>
      <c r="C792"/>
    </row>
    <row r="793" spans="1:3" x14ac:dyDescent="0.2">
      <c r="A793"/>
      <c r="B793"/>
      <c r="C793"/>
    </row>
    <row r="794" spans="1:3" x14ac:dyDescent="0.2">
      <c r="A794"/>
      <c r="B794"/>
      <c r="C794"/>
    </row>
    <row r="795" spans="1:3" x14ac:dyDescent="0.2">
      <c r="A795"/>
      <c r="B795"/>
      <c r="C795"/>
    </row>
    <row r="796" spans="1:3" x14ac:dyDescent="0.2">
      <c r="A796"/>
      <c r="B796"/>
      <c r="C796"/>
    </row>
    <row r="797" spans="1:3" x14ac:dyDescent="0.2">
      <c r="A797"/>
      <c r="B797"/>
      <c r="C797"/>
    </row>
    <row r="798" spans="1:3" x14ac:dyDescent="0.2">
      <c r="A798"/>
      <c r="B798"/>
      <c r="C798"/>
    </row>
    <row r="799" spans="1:3" x14ac:dyDescent="0.2">
      <c r="A799"/>
      <c r="B799"/>
      <c r="C799"/>
    </row>
    <row r="800" spans="1:3" x14ac:dyDescent="0.2">
      <c r="A800"/>
      <c r="B800"/>
      <c r="C800"/>
    </row>
    <row r="801" spans="1:3" x14ac:dyDescent="0.2">
      <c r="A801"/>
      <c r="B801"/>
      <c r="C801"/>
    </row>
    <row r="802" spans="1:3" x14ac:dyDescent="0.2">
      <c r="A802"/>
      <c r="B802"/>
      <c r="C802"/>
    </row>
    <row r="803" spans="1:3" x14ac:dyDescent="0.2">
      <c r="A803"/>
      <c r="B803"/>
      <c r="C803"/>
    </row>
    <row r="804" spans="1:3" x14ac:dyDescent="0.2">
      <c r="A804"/>
      <c r="B804"/>
      <c r="C804"/>
    </row>
    <row r="805" spans="1:3" x14ac:dyDescent="0.2">
      <c r="A805"/>
      <c r="B805"/>
      <c r="C805"/>
    </row>
    <row r="806" spans="1:3" x14ac:dyDescent="0.2">
      <c r="A806"/>
      <c r="B806"/>
      <c r="C806"/>
    </row>
    <row r="807" spans="1:3" x14ac:dyDescent="0.2">
      <c r="A807"/>
      <c r="B807"/>
      <c r="C807"/>
    </row>
    <row r="808" spans="1:3" x14ac:dyDescent="0.2">
      <c r="A808"/>
      <c r="B808"/>
      <c r="C808"/>
    </row>
    <row r="809" spans="1:3" x14ac:dyDescent="0.2">
      <c r="A809"/>
      <c r="B809"/>
      <c r="C809"/>
    </row>
    <row r="810" spans="1:3" x14ac:dyDescent="0.2">
      <c r="A810"/>
      <c r="B810"/>
      <c r="C810"/>
    </row>
    <row r="811" spans="1:3" x14ac:dyDescent="0.2">
      <c r="A811"/>
      <c r="B811"/>
      <c r="C811"/>
    </row>
    <row r="812" spans="1:3" x14ac:dyDescent="0.2">
      <c r="A812"/>
      <c r="B812"/>
      <c r="C812"/>
    </row>
    <row r="813" spans="1:3" x14ac:dyDescent="0.2">
      <c r="A813"/>
      <c r="B813"/>
      <c r="C813"/>
    </row>
    <row r="814" spans="1:3" x14ac:dyDescent="0.2">
      <c r="A814"/>
      <c r="B814"/>
      <c r="C814"/>
    </row>
    <row r="815" spans="1:3" x14ac:dyDescent="0.2">
      <c r="A815"/>
      <c r="B815"/>
      <c r="C815"/>
    </row>
    <row r="816" spans="1:3" x14ac:dyDescent="0.2">
      <c r="A816"/>
      <c r="B816"/>
      <c r="C816"/>
    </row>
    <row r="817" spans="1:3" x14ac:dyDescent="0.2">
      <c r="A817"/>
      <c r="B817"/>
      <c r="C817"/>
    </row>
    <row r="818" spans="1:3" x14ac:dyDescent="0.2">
      <c r="A818"/>
      <c r="B818"/>
      <c r="C818"/>
    </row>
    <row r="819" spans="1:3" x14ac:dyDescent="0.2">
      <c r="A819"/>
      <c r="B819"/>
      <c r="C819"/>
    </row>
    <row r="820" spans="1:3" x14ac:dyDescent="0.2">
      <c r="A820"/>
      <c r="B820"/>
      <c r="C820"/>
    </row>
    <row r="821" spans="1:3" x14ac:dyDescent="0.2">
      <c r="A821"/>
      <c r="B821"/>
      <c r="C821"/>
    </row>
    <row r="822" spans="1:3" x14ac:dyDescent="0.2">
      <c r="A822"/>
      <c r="B822"/>
      <c r="C822"/>
    </row>
    <row r="823" spans="1:3" x14ac:dyDescent="0.2">
      <c r="A823"/>
      <c r="B823"/>
      <c r="C823"/>
    </row>
    <row r="824" spans="1:3" x14ac:dyDescent="0.2">
      <c r="A824"/>
      <c r="B824"/>
      <c r="C824"/>
    </row>
    <row r="825" spans="1:3" x14ac:dyDescent="0.2">
      <c r="A825"/>
      <c r="B825"/>
      <c r="C825"/>
    </row>
    <row r="826" spans="1:3" x14ac:dyDescent="0.2">
      <c r="A826"/>
      <c r="B826"/>
      <c r="C826"/>
    </row>
    <row r="827" spans="1:3" x14ac:dyDescent="0.2">
      <c r="A827"/>
      <c r="B827"/>
      <c r="C827"/>
    </row>
    <row r="828" spans="1:3" x14ac:dyDescent="0.2">
      <c r="A828"/>
      <c r="B828"/>
      <c r="C828"/>
    </row>
    <row r="829" spans="1:3" x14ac:dyDescent="0.2">
      <c r="A829"/>
      <c r="B829"/>
      <c r="C829"/>
    </row>
    <row r="830" spans="1:3" x14ac:dyDescent="0.2">
      <c r="A830"/>
      <c r="B830"/>
      <c r="C830"/>
    </row>
    <row r="831" spans="1:3" x14ac:dyDescent="0.2">
      <c r="A831"/>
      <c r="B831"/>
      <c r="C831"/>
    </row>
    <row r="832" spans="1:3" x14ac:dyDescent="0.2">
      <c r="A832"/>
      <c r="B832"/>
      <c r="C832"/>
    </row>
    <row r="833" spans="1:3" x14ac:dyDescent="0.2">
      <c r="A833"/>
      <c r="B833"/>
      <c r="C833"/>
    </row>
    <row r="834" spans="1:3" x14ac:dyDescent="0.2">
      <c r="A834"/>
      <c r="B834"/>
      <c r="C834"/>
    </row>
    <row r="835" spans="1:3" x14ac:dyDescent="0.2">
      <c r="A835"/>
      <c r="B835"/>
      <c r="C835"/>
    </row>
    <row r="836" spans="1:3" x14ac:dyDescent="0.2">
      <c r="A836"/>
      <c r="B836"/>
      <c r="C836"/>
    </row>
    <row r="837" spans="1:3" x14ac:dyDescent="0.2">
      <c r="A837"/>
      <c r="B837"/>
      <c r="C837"/>
    </row>
    <row r="838" spans="1:3" x14ac:dyDescent="0.2">
      <c r="A838"/>
      <c r="B838"/>
      <c r="C838"/>
    </row>
    <row r="839" spans="1:3" x14ac:dyDescent="0.2">
      <c r="A839"/>
      <c r="B839"/>
      <c r="C839"/>
    </row>
    <row r="840" spans="1:3" x14ac:dyDescent="0.2">
      <c r="A840"/>
      <c r="B840"/>
      <c r="C840"/>
    </row>
    <row r="841" spans="1:3" x14ac:dyDescent="0.2">
      <c r="A841"/>
      <c r="B841"/>
      <c r="C841"/>
    </row>
    <row r="842" spans="1:3" x14ac:dyDescent="0.2">
      <c r="A842"/>
      <c r="B842"/>
      <c r="C842"/>
    </row>
    <row r="843" spans="1:3" x14ac:dyDescent="0.2">
      <c r="A843"/>
      <c r="B843"/>
      <c r="C843"/>
    </row>
    <row r="844" spans="1:3" x14ac:dyDescent="0.2">
      <c r="A844"/>
      <c r="B844"/>
      <c r="C844"/>
    </row>
    <row r="845" spans="1:3" x14ac:dyDescent="0.2">
      <c r="A845"/>
      <c r="B845"/>
      <c r="C845"/>
    </row>
    <row r="846" spans="1:3" x14ac:dyDescent="0.2">
      <c r="A846"/>
      <c r="B846"/>
      <c r="C846"/>
    </row>
    <row r="847" spans="1:3" x14ac:dyDescent="0.2">
      <c r="A847"/>
      <c r="B847"/>
      <c r="C847"/>
    </row>
    <row r="848" spans="1:3" x14ac:dyDescent="0.2">
      <c r="A848"/>
      <c r="B848"/>
      <c r="C848"/>
    </row>
    <row r="849" spans="1:3" x14ac:dyDescent="0.2">
      <c r="A849"/>
      <c r="B849"/>
      <c r="C849"/>
    </row>
    <row r="850" spans="1:3" x14ac:dyDescent="0.2">
      <c r="A850"/>
      <c r="B850"/>
      <c r="C850"/>
    </row>
    <row r="851" spans="1:3" x14ac:dyDescent="0.2">
      <c r="A851"/>
      <c r="B851"/>
      <c r="C851"/>
    </row>
    <row r="852" spans="1:3" x14ac:dyDescent="0.2">
      <c r="A852"/>
      <c r="B852"/>
      <c r="C852"/>
    </row>
    <row r="853" spans="1:3" x14ac:dyDescent="0.2">
      <c r="A853"/>
      <c r="B853"/>
      <c r="C853"/>
    </row>
    <row r="854" spans="1:3" x14ac:dyDescent="0.2">
      <c r="A854"/>
      <c r="B854"/>
      <c r="C854"/>
    </row>
    <row r="855" spans="1:3" x14ac:dyDescent="0.2">
      <c r="A855"/>
      <c r="B855"/>
      <c r="C855"/>
    </row>
    <row r="856" spans="1:3" x14ac:dyDescent="0.2">
      <c r="A856"/>
      <c r="B856"/>
      <c r="C856"/>
    </row>
    <row r="857" spans="1:3" x14ac:dyDescent="0.2">
      <c r="A857"/>
      <c r="B857"/>
      <c r="C857"/>
    </row>
    <row r="858" spans="1:3" x14ac:dyDescent="0.2">
      <c r="A858"/>
      <c r="B858"/>
      <c r="C858"/>
    </row>
    <row r="859" spans="1:3" x14ac:dyDescent="0.2">
      <c r="A859"/>
      <c r="B859"/>
      <c r="C859"/>
    </row>
    <row r="860" spans="1:3" x14ac:dyDescent="0.2">
      <c r="A860"/>
      <c r="B860"/>
      <c r="C860"/>
    </row>
    <row r="861" spans="1:3" x14ac:dyDescent="0.2">
      <c r="A861"/>
      <c r="B861"/>
      <c r="C861"/>
    </row>
    <row r="862" spans="1:3" x14ac:dyDescent="0.2">
      <c r="A862"/>
      <c r="B862"/>
      <c r="C862"/>
    </row>
    <row r="863" spans="1:3" x14ac:dyDescent="0.2">
      <c r="A863"/>
      <c r="B863"/>
      <c r="C863"/>
    </row>
    <row r="864" spans="1:3" x14ac:dyDescent="0.2">
      <c r="A864"/>
      <c r="B864"/>
      <c r="C864"/>
    </row>
    <row r="865" spans="1:3" x14ac:dyDescent="0.2">
      <c r="A865"/>
      <c r="B865"/>
      <c r="C865"/>
    </row>
    <row r="866" spans="1:3" x14ac:dyDescent="0.2">
      <c r="A866"/>
      <c r="B866"/>
      <c r="C866"/>
    </row>
    <row r="867" spans="1:3" x14ac:dyDescent="0.2">
      <c r="A867"/>
      <c r="B867"/>
      <c r="C867"/>
    </row>
    <row r="868" spans="1:3" x14ac:dyDescent="0.2">
      <c r="A868"/>
      <c r="B868"/>
      <c r="C868"/>
    </row>
    <row r="869" spans="1:3" x14ac:dyDescent="0.2">
      <c r="A869"/>
      <c r="B869"/>
      <c r="C869"/>
    </row>
    <row r="870" spans="1:3" x14ac:dyDescent="0.2">
      <c r="A870"/>
      <c r="B870"/>
      <c r="C870"/>
    </row>
    <row r="871" spans="1:3" x14ac:dyDescent="0.2">
      <c r="A871"/>
      <c r="B871"/>
      <c r="C871"/>
    </row>
    <row r="872" spans="1:3" x14ac:dyDescent="0.2">
      <c r="A872"/>
      <c r="B872"/>
      <c r="C872"/>
    </row>
    <row r="873" spans="1:3" x14ac:dyDescent="0.2">
      <c r="A873"/>
      <c r="B873"/>
      <c r="C873"/>
    </row>
    <row r="874" spans="1:3" x14ac:dyDescent="0.2">
      <c r="A874"/>
      <c r="B874"/>
      <c r="C874"/>
    </row>
    <row r="875" spans="1:3" x14ac:dyDescent="0.2">
      <c r="A875"/>
      <c r="B875"/>
      <c r="C875"/>
    </row>
    <row r="876" spans="1:3" x14ac:dyDescent="0.2">
      <c r="A876"/>
      <c r="B876"/>
      <c r="C876"/>
    </row>
    <row r="877" spans="1:3" x14ac:dyDescent="0.2">
      <c r="A877"/>
      <c r="B877"/>
      <c r="C877"/>
    </row>
    <row r="878" spans="1:3" x14ac:dyDescent="0.2">
      <c r="A878"/>
      <c r="B878"/>
      <c r="C878"/>
    </row>
    <row r="879" spans="1:3" x14ac:dyDescent="0.2">
      <c r="A879"/>
      <c r="B879"/>
      <c r="C879"/>
    </row>
    <row r="880" spans="1:3" x14ac:dyDescent="0.2">
      <c r="A880"/>
      <c r="B880"/>
      <c r="C880"/>
    </row>
    <row r="881" spans="1:3" x14ac:dyDescent="0.2">
      <c r="A881"/>
      <c r="B881"/>
      <c r="C881"/>
    </row>
    <row r="882" spans="1:3" x14ac:dyDescent="0.2">
      <c r="A882"/>
      <c r="B882"/>
      <c r="C882"/>
    </row>
    <row r="883" spans="1:3" x14ac:dyDescent="0.2">
      <c r="A883"/>
      <c r="B883"/>
      <c r="C883"/>
    </row>
    <row r="884" spans="1:3" x14ac:dyDescent="0.2">
      <c r="A884"/>
      <c r="B884"/>
      <c r="C884"/>
    </row>
    <row r="885" spans="1:3" x14ac:dyDescent="0.2">
      <c r="A885"/>
      <c r="B885"/>
      <c r="C885"/>
    </row>
    <row r="886" spans="1:3" x14ac:dyDescent="0.2">
      <c r="A886"/>
      <c r="B886"/>
      <c r="C886"/>
    </row>
    <row r="887" spans="1:3" x14ac:dyDescent="0.2">
      <c r="A887"/>
      <c r="B887"/>
      <c r="C887"/>
    </row>
    <row r="888" spans="1:3" x14ac:dyDescent="0.2">
      <c r="A888"/>
      <c r="B888"/>
      <c r="C888"/>
    </row>
    <row r="889" spans="1:3" x14ac:dyDescent="0.2">
      <c r="A889"/>
      <c r="B889"/>
      <c r="C889"/>
    </row>
    <row r="890" spans="1:3" x14ac:dyDescent="0.2">
      <c r="A890"/>
      <c r="B890"/>
      <c r="C890"/>
    </row>
    <row r="891" spans="1:3" x14ac:dyDescent="0.2">
      <c r="A891"/>
      <c r="B891"/>
      <c r="C891"/>
    </row>
    <row r="892" spans="1:3" x14ac:dyDescent="0.2">
      <c r="A892"/>
      <c r="B892"/>
      <c r="C892"/>
    </row>
    <row r="893" spans="1:3" x14ac:dyDescent="0.2">
      <c r="A893"/>
      <c r="B893"/>
      <c r="C893"/>
    </row>
    <row r="894" spans="1:3" x14ac:dyDescent="0.2">
      <c r="A894"/>
      <c r="B894"/>
      <c r="C894"/>
    </row>
    <row r="895" spans="1:3" x14ac:dyDescent="0.2">
      <c r="A895"/>
      <c r="B895"/>
      <c r="C895"/>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K14" sqref="K14:L14"/>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5369</v>
      </c>
      <c r="B1" s="176"/>
      <c r="C1" s="555" t="s">
        <v>63</v>
      </c>
      <c r="D1" s="556"/>
      <c r="E1" s="556"/>
      <c r="F1" s="556"/>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96</v>
      </c>
      <c r="D3" s="521"/>
      <c r="E3" s="179"/>
      <c r="F3" s="179"/>
      <c r="G3" s="179"/>
      <c r="H3" s="179"/>
      <c r="I3" s="179"/>
      <c r="J3" s="557" t="s">
        <v>130</v>
      </c>
      <c r="K3" s="558"/>
      <c r="L3" s="559"/>
      <c r="M3" s="179"/>
      <c r="N3" s="574" t="s">
        <v>119</v>
      </c>
      <c r="O3" s="574"/>
      <c r="P3" s="574"/>
      <c r="Q3" s="574"/>
      <c r="R3" s="574"/>
      <c r="S3" s="574"/>
      <c r="T3" s="185"/>
      <c r="U3" s="185"/>
      <c r="V3" s="185"/>
      <c r="W3" s="188"/>
      <c r="X3" s="188"/>
      <c r="Y3" s="188"/>
      <c r="Z3" s="188"/>
      <c r="AA3" s="188"/>
      <c r="AB3" s="188"/>
      <c r="AC3" s="188"/>
    </row>
    <row r="4" spans="1:29" x14ac:dyDescent="0.2">
      <c r="A4" s="181"/>
      <c r="B4" s="186"/>
      <c r="C4" s="187" t="s">
        <v>544</v>
      </c>
      <c r="D4" s="527" t="str">
        <f>IFERROR(VLOOKUP("Condition",#REF!,2,FALSE),"")</f>
        <v/>
      </c>
      <c r="E4" s="179"/>
      <c r="F4" s="179"/>
      <c r="G4" s="179"/>
      <c r="H4" s="179"/>
      <c r="I4" s="179"/>
      <c r="J4" s="562" t="s">
        <v>4</v>
      </c>
      <c r="K4" s="563"/>
      <c r="L4" s="189">
        <f ca="1">IF(ISERROR(Access_Data!$D$33),0,Access_Data!$D$33)</f>
        <v>0</v>
      </c>
      <c r="M4" s="179"/>
      <c r="N4" s="190" t="s">
        <v>118</v>
      </c>
      <c r="O4" s="191" t="s">
        <v>117</v>
      </c>
      <c r="P4" s="560" t="s">
        <v>128</v>
      </c>
      <c r="Q4" s="561"/>
      <c r="R4" s="192" t="s">
        <v>166</v>
      </c>
      <c r="S4" s="192" t="s">
        <v>170</v>
      </c>
      <c r="T4" s="185"/>
      <c r="U4" s="434"/>
      <c r="V4" s="434"/>
      <c r="W4" s="434"/>
      <c r="X4" s="434"/>
      <c r="Y4" s="434"/>
      <c r="Z4" s="434"/>
      <c r="AA4" s="434"/>
      <c r="AB4" s="434"/>
      <c r="AC4" s="188"/>
    </row>
    <row r="5" spans="1:29" x14ac:dyDescent="0.2">
      <c r="A5" s="181"/>
      <c r="B5" s="186"/>
      <c r="C5" s="187" t="s">
        <v>53</v>
      </c>
      <c r="D5" s="578" t="str" cm="1">
        <f t="array" ref="D5">_xlfn.UNIQUE(customers__Filtered[company_name])</f>
        <v>CHROME PLUS INT'L - WICHITA</v>
      </c>
      <c r="E5" s="579"/>
      <c r="F5" s="579"/>
      <c r="G5" s="579"/>
      <c r="H5" s="580"/>
      <c r="I5" s="528">
        <f>VLOOKUP(D5,customers[],5,FALSE)</f>
        <v>0</v>
      </c>
      <c r="J5" s="562" t="s">
        <v>5</v>
      </c>
      <c r="K5" s="563"/>
      <c r="L5" s="189">
        <f ca="1">IF(ISERROR(Access_Data!$D$33),0,Access_Data!$H$33)</f>
        <v>0</v>
      </c>
      <c r="M5" s="179"/>
      <c r="N5" s="190">
        <v>1</v>
      </c>
      <c r="O5" s="193"/>
      <c r="P5" s="194" t="str">
        <f>IF(Access_Data!$K37=0,"",Access_Data!$K37)</f>
        <v>Dropped</v>
      </c>
      <c r="Q5" s="195"/>
      <c r="R5" s="196" t="str">
        <f>IF(Access_Data!$K37&lt;&gt;0,IF(RIGHT($P5,3)="Low",Access_Data!$L37,IF(RIGHT($P5,4)="High",Access_Data!$J37,"")),"")</f>
        <v/>
      </c>
      <c r="S5" s="197" t="str">
        <f>IF(Access_Data!$M37&lt;&gt;0,Access_Data!$M37,"")</f>
        <v/>
      </c>
      <c r="T5" s="185"/>
      <c r="U5" s="434"/>
      <c r="V5" s="434"/>
      <c r="W5" s="434"/>
      <c r="X5" s="434" t="str">
        <f t="shared" ref="X5:X7" si="0">IF(O5="","",1)</f>
        <v/>
      </c>
      <c r="Y5" s="434"/>
      <c r="Z5" s="434"/>
      <c r="AA5" s="434"/>
      <c r="AB5" s="434"/>
      <c r="AC5" s="188"/>
    </row>
    <row r="6" spans="1:29" x14ac:dyDescent="0.2">
      <c r="A6" s="181"/>
      <c r="B6" s="186"/>
      <c r="C6" s="187" t="s">
        <v>52</v>
      </c>
      <c r="D6" s="575" t="str">
        <f>VLOOKUP("assetName",WorkItemDetails[],2,FALSE)</f>
        <v>DESPATCH RS4HD Temperature Uniformity Survey, 10 points</v>
      </c>
      <c r="E6" s="576"/>
      <c r="F6" s="576"/>
      <c r="G6" s="576"/>
      <c r="H6" s="577"/>
      <c r="I6" s="505"/>
      <c r="J6" s="562" t="s">
        <v>129</v>
      </c>
      <c r="K6" s="563"/>
      <c r="L6" s="189">
        <f>IF(ISERROR(Access_Data!$A$52),0,Access_Data!$A$52)</f>
        <v>0</v>
      </c>
      <c r="M6" s="179"/>
      <c r="N6" s="190">
        <v>2</v>
      </c>
      <c r="O6" s="193"/>
      <c r="P6" s="194" t="str">
        <f>IF(Access_Data!$K38=0,"",Access_Data!$K38)</f>
        <v>Dropped</v>
      </c>
      <c r="Q6" s="198"/>
      <c r="R6" s="196" t="str">
        <f>IF(Access_Data!$K38&lt;&gt;0,IF(RIGHT($P6,3)="Low",Access_Data!$L38,IF(RIGHT($P6,4)="High",Access_Data!$J38,"")),"")</f>
        <v/>
      </c>
      <c r="S6" s="197" t="str">
        <f>IF(Access_Data!$M38&lt;&gt;0,Access_Data!$M38,"")</f>
        <v/>
      </c>
      <c r="T6" s="185"/>
      <c r="U6" s="434"/>
      <c r="V6" s="434"/>
      <c r="W6" s="434"/>
      <c r="X6" s="434" t="str">
        <f t="shared" si="0"/>
        <v/>
      </c>
      <c r="Y6" s="434"/>
      <c r="Z6" s="434"/>
      <c r="AA6" s="434"/>
      <c r="AB6" s="434"/>
      <c r="AC6" s="188"/>
    </row>
    <row r="7" spans="1:29" x14ac:dyDescent="0.2">
      <c r="A7" s="181"/>
      <c r="B7" s="199"/>
      <c r="C7" s="200" t="s">
        <v>39</v>
      </c>
      <c r="D7" s="524"/>
      <c r="E7" s="179"/>
      <c r="F7" s="179"/>
      <c r="G7" s="179"/>
      <c r="H7" s="179"/>
      <c r="I7" s="179"/>
      <c r="J7" s="201"/>
      <c r="K7" s="201"/>
      <c r="L7" s="201"/>
      <c r="M7" s="179"/>
      <c r="N7" s="190">
        <v>3</v>
      </c>
      <c r="O7" s="193"/>
      <c r="P7" s="194" t="str">
        <f>IF(Access_Data!$K39=0,"",Access_Data!$K39)</f>
        <v>Dropped</v>
      </c>
      <c r="Q7" s="195"/>
      <c r="R7" s="196" t="str">
        <f>IF(Access_Data!$K39&lt;&gt;0,IF(RIGHT($P7,3)="Low",Access_Data!$L39,IF(RIGHT($P7,4)="High",Access_Data!$J39,"")),"")</f>
        <v/>
      </c>
      <c r="S7" s="197" t="str">
        <f>IF(Access_Data!$M39&lt;&gt;0,Access_Data!$M39,"")</f>
        <v/>
      </c>
      <c r="T7" s="185"/>
      <c r="U7" s="434"/>
      <c r="V7" s="434"/>
      <c r="W7" s="434"/>
      <c r="X7" s="434" t="str">
        <f t="shared" si="0"/>
        <v/>
      </c>
      <c r="Y7" s="434"/>
      <c r="Z7" s="434"/>
      <c r="AA7" s="434"/>
      <c r="AB7" s="434"/>
      <c r="AC7" s="188"/>
    </row>
    <row r="8" spans="1:29" x14ac:dyDescent="0.2">
      <c r="A8" s="181"/>
      <c r="B8" s="202"/>
      <c r="C8" s="203"/>
      <c r="D8" s="204"/>
      <c r="E8" s="179"/>
      <c r="F8" s="408" t="e">
        <f>IF(N49="","CHECK TUNING CONSTANTS","")</f>
        <v>#REF!</v>
      </c>
      <c r="G8" s="179"/>
      <c r="H8" s="179"/>
      <c r="I8" s="179"/>
      <c r="J8" s="179"/>
      <c r="K8" s="179"/>
      <c r="L8" s="179"/>
      <c r="M8" s="179"/>
      <c r="N8" s="190">
        <v>4</v>
      </c>
      <c r="O8" s="193"/>
      <c r="P8" s="194" t="str">
        <f>IF(Access_Data!$K40=0,"",Access_Data!$K40)</f>
        <v>Dropped</v>
      </c>
      <c r="Q8" s="198"/>
      <c r="R8" s="196" t="str">
        <f>IF(Access_Data!$K40&lt;&gt;0,IF(RIGHT($P8,3)="Low",Access_Data!$L40,IF(RIGHT($P8,4)="High",Access_Data!$J40,"")),"")</f>
        <v/>
      </c>
      <c r="S8" s="197" t="str">
        <f>IF(Access_Data!$M40&lt;&gt;0,Access_Data!$M40,"")</f>
        <v/>
      </c>
      <c r="T8" s="185"/>
      <c r="U8" s="434"/>
      <c r="V8" s="434"/>
      <c r="W8" s="434"/>
      <c r="X8" s="434" t="str">
        <f>IF(O8="","",1)</f>
        <v/>
      </c>
      <c r="Y8" s="434"/>
      <c r="Z8" s="434"/>
      <c r="AA8" s="434"/>
      <c r="AB8" s="434"/>
      <c r="AC8" s="188"/>
    </row>
    <row r="9" spans="1:29" ht="12.75" customHeight="1" x14ac:dyDescent="0.2">
      <c r="A9" s="181"/>
      <c r="B9" s="186"/>
      <c r="C9" s="205" t="s">
        <v>86</v>
      </c>
      <c r="D9" s="523"/>
      <c r="E9" s="528" t="str">
        <f>IFERROR(LOOKUP(Main!$D$9,Daqbooks[asset_tag],Daqbooks[asset_id]),"")</f>
        <v/>
      </c>
      <c r="F9" s="179"/>
      <c r="G9" s="179"/>
      <c r="H9" s="179"/>
      <c r="I9" s="179"/>
      <c r="J9" s="179"/>
      <c r="K9" s="179"/>
      <c r="L9" s="179"/>
      <c r="M9" s="179"/>
      <c r="N9" s="190">
        <v>5</v>
      </c>
      <c r="O9" s="193"/>
      <c r="P9" s="194" t="str">
        <f>IF(Access_Data!$K41=0,"",Access_Data!$K41)</f>
        <v>Dropped</v>
      </c>
      <c r="Q9" s="195"/>
      <c r="R9" s="196" t="str">
        <f>IF(Access_Data!$K41&lt;&gt;0,IF(RIGHT($P9,3)="Low",Access_Data!$L41,IF(RIGHT($P9,4)="High",Access_Data!$J41,"")),"")</f>
        <v/>
      </c>
      <c r="S9" s="197" t="str">
        <f>IF(Access_Data!$M41&lt;&gt;0,Access_Data!$M41,"")</f>
        <v/>
      </c>
      <c r="T9" s="185"/>
      <c r="U9" s="434"/>
      <c r="V9" s="434"/>
      <c r="W9" s="434"/>
      <c r="X9" s="434" t="str">
        <f t="shared" ref="X9:X44" si="1">IF(O9="","",1)</f>
        <v/>
      </c>
      <c r="Y9" s="434"/>
      <c r="Z9" s="434"/>
      <c r="AA9" s="434"/>
      <c r="AB9" s="434"/>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Dropped</v>
      </c>
      <c r="Q10" s="198"/>
      <c r="R10" s="196" t="str">
        <f>IF(Access_Data!$K42&lt;&gt;0,IF(RIGHT($P10,3)="Low",Access_Data!$L42,IF(RIGHT($P10,4)="High",Access_Data!$J42,"")),"")</f>
        <v/>
      </c>
      <c r="S10" s="197" t="str">
        <f>IF(Access_Data!$M42&lt;&gt;0,Access_Data!$M42,"")</f>
        <v/>
      </c>
      <c r="T10" s="185"/>
      <c r="U10" s="434"/>
      <c r="V10" s="434"/>
      <c r="W10" s="434"/>
      <c r="X10" s="434" t="str">
        <f t="shared" si="1"/>
        <v/>
      </c>
      <c r="Y10" s="434"/>
      <c r="Z10" s="434"/>
      <c r="AA10" s="434"/>
      <c r="AB10" s="434"/>
      <c r="AC10" s="188"/>
    </row>
    <row r="11" spans="1:29" x14ac:dyDescent="0.2">
      <c r="A11" s="181"/>
      <c r="B11" s="186"/>
      <c r="C11" s="205" t="s">
        <v>70</v>
      </c>
      <c r="D11" s="519" t="str">
        <f>VLOOKUP("serial_number",DaqbookServiceRecord[], 2, FALSE)</f>
        <v>806337</v>
      </c>
      <c r="E11" s="179"/>
      <c r="F11" s="179"/>
      <c r="G11" s="184" t="str">
        <f>IF(OR(ISBLANK(D3),ISBLANK(D13)),"",IF(D13&lt;D3,"!!!!! DAQBOOK IS OUT OF CERTIFICATION !!!!!",""))</f>
        <v/>
      </c>
      <c r="H11" s="179"/>
      <c r="I11" s="179"/>
      <c r="J11" s="179"/>
      <c r="K11" s="179"/>
      <c r="L11" s="179"/>
      <c r="M11" s="179"/>
      <c r="N11" s="190">
        <v>7</v>
      </c>
      <c r="O11" s="193"/>
      <c r="P11" s="194" t="str">
        <f>IF(Access_Data!$K43=0,"",Access_Data!$K43)</f>
        <v>Dropped</v>
      </c>
      <c r="Q11" s="198"/>
      <c r="R11" s="196" t="str">
        <f>IF(Access_Data!$K43&lt;&gt;0,IF(RIGHT($P11,3)="Low",Access_Data!$L43,IF(RIGHT($P11,4)="High",Access_Data!$J43,"")),"")</f>
        <v/>
      </c>
      <c r="S11" s="197" t="str">
        <f>IF(Access_Data!$M43&lt;&gt;0,Access_Data!$M43,"")</f>
        <v/>
      </c>
      <c r="T11" s="185"/>
      <c r="U11" s="434"/>
      <c r="V11" s="434"/>
      <c r="W11" s="434"/>
      <c r="X11" s="434" t="str">
        <f t="shared" si="1"/>
        <v/>
      </c>
      <c r="Y11" s="434"/>
      <c r="Z11" s="434"/>
      <c r="AA11" s="434"/>
      <c r="AB11" s="434"/>
      <c r="AC11" s="188"/>
    </row>
    <row r="12" spans="1:29" x14ac:dyDescent="0.2">
      <c r="A12" s="181"/>
      <c r="B12" s="186"/>
      <c r="C12" s="205" t="s">
        <v>115</v>
      </c>
      <c r="D12" s="518">
        <f>VLOOKUP("service_date",DaqbookServiceRecord[], 2, FALSE)</f>
        <v>45789</v>
      </c>
      <c r="E12" s="179"/>
      <c r="F12" s="179"/>
      <c r="G12" s="184" t="str">
        <f>IF(Access_Data!$B$52=1,"!!!!! OVEN OVERSHOT IN POINTS 1-14 !!!!!","")</f>
        <v/>
      </c>
      <c r="H12" s="179"/>
      <c r="I12" s="179"/>
      <c r="J12" s="201"/>
      <c r="K12" s="201"/>
      <c r="L12" s="201"/>
      <c r="M12" s="179"/>
      <c r="N12" s="190">
        <v>8</v>
      </c>
      <c r="O12" s="193"/>
      <c r="P12" s="194" t="str">
        <f>IF(Access_Data!$K44=0,"",Access_Data!$K44)</f>
        <v>Dropped</v>
      </c>
      <c r="Q12" s="198"/>
      <c r="R12" s="196" t="str">
        <f>IF(Access_Data!$K44&lt;&gt;0,IF(RIGHT($P12,3)="Low",Access_Data!$L44,IF(RIGHT($P12,4)="High",Access_Data!$J44,"")),"")</f>
        <v/>
      </c>
      <c r="S12" s="197" t="str">
        <f>IF(Access_Data!$M44&lt;&gt;0,Access_Data!$M44,"")</f>
        <v/>
      </c>
      <c r="T12" s="185"/>
      <c r="U12" s="434"/>
      <c r="V12" s="434"/>
      <c r="W12" s="434"/>
      <c r="X12" s="434" t="str">
        <f t="shared" si="1"/>
        <v/>
      </c>
      <c r="Y12" s="434"/>
      <c r="Z12" s="434"/>
      <c r="AA12" s="434"/>
      <c r="AB12" s="434"/>
      <c r="AC12" s="188"/>
    </row>
    <row r="13" spans="1:29" x14ac:dyDescent="0.2">
      <c r="A13" s="181"/>
      <c r="B13" s="206"/>
      <c r="C13" s="207" t="s">
        <v>114</v>
      </c>
      <c r="D13" s="518">
        <f>VLOOKUP("next_service_date",DaqbookServiceRecord[], 2, FALSE)</f>
        <v>45881</v>
      </c>
      <c r="E13" s="179"/>
      <c r="F13" s="208"/>
      <c r="G13" s="209" t="str">
        <f>IF(Access_Data!$C$52=1,"!!!!! OVEN OVERSHOT IN POINTS 15-28 !!!!!","")</f>
        <v/>
      </c>
      <c r="H13" s="179"/>
      <c r="I13" s="179"/>
      <c r="J13" s="370" t="s">
        <v>2457</v>
      </c>
      <c r="K13" s="572" t="str">
        <f>IFERROR(VLOOKUP("PoNumber",#REF!,2,FALSE),"")</f>
        <v/>
      </c>
      <c r="L13" s="573"/>
      <c r="M13" s="179"/>
      <c r="N13" s="190">
        <v>9</v>
      </c>
      <c r="O13" s="193"/>
      <c r="P13" s="194" t="str">
        <f>IF(Access_Data!$K45=0,"",Access_Data!$K45)</f>
        <v>Dropped</v>
      </c>
      <c r="Q13" s="195"/>
      <c r="R13" s="196" t="str">
        <f>IF(Access_Data!$K45&lt;&gt;0,IF(RIGHT($P13,3)="Low",Access_Data!$L45,IF(RIGHT($P13,4)="High",Access_Data!$J45,"")),"")</f>
        <v/>
      </c>
      <c r="S13" s="197" t="str">
        <f>IF(Access_Data!$M45&lt;&gt;0,Access_Data!$M45,"")</f>
        <v/>
      </c>
      <c r="T13" s="185"/>
      <c r="U13" s="434"/>
      <c r="V13" s="434"/>
      <c r="W13" s="434"/>
      <c r="X13" s="434" t="str">
        <f t="shared" si="1"/>
        <v/>
      </c>
      <c r="Y13" s="434"/>
      <c r="Z13" s="434"/>
      <c r="AA13" s="434"/>
      <c r="AB13" s="434"/>
      <c r="AC13" s="188"/>
    </row>
    <row r="14" spans="1:29" x14ac:dyDescent="0.2">
      <c r="A14" s="181"/>
      <c r="B14" s="186"/>
      <c r="C14" s="205" t="s">
        <v>116</v>
      </c>
      <c r="D14" s="519" t="str">
        <f>VLOOKUP("certificate_number",DaqbookServiceRecord[], 2, FALSE)</f>
        <v>J20525</v>
      </c>
      <c r="E14" s="179"/>
      <c r="F14" s="179"/>
      <c r="G14" s="184" t="str">
        <f>IF(Access_Data!$D$52=1,"!!!!! OVEN OVERSHOT IN POINTS 29-40","")</f>
        <v/>
      </c>
      <c r="H14" s="179"/>
      <c r="I14" s="179"/>
      <c r="J14" s="210" t="s">
        <v>165</v>
      </c>
      <c r="K14" s="703"/>
      <c r="L14" s="704"/>
      <c r="M14" s="179"/>
      <c r="N14" s="190">
        <v>10</v>
      </c>
      <c r="O14" s="193"/>
      <c r="P14" s="194" t="str">
        <f>IF(Access_Data!$K46=0,"",Access_Data!$K46)</f>
        <v>Dropped</v>
      </c>
      <c r="Q14" s="198"/>
      <c r="R14" s="196" t="str">
        <f>IF(Access_Data!$K46&lt;&gt;0,IF(RIGHT($P14,3)="Low",Access_Data!$L46,IF(RIGHT($P14,4)="High",Access_Data!$J46,"")),"")</f>
        <v/>
      </c>
      <c r="S14" s="197" t="str">
        <f>IF(Access_Data!$M46&lt;&gt;0,Access_Data!$M46,"")</f>
        <v/>
      </c>
      <c r="T14" s="185"/>
      <c r="U14" s="434"/>
      <c r="V14" s="434"/>
      <c r="W14" s="434"/>
      <c r="X14" s="434" t="str">
        <f t="shared" si="1"/>
        <v/>
      </c>
      <c r="Y14" s="434"/>
      <c r="Z14" s="434"/>
      <c r="AA14" s="434"/>
      <c r="AB14" s="434"/>
      <c r="AC14" s="188"/>
    </row>
    <row r="15" spans="1:29" x14ac:dyDescent="0.2">
      <c r="A15" s="181"/>
      <c r="B15" s="312"/>
      <c r="C15" s="310" t="s">
        <v>85</v>
      </c>
      <c r="D15" s="517"/>
      <c r="E15" s="179"/>
      <c r="F15" s="179"/>
      <c r="G15" s="179"/>
      <c r="H15" s="405" t="b">
        <v>1</v>
      </c>
      <c r="I15" s="179"/>
      <c r="J15" s="211" t="s">
        <v>160</v>
      </c>
      <c r="K15" s="566"/>
      <c r="L15" s="567"/>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34"/>
      <c r="V15" s="434"/>
      <c r="W15" s="434"/>
      <c r="X15" s="434" t="str">
        <f t="shared" si="1"/>
        <v/>
      </c>
      <c r="Y15" s="434"/>
      <c r="Z15" s="434"/>
      <c r="AA15" s="434"/>
      <c r="AB15" s="434"/>
      <c r="AC15" s="188"/>
    </row>
    <row r="16" spans="1:29" x14ac:dyDescent="0.2">
      <c r="A16" s="181"/>
      <c r="B16" s="212"/>
      <c r="C16" s="311" t="s">
        <v>657</v>
      </c>
      <c r="D16" s="382"/>
      <c r="E16" s="179"/>
      <c r="F16" s="210" t="s">
        <v>105</v>
      </c>
      <c r="G16" s="307" t="s">
        <v>686</v>
      </c>
      <c r="H16" s="214"/>
      <c r="I16" s="179"/>
      <c r="J16" s="584" t="s">
        <v>196</v>
      </c>
      <c r="K16" s="585"/>
      <c r="L16" s="526"/>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34"/>
      <c r="V16" s="434"/>
      <c r="W16" s="434"/>
      <c r="X16" s="434" t="str">
        <f t="shared" si="1"/>
        <v/>
      </c>
      <c r="Y16" s="434"/>
      <c r="Z16" s="434"/>
      <c r="AA16" s="434"/>
      <c r="AB16" s="434"/>
      <c r="AC16" s="188"/>
    </row>
    <row r="17" spans="1:29" x14ac:dyDescent="0.2">
      <c r="A17" s="181"/>
      <c r="B17" s="186"/>
      <c r="C17" s="187" t="s">
        <v>84</v>
      </c>
      <c r="D17" s="383"/>
      <c r="E17" s="179"/>
      <c r="F17" s="211" t="s">
        <v>124</v>
      </c>
      <c r="G17" s="404" t="e">
        <f>'Header Info OLD'!CC2</f>
        <v>#REF!</v>
      </c>
      <c r="I17" s="184"/>
      <c r="J17" s="584" t="s">
        <v>197</v>
      </c>
      <c r="K17" s="585"/>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34"/>
      <c r="V17" s="434"/>
      <c r="W17" s="434"/>
      <c r="X17" s="434" t="str">
        <f t="shared" si="1"/>
        <v/>
      </c>
      <c r="Y17" s="434"/>
      <c r="Z17" s="434"/>
      <c r="AA17" s="434"/>
      <c r="AB17" s="434"/>
      <c r="AC17" s="188"/>
    </row>
    <row r="18" spans="1:29" x14ac:dyDescent="0.2">
      <c r="A18" s="181"/>
      <c r="B18" s="206"/>
      <c r="C18" s="216" t="s">
        <v>87</v>
      </c>
      <c r="D18" s="384"/>
      <c r="E18" s="179"/>
      <c r="F18" s="217" t="s">
        <v>106</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34"/>
      <c r="V18" s="434"/>
      <c r="W18" s="434"/>
      <c r="X18" s="434" t="str">
        <f t="shared" si="1"/>
        <v/>
      </c>
      <c r="Y18" s="434"/>
      <c r="Z18" s="434"/>
      <c r="AA18" s="434"/>
      <c r="AB18" s="434"/>
      <c r="AC18" s="188"/>
    </row>
    <row r="19" spans="1:29" x14ac:dyDescent="0.2">
      <c r="A19" s="181"/>
      <c r="B19" s="186"/>
      <c r="C19" s="187" t="s">
        <v>22</v>
      </c>
      <c r="D19" s="385"/>
      <c r="E19" s="179"/>
      <c r="F19" s="211" t="s">
        <v>107</v>
      </c>
      <c r="G19" s="564" t="str">
        <f>IF(K15="Salt",0, IF(OR(K15="Hot",K15="SIM Load Hot"),IF(OR(D26="",D28=""),"N/A",IF(ISBLANK(D26),"N/A",D28-D26)),"N/A"))</f>
        <v>N/A</v>
      </c>
      <c r="H19" s="565"/>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34"/>
      <c r="V19" s="434"/>
      <c r="W19" s="434"/>
      <c r="X19" s="434" t="str">
        <f t="shared" si="1"/>
        <v/>
      </c>
      <c r="Y19" s="434"/>
      <c r="Z19" s="434"/>
      <c r="AA19" s="434"/>
      <c r="AB19" s="434"/>
      <c r="AC19" s="188"/>
    </row>
    <row r="20" spans="1:29" ht="13.7" customHeight="1" x14ac:dyDescent="0.2">
      <c r="A20" s="181"/>
      <c r="B20" s="568" t="str">
        <f>IF(I94=TRUE,"SAT Tolerance (per AMS2750):","SAT Tolerance (per BAC5621):")</f>
        <v>SAT Tolerance (per AMS2750):</v>
      </c>
      <c r="C20" s="569"/>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34"/>
      <c r="V20" s="434"/>
      <c r="W20" s="434"/>
      <c r="X20" s="434" t="str">
        <f t="shared" si="1"/>
        <v/>
      </c>
      <c r="Y20" s="434"/>
      <c r="Z20" s="434"/>
      <c r="AA20" s="434"/>
      <c r="AB20" s="434"/>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34"/>
      <c r="V21" s="434"/>
      <c r="W21" s="434"/>
      <c r="X21" s="434" t="str">
        <f t="shared" si="1"/>
        <v/>
      </c>
      <c r="Y21" s="434"/>
      <c r="Z21" s="434"/>
      <c r="AA21" s="434"/>
      <c r="AB21" s="434"/>
      <c r="AC21" s="188"/>
    </row>
    <row r="22" spans="1:29" x14ac:dyDescent="0.2">
      <c r="A22" s="181"/>
      <c r="B22" s="212"/>
      <c r="C22" s="213" t="s">
        <v>54</v>
      </c>
      <c r="D22" s="522"/>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34"/>
      <c r="V22" s="434"/>
      <c r="W22" s="434"/>
      <c r="X22" s="434" t="str">
        <f t="shared" si="1"/>
        <v/>
      </c>
      <c r="Y22" s="434"/>
      <c r="Z22" s="434"/>
      <c r="AA22" s="434"/>
      <c r="AB22" s="434"/>
      <c r="AC22" s="188"/>
    </row>
    <row r="23" spans="1:29" x14ac:dyDescent="0.2">
      <c r="A23" s="181"/>
      <c r="B23" s="186"/>
      <c r="C23" s="187" t="s">
        <v>88</v>
      </c>
      <c r="D23" s="523"/>
      <c r="E23" s="179"/>
      <c r="F23" s="224" t="s">
        <v>125</v>
      </c>
      <c r="G23" s="592" t="s">
        <v>4025</v>
      </c>
      <c r="H23" s="593"/>
      <c r="I23" s="593"/>
      <c r="J23" s="593"/>
      <c r="K23" s="594"/>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34" t="str">
        <f>IF(X45=10,Z23,IF(X45=11,Z24,IF(X45=12,Z25,IF(X45=13,Z26,IF(X45=14,Z27,"")))))</f>
        <v/>
      </c>
      <c r="V23" s="434"/>
      <c r="W23" s="434"/>
      <c r="X23" s="434" t="str">
        <f t="shared" si="1"/>
        <v/>
      </c>
      <c r="Y23" s="434">
        <v>10</v>
      </c>
      <c r="Z23" s="434" t="s">
        <v>4020</v>
      </c>
      <c r="AA23" s="434"/>
      <c r="AB23" s="434"/>
      <c r="AC23" s="188"/>
    </row>
    <row r="24" spans="1:29" x14ac:dyDescent="0.2">
      <c r="A24" s="181"/>
      <c r="B24" s="570" t="s">
        <v>4661</v>
      </c>
      <c r="C24" s="571"/>
      <c r="D24" s="520" t="e" cm="1" vm="2">
        <f t="array" ref="D24">_xlfn.REGEXEXTRACT(WorkItemNumber, "-\d{2}(R\d{1,2})?$")</f>
        <v>#N/A</v>
      </c>
      <c r="E24" s="179"/>
      <c r="F24" s="224" t="s">
        <v>126</v>
      </c>
      <c r="G24" s="595"/>
      <c r="H24" s="596"/>
      <c r="I24" s="596"/>
      <c r="J24" s="596"/>
      <c r="K24" s="597"/>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34" t="b">
        <v>0</v>
      </c>
      <c r="V24" s="434"/>
      <c r="W24" s="434"/>
      <c r="X24" s="434" t="str">
        <f t="shared" si="1"/>
        <v/>
      </c>
      <c r="Y24" s="434">
        <v>11</v>
      </c>
      <c r="Z24" s="434" t="s">
        <v>4021</v>
      </c>
      <c r="AA24" s="434"/>
      <c r="AB24" s="434"/>
      <c r="AC24" s="188"/>
    </row>
    <row r="25" spans="1:29" x14ac:dyDescent="0.2">
      <c r="A25" s="181"/>
      <c r="B25" s="202"/>
      <c r="C25" s="209"/>
      <c r="D25" s="204"/>
      <c r="E25" s="179"/>
      <c r="F25" s="224" t="s">
        <v>127</v>
      </c>
      <c r="G25" s="595"/>
      <c r="H25" s="596"/>
      <c r="I25" s="596"/>
      <c r="J25" s="596"/>
      <c r="K25" s="597"/>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34" t="str">
        <f>IF(U24=TRUE,U23,IF(U30=TRUE,U29,""))</f>
        <v/>
      </c>
      <c r="V25" s="434"/>
      <c r="W25" s="434"/>
      <c r="X25" s="434" t="str">
        <f t="shared" si="1"/>
        <v/>
      </c>
      <c r="Y25" s="434">
        <v>12</v>
      </c>
      <c r="Z25" s="434" t="s">
        <v>4022</v>
      </c>
      <c r="AA25" s="434"/>
      <c r="AB25" s="434"/>
      <c r="AC25" s="188"/>
    </row>
    <row r="26" spans="1:29" x14ac:dyDescent="0.2">
      <c r="A26" s="181"/>
      <c r="B26" s="212"/>
      <c r="C26" s="213" t="s">
        <v>80</v>
      </c>
      <c r="D26" s="70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34"/>
      <c r="V26" s="434"/>
      <c r="W26" s="434"/>
      <c r="X26" s="434" t="str">
        <f t="shared" si="1"/>
        <v/>
      </c>
      <c r="Y26" s="434">
        <v>13</v>
      </c>
      <c r="Z26" s="434" t="s">
        <v>4023</v>
      </c>
      <c r="AA26" s="434"/>
      <c r="AB26" s="434"/>
      <c r="AC26" s="188"/>
    </row>
    <row r="27" spans="1:29" x14ac:dyDescent="0.2">
      <c r="A27" s="181"/>
      <c r="B27" s="226">
        <v>10</v>
      </c>
      <c r="C27" s="187" t="s">
        <v>81</v>
      </c>
      <c r="D27" s="702"/>
      <c r="E27" s="225"/>
      <c r="F27" s="370" t="s">
        <v>815</v>
      </c>
      <c r="G27" s="369" t="e">
        <f>IF('Header Info OLD'!CB$2="y","Cal by Customer",D$3)</f>
        <v>#REF!</v>
      </c>
      <c r="H27" s="590" t="e">
        <f>IF(ISBLANK(D6),"",IF('Header Info OLD'!CB2="x","CHECK INSTRUMENT CAL DATES!!!!             CHECK INSTRUMENT CAL DATES!!!!",""))</f>
        <v>#REF!</v>
      </c>
      <c r="I27" s="591"/>
      <c r="J27" s="591"/>
      <c r="K27" s="591"/>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34"/>
      <c r="V27" s="434"/>
      <c r="W27" s="434"/>
      <c r="X27" s="434" t="str">
        <f t="shared" si="1"/>
        <v/>
      </c>
      <c r="Y27" s="434">
        <v>14</v>
      </c>
      <c r="Z27" s="434" t="s">
        <v>4024</v>
      </c>
      <c r="AA27" s="434"/>
      <c r="AB27" s="434"/>
      <c r="AC27" s="188"/>
    </row>
    <row r="28" spans="1:29" x14ac:dyDescent="0.2">
      <c r="A28" s="181"/>
      <c r="B28" s="227">
        <v>30</v>
      </c>
      <c r="C28" s="216" t="s">
        <v>82</v>
      </c>
      <c r="D28" s="702"/>
      <c r="E28" s="225"/>
      <c r="F28" s="370" t="s">
        <v>816</v>
      </c>
      <c r="G28" s="369" t="e">
        <f>IF('Header Info OLD'!CB$2="y","Cal by Customer",D$3)</f>
        <v>#REF!</v>
      </c>
      <c r="H28" s="590"/>
      <c r="I28" s="591"/>
      <c r="J28" s="591"/>
      <c r="K28" s="591"/>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34"/>
      <c r="V28" s="434"/>
      <c r="W28" s="434"/>
      <c r="X28" s="434" t="str">
        <f t="shared" si="1"/>
        <v/>
      </c>
      <c r="Y28" s="434"/>
      <c r="Z28" s="434"/>
      <c r="AA28" s="434"/>
      <c r="AB28" s="434"/>
      <c r="AC28" s="188"/>
    </row>
    <row r="29" spans="1:29" x14ac:dyDescent="0.2">
      <c r="A29" s="181"/>
      <c r="B29" s="226">
        <v>40</v>
      </c>
      <c r="C29" s="187" t="s">
        <v>101</v>
      </c>
      <c r="D29" s="228" t="str">
        <f>(IF(OR(D27="",D28=""),"",IF(ISBLANK(D27),"",D28-D27)))</f>
        <v/>
      </c>
      <c r="E29" s="229" t="e">
        <f>IF(D29=0,"&lt;2",ROUND(IF(LEN(D29)&gt;3,D29*1440,TEXT(D29,"hh:mm")),0)) &amp;" MINUTES"</f>
        <v>#VALUE!</v>
      </c>
      <c r="F29" s="320" t="s">
        <v>817</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34" t="str">
        <f>IF(X45=10,Z29,IF(X45=11,Z30,IF(X45=12,Z31,"")))</f>
        <v/>
      </c>
      <c r="V29" s="434"/>
      <c r="W29" s="434"/>
      <c r="X29" s="434" t="str">
        <f t="shared" si="1"/>
        <v/>
      </c>
      <c r="Y29" s="434">
        <v>10</v>
      </c>
      <c r="Z29" s="434" t="s">
        <v>4026</v>
      </c>
      <c r="AA29" s="434"/>
      <c r="AB29" s="434"/>
      <c r="AC29" s="188"/>
    </row>
    <row r="30" spans="1:29" x14ac:dyDescent="0.2">
      <c r="A30" s="181"/>
      <c r="B30" s="435">
        <v>45</v>
      </c>
      <c r="C30" s="216" t="s">
        <v>83</v>
      </c>
      <c r="D30" s="702"/>
      <c r="E30" s="230" t="str">
        <f>IF(ISBLANK(D30), "", TEXT(D30, "H:mm"))</f>
        <v/>
      </c>
      <c r="G30" s="415">
        <f>IF(D29="",0,D29)</f>
        <v>0</v>
      </c>
      <c r="H30" s="414">
        <f>D28-D26</f>
        <v>0</v>
      </c>
      <c r="I30" s="184"/>
      <c r="J30" s="184"/>
      <c r="K30" s="184"/>
      <c r="L30" s="411"/>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34" t="b">
        <v>0</v>
      </c>
      <c r="V30" s="434"/>
      <c r="W30" s="434"/>
      <c r="X30" s="434" t="str">
        <f t="shared" si="1"/>
        <v/>
      </c>
      <c r="Y30" s="434">
        <v>11</v>
      </c>
      <c r="Z30" s="434" t="s">
        <v>4027</v>
      </c>
      <c r="AA30" s="434"/>
      <c r="AB30" s="434"/>
      <c r="AC30" s="188"/>
    </row>
    <row r="31" spans="1:29" x14ac:dyDescent="0.2">
      <c r="A31" s="181"/>
      <c r="B31" s="186"/>
      <c r="C31" s="187" t="s">
        <v>69</v>
      </c>
      <c r="D31" s="484">
        <f>D30+TIME(0,D32,0)</f>
        <v>0</v>
      </c>
      <c r="E31" s="179"/>
      <c r="F31" s="410" t="e">
        <f>IF(AND(L31&gt;0,G30&gt;L31),"LAG TIME TOO HIGH!!!","")</f>
        <v>#REF!</v>
      </c>
      <c r="G31" s="184"/>
      <c r="H31" s="413" t="e">
        <f>IF(AND(M31&gt;0,H30&gt;M31),"RECOVERY TIME TOO HIGH!!!!","")</f>
        <v>#REF!</v>
      </c>
      <c r="I31" s="184"/>
      <c r="J31" s="184"/>
      <c r="K31" s="184"/>
      <c r="L31" s="412" t="e">
        <f>'Header Info OLD'!CD2</f>
        <v>#REF!</v>
      </c>
      <c r="M31" s="412" t="e">
        <f>'Header Info OLD'!CE2</f>
        <v>#REF!</v>
      </c>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34"/>
      <c r="V31" s="434"/>
      <c r="W31" s="434"/>
      <c r="X31" s="434" t="str">
        <f t="shared" si="1"/>
        <v/>
      </c>
      <c r="Y31" s="434">
        <v>12</v>
      </c>
      <c r="Z31" s="434" t="s">
        <v>4028</v>
      </c>
      <c r="AA31" s="434"/>
      <c r="AB31" s="434"/>
      <c r="AC31" s="188"/>
    </row>
    <row r="32" spans="1:29" x14ac:dyDescent="0.2">
      <c r="A32" s="222"/>
      <c r="B32" s="231"/>
      <c r="C32" s="232" t="s">
        <v>109</v>
      </c>
      <c r="D32" s="525"/>
      <c r="E32" s="179"/>
      <c r="F32" s="184" t="e">
        <f>IF(OR(Comparison_Report!R1=1,Comparison_Report!R2=1,Comparison_Report!R3=1,Comparison_Report!R4=1,Comparison_Report!R5=1,Comparison_Report!R6=1,Comparison_Report!R7=1,Comparison_Report!R8=1),"CHECK COMPARISON REPORT!!!","")</f>
        <v>#VALUE!</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34"/>
      <c r="V32" s="434"/>
      <c r="W32" s="434"/>
      <c r="X32" s="434" t="str">
        <f t="shared" si="1"/>
        <v/>
      </c>
      <c r="Y32" s="434"/>
      <c r="Z32" s="434"/>
      <c r="AA32" s="434"/>
      <c r="AB32" s="434"/>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34"/>
      <c r="V33" s="434"/>
      <c r="W33" s="434"/>
      <c r="X33" s="434" t="str">
        <f t="shared" si="1"/>
        <v/>
      </c>
      <c r="Y33" s="434"/>
      <c r="Z33" s="434"/>
      <c r="AA33" s="434"/>
      <c r="AB33" s="434"/>
      <c r="AC33" s="188"/>
    </row>
    <row r="34" spans="1:29" ht="12.75" customHeight="1" x14ac:dyDescent="0.2">
      <c r="A34" s="181"/>
      <c r="B34" s="557" t="s">
        <v>62</v>
      </c>
      <c r="C34" s="558"/>
      <c r="D34" s="558"/>
      <c r="E34" s="558"/>
      <c r="F34" s="558"/>
      <c r="G34" s="558"/>
      <c r="H34" s="558"/>
      <c r="I34" s="558"/>
      <c r="J34" s="558"/>
      <c r="K34" s="558"/>
      <c r="L34" s="559"/>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34"/>
      <c r="V34" s="434"/>
      <c r="W34" s="434"/>
      <c r="X34" s="434" t="str">
        <f t="shared" si="1"/>
        <v/>
      </c>
      <c r="Y34" s="434"/>
      <c r="Z34" s="434"/>
      <c r="AA34" s="434"/>
      <c r="AB34" s="434"/>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34"/>
      <c r="V35" s="434"/>
      <c r="W35" s="434"/>
      <c r="X35" s="434" t="str">
        <f t="shared" si="1"/>
        <v/>
      </c>
      <c r="Y35" s="434"/>
      <c r="Z35" s="434"/>
      <c r="AA35" s="434"/>
      <c r="AB35" s="434"/>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34"/>
      <c r="V36" s="434"/>
      <c r="W36" s="434"/>
      <c r="X36" s="434" t="str">
        <f t="shared" si="1"/>
        <v/>
      </c>
      <c r="Y36" s="434"/>
      <c r="Z36" s="434"/>
      <c r="AA36" s="434"/>
      <c r="AB36" s="434"/>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34"/>
      <c r="V37" s="434"/>
      <c r="W37" s="434"/>
      <c r="X37" s="434" t="str">
        <f t="shared" si="1"/>
        <v/>
      </c>
      <c r="Y37" s="434"/>
      <c r="Z37" s="434"/>
      <c r="AA37" s="434"/>
      <c r="AB37" s="434"/>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34"/>
      <c r="V38" s="434"/>
      <c r="W38" s="434"/>
      <c r="X38" s="434" t="str">
        <f t="shared" si="1"/>
        <v/>
      </c>
      <c r="Y38" s="434"/>
      <c r="Z38" s="434"/>
      <c r="AA38" s="434"/>
      <c r="AB38" s="434"/>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34"/>
      <c r="V39" s="434"/>
      <c r="W39" s="434"/>
      <c r="X39" s="434" t="str">
        <f t="shared" si="1"/>
        <v/>
      </c>
      <c r="Y39" s="434"/>
      <c r="Z39" s="434"/>
      <c r="AA39" s="434"/>
      <c r="AB39" s="434"/>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34"/>
      <c r="V40" s="434"/>
      <c r="W40" s="434"/>
      <c r="X40" s="434" t="str">
        <f t="shared" si="1"/>
        <v/>
      </c>
      <c r="Y40" s="434"/>
      <c r="Z40" s="434"/>
      <c r="AA40" s="434"/>
      <c r="AB40" s="434"/>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34"/>
      <c r="V41" s="434"/>
      <c r="W41" s="434"/>
      <c r="X41" s="434" t="str">
        <f t="shared" si="1"/>
        <v/>
      </c>
      <c r="Y41" s="434"/>
      <c r="Z41" s="434"/>
      <c r="AA41" s="434"/>
      <c r="AB41" s="434"/>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34"/>
      <c r="V42" s="434"/>
      <c r="W42" s="434"/>
      <c r="X42" s="434" t="str">
        <f t="shared" si="1"/>
        <v/>
      </c>
      <c r="Y42" s="434"/>
      <c r="Z42" s="434"/>
      <c r="AA42" s="434"/>
      <c r="AB42" s="434"/>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34"/>
      <c r="V43" s="434"/>
      <c r="W43" s="434"/>
      <c r="X43" s="434" t="str">
        <f t="shared" si="1"/>
        <v/>
      </c>
      <c r="Y43" s="434"/>
      <c r="Z43" s="434"/>
      <c r="AA43" s="434"/>
      <c r="AB43" s="434"/>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34"/>
      <c r="V44" s="434"/>
      <c r="W44" s="434"/>
      <c r="X44" s="434" t="str">
        <f t="shared" si="1"/>
        <v/>
      </c>
      <c r="Y44" s="434"/>
      <c r="Z44" s="434"/>
      <c r="AA44" s="434"/>
      <c r="AB44" s="434"/>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34"/>
      <c r="V45" s="434"/>
      <c r="W45" s="434"/>
      <c r="X45" s="434">
        <f>SUM(X5:X44)</f>
        <v>0</v>
      </c>
      <c r="Y45" s="434"/>
      <c r="Z45" s="434"/>
      <c r="AA45" s="434"/>
      <c r="AB45" s="434"/>
      <c r="AC45" s="188"/>
    </row>
    <row r="46" spans="1:29" x14ac:dyDescent="0.2">
      <c r="A46" s="203"/>
      <c r="B46" s="249"/>
      <c r="C46" s="250"/>
      <c r="D46" s="581" t="s">
        <v>45</v>
      </c>
      <c r="E46" s="582"/>
      <c r="F46" s="582"/>
      <c r="G46" s="582"/>
      <c r="H46" s="582"/>
      <c r="I46" s="583"/>
      <c r="J46" s="371"/>
      <c r="K46" s="371"/>
      <c r="L46" s="371"/>
      <c r="M46" s="598" t="s">
        <v>2481</v>
      </c>
      <c r="N46" s="599"/>
      <c r="O46" s="600"/>
      <c r="P46" s="601"/>
      <c r="Q46" s="320"/>
      <c r="R46" s="320"/>
      <c r="S46" s="372"/>
      <c r="T46" s="372"/>
      <c r="U46" s="372"/>
    </row>
    <row r="47" spans="1:29" x14ac:dyDescent="0.2">
      <c r="A47" s="203"/>
      <c r="B47" s="249"/>
      <c r="C47" s="378" t="s">
        <v>79</v>
      </c>
      <c r="D47" s="535" t="str">
        <f>IF(D48="","",""""&amp;_xlfn.XLOOKUP(D$48,WireSets[serial_number],WireSets[type],"",0)&amp;"""")</f>
        <v/>
      </c>
      <c r="E47" s="535" t="str">
        <f>IF(E48="","",""""&amp;_xlfn.XLOOKUP(E$48,WireSets[serial_number],WireSets[type],"",0)&amp;"""")</f>
        <v/>
      </c>
      <c r="F47" s="535" t="str">
        <f>IF(F48="","",""""&amp;_xlfn.XLOOKUP(F$48,WireSets[serial_number],WireSets[type],"",0)&amp;"""")</f>
        <v/>
      </c>
      <c r="G47" s="535" t="str">
        <f>IF(G48="","",""""&amp;_xlfn.XLOOKUP(G$48,WireSets[serial_number],WireSets[type],"",0)&amp;"""")</f>
        <v/>
      </c>
      <c r="H47" s="535" t="str">
        <f>IF(H48="","",""""&amp;_xlfn.XLOOKUP(H$48,WireSets[serial_number],WireSets[type],"",0)&amp;"""")</f>
        <v/>
      </c>
      <c r="I47" s="535" t="str">
        <f>IF(I48="","",""""&amp;_xlfn.XLOOKUP(I$48,WireSets[serial_number],WireSets[type],"",0)&amp;"""")</f>
        <v/>
      </c>
      <c r="J47" s="371"/>
      <c r="K47" s="371"/>
      <c r="M47" s="374" t="s">
        <v>2482</v>
      </c>
      <c r="N47" s="389" t="s">
        <v>2483</v>
      </c>
      <c r="O47" s="390"/>
      <c r="P47" s="588" t="s">
        <v>2484</v>
      </c>
      <c r="Q47" s="588"/>
      <c r="R47" s="375" t="s">
        <v>2485</v>
      </c>
      <c r="S47" s="372"/>
      <c r="T47" s="372"/>
      <c r="U47" s="372"/>
    </row>
    <row r="48" spans="1:29" x14ac:dyDescent="0.2">
      <c r="A48" s="181"/>
      <c r="B48" s="249"/>
      <c r="C48" s="537" t="s">
        <v>46</v>
      </c>
      <c r="D48" s="536"/>
      <c r="E48" s="536"/>
      <c r="F48" s="536"/>
      <c r="G48" s="536"/>
      <c r="H48" s="536"/>
      <c r="I48" s="536"/>
      <c r="J48" s="371"/>
      <c r="K48" s="371"/>
      <c r="L48" s="371"/>
      <c r="M48" s="589" t="s">
        <v>2486</v>
      </c>
      <c r="N48" s="589"/>
      <c r="O48" s="391"/>
      <c r="P48" s="549" t="s">
        <v>4256</v>
      </c>
      <c r="Q48" s="550"/>
      <c r="R48" s="551"/>
      <c r="S48" s="440"/>
      <c r="T48" s="444"/>
      <c r="U48" s="549" t="s">
        <v>4259</v>
      </c>
      <c r="V48" s="550"/>
      <c r="W48" s="551"/>
    </row>
    <row r="49" spans="1:24" x14ac:dyDescent="0.2">
      <c r="A49" s="181"/>
      <c r="B49" s="251"/>
      <c r="C49" s="378" t="s">
        <v>47</v>
      </c>
      <c r="D49" s="534" t="str">
        <f>_xlfn.XLOOKUP(D$48,WireSets[serial_number],WireSets[service_date],"",0)</f>
        <v/>
      </c>
      <c r="E49" s="534" t="str">
        <f>_xlfn.XLOOKUP(E$48,WireSets[serial_number],WireSets[service_date],"",0)</f>
        <v/>
      </c>
      <c r="F49" s="534" t="str">
        <f>_xlfn.XLOOKUP(F$48,WireSets[serial_number],WireSets[service_date],"",0)</f>
        <v/>
      </c>
      <c r="G49" s="534" t="str">
        <f>_xlfn.XLOOKUP(G$48,WireSets[serial_number],WireSets[service_date],"",0)</f>
        <v/>
      </c>
      <c r="H49" s="534" t="str">
        <f>_xlfn.XLOOKUP(H$48,WireSets[serial_number],WireSets[service_date],"",0)</f>
        <v/>
      </c>
      <c r="I49" s="534" t="str">
        <f>_xlfn.XLOOKUP(I$48,WireSets[serial_number],WireSets[service_date],"",0)</f>
        <v/>
      </c>
      <c r="J49" s="371"/>
      <c r="K49" s="371" t="s">
        <v>5370</v>
      </c>
      <c r="L49" s="371"/>
      <c r="M49" s="374" t="s">
        <v>2487</v>
      </c>
      <c r="N49" s="376" t="e">
        <f>IF('Header Info OLD'!BV2="","",'Header Info OLD'!BV2)</f>
        <v>#REF!</v>
      </c>
      <c r="O49" s="304"/>
      <c r="P49" s="552" t="s">
        <v>4261</v>
      </c>
      <c r="Q49" s="553"/>
      <c r="R49" s="554"/>
      <c r="S49" s="464"/>
      <c r="T49" s="446"/>
      <c r="U49" s="552" t="s">
        <v>4260</v>
      </c>
      <c r="V49" s="553"/>
      <c r="W49" s="554"/>
      <c r="X49" s="392"/>
    </row>
    <row r="50" spans="1:24" x14ac:dyDescent="0.2">
      <c r="A50" s="181"/>
      <c r="B50" s="252"/>
      <c r="C50" s="378" t="s">
        <v>48</v>
      </c>
      <c r="D50" s="534" t="str">
        <f>_xlfn.XLOOKUP(D$48,WireSets[serial_number],WireSets[next_service_date],"",0)</f>
        <v/>
      </c>
      <c r="E50" s="534" t="str">
        <f>_xlfn.XLOOKUP(E$48,WireSets[serial_number],WireSets[next_service_date],"",0)</f>
        <v/>
      </c>
      <c r="F50" s="534" t="str">
        <f>_xlfn.XLOOKUP(F$48,WireSets[serial_number],WireSets[next_service_date],"",0)</f>
        <v/>
      </c>
      <c r="G50" s="534" t="str">
        <f>_xlfn.XLOOKUP(G$48,WireSets[serial_number],WireSets[next_service_date],"",0)</f>
        <v/>
      </c>
      <c r="H50" s="534" t="str">
        <f>_xlfn.XLOOKUP(H$48,WireSets[serial_number],WireSets[next_service_date],"",0)</f>
        <v/>
      </c>
      <c r="I50" s="534" t="str">
        <f>_xlfn.XLOOKUP(I$48,WireSets[serial_number],WireSets[next_service_date],"",0)</f>
        <v/>
      </c>
      <c r="J50" s="371"/>
      <c r="K50" s="371"/>
      <c r="L50" s="371"/>
      <c r="M50" s="374" t="s">
        <v>2488</v>
      </c>
      <c r="N50" s="376" t="e">
        <f>IF('Header Info OLD'!BW2="","",'Header Info OLD'!BW2)</f>
        <v>#REF!</v>
      </c>
      <c r="O50" s="304"/>
      <c r="P50" s="540" t="s">
        <v>2489</v>
      </c>
      <c r="Q50" s="541"/>
      <c r="R50" s="542"/>
      <c r="S50" s="443"/>
      <c r="T50" s="447"/>
      <c r="U50" s="540" t="s">
        <v>2489</v>
      </c>
      <c r="V50" s="541"/>
      <c r="W50" s="542"/>
      <c r="X50" s="372"/>
    </row>
    <row r="51" spans="1:24" x14ac:dyDescent="0.2">
      <c r="A51" s="181"/>
      <c r="B51" s="253"/>
      <c r="C51" s="378" t="s">
        <v>77</v>
      </c>
      <c r="D51" s="536"/>
      <c r="E51" s="536"/>
      <c r="F51" s="536"/>
      <c r="G51" s="536"/>
      <c r="H51" s="536"/>
      <c r="I51" s="536"/>
      <c r="J51" s="371"/>
      <c r="K51" s="432"/>
      <c r="L51" s="371"/>
      <c r="M51" s="377" t="s">
        <v>2490</v>
      </c>
      <c r="N51" s="376" t="e">
        <f>IF('Header Info OLD'!BX2="","",'Header Info OLD'!BX2)</f>
        <v>#REF!</v>
      </c>
      <c r="P51" s="552" t="s">
        <v>4257</v>
      </c>
      <c r="Q51" s="553"/>
      <c r="R51" s="554"/>
      <c r="S51" s="464"/>
      <c r="T51" s="449"/>
      <c r="U51" s="552" t="s">
        <v>4262</v>
      </c>
      <c r="V51" s="553"/>
      <c r="W51" s="554"/>
      <c r="X51" s="392"/>
    </row>
    <row r="52" spans="1:24" x14ac:dyDescent="0.2">
      <c r="A52" s="181"/>
      <c r="B52" s="249"/>
      <c r="C52" s="378" t="s">
        <v>2496</v>
      </c>
      <c r="D52" s="536"/>
      <c r="E52" s="536"/>
      <c r="F52" s="536"/>
      <c r="G52" s="536"/>
      <c r="H52" s="536"/>
      <c r="I52" s="536"/>
      <c r="J52" s="371"/>
      <c r="K52" s="432"/>
      <c r="L52" s="371"/>
      <c r="M52" s="377" t="s">
        <v>2491</v>
      </c>
      <c r="N52" s="376" t="e">
        <f>IF('Header Info OLD'!BY2="","",'Header Info OLD'!BY2)</f>
        <v>#REF!</v>
      </c>
      <c r="O52" s="304"/>
      <c r="P52" s="540" t="s">
        <v>2489</v>
      </c>
      <c r="Q52" s="541"/>
      <c r="R52" s="542"/>
      <c r="S52" s="443"/>
      <c r="T52" s="448"/>
      <c r="U52" s="540" t="s">
        <v>2489</v>
      </c>
      <c r="V52" s="541"/>
      <c r="W52" s="542"/>
      <c r="X52" s="372"/>
    </row>
    <row r="53" spans="1:24" ht="12.75" customHeight="1" x14ac:dyDescent="0.2">
      <c r="A53" s="181"/>
      <c r="B53" s="249"/>
      <c r="C53" s="378" t="s">
        <v>78</v>
      </c>
      <c r="D53" s="538" t="str">
        <f>_xlfn.XLOOKUP(D$48,WireSets[serial_number],WireSets[Max],"",0)</f>
        <v/>
      </c>
      <c r="E53" s="538" t="str">
        <f>_xlfn.XLOOKUP(E$48,WireSets[serial_number],WireSets[Max],"",0)</f>
        <v/>
      </c>
      <c r="F53" s="538" t="str">
        <f>_xlfn.XLOOKUP(F$48,WireSets[serial_number],WireSets[Max],"",0)</f>
        <v/>
      </c>
      <c r="G53" s="538" t="str">
        <f>_xlfn.XLOOKUP(G$48,WireSets[serial_number],WireSets[Max],"",0)</f>
        <v/>
      </c>
      <c r="H53" s="538" t="str">
        <f>_xlfn.XLOOKUP(H$48,WireSets[serial_number],WireSets[Max],"",0)</f>
        <v/>
      </c>
      <c r="I53" s="538" t="str">
        <f>_xlfn.XLOOKUP(I$48,WireSets[serial_number],WireSets[Max],"",0)</f>
        <v/>
      </c>
      <c r="J53" s="371"/>
      <c r="K53" s="433"/>
      <c r="L53" s="433"/>
      <c r="M53" s="417" t="s">
        <v>2491</v>
      </c>
      <c r="N53" s="376" t="e">
        <f>IF('Header Info OLD'!BZ2="","",'Header Info OLD'!BZ2)</f>
        <v>#REF!</v>
      </c>
      <c r="O53" s="304"/>
      <c r="P53" s="543" t="s">
        <v>4258</v>
      </c>
      <c r="Q53" s="544"/>
      <c r="R53" s="545"/>
      <c r="S53" s="465"/>
      <c r="T53" s="445"/>
      <c r="U53" s="543" t="s">
        <v>4263</v>
      </c>
      <c r="V53" s="544"/>
      <c r="W53" s="545"/>
      <c r="X53" s="393"/>
    </row>
    <row r="54" spans="1:24" x14ac:dyDescent="0.2">
      <c r="A54" s="181"/>
      <c r="B54" s="249"/>
      <c r="C54" s="379" t="s">
        <v>110</v>
      </c>
      <c r="D54" s="538" t="str">
        <f>_xlfn.XLOOKUP(D$48,WireSets[serial_number],WireSets[certificate_number],"",0)</f>
        <v/>
      </c>
      <c r="E54" s="538" t="str">
        <f>_xlfn.XLOOKUP(E$48,WireSets[serial_number],WireSets[certificate_number],"",0)</f>
        <v/>
      </c>
      <c r="F54" s="538" t="str">
        <f>_xlfn.XLOOKUP(F$48,WireSets[serial_number],WireSets[certificate_number],"",0)</f>
        <v/>
      </c>
      <c r="G54" s="538" t="str">
        <f>_xlfn.XLOOKUP(G$48,WireSets[serial_number],WireSets[certificate_number],"",0)</f>
        <v/>
      </c>
      <c r="H54" s="538" t="str">
        <f>_xlfn.XLOOKUP(H$48,WireSets[serial_number],WireSets[certificate_number],"",0)</f>
        <v/>
      </c>
      <c r="I54" s="538" t="str">
        <f>_xlfn.XLOOKUP(I$48,WireSets[serial_number],WireSets[certificate_number],"",0)</f>
        <v/>
      </c>
      <c r="J54" s="305"/>
      <c r="K54" s="418"/>
      <c r="L54" s="419"/>
      <c r="M54" s="420" t="s">
        <v>3674</v>
      </c>
      <c r="N54" s="429" t="s">
        <v>3678</v>
      </c>
      <c r="O54" s="225"/>
      <c r="P54" s="546"/>
      <c r="Q54" s="547"/>
      <c r="R54" s="548"/>
      <c r="S54" s="442"/>
      <c r="T54" s="439"/>
      <c r="U54" s="546"/>
      <c r="V54" s="547"/>
      <c r="W54" s="548"/>
    </row>
    <row r="55" spans="1:24" x14ac:dyDescent="0.2">
      <c r="A55" s="181"/>
      <c r="B55" s="249"/>
      <c r="C55" s="379" t="s">
        <v>183</v>
      </c>
      <c r="D55" s="538" t="str">
        <f>_xlfn.XLOOKUP(D$48,WireSets[serial_number],WireSets[wire_roll_cert_number],"",0)</f>
        <v/>
      </c>
      <c r="E55" s="538" t="str">
        <f>_xlfn.XLOOKUP(E$48,WireSets[serial_number],WireSets[wire_roll_cert_number],"",0)</f>
        <v/>
      </c>
      <c r="F55" s="538" t="str">
        <f>_xlfn.XLOOKUP(F$48,WireSets[serial_number],WireSets[wire_roll_cert_number],"",0)</f>
        <v/>
      </c>
      <c r="G55" s="538" t="str">
        <f>_xlfn.XLOOKUP(G$48,WireSets[serial_number],WireSets[wire_roll_cert_number],"",0)</f>
        <v/>
      </c>
      <c r="H55" s="538" t="str">
        <f>_xlfn.XLOOKUP(H$48,WireSets[serial_number],WireSets[wire_roll_cert_number],"",0)</f>
        <v/>
      </c>
      <c r="I55" s="538" t="str">
        <f>_xlfn.XLOOKUP(I$48,WireSets[serial_number],WireSets[wire_roll_cert_number],"",0)</f>
        <v/>
      </c>
      <c r="J55" s="306"/>
      <c r="K55" s="421"/>
      <c r="L55" s="422"/>
      <c r="M55" s="423" t="s">
        <v>3675</v>
      </c>
      <c r="N55" s="430" t="s">
        <v>3678</v>
      </c>
      <c r="O55" s="225"/>
      <c r="P55" s="394" t="s">
        <v>2492</v>
      </c>
      <c r="Q55" s="394" t="s">
        <v>26</v>
      </c>
      <c r="R55" s="450" t="s">
        <v>2493</v>
      </c>
      <c r="S55" s="454"/>
      <c r="T55" s="452"/>
      <c r="U55" s="397" t="s">
        <v>2494</v>
      </c>
      <c r="V55" s="394" t="s">
        <v>26</v>
      </c>
      <c r="W55" s="394" t="s">
        <v>2495</v>
      </c>
    </row>
    <row r="56" spans="1:24" x14ac:dyDescent="0.2">
      <c r="A56" s="181"/>
      <c r="B56" s="254"/>
      <c r="C56" s="379" t="s">
        <v>184</v>
      </c>
      <c r="D56" s="536"/>
      <c r="E56" s="536"/>
      <c r="F56" s="536"/>
      <c r="G56" s="536"/>
      <c r="H56" s="536"/>
      <c r="I56" s="536"/>
      <c r="J56" s="303"/>
      <c r="K56" s="424"/>
      <c r="L56" s="425"/>
      <c r="M56" s="423" t="s">
        <v>3676</v>
      </c>
      <c r="N56" s="430" t="s">
        <v>3678</v>
      </c>
      <c r="O56" s="225"/>
      <c r="P56" s="395"/>
      <c r="Q56" s="396"/>
      <c r="R56" s="451"/>
      <c r="S56" s="455"/>
      <c r="T56" s="453"/>
      <c r="U56" s="398"/>
      <c r="V56" s="396"/>
      <c r="W56" s="395"/>
    </row>
    <row r="57" spans="1:24" x14ac:dyDescent="0.2">
      <c r="A57" s="181"/>
      <c r="B57" s="247"/>
      <c r="C57" s="370" t="s">
        <v>2497</v>
      </c>
      <c r="D57" s="539"/>
      <c r="E57" s="539"/>
      <c r="F57" s="539"/>
      <c r="G57" s="539"/>
      <c r="H57" s="539"/>
      <c r="I57" s="539"/>
      <c r="J57" s="179"/>
      <c r="K57" s="426"/>
      <c r="L57" s="427"/>
      <c r="M57" s="428" t="s">
        <v>3677</v>
      </c>
      <c r="N57" s="430" t="s">
        <v>3678</v>
      </c>
      <c r="O57" s="225"/>
    </row>
    <row r="58" spans="1:24" x14ac:dyDescent="0.2">
      <c r="A58" s="181"/>
      <c r="B58" s="247"/>
      <c r="C58" s="581" t="s">
        <v>189</v>
      </c>
      <c r="D58" s="582"/>
      <c r="E58" s="582"/>
      <c r="F58" s="582"/>
      <c r="G58" s="582"/>
      <c r="H58" s="582"/>
      <c r="I58" s="582"/>
      <c r="J58" s="582"/>
      <c r="K58" s="586"/>
      <c r="L58" s="587"/>
      <c r="M58" s="320"/>
      <c r="N58" s="320"/>
      <c r="O58" s="320"/>
      <c r="P58" s="320"/>
      <c r="Q58" s="320"/>
      <c r="R58" s="372"/>
      <c r="S58" s="372"/>
      <c r="T58" s="372"/>
      <c r="U58" s="372"/>
    </row>
    <row r="59" spans="1:24" x14ac:dyDescent="0.2">
      <c r="A59" s="181"/>
      <c r="B59" s="247"/>
      <c r="C59" s="581" t="s">
        <v>194</v>
      </c>
      <c r="D59" s="582"/>
      <c r="E59" s="582"/>
      <c r="F59" s="582"/>
      <c r="G59" s="582"/>
      <c r="H59" s="582"/>
      <c r="I59" s="582"/>
      <c r="J59" s="582"/>
      <c r="K59" s="582"/>
      <c r="L59" s="583"/>
      <c r="M59" s="320"/>
      <c r="N59" s="304" t="str">
        <f>"DOORS OPENED FOR " &amp;L16&amp; " SECONDS TO SIMULATE LOAD ENTRY AT " &amp;L17&amp; "."</f>
        <v>DOORS OPENED FOR  SECONDS TO SIMULATE LOAD ENTRY AT .</v>
      </c>
      <c r="O59" s="304"/>
      <c r="P59" s="304"/>
      <c r="Q59" s="304"/>
      <c r="R59" s="386"/>
      <c r="S59" s="386"/>
      <c r="T59" s="386"/>
      <c r="U59" s="386"/>
      <c r="V59" s="386"/>
    </row>
    <row r="60" spans="1:24" x14ac:dyDescent="0.2">
      <c r="A60" s="255"/>
      <c r="B60" s="256"/>
      <c r="C60" s="257"/>
      <c r="D60" s="258" t="s">
        <v>192</v>
      </c>
      <c r="E60" s="259"/>
      <c r="F60" s="260" t="s">
        <v>190</v>
      </c>
      <c r="G60" s="261"/>
      <c r="H60" s="261"/>
      <c r="I60" s="261"/>
      <c r="J60" s="262"/>
      <c r="K60" s="259"/>
      <c r="L60" s="263" t="s">
        <v>191</v>
      </c>
      <c r="M60" s="373"/>
      <c r="N60" s="387" t="str">
        <f>"AFTER TUS, HIGH LIMIT SET AT " &amp;E60&amp; "°F AND OVEN SETPOINT RAISED UNTIL HIGH LIMIT SYSTEM ACTIVATED AT " &amp;K60&amp; "°F."</f>
        <v>AFTER TUS, HIGH LIMIT SET AT °F AND OVEN SETPOINT RAISED UNTIL HIGH LIMIT SYSTEM ACTIVATED AT °F.</v>
      </c>
      <c r="O60" s="387"/>
      <c r="P60" s="304"/>
      <c r="Q60" s="304"/>
      <c r="R60" s="386"/>
      <c r="S60" s="386"/>
      <c r="T60" s="386"/>
      <c r="U60" s="386"/>
      <c r="V60" s="386"/>
    </row>
    <row r="61" spans="1:24" x14ac:dyDescent="0.2">
      <c r="A61" s="264"/>
      <c r="C61" s="258"/>
      <c r="D61" s="258" t="s">
        <v>193</v>
      </c>
      <c r="E61" s="259"/>
      <c r="F61" s="266" t="s">
        <v>195</v>
      </c>
      <c r="G61" s="267"/>
      <c r="H61" s="267"/>
      <c r="I61" s="268"/>
      <c r="J61" s="259"/>
      <c r="K61" s="269" t="s">
        <v>191</v>
      </c>
      <c r="M61" s="372"/>
      <c r="N61" s="387" t="str">
        <f>"AFTER TUS, HIGH LIMIT READING " &amp;E61&amp; "°F AND HIGH LIMIT SETPOINT LOWERED UNTIL ACTIVATION AT " &amp;J61&amp; "°F."</f>
        <v>AFTER TUS, HIGH LIMIT READING °F AND HIGH LIMIT SETPOINT LOWERED UNTIL ACTIVATION AT °F.</v>
      </c>
      <c r="O61" s="388"/>
      <c r="P61" s="386"/>
      <c r="Q61" s="386"/>
      <c r="R61" s="386"/>
      <c r="S61" s="386"/>
      <c r="T61" s="386"/>
      <c r="U61" s="386"/>
      <c r="V61" s="386"/>
    </row>
    <row r="62" spans="1:24" x14ac:dyDescent="0.2">
      <c r="A62" s="264"/>
      <c r="F62" s="320" t="s">
        <v>2998</v>
      </c>
      <c r="G62" s="234"/>
      <c r="H62" s="271"/>
      <c r="I62" s="271"/>
      <c r="M62" s="399"/>
      <c r="N62" s="388"/>
      <c r="O62" s="388"/>
      <c r="P62" s="386"/>
      <c r="Q62" s="386"/>
      <c r="R62" s="386"/>
      <c r="S62" s="386"/>
      <c r="T62" s="386"/>
      <c r="U62" s="386"/>
      <c r="V62" s="386"/>
    </row>
    <row r="63" spans="1:24" x14ac:dyDescent="0.2">
      <c r="A63" s="264"/>
      <c r="C63" s="270"/>
      <c r="D63" s="271"/>
      <c r="E63" s="271"/>
      <c r="F63" s="271"/>
      <c r="G63" s="271"/>
      <c r="H63" s="271"/>
      <c r="I63" s="271"/>
      <c r="M63" s="372"/>
      <c r="N63" s="371"/>
      <c r="O63" s="371"/>
      <c r="P63" s="372"/>
      <c r="Q63" s="372"/>
      <c r="R63" s="372"/>
      <c r="S63" s="372"/>
      <c r="T63" s="372"/>
      <c r="U63" s="372"/>
    </row>
    <row r="64" spans="1:24" x14ac:dyDescent="0.2">
      <c r="A64" s="273"/>
      <c r="C64" s="270"/>
      <c r="D64" s="271"/>
      <c r="E64" s="271"/>
      <c r="F64" s="271"/>
      <c r="G64" s="271"/>
      <c r="H64" s="271"/>
      <c r="I64" s="271"/>
      <c r="M64" s="372"/>
      <c r="N64" s="371"/>
      <c r="O64" s="371"/>
      <c r="P64" s="372"/>
      <c r="Q64" s="372"/>
      <c r="R64" s="372"/>
      <c r="S64" s="372"/>
      <c r="T64" s="372"/>
      <c r="U64" s="372"/>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str" cm="1">
        <f t="array" ref="B72:B85">TRANSPOSE(TUS_Worksheet!C$13:P$13)</f>
        <v/>
      </c>
      <c r="C72" s="281">
        <v>1</v>
      </c>
      <c r="D72" s="282" t="str" cm="1">
        <f t="array" ref="D72:D111">IF(B72:B111="","",C72:C111)</f>
        <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str">
        <v/>
      </c>
      <c r="C73" s="281">
        <v>2</v>
      </c>
      <c r="D73" s="282" t="str">
        <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str">
        <v/>
      </c>
      <c r="C74" s="281">
        <v>3</v>
      </c>
      <c r="D74" s="282" t="str">
        <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str">
        <v/>
      </c>
      <c r="C75" s="281">
        <v>4</v>
      </c>
      <c r="D75" s="282" t="str">
        <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str">
        <v/>
      </c>
      <c r="C76" s="281">
        <v>5</v>
      </c>
      <c r="D76" s="282" t="str">
        <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str">
        <v/>
      </c>
      <c r="C77" s="281">
        <v>6</v>
      </c>
      <c r="D77" s="282" t="str">
        <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str">
        <v/>
      </c>
      <c r="C78" s="281">
        <v>7</v>
      </c>
      <c r="D78" s="282" t="str">
        <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str">
        <v/>
      </c>
      <c r="C79" s="281">
        <v>8</v>
      </c>
      <c r="D79" s="282" t="str">
        <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str">
        <v/>
      </c>
      <c r="C80" s="281">
        <v>9</v>
      </c>
      <c r="D80" s="282" t="str">
        <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str">
        <v/>
      </c>
      <c r="C81" s="281">
        <v>10</v>
      </c>
      <c r="D81" s="282" t="str">
        <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181</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182</v>
      </c>
      <c r="G85" s="299" t="s">
        <v>180</v>
      </c>
      <c r="H85" s="300" t="s">
        <v>179</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7">
        <f>MAX(I86:J86)</f>
        <v>2</v>
      </c>
      <c r="I86" s="301">
        <f>D16*0.002</f>
        <v>0</v>
      </c>
      <c r="J86" s="406">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7">
        <f t="shared" ref="H87:H91" si="2">MAX(I87:J87)</f>
        <v>3</v>
      </c>
      <c r="I87" s="301">
        <f>D16*0.003</f>
        <v>0</v>
      </c>
      <c r="J87" s="406">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7">
        <f t="shared" si="2"/>
        <v>4</v>
      </c>
      <c r="I88" s="301">
        <f>D16*0.004</f>
        <v>0</v>
      </c>
      <c r="J88" s="406">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7">
        <f t="shared" si="2"/>
        <v>4</v>
      </c>
      <c r="I89" s="301">
        <f>D16*0.004</f>
        <v>0</v>
      </c>
      <c r="J89" s="406">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7">
        <f t="shared" si="2"/>
        <v>5</v>
      </c>
      <c r="I90" s="301">
        <f>D16*0.005</f>
        <v>0</v>
      </c>
      <c r="J90" s="406">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7">
        <f t="shared" si="2"/>
        <v>10</v>
      </c>
      <c r="I91" s="301">
        <f>D16*0.01</f>
        <v>0</v>
      </c>
      <c r="J91" s="406">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str">
        <v/>
      </c>
      <c r="C92" s="281">
        <v>21</v>
      </c>
      <c r="D92" s="282" t="str">
        <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str">
        <v/>
      </c>
      <c r="C93" s="281">
        <v>22</v>
      </c>
      <c r="D93" s="282" t="str">
        <v/>
      </c>
      <c r="E93" s="294"/>
      <c r="F93" s="298" t="s">
        <v>675</v>
      </c>
      <c r="G93" s="299" t="e">
        <f>VLOOKUP(D19,G86:H91,2,FALSE)</f>
        <v>#N/A</v>
      </c>
      <c r="H93" s="300" t="s">
        <v>676</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str">
        <v/>
      </c>
      <c r="C94" s="281">
        <v>23</v>
      </c>
      <c r="D94" s="282" t="str">
        <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str">
        <v/>
      </c>
      <c r="C95" s="281">
        <v>24</v>
      </c>
      <c r="D95" s="282" t="str">
        <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str">
        <v/>
      </c>
      <c r="C96" s="281">
        <v>25</v>
      </c>
      <c r="D96" s="282" t="str">
        <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str">
        <v/>
      </c>
      <c r="C97" s="281">
        <v>26</v>
      </c>
      <c r="D97" s="282" t="str">
        <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str">
        <v/>
      </c>
      <c r="C98" s="281">
        <v>27</v>
      </c>
      <c r="D98" s="282" t="str">
        <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str">
        <v/>
      </c>
      <c r="C99" s="281">
        <v>28</v>
      </c>
      <c r="D99" s="282" t="str">
        <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str" cm="1">
        <f t="array" ref="B100:B111">TRANSPOSE(TUS_Worksheet!C$25:N$25)</f>
        <v/>
      </c>
      <c r="C100" s="281">
        <v>29</v>
      </c>
      <c r="D100" s="282" t="str">
        <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str">
        <v/>
      </c>
      <c r="C101" s="281">
        <v>30</v>
      </c>
      <c r="D101" s="282" t="str">
        <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str">
        <v/>
      </c>
      <c r="C102" s="281">
        <v>31</v>
      </c>
      <c r="D102" s="282" t="str">
        <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str">
        <v/>
      </c>
      <c r="C103" s="281">
        <v>32</v>
      </c>
      <c r="D103" s="282" t="str">
        <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str">
        <v/>
      </c>
      <c r="C104" s="281">
        <v>33</v>
      </c>
      <c r="D104" s="282" t="str">
        <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str">
        <v/>
      </c>
      <c r="C105" s="281">
        <v>34</v>
      </c>
      <c r="D105" s="282" t="str">
        <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OqpUF4yI7mpj9QyG8Nf9SXiHPNQI0QWAaaafd9cDqvV3rZdqgnfWQ4KzxqQ2LXGjb3qihbl77CiZDZEGkC/dgw==" saltValue="In6h7PjoeFjTOOwLQaIW9Q=="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4464</v>
      </c>
      <c r="B1" t="s">
        <v>4649</v>
      </c>
      <c r="C1" t="s">
        <v>4650</v>
      </c>
      <c r="D1" t="s">
        <v>4651</v>
      </c>
      <c r="E1" t="s">
        <v>4652</v>
      </c>
      <c r="F1" t="s">
        <v>4647</v>
      </c>
      <c r="G1" t="s">
        <v>4607</v>
      </c>
      <c r="H1" t="s">
        <v>4585</v>
      </c>
      <c r="I1" t="s">
        <v>4608</v>
      </c>
      <c r="J1" t="s">
        <v>4593</v>
      </c>
      <c r="K1" t="s">
        <v>4594</v>
      </c>
      <c r="L1" t="s">
        <v>4595</v>
      </c>
      <c r="M1" t="s">
        <v>4609</v>
      </c>
      <c r="N1" t="s">
        <v>4457</v>
      </c>
      <c r="O1" t="s">
        <v>4458</v>
      </c>
      <c r="P1" t="s">
        <v>4465</v>
      </c>
      <c r="Q1" t="s">
        <v>4597</v>
      </c>
      <c r="R1" t="s">
        <v>4598</v>
      </c>
      <c r="S1" t="s">
        <v>4599</v>
      </c>
      <c r="T1" t="s">
        <v>4596</v>
      </c>
      <c r="U1" t="s">
        <v>4610</v>
      </c>
      <c r="V1" t="s">
        <v>4611</v>
      </c>
      <c r="W1" t="s">
        <v>4600</v>
      </c>
      <c r="X1" t="s">
        <v>4601</v>
      </c>
      <c r="Y1" t="s">
        <v>4602</v>
      </c>
      <c r="Z1" t="s">
        <v>4589</v>
      </c>
      <c r="AA1" t="s">
        <v>4590</v>
      </c>
      <c r="AB1" t="s">
        <v>4591</v>
      </c>
      <c r="AC1" t="s">
        <v>4592</v>
      </c>
      <c r="AD1" t="s">
        <v>4466</v>
      </c>
      <c r="AE1" t="s">
        <v>4467</v>
      </c>
      <c r="AF1" t="s">
        <v>4605</v>
      </c>
      <c r="AG1" t="s">
        <v>4606</v>
      </c>
      <c r="AH1" t="s">
        <v>4603</v>
      </c>
      <c r="AI1" t="s">
        <v>4604</v>
      </c>
      <c r="AJ1" t="s">
        <v>4648</v>
      </c>
      <c r="AK1" t="s">
        <v>4653</v>
      </c>
      <c r="AL1" t="s">
        <v>4654</v>
      </c>
    </row>
    <row r="2" spans="1:38" x14ac:dyDescent="0.2">
      <c r="A2">
        <v>1235344</v>
      </c>
      <c r="B2">
        <v>6864835</v>
      </c>
      <c r="C2">
        <v>7653243</v>
      </c>
      <c r="E2" t="b">
        <v>0</v>
      </c>
      <c r="G2" t="s">
        <v>4681</v>
      </c>
      <c r="I2" t="s">
        <v>4682</v>
      </c>
      <c r="J2" t="s">
        <v>4612</v>
      </c>
      <c r="K2" t="s">
        <v>4612</v>
      </c>
      <c r="L2" t="s">
        <v>4612</v>
      </c>
      <c r="M2" t="s">
        <v>4683</v>
      </c>
      <c r="N2" t="s">
        <v>4476</v>
      </c>
      <c r="O2" t="s">
        <v>2478</v>
      </c>
      <c r="P2" t="s">
        <v>143</v>
      </c>
      <c r="V2" t="s">
        <v>4684</v>
      </c>
      <c r="Y2" t="s">
        <v>4685</v>
      </c>
      <c r="AD2" t="s">
        <v>2477</v>
      </c>
      <c r="AE2" t="s">
        <v>4477</v>
      </c>
      <c r="AJ2" t="s">
        <v>4686</v>
      </c>
      <c r="AK2" t="s">
        <v>4687</v>
      </c>
      <c r="AL2" t="s">
        <v>4688</v>
      </c>
    </row>
    <row r="3" spans="1:38" x14ac:dyDescent="0.2">
      <c r="A3">
        <v>1235555</v>
      </c>
      <c r="B3">
        <v>8036587</v>
      </c>
      <c r="C3">
        <v>7589603</v>
      </c>
      <c r="E3" t="b">
        <v>0</v>
      </c>
      <c r="F3">
        <v>72040</v>
      </c>
      <c r="G3" t="s">
        <v>4689</v>
      </c>
      <c r="H3">
        <v>1</v>
      </c>
      <c r="I3" t="s">
        <v>4690</v>
      </c>
      <c r="J3" t="s">
        <v>4613</v>
      </c>
      <c r="K3" t="s">
        <v>4612</v>
      </c>
      <c r="L3" t="s">
        <v>4614</v>
      </c>
      <c r="M3" t="s">
        <v>4691</v>
      </c>
      <c r="N3" t="s">
        <v>4522</v>
      </c>
      <c r="O3" t="s">
        <v>258</v>
      </c>
      <c r="P3" t="s">
        <v>4500</v>
      </c>
      <c r="S3" t="s">
        <v>4692</v>
      </c>
      <c r="U3" t="s">
        <v>4693</v>
      </c>
      <c r="V3" t="s">
        <v>4694</v>
      </c>
      <c r="W3" t="s">
        <v>4517</v>
      </c>
      <c r="X3" t="s">
        <v>4618</v>
      </c>
      <c r="Y3" t="s">
        <v>4695</v>
      </c>
      <c r="Z3" t="s">
        <v>4657</v>
      </c>
      <c r="AB3" t="s">
        <v>4687</v>
      </c>
      <c r="AD3" t="s">
        <v>4619</v>
      </c>
      <c r="AE3" t="s">
        <v>4619</v>
      </c>
      <c r="AF3">
        <v>0</v>
      </c>
      <c r="AG3">
        <v>0</v>
      </c>
      <c r="AH3">
        <v>46</v>
      </c>
      <c r="AI3">
        <v>0</v>
      </c>
      <c r="AJ3" t="s">
        <v>4659</v>
      </c>
      <c r="AK3" t="s">
        <v>4687</v>
      </c>
      <c r="AL3" t="s">
        <v>4696</v>
      </c>
    </row>
    <row r="4" spans="1:38" x14ac:dyDescent="0.2">
      <c r="A4">
        <v>1235388</v>
      </c>
      <c r="B4">
        <v>7537859</v>
      </c>
      <c r="C4">
        <v>187510</v>
      </c>
      <c r="E4" t="b">
        <v>0</v>
      </c>
      <c r="F4">
        <v>62285</v>
      </c>
      <c r="G4" t="s">
        <v>4697</v>
      </c>
      <c r="H4">
        <v>1</v>
      </c>
      <c r="I4" t="s">
        <v>4698</v>
      </c>
      <c r="J4" t="s">
        <v>4613</v>
      </c>
      <c r="K4" t="s">
        <v>4612</v>
      </c>
      <c r="L4" t="s">
        <v>4614</v>
      </c>
      <c r="M4" t="s">
        <v>4699</v>
      </c>
      <c r="N4" t="s">
        <v>4480</v>
      </c>
      <c r="O4" t="s">
        <v>266</v>
      </c>
      <c r="P4" t="s">
        <v>4481</v>
      </c>
      <c r="S4" t="s">
        <v>4700</v>
      </c>
      <c r="U4" t="s">
        <v>4701</v>
      </c>
      <c r="V4" t="s">
        <v>4702</v>
      </c>
      <c r="W4" t="s">
        <v>4703</v>
      </c>
      <c r="X4" t="s">
        <v>4618</v>
      </c>
      <c r="Y4" t="s">
        <v>4695</v>
      </c>
      <c r="Z4" t="s">
        <v>4657</v>
      </c>
      <c r="AA4" t="s">
        <v>34</v>
      </c>
      <c r="AB4" t="s">
        <v>4704</v>
      </c>
      <c r="AD4" t="s">
        <v>265</v>
      </c>
      <c r="AE4" t="s">
        <v>4482</v>
      </c>
      <c r="AF4">
        <v>0</v>
      </c>
      <c r="AG4">
        <v>0</v>
      </c>
      <c r="AH4">
        <v>70</v>
      </c>
      <c r="AI4">
        <v>0</v>
      </c>
      <c r="AJ4" t="s">
        <v>4659</v>
      </c>
      <c r="AK4" t="s">
        <v>4704</v>
      </c>
      <c r="AL4" t="s">
        <v>4660</v>
      </c>
    </row>
    <row r="5" spans="1:38" x14ac:dyDescent="0.2">
      <c r="A5">
        <v>1235682</v>
      </c>
      <c r="B5">
        <v>7943647</v>
      </c>
      <c r="C5">
        <v>187508</v>
      </c>
      <c r="E5" t="b">
        <v>0</v>
      </c>
      <c r="F5">
        <v>69999</v>
      </c>
      <c r="G5" t="s">
        <v>4705</v>
      </c>
      <c r="H5">
        <v>1</v>
      </c>
      <c r="I5" t="s">
        <v>4706</v>
      </c>
      <c r="J5" t="s">
        <v>4613</v>
      </c>
      <c r="K5" t="s">
        <v>4614</v>
      </c>
      <c r="L5" t="s">
        <v>4614</v>
      </c>
      <c r="M5" t="s">
        <v>4707</v>
      </c>
      <c r="N5" t="s">
        <v>4551</v>
      </c>
      <c r="O5" t="s">
        <v>59</v>
      </c>
      <c r="S5" t="s">
        <v>4655</v>
      </c>
      <c r="U5" t="s">
        <v>4708</v>
      </c>
      <c r="V5" t="s">
        <v>4709</v>
      </c>
      <c r="W5" t="s">
        <v>4517</v>
      </c>
      <c r="X5" t="s">
        <v>4618</v>
      </c>
      <c r="Y5" t="s">
        <v>4656</v>
      </c>
      <c r="Z5" t="s">
        <v>4657</v>
      </c>
      <c r="AA5" t="s">
        <v>34</v>
      </c>
      <c r="AB5" t="s">
        <v>4658</v>
      </c>
      <c r="AD5" t="s">
        <v>4552</v>
      </c>
      <c r="AE5" t="s">
        <v>4497</v>
      </c>
      <c r="AF5">
        <v>0</v>
      </c>
      <c r="AG5">
        <v>0</v>
      </c>
      <c r="AH5">
        <v>392.75</v>
      </c>
      <c r="AI5">
        <v>0</v>
      </c>
      <c r="AJ5" t="s">
        <v>4659</v>
      </c>
      <c r="AK5" t="s">
        <v>4658</v>
      </c>
      <c r="AL5" t="s">
        <v>4660</v>
      </c>
    </row>
    <row r="6" spans="1:38" x14ac:dyDescent="0.2">
      <c r="A6">
        <v>1235426</v>
      </c>
      <c r="B6">
        <v>8035840</v>
      </c>
      <c r="C6">
        <v>187508</v>
      </c>
      <c r="E6" t="b">
        <v>0</v>
      </c>
      <c r="F6">
        <v>72024</v>
      </c>
      <c r="G6" t="s">
        <v>4668</v>
      </c>
      <c r="H6">
        <v>1</v>
      </c>
      <c r="I6" t="s">
        <v>4669</v>
      </c>
      <c r="J6" t="s">
        <v>4613</v>
      </c>
      <c r="K6" t="s">
        <v>4614</v>
      </c>
      <c r="L6" t="s">
        <v>4614</v>
      </c>
      <c r="M6" t="s">
        <v>4710</v>
      </c>
      <c r="N6" t="s">
        <v>4495</v>
      </c>
      <c r="O6" t="s">
        <v>71</v>
      </c>
      <c r="S6" t="s">
        <v>4655</v>
      </c>
      <c r="U6" t="s">
        <v>4711</v>
      </c>
      <c r="V6" t="s">
        <v>4712</v>
      </c>
      <c r="W6" t="s">
        <v>4517</v>
      </c>
      <c r="X6" t="s">
        <v>4618</v>
      </c>
      <c r="Y6" t="s">
        <v>4656</v>
      </c>
      <c r="Z6" t="s">
        <v>4657</v>
      </c>
      <c r="AA6" t="s">
        <v>34</v>
      </c>
      <c r="AB6" t="s">
        <v>4658</v>
      </c>
      <c r="AD6" t="s">
        <v>4496</v>
      </c>
      <c r="AE6" t="s">
        <v>4497</v>
      </c>
      <c r="AF6">
        <v>0</v>
      </c>
      <c r="AG6">
        <v>0</v>
      </c>
      <c r="AH6">
        <v>392.75</v>
      </c>
      <c r="AI6">
        <v>0</v>
      </c>
      <c r="AJ6" t="s">
        <v>4659</v>
      </c>
      <c r="AK6" t="s">
        <v>4658</v>
      </c>
      <c r="AL6" t="s">
        <v>4660</v>
      </c>
    </row>
    <row r="7" spans="1:38" x14ac:dyDescent="0.2">
      <c r="A7">
        <v>1235686</v>
      </c>
      <c r="B7">
        <v>8143520</v>
      </c>
      <c r="C7">
        <v>187508</v>
      </c>
      <c r="E7" t="b">
        <v>0</v>
      </c>
      <c r="F7">
        <v>73531</v>
      </c>
      <c r="G7" t="s">
        <v>4665</v>
      </c>
      <c r="H7">
        <v>1</v>
      </c>
      <c r="I7" t="s">
        <v>4666</v>
      </c>
      <c r="J7" t="s">
        <v>4613</v>
      </c>
      <c r="K7" t="s">
        <v>4614</v>
      </c>
      <c r="L7" t="s">
        <v>4614</v>
      </c>
      <c r="M7" t="s">
        <v>4713</v>
      </c>
      <c r="N7" t="s">
        <v>4553</v>
      </c>
      <c r="O7" t="s">
        <v>75</v>
      </c>
      <c r="S7" t="s">
        <v>4655</v>
      </c>
      <c r="U7" t="s">
        <v>4714</v>
      </c>
      <c r="V7" t="s">
        <v>4715</v>
      </c>
      <c r="W7" t="s">
        <v>4517</v>
      </c>
      <c r="X7" t="s">
        <v>4618</v>
      </c>
      <c r="Y7" t="s">
        <v>4656</v>
      </c>
      <c r="Z7" t="s">
        <v>4657</v>
      </c>
      <c r="AA7" t="s">
        <v>34</v>
      </c>
      <c r="AB7" t="s">
        <v>4658</v>
      </c>
      <c r="AD7" t="s">
        <v>4554</v>
      </c>
      <c r="AE7" t="s">
        <v>4555</v>
      </c>
      <c r="AF7">
        <v>0</v>
      </c>
      <c r="AG7">
        <v>0</v>
      </c>
      <c r="AH7">
        <v>392.75</v>
      </c>
      <c r="AI7">
        <v>0</v>
      </c>
      <c r="AJ7" t="s">
        <v>4659</v>
      </c>
      <c r="AK7" t="s">
        <v>4658</v>
      </c>
      <c r="AL7" t="s">
        <v>4660</v>
      </c>
    </row>
    <row r="8" spans="1:38" x14ac:dyDescent="0.2">
      <c r="A8">
        <v>1235630</v>
      </c>
      <c r="B8">
        <v>7925909</v>
      </c>
      <c r="C8">
        <v>187508</v>
      </c>
      <c r="E8" t="b">
        <v>0</v>
      </c>
      <c r="F8">
        <v>69663</v>
      </c>
      <c r="G8" t="s">
        <v>4716</v>
      </c>
      <c r="H8">
        <v>1</v>
      </c>
      <c r="I8" t="s">
        <v>4717</v>
      </c>
      <c r="J8" t="s">
        <v>4613</v>
      </c>
      <c r="K8" t="s">
        <v>4614</v>
      </c>
      <c r="L8" t="s">
        <v>4614</v>
      </c>
      <c r="M8" t="s">
        <v>4718</v>
      </c>
      <c r="N8" t="s">
        <v>4540</v>
      </c>
      <c r="O8" t="s">
        <v>137</v>
      </c>
      <c r="S8" t="s">
        <v>4655</v>
      </c>
      <c r="U8" t="s">
        <v>4719</v>
      </c>
      <c r="V8" t="s">
        <v>4720</v>
      </c>
      <c r="W8" t="s">
        <v>4517</v>
      </c>
      <c r="X8" t="s">
        <v>4618</v>
      </c>
      <c r="Y8" t="s">
        <v>4656</v>
      </c>
      <c r="Z8" t="s">
        <v>4657</v>
      </c>
      <c r="AA8" t="s">
        <v>34</v>
      </c>
      <c r="AB8" t="s">
        <v>4658</v>
      </c>
      <c r="AD8" t="s">
        <v>4541</v>
      </c>
      <c r="AE8" t="s">
        <v>4497</v>
      </c>
      <c r="AF8">
        <v>0</v>
      </c>
      <c r="AG8">
        <v>0</v>
      </c>
      <c r="AH8">
        <v>392.75</v>
      </c>
      <c r="AI8">
        <v>0</v>
      </c>
      <c r="AJ8" t="s">
        <v>4659</v>
      </c>
      <c r="AK8" t="s">
        <v>4658</v>
      </c>
      <c r="AL8" t="s">
        <v>4660</v>
      </c>
    </row>
    <row r="9" spans="1:38" x14ac:dyDescent="0.2">
      <c r="A9">
        <v>1235561</v>
      </c>
      <c r="B9">
        <v>7925915</v>
      </c>
      <c r="C9">
        <v>187508</v>
      </c>
      <c r="E9" t="b">
        <v>0</v>
      </c>
      <c r="F9">
        <v>69665</v>
      </c>
      <c r="G9" t="s">
        <v>4721</v>
      </c>
      <c r="H9">
        <v>1</v>
      </c>
      <c r="I9" t="s">
        <v>4722</v>
      </c>
      <c r="J9" t="s">
        <v>4613</v>
      </c>
      <c r="K9" t="s">
        <v>4614</v>
      </c>
      <c r="L9" t="s">
        <v>4614</v>
      </c>
      <c r="M9" t="s">
        <v>4723</v>
      </c>
      <c r="N9" t="s">
        <v>4523</v>
      </c>
      <c r="O9" t="s">
        <v>141</v>
      </c>
      <c r="S9" t="s">
        <v>4655</v>
      </c>
      <c r="U9" t="s">
        <v>4719</v>
      </c>
      <c r="V9" t="s">
        <v>4724</v>
      </c>
      <c r="W9" t="s">
        <v>4517</v>
      </c>
      <c r="X9" t="s">
        <v>4618</v>
      </c>
      <c r="Y9" t="s">
        <v>4656</v>
      </c>
      <c r="Z9" t="s">
        <v>4657</v>
      </c>
      <c r="AA9" t="s">
        <v>34</v>
      </c>
      <c r="AB9" t="s">
        <v>4658</v>
      </c>
      <c r="AD9" t="s">
        <v>4524</v>
      </c>
      <c r="AE9" t="s">
        <v>4525</v>
      </c>
      <c r="AF9">
        <v>0</v>
      </c>
      <c r="AG9">
        <v>0</v>
      </c>
      <c r="AH9">
        <v>392.75</v>
      </c>
      <c r="AI9">
        <v>0</v>
      </c>
      <c r="AJ9" t="s">
        <v>4659</v>
      </c>
      <c r="AK9" t="s">
        <v>4658</v>
      </c>
      <c r="AL9" t="s">
        <v>4660</v>
      </c>
    </row>
    <row r="10" spans="1:38" x14ac:dyDescent="0.2">
      <c r="A10">
        <v>1235543</v>
      </c>
      <c r="B10">
        <v>8075187</v>
      </c>
      <c r="C10">
        <v>187508</v>
      </c>
      <c r="E10" t="b">
        <v>0</v>
      </c>
      <c r="F10">
        <v>72822</v>
      </c>
      <c r="G10" t="s">
        <v>4725</v>
      </c>
      <c r="H10">
        <v>1</v>
      </c>
      <c r="I10" t="s">
        <v>4726</v>
      </c>
      <c r="J10" t="s">
        <v>4613</v>
      </c>
      <c r="K10" t="s">
        <v>4614</v>
      </c>
      <c r="L10" t="s">
        <v>4614</v>
      </c>
      <c r="M10" t="s">
        <v>4727</v>
      </c>
      <c r="N10" t="s">
        <v>4520</v>
      </c>
      <c r="O10" t="s">
        <v>140</v>
      </c>
      <c r="S10" t="s">
        <v>4655</v>
      </c>
      <c r="U10" t="s">
        <v>4728</v>
      </c>
      <c r="V10" t="s">
        <v>4729</v>
      </c>
      <c r="W10" t="s">
        <v>4517</v>
      </c>
      <c r="X10" t="s">
        <v>4618</v>
      </c>
      <c r="Y10" t="s">
        <v>4656</v>
      </c>
      <c r="Z10" t="s">
        <v>4657</v>
      </c>
      <c r="AA10" t="s">
        <v>34</v>
      </c>
      <c r="AB10" t="s">
        <v>4658</v>
      </c>
      <c r="AD10" t="s">
        <v>4496</v>
      </c>
      <c r="AE10" t="s">
        <v>4521</v>
      </c>
      <c r="AF10">
        <v>0</v>
      </c>
      <c r="AG10">
        <v>0</v>
      </c>
      <c r="AH10">
        <v>392.75</v>
      </c>
      <c r="AI10">
        <v>0</v>
      </c>
      <c r="AJ10" t="s">
        <v>4659</v>
      </c>
      <c r="AK10" t="s">
        <v>4658</v>
      </c>
      <c r="AL10" t="s">
        <v>4660</v>
      </c>
    </row>
    <row r="11" spans="1:38" x14ac:dyDescent="0.2">
      <c r="A11">
        <v>1235622</v>
      </c>
      <c r="B11">
        <v>7925914</v>
      </c>
      <c r="C11">
        <v>187508</v>
      </c>
      <c r="E11" t="b">
        <v>0</v>
      </c>
      <c r="F11">
        <v>69664</v>
      </c>
      <c r="G11" t="s">
        <v>4730</v>
      </c>
      <c r="H11">
        <v>1</v>
      </c>
      <c r="I11" t="s">
        <v>4731</v>
      </c>
      <c r="J11" t="s">
        <v>4613</v>
      </c>
      <c r="K11" t="s">
        <v>4614</v>
      </c>
      <c r="L11" t="s">
        <v>4614</v>
      </c>
      <c r="M11" t="s">
        <v>4732</v>
      </c>
      <c r="N11" t="s">
        <v>4535</v>
      </c>
      <c r="O11" t="s">
        <v>188</v>
      </c>
      <c r="S11" t="s">
        <v>4655</v>
      </c>
      <c r="U11" t="s">
        <v>4719</v>
      </c>
      <c r="V11" t="s">
        <v>4733</v>
      </c>
      <c r="W11" t="s">
        <v>4517</v>
      </c>
      <c r="X11" t="s">
        <v>4618</v>
      </c>
      <c r="Y11" t="s">
        <v>4656</v>
      </c>
      <c r="Z11" t="s">
        <v>4657</v>
      </c>
      <c r="AA11" t="s">
        <v>34</v>
      </c>
      <c r="AB11" t="s">
        <v>4658</v>
      </c>
      <c r="AD11" t="s">
        <v>4536</v>
      </c>
      <c r="AE11" t="s">
        <v>4537</v>
      </c>
      <c r="AF11">
        <v>0</v>
      </c>
      <c r="AG11">
        <v>0</v>
      </c>
      <c r="AH11">
        <v>392.75</v>
      </c>
      <c r="AI11">
        <v>0</v>
      </c>
      <c r="AJ11" t="s">
        <v>4659</v>
      </c>
      <c r="AK11" t="s">
        <v>4658</v>
      </c>
      <c r="AL11" t="s">
        <v>4660</v>
      </c>
    </row>
    <row r="12" spans="1:38" x14ac:dyDescent="0.2">
      <c r="A12">
        <v>1235403</v>
      </c>
      <c r="B12">
        <v>7975239</v>
      </c>
      <c r="C12">
        <v>187508</v>
      </c>
      <c r="E12" t="b">
        <v>0</v>
      </c>
      <c r="F12">
        <v>70613</v>
      </c>
      <c r="G12" t="s">
        <v>4734</v>
      </c>
      <c r="H12">
        <v>3</v>
      </c>
      <c r="I12" t="s">
        <v>4735</v>
      </c>
      <c r="J12" t="s">
        <v>4613</v>
      </c>
      <c r="K12" t="s">
        <v>4614</v>
      </c>
      <c r="L12" t="s">
        <v>4614</v>
      </c>
      <c r="M12" t="s">
        <v>4736</v>
      </c>
      <c r="N12" t="s">
        <v>4490</v>
      </c>
      <c r="O12" t="s">
        <v>215</v>
      </c>
      <c r="P12" t="s">
        <v>135</v>
      </c>
      <c r="S12" t="s">
        <v>4737</v>
      </c>
      <c r="U12" t="s">
        <v>4738</v>
      </c>
      <c r="V12" t="s">
        <v>4739</v>
      </c>
      <c r="W12" t="s">
        <v>4517</v>
      </c>
      <c r="X12" t="s">
        <v>4618</v>
      </c>
      <c r="Y12" t="s">
        <v>4656</v>
      </c>
      <c r="Z12" t="s">
        <v>4657</v>
      </c>
      <c r="AA12" t="s">
        <v>34</v>
      </c>
      <c r="AB12" t="s">
        <v>4658</v>
      </c>
      <c r="AD12" t="s">
        <v>214</v>
      </c>
      <c r="AE12" t="s">
        <v>4491</v>
      </c>
      <c r="AF12">
        <v>0</v>
      </c>
      <c r="AG12">
        <v>0</v>
      </c>
      <c r="AH12">
        <v>418.5</v>
      </c>
      <c r="AI12">
        <v>0</v>
      </c>
      <c r="AJ12" t="s">
        <v>4659</v>
      </c>
      <c r="AK12" t="s">
        <v>4658</v>
      </c>
      <c r="AL12" t="s">
        <v>4660</v>
      </c>
    </row>
    <row r="13" spans="1:38" x14ac:dyDescent="0.2">
      <c r="A13">
        <v>1235569</v>
      </c>
      <c r="B13">
        <v>7975237</v>
      </c>
      <c r="C13">
        <v>187508</v>
      </c>
      <c r="E13" t="b">
        <v>0</v>
      </c>
      <c r="F13">
        <v>70613</v>
      </c>
      <c r="G13" t="s">
        <v>4734</v>
      </c>
      <c r="H13">
        <v>1</v>
      </c>
      <c r="I13" t="s">
        <v>4740</v>
      </c>
      <c r="J13" t="s">
        <v>4613</v>
      </c>
      <c r="K13" t="s">
        <v>4614</v>
      </c>
      <c r="L13" t="s">
        <v>4614</v>
      </c>
      <c r="M13" t="s">
        <v>4741</v>
      </c>
      <c r="N13" t="s">
        <v>4530</v>
      </c>
      <c r="O13" t="s">
        <v>217</v>
      </c>
      <c r="P13" t="s">
        <v>4531</v>
      </c>
      <c r="S13" t="s">
        <v>4737</v>
      </c>
      <c r="U13" t="s">
        <v>4738</v>
      </c>
      <c r="V13" t="s">
        <v>4742</v>
      </c>
      <c r="W13" t="s">
        <v>4517</v>
      </c>
      <c r="X13" t="s">
        <v>4618</v>
      </c>
      <c r="Y13" t="s">
        <v>4656</v>
      </c>
      <c r="Z13" t="s">
        <v>4657</v>
      </c>
      <c r="AA13" t="s">
        <v>34</v>
      </c>
      <c r="AB13" t="s">
        <v>4658</v>
      </c>
      <c r="AD13" t="s">
        <v>216</v>
      </c>
      <c r="AE13" t="s">
        <v>4491</v>
      </c>
      <c r="AF13">
        <v>0</v>
      </c>
      <c r="AG13">
        <v>0</v>
      </c>
      <c r="AH13">
        <v>418.5</v>
      </c>
      <c r="AI13">
        <v>0</v>
      </c>
      <c r="AJ13" t="s">
        <v>4659</v>
      </c>
      <c r="AK13" t="s">
        <v>4658</v>
      </c>
      <c r="AL13" t="s">
        <v>4660</v>
      </c>
    </row>
    <row r="14" spans="1:38" x14ac:dyDescent="0.2">
      <c r="A14">
        <v>1235743</v>
      </c>
      <c r="B14">
        <v>7975241</v>
      </c>
      <c r="C14">
        <v>187508</v>
      </c>
      <c r="E14" t="b">
        <v>0</v>
      </c>
      <c r="F14">
        <v>70613</v>
      </c>
      <c r="G14" t="s">
        <v>4734</v>
      </c>
      <c r="H14">
        <v>5</v>
      </c>
      <c r="I14" t="s">
        <v>4743</v>
      </c>
      <c r="J14" t="s">
        <v>4613</v>
      </c>
      <c r="K14" t="s">
        <v>4614</v>
      </c>
      <c r="L14" t="s">
        <v>4614</v>
      </c>
      <c r="M14" t="s">
        <v>4744</v>
      </c>
      <c r="N14" t="s">
        <v>4557</v>
      </c>
      <c r="O14" t="s">
        <v>4559</v>
      </c>
      <c r="P14" t="s">
        <v>4558</v>
      </c>
      <c r="S14" t="s">
        <v>4737</v>
      </c>
      <c r="U14" t="s">
        <v>4738</v>
      </c>
      <c r="V14" t="s">
        <v>4745</v>
      </c>
      <c r="W14" t="s">
        <v>4517</v>
      </c>
      <c r="X14" t="s">
        <v>4618</v>
      </c>
      <c r="Y14" t="s">
        <v>4656</v>
      </c>
      <c r="Z14" t="s">
        <v>4657</v>
      </c>
      <c r="AA14" t="s">
        <v>34</v>
      </c>
      <c r="AB14" t="s">
        <v>4658</v>
      </c>
      <c r="AD14" t="s">
        <v>4560</v>
      </c>
      <c r="AE14" t="s">
        <v>4491</v>
      </c>
      <c r="AF14">
        <v>0</v>
      </c>
      <c r="AG14">
        <v>0</v>
      </c>
      <c r="AH14">
        <v>418.5</v>
      </c>
      <c r="AI14">
        <v>0</v>
      </c>
      <c r="AJ14" t="s">
        <v>4659</v>
      </c>
      <c r="AK14" t="s">
        <v>4658</v>
      </c>
      <c r="AL14" t="s">
        <v>4660</v>
      </c>
    </row>
    <row r="15" spans="1:38" x14ac:dyDescent="0.2">
      <c r="A15">
        <v>2550412</v>
      </c>
      <c r="B15">
        <v>7975245</v>
      </c>
      <c r="C15">
        <v>187508</v>
      </c>
      <c r="E15" t="b">
        <v>0</v>
      </c>
      <c r="F15">
        <v>70613</v>
      </c>
      <c r="G15" t="s">
        <v>4734</v>
      </c>
      <c r="H15">
        <v>9</v>
      </c>
      <c r="I15" t="s">
        <v>4746</v>
      </c>
      <c r="J15" t="s">
        <v>4613</v>
      </c>
      <c r="K15" t="s">
        <v>4614</v>
      </c>
      <c r="L15" t="s">
        <v>4614</v>
      </c>
      <c r="M15" t="s">
        <v>4747</v>
      </c>
      <c r="N15" t="s">
        <v>4574</v>
      </c>
      <c r="O15" t="s">
        <v>4575</v>
      </c>
      <c r="P15" t="s">
        <v>4179</v>
      </c>
      <c r="S15" t="s">
        <v>4737</v>
      </c>
      <c r="U15" t="s">
        <v>4738</v>
      </c>
      <c r="V15" t="s">
        <v>4748</v>
      </c>
      <c r="W15" t="s">
        <v>4517</v>
      </c>
      <c r="X15" t="s">
        <v>4618</v>
      </c>
      <c r="Y15" t="s">
        <v>4656</v>
      </c>
      <c r="Z15" t="s">
        <v>4657</v>
      </c>
      <c r="AA15" t="s">
        <v>34</v>
      </c>
      <c r="AB15" t="s">
        <v>4658</v>
      </c>
      <c r="AD15" t="s">
        <v>4576</v>
      </c>
      <c r="AE15" t="s">
        <v>4577</v>
      </c>
      <c r="AF15">
        <v>0</v>
      </c>
      <c r="AG15">
        <v>0</v>
      </c>
      <c r="AH15">
        <v>418.5</v>
      </c>
      <c r="AI15">
        <v>0</v>
      </c>
      <c r="AJ15" t="s">
        <v>4659</v>
      </c>
      <c r="AK15" t="s">
        <v>4658</v>
      </c>
      <c r="AL15" t="s">
        <v>4660</v>
      </c>
    </row>
    <row r="16" spans="1:38" x14ac:dyDescent="0.2">
      <c r="A16">
        <v>1446161</v>
      </c>
      <c r="B16">
        <v>7975243</v>
      </c>
      <c r="C16">
        <v>187508</v>
      </c>
      <c r="E16" t="b">
        <v>0</v>
      </c>
      <c r="F16">
        <v>70613</v>
      </c>
      <c r="G16" t="s">
        <v>4734</v>
      </c>
      <c r="H16">
        <v>7</v>
      </c>
      <c r="I16" t="s">
        <v>4749</v>
      </c>
      <c r="J16" t="s">
        <v>4613</v>
      </c>
      <c r="K16" t="s">
        <v>4614</v>
      </c>
      <c r="L16" t="s">
        <v>4614</v>
      </c>
      <c r="M16" t="s">
        <v>4750</v>
      </c>
      <c r="N16" t="s">
        <v>4566</v>
      </c>
      <c r="O16" t="s">
        <v>4568</v>
      </c>
      <c r="P16" t="s">
        <v>4567</v>
      </c>
      <c r="S16" t="s">
        <v>4737</v>
      </c>
      <c r="U16" t="s">
        <v>4738</v>
      </c>
      <c r="V16" t="s">
        <v>4751</v>
      </c>
      <c r="W16" t="s">
        <v>4517</v>
      </c>
      <c r="X16" t="s">
        <v>4618</v>
      </c>
      <c r="Y16" t="s">
        <v>4656</v>
      </c>
      <c r="Z16" t="s">
        <v>4657</v>
      </c>
      <c r="AA16" t="s">
        <v>34</v>
      </c>
      <c r="AB16" t="s">
        <v>4658</v>
      </c>
      <c r="AD16" t="s">
        <v>4569</v>
      </c>
      <c r="AE16" t="s">
        <v>4491</v>
      </c>
      <c r="AF16">
        <v>0</v>
      </c>
      <c r="AG16">
        <v>0</v>
      </c>
      <c r="AH16">
        <v>418.5</v>
      </c>
      <c r="AI16">
        <v>0</v>
      </c>
      <c r="AJ16" t="s">
        <v>4659</v>
      </c>
      <c r="AK16" t="s">
        <v>4658</v>
      </c>
      <c r="AL16" t="s">
        <v>4660</v>
      </c>
    </row>
    <row r="17" spans="1:38" x14ac:dyDescent="0.2">
      <c r="A17">
        <v>2701517</v>
      </c>
      <c r="B17">
        <v>7975246</v>
      </c>
      <c r="C17">
        <v>187508</v>
      </c>
      <c r="E17" t="b">
        <v>0</v>
      </c>
      <c r="F17">
        <v>70613</v>
      </c>
      <c r="G17" t="s">
        <v>4734</v>
      </c>
      <c r="H17">
        <v>10</v>
      </c>
      <c r="I17" t="s">
        <v>4752</v>
      </c>
      <c r="J17" t="s">
        <v>4613</v>
      </c>
      <c r="K17" t="s">
        <v>4614</v>
      </c>
      <c r="L17" t="s">
        <v>4614</v>
      </c>
      <c r="M17" t="s">
        <v>4753</v>
      </c>
      <c r="N17" t="s">
        <v>4579</v>
      </c>
      <c r="O17" t="s">
        <v>4581</v>
      </c>
      <c r="P17" t="s">
        <v>4580</v>
      </c>
      <c r="S17" t="s">
        <v>4737</v>
      </c>
      <c r="U17" t="s">
        <v>4738</v>
      </c>
      <c r="V17" t="s">
        <v>4754</v>
      </c>
      <c r="W17" t="s">
        <v>4517</v>
      </c>
      <c r="X17" t="s">
        <v>4618</v>
      </c>
      <c r="Y17" t="s">
        <v>4656</v>
      </c>
      <c r="Z17" t="s">
        <v>4657</v>
      </c>
      <c r="AA17" t="s">
        <v>34</v>
      </c>
      <c r="AB17" t="s">
        <v>4658</v>
      </c>
      <c r="AD17" t="s">
        <v>218</v>
      </c>
      <c r="AE17" t="s">
        <v>4491</v>
      </c>
      <c r="AF17">
        <v>0</v>
      </c>
      <c r="AG17">
        <v>0</v>
      </c>
      <c r="AH17">
        <v>418.5</v>
      </c>
      <c r="AI17">
        <v>0</v>
      </c>
      <c r="AJ17" t="s">
        <v>4659</v>
      </c>
      <c r="AK17" t="s">
        <v>4658</v>
      </c>
      <c r="AL17" t="s">
        <v>4660</v>
      </c>
    </row>
    <row r="18" spans="1:38" x14ac:dyDescent="0.2">
      <c r="A18">
        <v>2336905</v>
      </c>
      <c r="B18">
        <v>7975244</v>
      </c>
      <c r="C18">
        <v>187508</v>
      </c>
      <c r="E18" t="b">
        <v>0</v>
      </c>
      <c r="F18">
        <v>70613</v>
      </c>
      <c r="G18" t="s">
        <v>4734</v>
      </c>
      <c r="H18">
        <v>8</v>
      </c>
      <c r="I18" t="s">
        <v>4755</v>
      </c>
      <c r="J18" t="s">
        <v>4613</v>
      </c>
      <c r="K18" t="s">
        <v>4614</v>
      </c>
      <c r="L18" t="s">
        <v>4614</v>
      </c>
      <c r="M18" t="s">
        <v>4756</v>
      </c>
      <c r="N18" t="s">
        <v>4570</v>
      </c>
      <c r="O18" t="s">
        <v>4572</v>
      </c>
      <c r="P18" t="s">
        <v>4571</v>
      </c>
      <c r="S18" t="s">
        <v>4737</v>
      </c>
      <c r="U18" t="s">
        <v>4738</v>
      </c>
      <c r="V18" t="s">
        <v>4757</v>
      </c>
      <c r="W18" t="s">
        <v>4517</v>
      </c>
      <c r="X18" t="s">
        <v>4618</v>
      </c>
      <c r="Y18" t="s">
        <v>4656</v>
      </c>
      <c r="Z18" t="s">
        <v>4657</v>
      </c>
      <c r="AA18" t="s">
        <v>34</v>
      </c>
      <c r="AB18" t="s">
        <v>4658</v>
      </c>
      <c r="AD18" t="s">
        <v>4573</v>
      </c>
      <c r="AE18" t="s">
        <v>4491</v>
      </c>
      <c r="AF18">
        <v>0</v>
      </c>
      <c r="AG18">
        <v>0</v>
      </c>
      <c r="AH18">
        <v>418.5</v>
      </c>
      <c r="AI18">
        <v>0</v>
      </c>
      <c r="AJ18" t="s">
        <v>4659</v>
      </c>
      <c r="AK18" t="s">
        <v>4658</v>
      </c>
      <c r="AL18" t="s">
        <v>4660</v>
      </c>
    </row>
    <row r="19" spans="1:38" x14ac:dyDescent="0.2">
      <c r="A19">
        <v>1235639</v>
      </c>
      <c r="B19">
        <v>7975242</v>
      </c>
      <c r="C19">
        <v>187508</v>
      </c>
      <c r="E19" t="b">
        <v>0</v>
      </c>
      <c r="F19">
        <v>70613</v>
      </c>
      <c r="G19" t="s">
        <v>4734</v>
      </c>
      <c r="H19">
        <v>6</v>
      </c>
      <c r="I19" t="s">
        <v>4758</v>
      </c>
      <c r="J19" t="s">
        <v>4613</v>
      </c>
      <c r="K19" t="s">
        <v>4614</v>
      </c>
      <c r="L19" t="s">
        <v>4614</v>
      </c>
      <c r="M19" t="s">
        <v>4759</v>
      </c>
      <c r="N19" t="s">
        <v>4542</v>
      </c>
      <c r="O19" t="s">
        <v>213</v>
      </c>
      <c r="P19" t="s">
        <v>4543</v>
      </c>
      <c r="S19" t="s">
        <v>4737</v>
      </c>
      <c r="U19" t="s">
        <v>4738</v>
      </c>
      <c r="V19" t="s">
        <v>4760</v>
      </c>
      <c r="W19" t="s">
        <v>4517</v>
      </c>
      <c r="X19" t="s">
        <v>4618</v>
      </c>
      <c r="Y19" t="s">
        <v>4656</v>
      </c>
      <c r="Z19" t="s">
        <v>4657</v>
      </c>
      <c r="AA19" t="s">
        <v>34</v>
      </c>
      <c r="AB19" t="s">
        <v>4658</v>
      </c>
      <c r="AD19" t="s">
        <v>212</v>
      </c>
      <c r="AE19" t="s">
        <v>4491</v>
      </c>
      <c r="AF19">
        <v>0</v>
      </c>
      <c r="AG19">
        <v>0</v>
      </c>
      <c r="AH19">
        <v>418.5</v>
      </c>
      <c r="AI19">
        <v>0</v>
      </c>
      <c r="AJ19" t="s">
        <v>4659</v>
      </c>
      <c r="AK19" t="s">
        <v>4658</v>
      </c>
      <c r="AL19" t="s">
        <v>4660</v>
      </c>
    </row>
    <row r="20" spans="1:38" x14ac:dyDescent="0.2">
      <c r="A20">
        <v>1235626</v>
      </c>
      <c r="B20">
        <v>7975238</v>
      </c>
      <c r="C20">
        <v>187508</v>
      </c>
      <c r="E20" t="b">
        <v>0</v>
      </c>
      <c r="F20">
        <v>70613</v>
      </c>
      <c r="G20" t="s">
        <v>4734</v>
      </c>
      <c r="H20">
        <v>2</v>
      </c>
      <c r="I20" t="s">
        <v>4761</v>
      </c>
      <c r="J20" t="s">
        <v>4613</v>
      </c>
      <c r="K20" t="s">
        <v>4614</v>
      </c>
      <c r="L20" t="s">
        <v>4614</v>
      </c>
      <c r="M20" t="s">
        <v>4762</v>
      </c>
      <c r="N20" t="s">
        <v>4538</v>
      </c>
      <c r="O20" t="s">
        <v>221</v>
      </c>
      <c r="P20" t="s">
        <v>4539</v>
      </c>
      <c r="S20" t="s">
        <v>4737</v>
      </c>
      <c r="U20" t="s">
        <v>4738</v>
      </c>
      <c r="V20" t="s">
        <v>4763</v>
      </c>
      <c r="W20" t="s">
        <v>4517</v>
      </c>
      <c r="X20" t="s">
        <v>4618</v>
      </c>
      <c r="Y20" t="s">
        <v>4656</v>
      </c>
      <c r="Z20" t="s">
        <v>4657</v>
      </c>
      <c r="AA20" t="s">
        <v>34</v>
      </c>
      <c r="AB20" t="s">
        <v>4658</v>
      </c>
      <c r="AD20" t="s">
        <v>220</v>
      </c>
      <c r="AE20" t="s">
        <v>4491</v>
      </c>
      <c r="AF20">
        <v>0</v>
      </c>
      <c r="AG20">
        <v>0</v>
      </c>
      <c r="AH20">
        <v>418.5</v>
      </c>
      <c r="AI20">
        <v>0</v>
      </c>
      <c r="AJ20" t="s">
        <v>4659</v>
      </c>
      <c r="AK20" t="s">
        <v>4658</v>
      </c>
      <c r="AL20" t="s">
        <v>4660</v>
      </c>
    </row>
    <row r="21" spans="1:38" x14ac:dyDescent="0.2">
      <c r="A21">
        <v>1235522</v>
      </c>
      <c r="B21">
        <v>7975240</v>
      </c>
      <c r="C21">
        <v>187508</v>
      </c>
      <c r="E21" t="b">
        <v>0</v>
      </c>
      <c r="F21">
        <v>70613</v>
      </c>
      <c r="G21" t="s">
        <v>4734</v>
      </c>
      <c r="H21">
        <v>4</v>
      </c>
      <c r="I21" t="s">
        <v>4764</v>
      </c>
      <c r="J21" t="s">
        <v>4613</v>
      </c>
      <c r="K21" t="s">
        <v>4614</v>
      </c>
      <c r="L21" t="s">
        <v>4614</v>
      </c>
      <c r="M21" t="s">
        <v>4765</v>
      </c>
      <c r="N21" t="s">
        <v>4516</v>
      </c>
      <c r="O21" t="s">
        <v>219</v>
      </c>
      <c r="P21" t="s">
        <v>4517</v>
      </c>
      <c r="S21" t="s">
        <v>4737</v>
      </c>
      <c r="U21" t="s">
        <v>4738</v>
      </c>
      <c r="V21" t="s">
        <v>4766</v>
      </c>
      <c r="W21" t="s">
        <v>4517</v>
      </c>
      <c r="X21" t="s">
        <v>4618</v>
      </c>
      <c r="Y21" t="s">
        <v>4656</v>
      </c>
      <c r="Z21" t="s">
        <v>4657</v>
      </c>
      <c r="AA21" t="s">
        <v>34</v>
      </c>
      <c r="AB21" t="s">
        <v>4658</v>
      </c>
      <c r="AD21" t="s">
        <v>218</v>
      </c>
      <c r="AE21" t="s">
        <v>4491</v>
      </c>
      <c r="AF21">
        <v>0</v>
      </c>
      <c r="AG21">
        <v>0</v>
      </c>
      <c r="AH21">
        <v>418.5</v>
      </c>
      <c r="AI21">
        <v>0</v>
      </c>
      <c r="AJ21" t="s">
        <v>4659</v>
      </c>
      <c r="AK21" t="s">
        <v>4658</v>
      </c>
      <c r="AL21" t="s">
        <v>4660</v>
      </c>
    </row>
    <row r="23" spans="1:38" x14ac:dyDescent="0.2">
      <c r="A23">
        <v>1235770</v>
      </c>
      <c r="B23">
        <v>8030104</v>
      </c>
      <c r="C23">
        <v>187514</v>
      </c>
      <c r="E23" t="b">
        <v>0</v>
      </c>
      <c r="F23">
        <v>71864</v>
      </c>
      <c r="G23" t="s">
        <v>4767</v>
      </c>
      <c r="H23">
        <v>1</v>
      </c>
      <c r="I23" t="s">
        <v>4768</v>
      </c>
      <c r="J23" t="s">
        <v>4613</v>
      </c>
      <c r="K23" t="s">
        <v>4614</v>
      </c>
      <c r="L23" t="s">
        <v>4614</v>
      </c>
      <c r="M23" t="s">
        <v>4769</v>
      </c>
      <c r="N23" t="s">
        <v>4561</v>
      </c>
      <c r="O23" t="s">
        <v>4562</v>
      </c>
      <c r="U23" t="s">
        <v>4770</v>
      </c>
      <c r="V23" t="s">
        <v>4771</v>
      </c>
      <c r="W23" t="s">
        <v>4567</v>
      </c>
      <c r="X23" t="s">
        <v>4618</v>
      </c>
      <c r="Y23" t="s">
        <v>4487</v>
      </c>
      <c r="Z23" t="s">
        <v>4657</v>
      </c>
      <c r="AB23" t="s">
        <v>4772</v>
      </c>
      <c r="AD23" t="s">
        <v>582</v>
      </c>
      <c r="AE23" t="s">
        <v>4563</v>
      </c>
      <c r="AF23">
        <v>0</v>
      </c>
      <c r="AG23">
        <v>0</v>
      </c>
      <c r="AH23">
        <v>0</v>
      </c>
      <c r="AI23">
        <v>0</v>
      </c>
      <c r="AJ23" t="s">
        <v>4659</v>
      </c>
      <c r="AK23" t="s">
        <v>4772</v>
      </c>
      <c r="AL23" t="s">
        <v>4660</v>
      </c>
    </row>
    <row r="24" spans="1:38" x14ac:dyDescent="0.2">
      <c r="A24">
        <v>1235767</v>
      </c>
    </row>
    <row r="25" spans="1:38" x14ac:dyDescent="0.2">
      <c r="A25">
        <v>1235772</v>
      </c>
    </row>
    <row r="26" spans="1:38" x14ac:dyDescent="0.2">
      <c r="A26">
        <v>1235660</v>
      </c>
      <c r="B26">
        <v>7612900</v>
      </c>
      <c r="C26">
        <v>187509</v>
      </c>
      <c r="E26" t="b">
        <v>0</v>
      </c>
      <c r="F26">
        <v>64197</v>
      </c>
      <c r="G26" t="s">
        <v>4773</v>
      </c>
      <c r="H26">
        <v>1</v>
      </c>
      <c r="I26" t="s">
        <v>4774</v>
      </c>
      <c r="J26" t="s">
        <v>4613</v>
      </c>
      <c r="K26" t="s">
        <v>4614</v>
      </c>
      <c r="L26" t="s">
        <v>4614</v>
      </c>
      <c r="M26" t="s">
        <v>4775</v>
      </c>
      <c r="N26" t="s">
        <v>237</v>
      </c>
      <c r="O26" t="s">
        <v>4548</v>
      </c>
      <c r="U26" t="s">
        <v>4776</v>
      </c>
      <c r="V26" t="s">
        <v>4777</v>
      </c>
      <c r="W26" t="s">
        <v>135</v>
      </c>
      <c r="X26" t="s">
        <v>4618</v>
      </c>
      <c r="Y26" t="s">
        <v>145</v>
      </c>
      <c r="AB26" t="s">
        <v>4772</v>
      </c>
      <c r="AD26" t="s">
        <v>584</v>
      </c>
      <c r="AE26" t="s">
        <v>4507</v>
      </c>
      <c r="AF26">
        <v>0</v>
      </c>
      <c r="AG26">
        <v>0</v>
      </c>
      <c r="AI26">
        <v>0</v>
      </c>
      <c r="AJ26" t="s">
        <v>4659</v>
      </c>
      <c r="AK26" t="s">
        <v>4772</v>
      </c>
      <c r="AL26" t="s">
        <v>4696</v>
      </c>
    </row>
    <row r="27" spans="1:38" x14ac:dyDescent="0.2">
      <c r="A27">
        <v>1235502</v>
      </c>
      <c r="B27">
        <v>6008756</v>
      </c>
      <c r="C27">
        <v>187514</v>
      </c>
      <c r="E27" t="b">
        <v>0</v>
      </c>
      <c r="F27">
        <v>41783</v>
      </c>
      <c r="G27" t="s">
        <v>4778</v>
      </c>
      <c r="H27">
        <v>1</v>
      </c>
      <c r="I27" t="s">
        <v>4779</v>
      </c>
      <c r="J27" t="s">
        <v>4613</v>
      </c>
      <c r="K27" t="s">
        <v>4614</v>
      </c>
      <c r="L27" t="s">
        <v>4614</v>
      </c>
      <c r="M27" t="s">
        <v>4780</v>
      </c>
      <c r="N27" t="s">
        <v>238</v>
      </c>
      <c r="O27" t="s">
        <v>4506</v>
      </c>
      <c r="U27" t="s">
        <v>4781</v>
      </c>
      <c r="V27" t="s">
        <v>4782</v>
      </c>
      <c r="W27" t="s">
        <v>199</v>
      </c>
      <c r="X27" t="s">
        <v>4618</v>
      </c>
      <c r="Y27" t="s">
        <v>145</v>
      </c>
      <c r="Z27" t="s">
        <v>4657</v>
      </c>
      <c r="AB27" t="s">
        <v>4772</v>
      </c>
      <c r="AD27" t="s">
        <v>585</v>
      </c>
      <c r="AE27" t="s">
        <v>4507</v>
      </c>
      <c r="AF27">
        <v>0</v>
      </c>
      <c r="AG27">
        <v>0</v>
      </c>
      <c r="AH27">
        <v>27.5</v>
      </c>
      <c r="AI27">
        <v>0</v>
      </c>
      <c r="AJ27" t="s">
        <v>4659</v>
      </c>
      <c r="AK27" t="s">
        <v>4772</v>
      </c>
      <c r="AL27" t="s">
        <v>4660</v>
      </c>
    </row>
    <row r="28" spans="1:38" x14ac:dyDescent="0.2">
      <c r="A28">
        <v>1235505</v>
      </c>
      <c r="B28">
        <v>7971837</v>
      </c>
      <c r="C28">
        <v>187514</v>
      </c>
      <c r="E28" t="b">
        <v>0</v>
      </c>
      <c r="F28">
        <v>70496</v>
      </c>
      <c r="G28" t="s">
        <v>4783</v>
      </c>
      <c r="H28">
        <v>1</v>
      </c>
      <c r="I28" t="s">
        <v>4784</v>
      </c>
      <c r="J28" t="s">
        <v>4613</v>
      </c>
      <c r="K28" t="s">
        <v>4614</v>
      </c>
      <c r="L28" t="s">
        <v>4614</v>
      </c>
      <c r="M28" t="s">
        <v>4785</v>
      </c>
      <c r="N28" t="s">
        <v>239</v>
      </c>
      <c r="O28" t="s">
        <v>4510</v>
      </c>
      <c r="S28" t="s">
        <v>4786</v>
      </c>
      <c r="U28" t="s">
        <v>4787</v>
      </c>
      <c r="V28" t="s">
        <v>4788</v>
      </c>
      <c r="W28" t="s">
        <v>4580</v>
      </c>
      <c r="X28" t="s">
        <v>4618</v>
      </c>
      <c r="Y28" t="s">
        <v>4487</v>
      </c>
      <c r="Z28" t="s">
        <v>4657</v>
      </c>
      <c r="AB28" t="s">
        <v>4772</v>
      </c>
      <c r="AD28" t="s">
        <v>586</v>
      </c>
      <c r="AE28" t="s">
        <v>4507</v>
      </c>
      <c r="AF28">
        <v>0</v>
      </c>
      <c r="AG28">
        <v>0</v>
      </c>
      <c r="AH28">
        <v>75</v>
      </c>
      <c r="AI28">
        <v>0</v>
      </c>
      <c r="AJ28" t="s">
        <v>4659</v>
      </c>
      <c r="AK28" t="s">
        <v>4772</v>
      </c>
      <c r="AL28" t="s">
        <v>4660</v>
      </c>
    </row>
    <row r="29" spans="1:38" x14ac:dyDescent="0.2">
      <c r="A29">
        <v>1235646</v>
      </c>
      <c r="B29">
        <v>6249107</v>
      </c>
      <c r="C29">
        <v>187514</v>
      </c>
      <c r="E29" t="b">
        <v>0</v>
      </c>
      <c r="F29">
        <v>46530</v>
      </c>
      <c r="G29" t="s">
        <v>4789</v>
      </c>
      <c r="H29">
        <v>1</v>
      </c>
      <c r="I29" t="s">
        <v>4790</v>
      </c>
      <c r="J29" t="s">
        <v>4613</v>
      </c>
      <c r="K29" t="s">
        <v>4614</v>
      </c>
      <c r="L29" t="s">
        <v>4614</v>
      </c>
      <c r="M29" t="s">
        <v>4791</v>
      </c>
      <c r="N29" t="s">
        <v>240</v>
      </c>
      <c r="O29" t="s">
        <v>4544</v>
      </c>
      <c r="U29" t="s">
        <v>4792</v>
      </c>
      <c r="V29" t="s">
        <v>4793</v>
      </c>
      <c r="W29" t="s">
        <v>199</v>
      </c>
      <c r="X29" t="s">
        <v>4618</v>
      </c>
      <c r="Y29" t="s">
        <v>4656</v>
      </c>
      <c r="AB29" t="s">
        <v>4772</v>
      </c>
      <c r="AD29" t="s">
        <v>587</v>
      </c>
      <c r="AE29" t="s">
        <v>4545</v>
      </c>
      <c r="AF29">
        <v>0</v>
      </c>
      <c r="AG29">
        <v>0</v>
      </c>
      <c r="AI29">
        <v>0</v>
      </c>
      <c r="AJ29" t="s">
        <v>4659</v>
      </c>
      <c r="AK29" t="s">
        <v>4772</v>
      </c>
      <c r="AL29" t="s">
        <v>4660</v>
      </c>
    </row>
    <row r="30" spans="1:38" x14ac:dyDescent="0.2">
      <c r="A30">
        <v>1235659</v>
      </c>
      <c r="B30">
        <v>8065644</v>
      </c>
      <c r="C30">
        <v>187514</v>
      </c>
      <c r="E30" t="b">
        <v>0</v>
      </c>
      <c r="F30">
        <v>72594</v>
      </c>
      <c r="G30" t="s">
        <v>4794</v>
      </c>
      <c r="H30">
        <v>1</v>
      </c>
      <c r="I30" t="s">
        <v>4795</v>
      </c>
      <c r="J30" t="s">
        <v>4613</v>
      </c>
      <c r="K30" t="s">
        <v>4614</v>
      </c>
      <c r="L30" t="s">
        <v>4614</v>
      </c>
      <c r="M30" t="s">
        <v>4796</v>
      </c>
      <c r="N30" t="s">
        <v>241</v>
      </c>
      <c r="O30" t="s">
        <v>4546</v>
      </c>
      <c r="U30" t="s">
        <v>4797</v>
      </c>
      <c r="V30" t="s">
        <v>4798</v>
      </c>
      <c r="W30" t="s">
        <v>4531</v>
      </c>
      <c r="X30" t="s">
        <v>4618</v>
      </c>
      <c r="Y30" t="s">
        <v>4487</v>
      </c>
      <c r="Z30" t="s">
        <v>4657</v>
      </c>
      <c r="AB30" t="s">
        <v>4772</v>
      </c>
      <c r="AD30" t="s">
        <v>588</v>
      </c>
      <c r="AE30" t="s">
        <v>4547</v>
      </c>
      <c r="AF30">
        <v>0</v>
      </c>
      <c r="AG30">
        <v>0</v>
      </c>
      <c r="AH30">
        <v>0</v>
      </c>
      <c r="AI30">
        <v>0</v>
      </c>
      <c r="AJ30" t="s">
        <v>4659</v>
      </c>
      <c r="AK30" t="s">
        <v>4772</v>
      </c>
      <c r="AL30" t="s">
        <v>4660</v>
      </c>
    </row>
    <row r="31" spans="1:38" x14ac:dyDescent="0.2">
      <c r="A31">
        <v>1235504</v>
      </c>
      <c r="B31">
        <v>6820976</v>
      </c>
      <c r="C31">
        <v>187514</v>
      </c>
      <c r="E31" t="b">
        <v>0</v>
      </c>
      <c r="F31">
        <v>50724</v>
      </c>
      <c r="G31" t="s">
        <v>4799</v>
      </c>
      <c r="H31">
        <v>1</v>
      </c>
      <c r="I31" t="s">
        <v>4800</v>
      </c>
      <c r="J31" t="s">
        <v>4613</v>
      </c>
      <c r="K31" t="s">
        <v>4614</v>
      </c>
      <c r="L31" t="s">
        <v>4614</v>
      </c>
      <c r="M31" t="s">
        <v>4801</v>
      </c>
      <c r="N31" t="s">
        <v>242</v>
      </c>
      <c r="O31" t="s">
        <v>4509</v>
      </c>
      <c r="U31" t="s">
        <v>4802</v>
      </c>
      <c r="V31" t="s">
        <v>4803</v>
      </c>
      <c r="W31" t="s">
        <v>4558</v>
      </c>
      <c r="X31" t="s">
        <v>4618</v>
      </c>
      <c r="Y31" t="s">
        <v>4656</v>
      </c>
      <c r="Z31" t="s">
        <v>4657</v>
      </c>
      <c r="AB31" t="s">
        <v>4772</v>
      </c>
      <c r="AD31" t="s">
        <v>589</v>
      </c>
      <c r="AE31" t="s">
        <v>4507</v>
      </c>
      <c r="AF31">
        <v>0</v>
      </c>
      <c r="AG31">
        <v>0</v>
      </c>
      <c r="AH31">
        <v>27.5</v>
      </c>
      <c r="AI31">
        <v>0</v>
      </c>
      <c r="AJ31" t="s">
        <v>4659</v>
      </c>
      <c r="AK31" t="s">
        <v>4772</v>
      </c>
      <c r="AL31" t="s">
        <v>4660</v>
      </c>
    </row>
    <row r="32" spans="1:38" x14ac:dyDescent="0.2">
      <c r="A32">
        <v>1235506</v>
      </c>
      <c r="B32">
        <v>7162110</v>
      </c>
      <c r="C32">
        <v>187514</v>
      </c>
      <c r="E32" t="b">
        <v>0</v>
      </c>
      <c r="F32">
        <v>57050</v>
      </c>
      <c r="G32" t="s">
        <v>4804</v>
      </c>
      <c r="H32">
        <v>1</v>
      </c>
      <c r="I32" t="s">
        <v>4805</v>
      </c>
      <c r="J32" t="s">
        <v>4613</v>
      </c>
      <c r="K32" t="s">
        <v>4614</v>
      </c>
      <c r="L32" t="s">
        <v>4614</v>
      </c>
      <c r="M32" t="s">
        <v>4806</v>
      </c>
      <c r="N32" t="s">
        <v>243</v>
      </c>
      <c r="O32" t="s">
        <v>4511</v>
      </c>
      <c r="U32" t="s">
        <v>4807</v>
      </c>
      <c r="V32" t="s">
        <v>4808</v>
      </c>
      <c r="W32" t="s">
        <v>135</v>
      </c>
      <c r="X32" t="s">
        <v>4618</v>
      </c>
      <c r="Y32" t="s">
        <v>4656</v>
      </c>
      <c r="AB32" t="s">
        <v>4772</v>
      </c>
      <c r="AD32" t="s">
        <v>590</v>
      </c>
      <c r="AE32" t="s">
        <v>4507</v>
      </c>
      <c r="AF32">
        <v>0</v>
      </c>
      <c r="AG32">
        <v>0</v>
      </c>
      <c r="AI32">
        <v>0</v>
      </c>
      <c r="AJ32" t="s">
        <v>4659</v>
      </c>
      <c r="AK32" t="s">
        <v>4772</v>
      </c>
      <c r="AL32" t="s">
        <v>4660</v>
      </c>
    </row>
    <row r="33" spans="1:38" x14ac:dyDescent="0.2">
      <c r="A33">
        <v>1235510</v>
      </c>
      <c r="B33">
        <v>6129692</v>
      </c>
      <c r="C33">
        <v>187514</v>
      </c>
      <c r="E33" t="b">
        <v>0</v>
      </c>
      <c r="F33">
        <v>44349</v>
      </c>
      <c r="G33" t="s">
        <v>4809</v>
      </c>
      <c r="H33">
        <v>1</v>
      </c>
      <c r="I33" t="s">
        <v>4810</v>
      </c>
      <c r="J33" t="s">
        <v>4613</v>
      </c>
      <c r="K33" t="s">
        <v>4614</v>
      </c>
      <c r="L33" t="s">
        <v>4614</v>
      </c>
      <c r="M33" t="s">
        <v>4811</v>
      </c>
      <c r="N33" t="s">
        <v>244</v>
      </c>
      <c r="O33" t="s">
        <v>4515</v>
      </c>
      <c r="U33" t="s">
        <v>4812</v>
      </c>
      <c r="V33" t="s">
        <v>4813</v>
      </c>
      <c r="W33" t="s">
        <v>4814</v>
      </c>
      <c r="X33" t="s">
        <v>4618</v>
      </c>
      <c r="Y33" t="s">
        <v>4656</v>
      </c>
      <c r="AB33" t="s">
        <v>4772</v>
      </c>
      <c r="AD33" t="s">
        <v>591</v>
      </c>
      <c r="AE33" t="s">
        <v>4507</v>
      </c>
      <c r="AF33">
        <v>0</v>
      </c>
      <c r="AG33">
        <v>0</v>
      </c>
      <c r="AI33">
        <v>0</v>
      </c>
      <c r="AJ33" t="s">
        <v>4659</v>
      </c>
      <c r="AK33" t="s">
        <v>4772</v>
      </c>
      <c r="AL33" t="s">
        <v>4660</v>
      </c>
    </row>
    <row r="34" spans="1:38" x14ac:dyDescent="0.2">
      <c r="A34">
        <v>1235590</v>
      </c>
      <c r="B34">
        <v>7948956</v>
      </c>
      <c r="C34">
        <v>187514</v>
      </c>
      <c r="E34" t="b">
        <v>0</v>
      </c>
      <c r="F34">
        <v>70164</v>
      </c>
      <c r="G34" t="s">
        <v>4815</v>
      </c>
      <c r="H34">
        <v>1</v>
      </c>
      <c r="I34" t="s">
        <v>4816</v>
      </c>
      <c r="J34" t="s">
        <v>4817</v>
      </c>
      <c r="K34" t="s">
        <v>4614</v>
      </c>
      <c r="L34" t="s">
        <v>4614</v>
      </c>
      <c r="M34" t="s">
        <v>4818</v>
      </c>
      <c r="N34" t="s">
        <v>246</v>
      </c>
      <c r="O34" t="s">
        <v>245</v>
      </c>
      <c r="U34" t="s">
        <v>4819</v>
      </c>
      <c r="X34" t="s">
        <v>4618</v>
      </c>
      <c r="Y34" t="s">
        <v>145</v>
      </c>
      <c r="Z34" t="s">
        <v>4657</v>
      </c>
      <c r="AD34" t="s">
        <v>592</v>
      </c>
      <c r="AE34" t="s">
        <v>4507</v>
      </c>
      <c r="AJ34" t="s">
        <v>4659</v>
      </c>
      <c r="AK34" t="s">
        <v>4772</v>
      </c>
      <c r="AL34" t="s">
        <v>4660</v>
      </c>
    </row>
    <row r="35" spans="1:38" x14ac:dyDescent="0.2">
      <c r="A35">
        <v>1235489</v>
      </c>
      <c r="B35">
        <v>7008912</v>
      </c>
      <c r="C35">
        <v>187510</v>
      </c>
      <c r="E35" t="b">
        <v>0</v>
      </c>
      <c r="F35">
        <v>53750</v>
      </c>
      <c r="G35" t="s">
        <v>4820</v>
      </c>
      <c r="H35">
        <v>1</v>
      </c>
      <c r="I35" t="s">
        <v>4821</v>
      </c>
      <c r="J35" t="s">
        <v>4613</v>
      </c>
      <c r="K35" t="s">
        <v>4612</v>
      </c>
      <c r="L35" t="s">
        <v>4614</v>
      </c>
      <c r="M35" t="s">
        <v>4822</v>
      </c>
      <c r="N35" t="s">
        <v>4499</v>
      </c>
      <c r="O35" t="s">
        <v>4501</v>
      </c>
      <c r="S35" t="s">
        <v>4700</v>
      </c>
      <c r="U35" t="s">
        <v>4823</v>
      </c>
      <c r="V35" t="s">
        <v>4824</v>
      </c>
      <c r="W35" t="s">
        <v>4517</v>
      </c>
      <c r="X35" t="s">
        <v>4618</v>
      </c>
      <c r="Y35" t="s">
        <v>145</v>
      </c>
      <c r="Z35" t="s">
        <v>4657</v>
      </c>
      <c r="AA35" t="s">
        <v>34</v>
      </c>
      <c r="AB35" t="s">
        <v>4704</v>
      </c>
      <c r="AD35" t="s">
        <v>4502</v>
      </c>
      <c r="AE35" t="s">
        <v>4502</v>
      </c>
      <c r="AF35">
        <v>0</v>
      </c>
      <c r="AG35">
        <v>0</v>
      </c>
      <c r="AH35">
        <v>76.25</v>
      </c>
      <c r="AI35">
        <v>0</v>
      </c>
      <c r="AJ35" t="s">
        <v>4659</v>
      </c>
      <c r="AK35" t="s">
        <v>4704</v>
      </c>
      <c r="AL35" t="s">
        <v>4660</v>
      </c>
    </row>
    <row r="36" spans="1:38" x14ac:dyDescent="0.2">
      <c r="A36">
        <v>1235508</v>
      </c>
      <c r="B36">
        <v>4996970</v>
      </c>
      <c r="C36">
        <v>187508</v>
      </c>
      <c r="E36" t="b">
        <v>0</v>
      </c>
      <c r="F36">
        <v>28336</v>
      </c>
      <c r="G36" t="s">
        <v>4825</v>
      </c>
      <c r="H36">
        <v>1</v>
      </c>
      <c r="I36" t="s">
        <v>4826</v>
      </c>
      <c r="J36" t="s">
        <v>4613</v>
      </c>
      <c r="K36" t="s">
        <v>4614</v>
      </c>
      <c r="L36" t="s">
        <v>4614</v>
      </c>
      <c r="M36" t="s">
        <v>4827</v>
      </c>
      <c r="N36" t="s">
        <v>4828</v>
      </c>
      <c r="O36" t="s">
        <v>4513</v>
      </c>
      <c r="U36" t="s">
        <v>4829</v>
      </c>
      <c r="X36" t="s">
        <v>4618</v>
      </c>
      <c r="Y36" t="s">
        <v>145</v>
      </c>
      <c r="Z36" t="s">
        <v>4657</v>
      </c>
      <c r="AD36" t="s">
        <v>4830</v>
      </c>
      <c r="AE36" t="s">
        <v>4484</v>
      </c>
      <c r="AJ36" t="s">
        <v>4659</v>
      </c>
      <c r="AK36" t="s">
        <v>4658</v>
      </c>
      <c r="AL36" t="s">
        <v>4660</v>
      </c>
    </row>
    <row r="37" spans="1:38" x14ac:dyDescent="0.2">
      <c r="A37">
        <v>1235777</v>
      </c>
      <c r="B37">
        <v>5034456</v>
      </c>
      <c r="C37">
        <v>187514</v>
      </c>
      <c r="E37" t="b">
        <v>0</v>
      </c>
      <c r="F37">
        <v>29273</v>
      </c>
      <c r="G37" t="s">
        <v>4831</v>
      </c>
      <c r="H37">
        <v>1</v>
      </c>
      <c r="I37" t="s">
        <v>4832</v>
      </c>
      <c r="J37" t="s">
        <v>4613</v>
      </c>
      <c r="K37" t="s">
        <v>4614</v>
      </c>
      <c r="L37" t="s">
        <v>4614</v>
      </c>
      <c r="M37" t="s">
        <v>4833</v>
      </c>
      <c r="N37" t="s">
        <v>247</v>
      </c>
      <c r="O37" t="s">
        <v>4564</v>
      </c>
      <c r="S37" t="s">
        <v>4786</v>
      </c>
      <c r="V37" t="s">
        <v>4834</v>
      </c>
      <c r="W37" t="s">
        <v>4835</v>
      </c>
      <c r="X37" t="s">
        <v>4618</v>
      </c>
      <c r="Y37" t="s">
        <v>145</v>
      </c>
      <c r="Z37" t="s">
        <v>4657</v>
      </c>
      <c r="AB37" t="s">
        <v>4772</v>
      </c>
      <c r="AD37" t="s">
        <v>594</v>
      </c>
      <c r="AE37" t="s">
        <v>4565</v>
      </c>
      <c r="AF37">
        <v>0</v>
      </c>
      <c r="AG37">
        <v>0</v>
      </c>
      <c r="AH37">
        <v>27.5</v>
      </c>
      <c r="AI37">
        <v>0</v>
      </c>
      <c r="AJ37" t="s">
        <v>4659</v>
      </c>
      <c r="AK37" t="s">
        <v>4772</v>
      </c>
      <c r="AL37" t="s">
        <v>4660</v>
      </c>
    </row>
    <row r="38" spans="1:38" x14ac:dyDescent="0.2">
      <c r="A38">
        <v>1235400</v>
      </c>
      <c r="B38">
        <v>6119636</v>
      </c>
      <c r="C38">
        <v>187514</v>
      </c>
      <c r="E38" t="b">
        <v>0</v>
      </c>
      <c r="F38">
        <v>44172</v>
      </c>
      <c r="G38" t="s">
        <v>4836</v>
      </c>
      <c r="H38">
        <v>1</v>
      </c>
      <c r="I38" t="s">
        <v>4837</v>
      </c>
      <c r="J38" t="s">
        <v>4613</v>
      </c>
      <c r="K38" t="s">
        <v>4614</v>
      </c>
      <c r="L38" t="s">
        <v>4614</v>
      </c>
      <c r="M38" t="s">
        <v>4838</v>
      </c>
      <c r="N38" t="s">
        <v>248</v>
      </c>
      <c r="O38" t="s">
        <v>4483</v>
      </c>
      <c r="U38" t="s">
        <v>4839</v>
      </c>
      <c r="V38" t="s">
        <v>4840</v>
      </c>
      <c r="W38" t="s">
        <v>4814</v>
      </c>
      <c r="X38" t="s">
        <v>4618</v>
      </c>
      <c r="Y38" t="s">
        <v>4656</v>
      </c>
      <c r="AB38" t="s">
        <v>4772</v>
      </c>
      <c r="AD38" t="s">
        <v>595</v>
      </c>
      <c r="AE38" t="s">
        <v>4484</v>
      </c>
      <c r="AF38">
        <v>0</v>
      </c>
      <c r="AG38">
        <v>0</v>
      </c>
      <c r="AI38">
        <v>0</v>
      </c>
      <c r="AJ38" t="s">
        <v>4659</v>
      </c>
      <c r="AK38" t="s">
        <v>4772</v>
      </c>
      <c r="AL38" t="s">
        <v>4660</v>
      </c>
    </row>
    <row r="39" spans="1:38" x14ac:dyDescent="0.2">
      <c r="A39">
        <v>1235661</v>
      </c>
      <c r="B39">
        <v>8074219</v>
      </c>
      <c r="C39">
        <v>187514</v>
      </c>
      <c r="E39" t="b">
        <v>0</v>
      </c>
      <c r="F39">
        <v>72769</v>
      </c>
      <c r="G39" t="s">
        <v>4841</v>
      </c>
      <c r="H39">
        <v>1</v>
      </c>
      <c r="I39" t="s">
        <v>4842</v>
      </c>
      <c r="J39" t="s">
        <v>4613</v>
      </c>
      <c r="K39" t="s">
        <v>4614</v>
      </c>
      <c r="L39" t="s">
        <v>4614</v>
      </c>
      <c r="M39" t="s">
        <v>4843</v>
      </c>
      <c r="N39" t="s">
        <v>249</v>
      </c>
      <c r="O39" t="s">
        <v>4549</v>
      </c>
      <c r="S39" t="s">
        <v>4786</v>
      </c>
      <c r="U39" t="s">
        <v>4844</v>
      </c>
      <c r="V39" t="s">
        <v>4845</v>
      </c>
      <c r="W39" t="s">
        <v>4580</v>
      </c>
      <c r="X39" t="s">
        <v>4618</v>
      </c>
      <c r="Y39" t="s">
        <v>4656</v>
      </c>
      <c r="Z39" t="s">
        <v>4657</v>
      </c>
      <c r="AB39" t="s">
        <v>4772</v>
      </c>
      <c r="AD39" t="s">
        <v>596</v>
      </c>
      <c r="AE39" t="s">
        <v>4484</v>
      </c>
      <c r="AF39">
        <v>0</v>
      </c>
      <c r="AG39">
        <v>0</v>
      </c>
      <c r="AH39">
        <v>0</v>
      </c>
      <c r="AI39">
        <v>0</v>
      </c>
      <c r="AJ39" t="s">
        <v>4659</v>
      </c>
      <c r="AK39" t="s">
        <v>4772</v>
      </c>
      <c r="AL39" t="s">
        <v>4660</v>
      </c>
    </row>
    <row r="40" spans="1:38" x14ac:dyDescent="0.2">
      <c r="A40">
        <v>1235507</v>
      </c>
      <c r="B40">
        <v>8085736</v>
      </c>
      <c r="C40">
        <v>187514</v>
      </c>
      <c r="E40" t="b">
        <v>0</v>
      </c>
      <c r="F40">
        <v>72935</v>
      </c>
      <c r="G40" t="s">
        <v>4846</v>
      </c>
      <c r="H40">
        <v>1</v>
      </c>
      <c r="I40" t="s">
        <v>4847</v>
      </c>
      <c r="J40" t="s">
        <v>4612</v>
      </c>
      <c r="K40" t="s">
        <v>4612</v>
      </c>
      <c r="L40" t="s">
        <v>4612</v>
      </c>
      <c r="M40" t="s">
        <v>4848</v>
      </c>
      <c r="N40" t="s">
        <v>250</v>
      </c>
      <c r="O40" t="s">
        <v>4512</v>
      </c>
      <c r="U40" t="s">
        <v>4849</v>
      </c>
      <c r="V40" t="s">
        <v>4850</v>
      </c>
      <c r="W40" t="s">
        <v>4543</v>
      </c>
      <c r="X40" t="s">
        <v>4618</v>
      </c>
      <c r="Y40" t="s">
        <v>4656</v>
      </c>
      <c r="AB40" t="s">
        <v>4772</v>
      </c>
      <c r="AD40" t="s">
        <v>597</v>
      </c>
      <c r="AE40" t="s">
        <v>4484</v>
      </c>
      <c r="AF40">
        <v>0</v>
      </c>
      <c r="AG40">
        <v>0</v>
      </c>
      <c r="AI40">
        <v>0</v>
      </c>
      <c r="AJ40" t="s">
        <v>4659</v>
      </c>
      <c r="AK40" t="s">
        <v>4772</v>
      </c>
      <c r="AL40" t="s">
        <v>4660</v>
      </c>
    </row>
    <row r="42" spans="1:38" x14ac:dyDescent="0.2">
      <c r="A42">
        <v>1235500</v>
      </c>
      <c r="B42">
        <v>8128420</v>
      </c>
      <c r="C42">
        <v>187514</v>
      </c>
      <c r="E42" t="b">
        <v>0</v>
      </c>
      <c r="F42">
        <v>73271</v>
      </c>
      <c r="G42" t="s">
        <v>4851</v>
      </c>
      <c r="H42">
        <v>1</v>
      </c>
      <c r="I42" t="s">
        <v>4852</v>
      </c>
      <c r="J42" t="s">
        <v>4613</v>
      </c>
      <c r="K42" t="s">
        <v>4612</v>
      </c>
      <c r="L42" t="s">
        <v>4614</v>
      </c>
      <c r="M42" t="s">
        <v>4853</v>
      </c>
      <c r="N42" t="s">
        <v>251</v>
      </c>
      <c r="O42" t="s">
        <v>4504</v>
      </c>
      <c r="U42" t="s">
        <v>4854</v>
      </c>
      <c r="V42" t="s">
        <v>4855</v>
      </c>
      <c r="W42" t="s">
        <v>135</v>
      </c>
      <c r="X42" t="s">
        <v>4618</v>
      </c>
      <c r="Y42" t="s">
        <v>145</v>
      </c>
      <c r="Z42" t="s">
        <v>4657</v>
      </c>
      <c r="AB42" t="s">
        <v>4772</v>
      </c>
      <c r="AD42" t="s">
        <v>598</v>
      </c>
      <c r="AE42" t="s">
        <v>4484</v>
      </c>
      <c r="AF42">
        <v>0</v>
      </c>
      <c r="AG42">
        <v>0</v>
      </c>
      <c r="AH42">
        <v>0</v>
      </c>
      <c r="AI42">
        <v>0</v>
      </c>
      <c r="AJ42" t="s">
        <v>4659</v>
      </c>
      <c r="AK42" t="s">
        <v>4772</v>
      </c>
      <c r="AL42" t="s">
        <v>4660</v>
      </c>
    </row>
    <row r="43" spans="1:38" x14ac:dyDescent="0.2">
      <c r="A43">
        <v>1235509</v>
      </c>
      <c r="B43">
        <v>6206718</v>
      </c>
      <c r="C43">
        <v>187514</v>
      </c>
      <c r="E43" t="b">
        <v>0</v>
      </c>
      <c r="F43">
        <v>46040</v>
      </c>
      <c r="G43" t="s">
        <v>4856</v>
      </c>
      <c r="H43">
        <v>2</v>
      </c>
      <c r="I43" t="s">
        <v>4857</v>
      </c>
      <c r="J43" t="s">
        <v>4613</v>
      </c>
      <c r="K43" t="s">
        <v>4614</v>
      </c>
      <c r="L43" t="s">
        <v>4614</v>
      </c>
      <c r="M43" t="s">
        <v>4858</v>
      </c>
      <c r="N43" t="s">
        <v>252</v>
      </c>
      <c r="O43" t="s">
        <v>4514</v>
      </c>
      <c r="U43" t="s">
        <v>4859</v>
      </c>
      <c r="V43" t="s">
        <v>4860</v>
      </c>
      <c r="W43" t="s">
        <v>4835</v>
      </c>
      <c r="X43" t="s">
        <v>4618</v>
      </c>
      <c r="Y43" t="s">
        <v>4656</v>
      </c>
      <c r="AB43" t="s">
        <v>4772</v>
      </c>
      <c r="AD43" t="s">
        <v>599</v>
      </c>
      <c r="AE43" t="s">
        <v>4484</v>
      </c>
      <c r="AF43">
        <v>0</v>
      </c>
      <c r="AG43">
        <v>0</v>
      </c>
      <c r="AI43">
        <v>0</v>
      </c>
      <c r="AJ43" t="s">
        <v>4659</v>
      </c>
      <c r="AK43" t="s">
        <v>4772</v>
      </c>
      <c r="AL43" t="s">
        <v>4660</v>
      </c>
    </row>
    <row r="44" spans="1:38" x14ac:dyDescent="0.2">
      <c r="A44">
        <v>1235498</v>
      </c>
      <c r="B44">
        <v>4234901</v>
      </c>
      <c r="C44">
        <v>187508</v>
      </c>
      <c r="E44" t="b">
        <v>0</v>
      </c>
      <c r="F44">
        <v>24455</v>
      </c>
      <c r="G44" t="s">
        <v>4861</v>
      </c>
      <c r="H44">
        <v>1</v>
      </c>
      <c r="I44" t="s">
        <v>4862</v>
      </c>
      <c r="J44" t="s">
        <v>4613</v>
      </c>
      <c r="K44" t="s">
        <v>4614</v>
      </c>
      <c r="L44" t="s">
        <v>4614</v>
      </c>
      <c r="M44" t="s">
        <v>4863</v>
      </c>
      <c r="N44" t="s">
        <v>253</v>
      </c>
      <c r="O44" t="s">
        <v>4503</v>
      </c>
      <c r="S44" t="s">
        <v>4864</v>
      </c>
      <c r="U44" t="s">
        <v>4865</v>
      </c>
      <c r="V44" t="s">
        <v>4866</v>
      </c>
      <c r="W44" t="s">
        <v>4867</v>
      </c>
      <c r="X44" t="s">
        <v>4618</v>
      </c>
      <c r="Y44" t="s">
        <v>145</v>
      </c>
      <c r="Z44" t="s">
        <v>4657</v>
      </c>
      <c r="AB44" t="s">
        <v>4658</v>
      </c>
      <c r="AD44" t="s">
        <v>600</v>
      </c>
      <c r="AE44" t="s">
        <v>4484</v>
      </c>
      <c r="AF44">
        <v>0</v>
      </c>
      <c r="AG44">
        <v>0</v>
      </c>
      <c r="AH44">
        <v>68</v>
      </c>
      <c r="AI44">
        <v>0</v>
      </c>
      <c r="AJ44" t="s">
        <v>4659</v>
      </c>
      <c r="AK44" t="s">
        <v>4658</v>
      </c>
      <c r="AL44" t="s">
        <v>4660</v>
      </c>
    </row>
    <row r="45" spans="1:38" x14ac:dyDescent="0.2">
      <c r="A45">
        <v>1235401</v>
      </c>
      <c r="B45">
        <v>6140648</v>
      </c>
      <c r="C45">
        <v>187514</v>
      </c>
      <c r="E45" t="b">
        <v>0</v>
      </c>
      <c r="F45">
        <v>44618</v>
      </c>
      <c r="G45" t="s">
        <v>4868</v>
      </c>
      <c r="H45">
        <v>1</v>
      </c>
      <c r="I45" t="s">
        <v>4869</v>
      </c>
      <c r="J45" t="s">
        <v>4613</v>
      </c>
      <c r="K45" t="s">
        <v>4614</v>
      </c>
      <c r="L45" t="s">
        <v>4614</v>
      </c>
      <c r="M45" t="s">
        <v>4870</v>
      </c>
      <c r="N45" t="s">
        <v>254</v>
      </c>
      <c r="O45" t="s">
        <v>4486</v>
      </c>
      <c r="P45" t="s">
        <v>143</v>
      </c>
      <c r="U45" t="s">
        <v>4871</v>
      </c>
      <c r="V45" t="s">
        <v>4872</v>
      </c>
      <c r="W45" t="s">
        <v>199</v>
      </c>
      <c r="X45" t="s">
        <v>4618</v>
      </c>
      <c r="Y45" t="s">
        <v>145</v>
      </c>
      <c r="AB45" t="s">
        <v>4772</v>
      </c>
      <c r="AD45" t="s">
        <v>601</v>
      </c>
      <c r="AE45" t="s">
        <v>4484</v>
      </c>
      <c r="AF45">
        <v>0</v>
      </c>
      <c r="AG45">
        <v>0</v>
      </c>
      <c r="AI45">
        <v>0</v>
      </c>
      <c r="AJ45" t="s">
        <v>4659</v>
      </c>
      <c r="AK45" t="s">
        <v>4772</v>
      </c>
      <c r="AL45" t="s">
        <v>4660</v>
      </c>
    </row>
    <row r="46" spans="1:38" x14ac:dyDescent="0.2">
      <c r="A46">
        <v>1235402</v>
      </c>
      <c r="B46">
        <v>8128495</v>
      </c>
      <c r="C46">
        <v>187514</v>
      </c>
      <c r="E46" t="b">
        <v>0</v>
      </c>
      <c r="F46">
        <v>73279</v>
      </c>
      <c r="G46" t="s">
        <v>4873</v>
      </c>
      <c r="H46">
        <v>1</v>
      </c>
      <c r="I46" t="s">
        <v>4874</v>
      </c>
      <c r="J46" t="s">
        <v>4613</v>
      </c>
      <c r="K46" t="s">
        <v>4614</v>
      </c>
      <c r="L46" t="s">
        <v>4614</v>
      </c>
      <c r="M46" t="s">
        <v>4875</v>
      </c>
      <c r="N46" t="s">
        <v>255</v>
      </c>
      <c r="O46" t="s">
        <v>4488</v>
      </c>
      <c r="P46" t="s">
        <v>143</v>
      </c>
      <c r="U46" t="s">
        <v>4876</v>
      </c>
      <c r="V46" t="s">
        <v>4877</v>
      </c>
      <c r="W46" t="s">
        <v>135</v>
      </c>
      <c r="X46" t="s">
        <v>4618</v>
      </c>
      <c r="Y46" t="s">
        <v>145</v>
      </c>
      <c r="Z46" t="s">
        <v>4657</v>
      </c>
      <c r="AB46" t="s">
        <v>4772</v>
      </c>
      <c r="AD46" t="s">
        <v>602</v>
      </c>
      <c r="AE46" t="s">
        <v>4484</v>
      </c>
      <c r="AF46">
        <v>0</v>
      </c>
      <c r="AG46">
        <v>0</v>
      </c>
      <c r="AH46">
        <v>0</v>
      </c>
      <c r="AI46">
        <v>0</v>
      </c>
      <c r="AJ46" t="s">
        <v>4659</v>
      </c>
      <c r="AK46" t="s">
        <v>4772</v>
      </c>
      <c r="AL46" t="s">
        <v>4660</v>
      </c>
    </row>
    <row r="47" spans="1:38" x14ac:dyDescent="0.2">
      <c r="A47">
        <v>1235610</v>
      </c>
      <c r="B47">
        <v>3518992</v>
      </c>
      <c r="E47" t="b">
        <v>0</v>
      </c>
      <c r="F47">
        <v>7771</v>
      </c>
      <c r="G47" t="s">
        <v>4878</v>
      </c>
      <c r="H47">
        <v>1</v>
      </c>
      <c r="I47" t="s">
        <v>4879</v>
      </c>
      <c r="J47" t="s">
        <v>4613</v>
      </c>
      <c r="K47" t="s">
        <v>4612</v>
      </c>
      <c r="L47" t="s">
        <v>4614</v>
      </c>
      <c r="M47" t="s">
        <v>4880</v>
      </c>
      <c r="N47" t="s">
        <v>261</v>
      </c>
      <c r="O47" t="s">
        <v>260</v>
      </c>
      <c r="P47" t="s">
        <v>4533</v>
      </c>
      <c r="S47" t="s">
        <v>4692</v>
      </c>
      <c r="V47" t="s">
        <v>4881</v>
      </c>
      <c r="W47" t="s">
        <v>4517</v>
      </c>
      <c r="X47" t="s">
        <v>4618</v>
      </c>
      <c r="Y47" t="s">
        <v>145</v>
      </c>
      <c r="Z47" t="s">
        <v>4657</v>
      </c>
      <c r="AD47" t="s">
        <v>259</v>
      </c>
      <c r="AE47" t="s">
        <v>4534</v>
      </c>
      <c r="AF47">
        <v>0</v>
      </c>
      <c r="AG47">
        <v>0</v>
      </c>
      <c r="AH47">
        <v>41</v>
      </c>
      <c r="AI47">
        <v>0</v>
      </c>
      <c r="AJ47" t="s">
        <v>4882</v>
      </c>
    </row>
    <row r="49" spans="1:38" x14ac:dyDescent="0.2">
      <c r="A49">
        <v>1235673</v>
      </c>
      <c r="B49">
        <v>7098933</v>
      </c>
      <c r="C49">
        <v>187514</v>
      </c>
      <c r="E49" t="b">
        <v>0</v>
      </c>
      <c r="F49">
        <v>55608</v>
      </c>
      <c r="G49" t="s">
        <v>4883</v>
      </c>
      <c r="H49">
        <v>1</v>
      </c>
      <c r="I49" t="s">
        <v>4884</v>
      </c>
      <c r="J49" t="s">
        <v>4613</v>
      </c>
      <c r="K49" t="s">
        <v>4614</v>
      </c>
      <c r="L49" t="s">
        <v>4614</v>
      </c>
      <c r="M49" t="s">
        <v>4885</v>
      </c>
      <c r="N49" t="s">
        <v>2480</v>
      </c>
      <c r="O49" t="s">
        <v>4550</v>
      </c>
      <c r="U49" t="s">
        <v>4886</v>
      </c>
      <c r="V49" t="s">
        <v>4887</v>
      </c>
      <c r="W49" t="s">
        <v>135</v>
      </c>
      <c r="X49" t="s">
        <v>4618</v>
      </c>
      <c r="Y49" t="s">
        <v>4656</v>
      </c>
      <c r="Z49" t="s">
        <v>4657</v>
      </c>
      <c r="AB49" t="s">
        <v>4772</v>
      </c>
      <c r="AD49" t="s">
        <v>2479</v>
      </c>
      <c r="AE49" t="s">
        <v>4519</v>
      </c>
      <c r="AF49">
        <v>0</v>
      </c>
      <c r="AG49">
        <v>0</v>
      </c>
      <c r="AH49">
        <v>27.5</v>
      </c>
      <c r="AI49">
        <v>0</v>
      </c>
      <c r="AJ49" t="s">
        <v>4659</v>
      </c>
      <c r="AK49" t="s">
        <v>4772</v>
      </c>
      <c r="AL49" t="s">
        <v>4660</v>
      </c>
    </row>
    <row r="50" spans="1:38" x14ac:dyDescent="0.2">
      <c r="A50">
        <v>1235526</v>
      </c>
      <c r="B50">
        <v>6917566</v>
      </c>
      <c r="C50">
        <v>187514</v>
      </c>
      <c r="E50" t="b">
        <v>0</v>
      </c>
      <c r="F50">
        <v>51875</v>
      </c>
      <c r="G50" t="s">
        <v>4888</v>
      </c>
      <c r="H50">
        <v>1</v>
      </c>
      <c r="I50" t="s">
        <v>4889</v>
      </c>
      <c r="J50" t="s">
        <v>4613</v>
      </c>
      <c r="K50" t="s">
        <v>4614</v>
      </c>
      <c r="L50" t="s">
        <v>4614</v>
      </c>
      <c r="M50" t="s">
        <v>4890</v>
      </c>
      <c r="N50" t="s">
        <v>256</v>
      </c>
      <c r="O50" t="s">
        <v>4518</v>
      </c>
      <c r="U50" t="s">
        <v>4891</v>
      </c>
      <c r="V50" t="s">
        <v>4892</v>
      </c>
      <c r="W50" t="s">
        <v>4531</v>
      </c>
      <c r="X50" t="s">
        <v>4618</v>
      </c>
      <c r="Y50" t="s">
        <v>4656</v>
      </c>
      <c r="AB50" t="s">
        <v>4772</v>
      </c>
      <c r="AD50" t="s">
        <v>603</v>
      </c>
      <c r="AE50" t="s">
        <v>4519</v>
      </c>
      <c r="AF50">
        <v>0</v>
      </c>
      <c r="AG50">
        <v>0</v>
      </c>
      <c r="AI50">
        <v>0</v>
      </c>
      <c r="AJ50" t="s">
        <v>4659</v>
      </c>
      <c r="AK50" t="s">
        <v>4772</v>
      </c>
      <c r="AL50" t="s">
        <v>4660</v>
      </c>
    </row>
    <row r="51" spans="1:38" x14ac:dyDescent="0.2">
      <c r="A51">
        <v>2635568</v>
      </c>
      <c r="B51">
        <v>7621062</v>
      </c>
      <c r="C51">
        <v>187514</v>
      </c>
      <c r="E51" t="b">
        <v>0</v>
      </c>
      <c r="F51">
        <v>64450</v>
      </c>
      <c r="G51" t="s">
        <v>4893</v>
      </c>
      <c r="H51">
        <v>1</v>
      </c>
      <c r="I51" t="s">
        <v>4894</v>
      </c>
      <c r="J51" t="s">
        <v>4612</v>
      </c>
      <c r="K51" t="s">
        <v>4612</v>
      </c>
      <c r="L51" t="s">
        <v>4612</v>
      </c>
      <c r="M51" t="s">
        <v>4895</v>
      </c>
      <c r="N51" t="s">
        <v>257</v>
      </c>
      <c r="O51" t="s">
        <v>4578</v>
      </c>
      <c r="U51" t="s">
        <v>4896</v>
      </c>
      <c r="V51" t="s">
        <v>4897</v>
      </c>
      <c r="W51" t="s">
        <v>4571</v>
      </c>
      <c r="X51" t="s">
        <v>4618</v>
      </c>
      <c r="Y51" t="s">
        <v>4487</v>
      </c>
      <c r="Z51" t="s">
        <v>4657</v>
      </c>
      <c r="AB51" t="s">
        <v>4772</v>
      </c>
      <c r="AD51" t="s">
        <v>604</v>
      </c>
      <c r="AE51" t="s">
        <v>4519</v>
      </c>
      <c r="AF51">
        <v>0</v>
      </c>
      <c r="AG51">
        <v>0</v>
      </c>
      <c r="AH51">
        <v>27.5</v>
      </c>
      <c r="AI51">
        <v>0</v>
      </c>
      <c r="AJ51" t="s">
        <v>4659</v>
      </c>
      <c r="AK51" t="s">
        <v>4772</v>
      </c>
      <c r="AL51" t="s">
        <v>4660</v>
      </c>
    </row>
    <row r="52" spans="1:38" x14ac:dyDescent="0.2">
      <c r="A52">
        <v>1235345</v>
      </c>
      <c r="B52">
        <v>7865996</v>
      </c>
      <c r="C52">
        <v>7654931</v>
      </c>
      <c r="E52" t="b">
        <v>0</v>
      </c>
      <c r="F52">
        <v>68489</v>
      </c>
      <c r="G52" t="s">
        <v>4898</v>
      </c>
      <c r="H52">
        <v>1</v>
      </c>
      <c r="I52" t="s">
        <v>4899</v>
      </c>
      <c r="J52" t="s">
        <v>4613</v>
      </c>
      <c r="K52" t="s">
        <v>4614</v>
      </c>
      <c r="L52" t="s">
        <v>4614</v>
      </c>
      <c r="M52" t="s">
        <v>4900</v>
      </c>
      <c r="N52" t="s">
        <v>223</v>
      </c>
      <c r="O52" t="s">
        <v>223</v>
      </c>
      <c r="P52" t="s">
        <v>4478</v>
      </c>
      <c r="S52" t="s">
        <v>4901</v>
      </c>
      <c r="U52" t="s">
        <v>4902</v>
      </c>
      <c r="V52" t="s">
        <v>4903</v>
      </c>
      <c r="W52" t="s">
        <v>4904</v>
      </c>
      <c r="X52" t="s">
        <v>4618</v>
      </c>
      <c r="Y52" t="s">
        <v>145</v>
      </c>
      <c r="Z52" t="s">
        <v>4905</v>
      </c>
      <c r="AB52" t="s">
        <v>4687</v>
      </c>
      <c r="AD52" t="s">
        <v>222</v>
      </c>
      <c r="AE52" t="s">
        <v>4479</v>
      </c>
      <c r="AF52">
        <v>0</v>
      </c>
      <c r="AG52">
        <v>0</v>
      </c>
      <c r="AH52">
        <v>117.75</v>
      </c>
      <c r="AI52">
        <v>0</v>
      </c>
      <c r="AJ52" t="s">
        <v>4659</v>
      </c>
      <c r="AK52" t="s">
        <v>4687</v>
      </c>
      <c r="AL52" t="s">
        <v>4906</v>
      </c>
    </row>
    <row r="53" spans="1:38" x14ac:dyDescent="0.2">
      <c r="A53">
        <v>1235444</v>
      </c>
      <c r="B53">
        <v>7855800</v>
      </c>
      <c r="C53">
        <v>187508</v>
      </c>
      <c r="E53" t="b">
        <v>0</v>
      </c>
      <c r="F53">
        <v>68290</v>
      </c>
      <c r="G53" t="s">
        <v>4907</v>
      </c>
      <c r="H53">
        <v>1</v>
      </c>
      <c r="I53" t="s">
        <v>4908</v>
      </c>
      <c r="J53" t="s">
        <v>4613</v>
      </c>
      <c r="K53" t="s">
        <v>4612</v>
      </c>
      <c r="L53" t="s">
        <v>4614</v>
      </c>
      <c r="M53" t="s">
        <v>4909</v>
      </c>
      <c r="N53" t="s">
        <v>227</v>
      </c>
      <c r="O53" t="s">
        <v>226</v>
      </c>
      <c r="P53" t="s">
        <v>143</v>
      </c>
      <c r="S53" t="s">
        <v>4700</v>
      </c>
      <c r="U53" t="s">
        <v>4910</v>
      </c>
      <c r="V53" t="s">
        <v>4911</v>
      </c>
      <c r="W53" t="s">
        <v>4517</v>
      </c>
      <c r="X53" t="s">
        <v>4618</v>
      </c>
      <c r="Y53" t="s">
        <v>4656</v>
      </c>
      <c r="Z53" t="s">
        <v>4657</v>
      </c>
      <c r="AB53" t="s">
        <v>4658</v>
      </c>
      <c r="AD53" t="s">
        <v>4498</v>
      </c>
      <c r="AE53" t="s">
        <v>4912</v>
      </c>
      <c r="AF53">
        <v>0</v>
      </c>
      <c r="AG53">
        <v>0</v>
      </c>
      <c r="AH53">
        <v>102</v>
      </c>
      <c r="AI53">
        <v>0</v>
      </c>
      <c r="AJ53" t="s">
        <v>4659</v>
      </c>
      <c r="AK53" t="s">
        <v>4658</v>
      </c>
      <c r="AL53" t="s">
        <v>4660</v>
      </c>
    </row>
    <row r="54" spans="1:38" x14ac:dyDescent="0.2">
      <c r="A54">
        <v>1235564</v>
      </c>
      <c r="B54">
        <v>7890061</v>
      </c>
      <c r="C54">
        <v>187508</v>
      </c>
      <c r="E54" t="b">
        <v>0</v>
      </c>
      <c r="F54">
        <v>69031</v>
      </c>
      <c r="G54" t="s">
        <v>4913</v>
      </c>
      <c r="H54">
        <v>1</v>
      </c>
      <c r="I54" t="s">
        <v>4914</v>
      </c>
      <c r="J54" t="s">
        <v>4613</v>
      </c>
      <c r="K54" t="s">
        <v>4612</v>
      </c>
      <c r="L54" t="s">
        <v>4614</v>
      </c>
      <c r="M54" t="s">
        <v>4915</v>
      </c>
      <c r="N54" t="s">
        <v>232</v>
      </c>
      <c r="O54" t="s">
        <v>231</v>
      </c>
      <c r="S54" t="s">
        <v>4916</v>
      </c>
      <c r="U54" t="s">
        <v>4917</v>
      </c>
      <c r="V54" t="s">
        <v>4918</v>
      </c>
      <c r="W54" t="s">
        <v>4517</v>
      </c>
      <c r="X54" t="s">
        <v>4618</v>
      </c>
      <c r="Y54" t="s">
        <v>4656</v>
      </c>
      <c r="Z54" t="s">
        <v>4657</v>
      </c>
      <c r="AB54" t="s">
        <v>4658</v>
      </c>
      <c r="AD54" t="s">
        <v>230</v>
      </c>
      <c r="AE54" t="s">
        <v>4529</v>
      </c>
      <c r="AF54">
        <v>0</v>
      </c>
      <c r="AG54">
        <v>0</v>
      </c>
      <c r="AH54">
        <v>75</v>
      </c>
      <c r="AI54">
        <v>0</v>
      </c>
      <c r="AJ54" t="s">
        <v>4659</v>
      </c>
      <c r="AK54" t="s">
        <v>4658</v>
      </c>
      <c r="AL54" t="s">
        <v>4660</v>
      </c>
    </row>
    <row r="55" spans="1:38" x14ac:dyDescent="0.2">
      <c r="A55">
        <v>1235501</v>
      </c>
      <c r="B55">
        <v>8010165</v>
      </c>
      <c r="C55">
        <v>187508</v>
      </c>
      <c r="E55" t="b">
        <v>0</v>
      </c>
      <c r="F55">
        <v>71410</v>
      </c>
      <c r="G55" t="s">
        <v>4919</v>
      </c>
      <c r="H55">
        <v>1</v>
      </c>
      <c r="I55" t="s">
        <v>4920</v>
      </c>
      <c r="J55" t="s">
        <v>4613</v>
      </c>
      <c r="K55" t="s">
        <v>4612</v>
      </c>
      <c r="L55" t="s">
        <v>4614</v>
      </c>
      <c r="M55" t="s">
        <v>4921</v>
      </c>
      <c r="N55" t="s">
        <v>235</v>
      </c>
      <c r="O55" t="s">
        <v>234</v>
      </c>
      <c r="P55" t="s">
        <v>4487</v>
      </c>
      <c r="S55" t="s">
        <v>4700</v>
      </c>
      <c r="U55" t="s">
        <v>4738</v>
      </c>
      <c r="V55" t="s">
        <v>4922</v>
      </c>
      <c r="W55" t="s">
        <v>4517</v>
      </c>
      <c r="X55" t="s">
        <v>4618</v>
      </c>
      <c r="Y55" t="s">
        <v>4656</v>
      </c>
      <c r="Z55" t="s">
        <v>4657</v>
      </c>
      <c r="AB55" t="s">
        <v>4658</v>
      </c>
      <c r="AD55" t="s">
        <v>233</v>
      </c>
      <c r="AE55" t="s">
        <v>4505</v>
      </c>
      <c r="AF55">
        <v>0</v>
      </c>
      <c r="AG55">
        <v>0</v>
      </c>
      <c r="AH55">
        <v>75</v>
      </c>
      <c r="AI55">
        <v>0</v>
      </c>
      <c r="AJ55" t="s">
        <v>4659</v>
      </c>
      <c r="AK55" t="s">
        <v>4658</v>
      </c>
      <c r="AL55" t="s">
        <v>4660</v>
      </c>
    </row>
    <row r="56" spans="1:38" x14ac:dyDescent="0.2">
      <c r="A56">
        <v>1235704</v>
      </c>
      <c r="B56">
        <v>8031653</v>
      </c>
      <c r="C56">
        <v>187514</v>
      </c>
      <c r="E56" t="b">
        <v>0</v>
      </c>
      <c r="F56">
        <v>71907</v>
      </c>
      <c r="G56" t="s">
        <v>4923</v>
      </c>
      <c r="H56">
        <v>1</v>
      </c>
      <c r="I56" t="s">
        <v>4924</v>
      </c>
      <c r="J56" t="s">
        <v>4613</v>
      </c>
      <c r="K56" t="s">
        <v>4614</v>
      </c>
      <c r="L56" t="s">
        <v>4614</v>
      </c>
      <c r="M56" t="s">
        <v>4925</v>
      </c>
      <c r="N56" t="s">
        <v>644</v>
      </c>
      <c r="O56" t="s">
        <v>4556</v>
      </c>
      <c r="S56" t="s">
        <v>4786</v>
      </c>
      <c r="U56" t="s">
        <v>4926</v>
      </c>
      <c r="V56" t="s">
        <v>4927</v>
      </c>
      <c r="W56" t="s">
        <v>4179</v>
      </c>
      <c r="X56" t="s">
        <v>4618</v>
      </c>
      <c r="Y56" t="s">
        <v>4487</v>
      </c>
      <c r="Z56" t="s">
        <v>4657</v>
      </c>
      <c r="AB56" t="s">
        <v>4772</v>
      </c>
      <c r="AD56" t="s">
        <v>643</v>
      </c>
      <c r="AE56" t="s">
        <v>643</v>
      </c>
      <c r="AF56">
        <v>0</v>
      </c>
      <c r="AG56">
        <v>0</v>
      </c>
      <c r="AH56">
        <v>27.5</v>
      </c>
      <c r="AI56">
        <v>0</v>
      </c>
      <c r="AJ56" t="s">
        <v>4659</v>
      </c>
      <c r="AK56" t="s">
        <v>4772</v>
      </c>
      <c r="AL56" t="s">
        <v>4660</v>
      </c>
    </row>
    <row r="57" spans="1:38" x14ac:dyDescent="0.2">
      <c r="A57">
        <v>1235563</v>
      </c>
      <c r="B57">
        <v>7009411</v>
      </c>
      <c r="C57">
        <v>7589603</v>
      </c>
      <c r="E57" t="b">
        <v>0</v>
      </c>
      <c r="F57">
        <v>53782</v>
      </c>
      <c r="G57" t="s">
        <v>4928</v>
      </c>
      <c r="H57">
        <v>1</v>
      </c>
      <c r="I57" t="s">
        <v>4929</v>
      </c>
      <c r="J57" t="s">
        <v>4613</v>
      </c>
      <c r="K57" t="s">
        <v>4612</v>
      </c>
      <c r="L57" t="s">
        <v>4614</v>
      </c>
      <c r="M57" t="s">
        <v>4930</v>
      </c>
      <c r="N57" t="s">
        <v>267</v>
      </c>
      <c r="O57" t="s">
        <v>267</v>
      </c>
      <c r="P57" t="s">
        <v>4526</v>
      </c>
      <c r="S57" t="s">
        <v>4692</v>
      </c>
      <c r="U57" t="s">
        <v>4931</v>
      </c>
      <c r="V57" t="s">
        <v>4932</v>
      </c>
      <c r="W57" t="s">
        <v>4517</v>
      </c>
      <c r="X57" t="s">
        <v>4618</v>
      </c>
      <c r="Y57" t="s">
        <v>145</v>
      </c>
      <c r="Z57" t="s">
        <v>4657</v>
      </c>
      <c r="AB57" t="s">
        <v>4687</v>
      </c>
      <c r="AD57" t="s">
        <v>4527</v>
      </c>
      <c r="AE57" t="s">
        <v>4528</v>
      </c>
      <c r="AF57">
        <v>0</v>
      </c>
      <c r="AG57">
        <v>0</v>
      </c>
      <c r="AH57">
        <v>46</v>
      </c>
      <c r="AI57">
        <v>0</v>
      </c>
      <c r="AJ57" t="s">
        <v>4659</v>
      </c>
      <c r="AK57" t="s">
        <v>4687</v>
      </c>
      <c r="AL57" t="s">
        <v>4696</v>
      </c>
    </row>
    <row r="58" spans="1:38" x14ac:dyDescent="0.2">
      <c r="A58">
        <v>1235428</v>
      </c>
      <c r="B58">
        <v>3934094</v>
      </c>
      <c r="C58">
        <v>7589603</v>
      </c>
      <c r="E58" t="b">
        <v>0</v>
      </c>
      <c r="F58">
        <v>17702</v>
      </c>
      <c r="G58" t="s">
        <v>4933</v>
      </c>
      <c r="H58">
        <v>1</v>
      </c>
      <c r="I58" t="s">
        <v>4934</v>
      </c>
      <c r="J58" t="s">
        <v>4613</v>
      </c>
      <c r="K58" t="s">
        <v>4614</v>
      </c>
      <c r="L58" t="s">
        <v>4614</v>
      </c>
      <c r="M58" t="s">
        <v>4935</v>
      </c>
      <c r="N58" t="s">
        <v>268</v>
      </c>
      <c r="O58" t="s">
        <v>268</v>
      </c>
      <c r="P58" t="s">
        <v>4867</v>
      </c>
      <c r="S58" t="s">
        <v>4692</v>
      </c>
      <c r="V58" t="s">
        <v>4936</v>
      </c>
      <c r="W58" t="s">
        <v>4517</v>
      </c>
      <c r="X58" t="s">
        <v>4618</v>
      </c>
      <c r="Y58" t="s">
        <v>145</v>
      </c>
      <c r="Z58" t="s">
        <v>4657</v>
      </c>
      <c r="AB58" t="s">
        <v>4687</v>
      </c>
      <c r="AD58" t="s">
        <v>4937</v>
      </c>
      <c r="AE58" t="s">
        <v>4938</v>
      </c>
      <c r="AF58">
        <v>0</v>
      </c>
      <c r="AG58">
        <v>0</v>
      </c>
      <c r="AH58">
        <v>41</v>
      </c>
      <c r="AI58">
        <v>0</v>
      </c>
      <c r="AJ58" t="s">
        <v>4659</v>
      </c>
      <c r="AK58" t="s">
        <v>4687</v>
      </c>
      <c r="AL58" t="s">
        <v>4696</v>
      </c>
    </row>
    <row r="59" spans="1:38" x14ac:dyDescent="0.2">
      <c r="A59">
        <v>2822437</v>
      </c>
    </row>
    <row r="60" spans="1:38" x14ac:dyDescent="0.2">
      <c r="A60">
        <v>1235598</v>
      </c>
      <c r="B60">
        <v>7490110</v>
      </c>
      <c r="C60">
        <v>7589602</v>
      </c>
      <c r="E60" t="b">
        <v>0</v>
      </c>
      <c r="F60">
        <v>61175</v>
      </c>
      <c r="G60" t="s">
        <v>4939</v>
      </c>
      <c r="H60">
        <v>1</v>
      </c>
      <c r="I60" t="s">
        <v>4940</v>
      </c>
      <c r="J60" t="s">
        <v>4613</v>
      </c>
      <c r="K60" t="s">
        <v>4612</v>
      </c>
      <c r="L60" t="s">
        <v>4614</v>
      </c>
      <c r="M60" t="s">
        <v>4941</v>
      </c>
      <c r="N60" t="s">
        <v>224</v>
      </c>
      <c r="O60" t="s">
        <v>224</v>
      </c>
      <c r="P60" t="s">
        <v>4517</v>
      </c>
      <c r="S60" t="s">
        <v>4700</v>
      </c>
      <c r="U60" t="s">
        <v>4942</v>
      </c>
      <c r="V60" t="s">
        <v>4943</v>
      </c>
      <c r="W60" t="s">
        <v>4517</v>
      </c>
      <c r="X60" t="s">
        <v>4618</v>
      </c>
      <c r="Y60" t="s">
        <v>145</v>
      </c>
      <c r="Z60" t="s">
        <v>4657</v>
      </c>
      <c r="AA60" t="s">
        <v>34</v>
      </c>
      <c r="AB60" t="s">
        <v>4704</v>
      </c>
      <c r="AD60" t="s">
        <v>4532</v>
      </c>
      <c r="AE60" t="s">
        <v>4532</v>
      </c>
      <c r="AF60">
        <v>0</v>
      </c>
      <c r="AG60">
        <v>0</v>
      </c>
      <c r="AH60">
        <v>76.25</v>
      </c>
      <c r="AI60">
        <v>0</v>
      </c>
      <c r="AJ60" t="s">
        <v>4659</v>
      </c>
      <c r="AK60" t="s">
        <v>4704</v>
      </c>
      <c r="AL60" t="s">
        <v>4696</v>
      </c>
    </row>
    <row r="61" spans="1:38" x14ac:dyDescent="0.2">
      <c r="A61">
        <v>1235517</v>
      </c>
      <c r="B61">
        <v>6829128</v>
      </c>
      <c r="C61">
        <v>187510</v>
      </c>
      <c r="E61" t="b">
        <v>0</v>
      </c>
      <c r="F61">
        <v>50907</v>
      </c>
      <c r="G61" t="s">
        <v>4944</v>
      </c>
      <c r="H61">
        <v>1</v>
      </c>
      <c r="I61" t="s">
        <v>4945</v>
      </c>
      <c r="J61" t="s">
        <v>4613</v>
      </c>
      <c r="K61" t="s">
        <v>4612</v>
      </c>
      <c r="L61" t="s">
        <v>4614</v>
      </c>
      <c r="M61" t="s">
        <v>4946</v>
      </c>
      <c r="N61" t="s">
        <v>225</v>
      </c>
      <c r="O61" t="s">
        <v>225</v>
      </c>
      <c r="P61" t="s">
        <v>135</v>
      </c>
      <c r="S61" t="s">
        <v>4700</v>
      </c>
      <c r="U61" t="s">
        <v>4947</v>
      </c>
      <c r="V61" t="s">
        <v>4948</v>
      </c>
      <c r="W61" t="s">
        <v>4517</v>
      </c>
      <c r="X61" t="s">
        <v>4618</v>
      </c>
      <c r="Y61" t="s">
        <v>145</v>
      </c>
      <c r="Z61" t="s">
        <v>4657</v>
      </c>
      <c r="AA61" t="s">
        <v>34</v>
      </c>
      <c r="AB61" t="s">
        <v>4704</v>
      </c>
      <c r="AD61" t="s">
        <v>4949</v>
      </c>
      <c r="AE61" t="s">
        <v>4949</v>
      </c>
      <c r="AF61">
        <v>0</v>
      </c>
      <c r="AG61">
        <v>0</v>
      </c>
      <c r="AH61">
        <v>74.75</v>
      </c>
      <c r="AI61">
        <v>0</v>
      </c>
      <c r="AJ61" t="s">
        <v>4659</v>
      </c>
      <c r="AK61" t="s">
        <v>4704</v>
      </c>
      <c r="AL61" t="s">
        <v>4660</v>
      </c>
    </row>
    <row r="62" spans="1:38" x14ac:dyDescent="0.2">
      <c r="A62">
        <v>2822784</v>
      </c>
      <c r="B62">
        <v>8069275</v>
      </c>
      <c r="E62" t="b">
        <v>0</v>
      </c>
      <c r="F62">
        <v>72690</v>
      </c>
      <c r="G62" t="s">
        <v>4950</v>
      </c>
      <c r="H62">
        <v>1</v>
      </c>
      <c r="I62" t="s">
        <v>4951</v>
      </c>
      <c r="J62" t="s">
        <v>4613</v>
      </c>
      <c r="K62" t="s">
        <v>4614</v>
      </c>
      <c r="L62" t="s">
        <v>4614</v>
      </c>
      <c r="M62" t="s">
        <v>4952</v>
      </c>
      <c r="N62" t="s">
        <v>4582</v>
      </c>
      <c r="O62" t="s">
        <v>4582</v>
      </c>
      <c r="P62" t="s">
        <v>177</v>
      </c>
      <c r="S62" t="s">
        <v>4953</v>
      </c>
      <c r="V62" t="s">
        <v>4954</v>
      </c>
      <c r="W62" t="s">
        <v>4517</v>
      </c>
      <c r="X62" t="s">
        <v>4618</v>
      </c>
      <c r="Y62" t="s">
        <v>4695</v>
      </c>
      <c r="Z62" t="s">
        <v>4657</v>
      </c>
      <c r="AA62" t="s">
        <v>34</v>
      </c>
      <c r="AD62" t="s">
        <v>4583</v>
      </c>
      <c r="AE62" t="s">
        <v>4583</v>
      </c>
      <c r="AF62">
        <v>0</v>
      </c>
      <c r="AG62">
        <v>0</v>
      </c>
      <c r="AH62">
        <v>76.25</v>
      </c>
      <c r="AI62">
        <v>0</v>
      </c>
      <c r="AJ62" t="s">
        <v>4659</v>
      </c>
    </row>
    <row r="63" spans="1:38" x14ac:dyDescent="0.2">
      <c r="A63">
        <v>1235416</v>
      </c>
      <c r="B63">
        <v>7618351</v>
      </c>
      <c r="C63">
        <v>187510</v>
      </c>
      <c r="E63" t="b">
        <v>0</v>
      </c>
      <c r="F63">
        <v>64375</v>
      </c>
      <c r="G63" t="s">
        <v>4955</v>
      </c>
      <c r="H63">
        <v>1</v>
      </c>
      <c r="I63" t="s">
        <v>4956</v>
      </c>
      <c r="J63" t="s">
        <v>4613</v>
      </c>
      <c r="K63" t="s">
        <v>4957</v>
      </c>
      <c r="L63" t="s">
        <v>4614</v>
      </c>
      <c r="M63" t="s">
        <v>4958</v>
      </c>
      <c r="N63" t="s">
        <v>4492</v>
      </c>
      <c r="O63" t="s">
        <v>4492</v>
      </c>
      <c r="P63" t="s">
        <v>4493</v>
      </c>
      <c r="S63" t="s">
        <v>4959</v>
      </c>
      <c r="U63" t="s">
        <v>4960</v>
      </c>
      <c r="V63" t="s">
        <v>4961</v>
      </c>
      <c r="W63" t="s">
        <v>4517</v>
      </c>
      <c r="X63" t="s">
        <v>4618</v>
      </c>
      <c r="Y63" t="s">
        <v>145</v>
      </c>
      <c r="Z63" t="s">
        <v>4657</v>
      </c>
      <c r="AA63" t="s">
        <v>34</v>
      </c>
      <c r="AB63" t="s">
        <v>4704</v>
      </c>
      <c r="AD63" t="s">
        <v>4494</v>
      </c>
      <c r="AE63" t="s">
        <v>4494</v>
      </c>
      <c r="AF63">
        <v>0</v>
      </c>
      <c r="AG63">
        <v>0</v>
      </c>
      <c r="AH63">
        <v>76.25</v>
      </c>
      <c r="AI63">
        <v>0</v>
      </c>
      <c r="AJ63" t="s">
        <v>4659</v>
      </c>
      <c r="AK63" t="s">
        <v>4704</v>
      </c>
      <c r="AL63" t="s">
        <v>4660</v>
      </c>
    </row>
    <row r="64" spans="1:38" x14ac:dyDescent="0.2">
      <c r="A64">
        <v>1235503</v>
      </c>
      <c r="B64">
        <v>8035837</v>
      </c>
      <c r="C64">
        <v>187508</v>
      </c>
      <c r="E64" t="b">
        <v>0</v>
      </c>
      <c r="F64">
        <v>72022</v>
      </c>
      <c r="G64" t="s">
        <v>4962</v>
      </c>
      <c r="H64">
        <v>1</v>
      </c>
      <c r="I64" t="s">
        <v>4963</v>
      </c>
      <c r="J64" t="s">
        <v>4613</v>
      </c>
      <c r="K64" t="s">
        <v>4612</v>
      </c>
      <c r="L64" t="s">
        <v>4614</v>
      </c>
      <c r="M64" t="s">
        <v>4964</v>
      </c>
      <c r="N64" t="s">
        <v>684</v>
      </c>
      <c r="O64" t="s">
        <v>228</v>
      </c>
      <c r="P64" t="s">
        <v>4487</v>
      </c>
      <c r="S64" t="s">
        <v>4965</v>
      </c>
      <c r="U64" t="s">
        <v>4966</v>
      </c>
      <c r="V64" t="s">
        <v>4967</v>
      </c>
      <c r="W64" t="s">
        <v>4517</v>
      </c>
      <c r="X64" t="s">
        <v>4618</v>
      </c>
      <c r="Y64" t="s">
        <v>4656</v>
      </c>
      <c r="Z64" t="s">
        <v>4657</v>
      </c>
      <c r="AB64" t="s">
        <v>4658</v>
      </c>
      <c r="AD64" t="s">
        <v>685</v>
      </c>
      <c r="AE64" t="s">
        <v>4508</v>
      </c>
      <c r="AF64">
        <v>0</v>
      </c>
      <c r="AG64">
        <v>0</v>
      </c>
      <c r="AH64">
        <v>97</v>
      </c>
      <c r="AI64">
        <v>0</v>
      </c>
      <c r="AJ64" t="s">
        <v>4659</v>
      </c>
      <c r="AK64" t="s">
        <v>4658</v>
      </c>
      <c r="AL64" t="s">
        <v>4660</v>
      </c>
    </row>
    <row r="65" spans="1:1" x14ac:dyDescent="0.2">
      <c r="A65">
        <v>1235768</v>
      </c>
    </row>
    <row r="66" spans="1:1" x14ac:dyDescent="0.2">
      <c r="A66">
        <v>1235769</v>
      </c>
    </row>
    <row r="67" spans="1:1" x14ac:dyDescent="0.2">
      <c r="A67">
        <v>1235540</v>
      </c>
    </row>
  </sheetData>
  <sheetProtection algorithmName="SHA-512" hashValue="jL2qC+1FJmcEcgpgUBNHxQb5B7NEXLrmEKA0gQB/yrEn0sYL5VWqdO6yRAjlxYp50prdWFXtzwxQLxkC9xd5CA==" saltValue="DgUwIouqhBouc21498A22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c r="B1"/>
      <c r="C1"/>
      <c r="D1"/>
    </row>
    <row r="2" spans="1:4" x14ac:dyDescent="0.2">
      <c r="A2"/>
      <c r="B2"/>
      <c r="C2"/>
      <c r="D2"/>
    </row>
    <row r="3" spans="1:4" x14ac:dyDescent="0.2">
      <c r="A3"/>
      <c r="B3"/>
      <c r="C3"/>
    </row>
    <row r="4" spans="1:4" x14ac:dyDescent="0.2">
      <c r="A4"/>
      <c r="B4"/>
      <c r="C4"/>
    </row>
    <row r="5" spans="1:4" x14ac:dyDescent="0.2">
      <c r="A5"/>
      <c r="B5"/>
      <c r="C5"/>
    </row>
    <row r="6" spans="1:4" x14ac:dyDescent="0.2">
      <c r="A6"/>
      <c r="B6"/>
      <c r="C6"/>
    </row>
    <row r="7" spans="1:4" x14ac:dyDescent="0.2">
      <c r="A7"/>
      <c r="B7"/>
      <c r="C7"/>
    </row>
    <row r="8" spans="1:4" x14ac:dyDescent="0.2">
      <c r="A8"/>
      <c r="B8"/>
      <c r="C8"/>
    </row>
    <row r="9" spans="1:4" x14ac:dyDescent="0.2">
      <c r="A9"/>
      <c r="B9"/>
      <c r="C9"/>
    </row>
    <row r="10" spans="1:4" x14ac:dyDescent="0.2">
      <c r="A10"/>
      <c r="B10"/>
      <c r="C10"/>
    </row>
    <row r="11" spans="1:4" x14ac:dyDescent="0.2">
      <c r="A11"/>
      <c r="B11"/>
      <c r="C11"/>
    </row>
    <row r="12" spans="1:4" x14ac:dyDescent="0.2">
      <c r="A12"/>
      <c r="B12"/>
      <c r="C12"/>
    </row>
    <row r="13" spans="1:4" x14ac:dyDescent="0.2">
      <c r="A13"/>
      <c r="B13"/>
      <c r="C13"/>
    </row>
    <row r="14" spans="1:4" x14ac:dyDescent="0.2">
      <c r="A14"/>
      <c r="B14"/>
      <c r="C14"/>
    </row>
    <row r="15" spans="1:4" x14ac:dyDescent="0.2">
      <c r="A15"/>
      <c r="B15"/>
      <c r="C15"/>
    </row>
    <row r="16" spans="1:4" x14ac:dyDescent="0.2">
      <c r="A16"/>
      <c r="B16"/>
      <c r="C16"/>
    </row>
    <row r="17" spans="1:4" x14ac:dyDescent="0.2">
      <c r="A17"/>
      <c r="B17"/>
      <c r="C17"/>
    </row>
    <row r="18" spans="1:4" x14ac:dyDescent="0.2">
      <c r="A18"/>
      <c r="B18"/>
      <c r="C18"/>
    </row>
    <row r="19" spans="1:4" x14ac:dyDescent="0.2">
      <c r="A19"/>
      <c r="B19"/>
      <c r="C19"/>
    </row>
    <row r="20" spans="1:4" x14ac:dyDescent="0.2">
      <c r="A20"/>
      <c r="B20"/>
      <c r="C20"/>
    </row>
    <row r="21" spans="1:4" x14ac:dyDescent="0.2">
      <c r="B21"/>
      <c r="C21"/>
    </row>
    <row r="23" spans="1:4" x14ac:dyDescent="0.2">
      <c r="B23"/>
      <c r="C23"/>
    </row>
    <row r="24" spans="1:4" x14ac:dyDescent="0.2">
      <c r="C24"/>
      <c r="D24"/>
    </row>
    <row r="25" spans="1:4" x14ac:dyDescent="0.2">
      <c r="C25"/>
      <c r="D25"/>
    </row>
    <row r="26" spans="1:4" x14ac:dyDescent="0.2">
      <c r="B26"/>
      <c r="C26"/>
    </row>
    <row r="27" spans="1:4" x14ac:dyDescent="0.2">
      <c r="B27"/>
      <c r="C27"/>
    </row>
    <row r="28" spans="1:4" x14ac:dyDescent="0.2">
      <c r="B28"/>
      <c r="C28"/>
    </row>
    <row r="29" spans="1:4" x14ac:dyDescent="0.2">
      <c r="B29"/>
      <c r="C29"/>
    </row>
    <row r="30" spans="1:4" x14ac:dyDescent="0.2">
      <c r="B30"/>
      <c r="C30"/>
    </row>
    <row r="31" spans="1:4" x14ac:dyDescent="0.2">
      <c r="B31"/>
      <c r="C31"/>
    </row>
    <row r="32" spans="1:4" x14ac:dyDescent="0.2">
      <c r="B32"/>
      <c r="C32"/>
    </row>
    <row r="33" spans="2:3" x14ac:dyDescent="0.2">
      <c r="B33"/>
      <c r="C33"/>
    </row>
    <row r="34" spans="2:3" x14ac:dyDescent="0.2">
      <c r="B34"/>
      <c r="C34"/>
    </row>
    <row r="35" spans="2:3" x14ac:dyDescent="0.2">
      <c r="B35"/>
      <c r="C35"/>
    </row>
    <row r="36" spans="2:3" x14ac:dyDescent="0.2">
      <c r="B36"/>
      <c r="C36"/>
    </row>
    <row r="37" spans="2:3" x14ac:dyDescent="0.2">
      <c r="B37"/>
      <c r="C37"/>
    </row>
    <row r="38" spans="2:3" x14ac:dyDescent="0.2">
      <c r="B38"/>
      <c r="C38"/>
    </row>
    <row r="39" spans="2:3" x14ac:dyDescent="0.2">
      <c r="B39"/>
      <c r="C39"/>
    </row>
    <row r="40" spans="2:3" x14ac:dyDescent="0.2">
      <c r="B40"/>
      <c r="C40"/>
    </row>
    <row r="42" spans="2:3" x14ac:dyDescent="0.2">
      <c r="B42"/>
      <c r="C42"/>
    </row>
    <row r="43" spans="2:3" x14ac:dyDescent="0.2">
      <c r="B43"/>
      <c r="C43"/>
    </row>
    <row r="44" spans="2:3" x14ac:dyDescent="0.2">
      <c r="B44"/>
      <c r="C44"/>
    </row>
    <row r="45" spans="2:3" x14ac:dyDescent="0.2">
      <c r="B45"/>
      <c r="C45"/>
    </row>
    <row r="46" spans="2:3" x14ac:dyDescent="0.2">
      <c r="B46"/>
      <c r="C46"/>
    </row>
    <row r="47" spans="2:3" x14ac:dyDescent="0.2">
      <c r="B47"/>
      <c r="C47"/>
    </row>
    <row r="49" spans="2:4" x14ac:dyDescent="0.2">
      <c r="B49"/>
      <c r="C49"/>
    </row>
    <row r="50" spans="2:4" x14ac:dyDescent="0.2">
      <c r="B50"/>
      <c r="C50"/>
    </row>
    <row r="51" spans="2:4" x14ac:dyDescent="0.2">
      <c r="B51"/>
      <c r="C51"/>
    </row>
    <row r="52" spans="2:4" x14ac:dyDescent="0.2">
      <c r="B52"/>
      <c r="C52"/>
    </row>
    <row r="53" spans="2:4" x14ac:dyDescent="0.2">
      <c r="B53"/>
      <c r="C53"/>
    </row>
    <row r="54" spans="2:4" x14ac:dyDescent="0.2">
      <c r="B54"/>
      <c r="C54"/>
    </row>
    <row r="55" spans="2:4" x14ac:dyDescent="0.2">
      <c r="B55"/>
      <c r="C55"/>
    </row>
    <row r="56" spans="2:4" x14ac:dyDescent="0.2">
      <c r="B56"/>
      <c r="C56"/>
    </row>
    <row r="57" spans="2:4" x14ac:dyDescent="0.2">
      <c r="B57"/>
      <c r="C57"/>
    </row>
    <row r="58" spans="2:4" x14ac:dyDescent="0.2">
      <c r="B58"/>
      <c r="C58"/>
    </row>
    <row r="59" spans="2:4" x14ac:dyDescent="0.2">
      <c r="B59"/>
      <c r="C59"/>
      <c r="D59"/>
    </row>
    <row r="60" spans="2:4" x14ac:dyDescent="0.2">
      <c r="B60"/>
      <c r="C60"/>
    </row>
    <row r="61" spans="2:4" x14ac:dyDescent="0.2">
      <c r="B61"/>
      <c r="C61"/>
    </row>
    <row r="62" spans="2:4" x14ac:dyDescent="0.2">
      <c r="B62"/>
      <c r="C62"/>
    </row>
    <row r="63" spans="2:4" x14ac:dyDescent="0.2">
      <c r="B63"/>
      <c r="C63"/>
    </row>
    <row r="64" spans="2:4" x14ac:dyDescent="0.2">
      <c r="B64"/>
      <c r="C64"/>
    </row>
    <row r="65" spans="2:4" x14ac:dyDescent="0.2">
      <c r="C65"/>
      <c r="D65"/>
    </row>
    <row r="66" spans="2:4" x14ac:dyDescent="0.2">
      <c r="C66"/>
      <c r="D66"/>
    </row>
    <row r="67" spans="2:4" x14ac:dyDescent="0.2">
      <c r="B67"/>
      <c r="C67"/>
      <c r="D67"/>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4680</v>
      </c>
      <c r="B1" s="44" t="s">
        <v>4678</v>
      </c>
      <c r="C1" s="44" t="s">
        <v>4679</v>
      </c>
    </row>
    <row r="2" spans="1:3" x14ac:dyDescent="0.2">
      <c r="A2" s="44" t="s">
        <v>4677</v>
      </c>
      <c r="B2">
        <v>-100</v>
      </c>
      <c r="C2">
        <v>450</v>
      </c>
    </row>
    <row r="3" spans="1:3" x14ac:dyDescent="0.2">
      <c r="A3" s="44" t="s">
        <v>4671</v>
      </c>
      <c r="B3">
        <v>-50</v>
      </c>
      <c r="C3">
        <v>450</v>
      </c>
    </row>
    <row r="4" spans="1:3" x14ac:dyDescent="0.2">
      <c r="A4" s="44" t="s">
        <v>4670</v>
      </c>
      <c r="B4">
        <v>70</v>
      </c>
      <c r="C4">
        <v>500</v>
      </c>
    </row>
    <row r="5" spans="1:3" x14ac:dyDescent="0.2">
      <c r="A5" s="44" t="s">
        <v>4672</v>
      </c>
      <c r="B5">
        <v>70</v>
      </c>
      <c r="C5">
        <v>450</v>
      </c>
    </row>
    <row r="6" spans="1:3" x14ac:dyDescent="0.2">
      <c r="A6" s="44" t="s">
        <v>4674</v>
      </c>
      <c r="B6">
        <v>70</v>
      </c>
      <c r="C6">
        <v>1000</v>
      </c>
    </row>
    <row r="7" spans="1:3" x14ac:dyDescent="0.2">
      <c r="A7" s="44" t="s">
        <v>4675</v>
      </c>
      <c r="B7">
        <v>200</v>
      </c>
      <c r="C7">
        <v>1850</v>
      </c>
    </row>
    <row r="8" spans="1:3" x14ac:dyDescent="0.2">
      <c r="A8" s="44" t="s">
        <v>4673</v>
      </c>
      <c r="B8">
        <v>700</v>
      </c>
      <c r="C8">
        <v>2200</v>
      </c>
    </row>
    <row r="9" spans="1:3" x14ac:dyDescent="0.2">
      <c r="A9" s="44" t="s">
        <v>4676</v>
      </c>
      <c r="B9">
        <v>700</v>
      </c>
      <c r="C9">
        <v>2200</v>
      </c>
    </row>
  </sheetData>
  <sheetProtection algorithmName="SHA-512" hashValue="gnJQwa/27jCQqYe6PtpsTGVIHbvaWIogmrFn1cK8sulX+PL7wAyl/Pe8v/JdrzeV4Bd71iziuVNzm900P7XaGQ==" saltValue="T6latfqpewYPPBuArzw91w=="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tabSelected="1" view="pageBreakPreview" topLeftCell="A28" zoomScale="70" zoomScaleNormal="100" zoomScaleSheetLayoutView="70" workbookViewId="0">
      <selection activeCell="F68" sqref="F68:H6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17" t="s">
        <v>145</v>
      </c>
      <c r="E1" s="617"/>
      <c r="F1" s="617"/>
      <c r="G1" s="617"/>
      <c r="H1" s="617"/>
      <c r="I1" s="617"/>
      <c r="J1" s="617"/>
      <c r="K1" s="617"/>
      <c r="L1" s="617"/>
      <c r="M1" s="617"/>
    </row>
    <row r="2" spans="1:18" ht="23.25" customHeight="1" x14ac:dyDescent="0.3">
      <c r="C2" s="358"/>
      <c r="D2" s="358" t="s">
        <v>891</v>
      </c>
      <c r="E2" s="358"/>
      <c r="F2" s="358"/>
      <c r="G2" s="358"/>
      <c r="H2" s="358"/>
      <c r="I2" s="358"/>
      <c r="J2" s="358"/>
      <c r="K2" s="358"/>
      <c r="L2" s="358"/>
      <c r="M2" s="358"/>
    </row>
    <row r="3" spans="1:18" ht="23.25" x14ac:dyDescent="0.35">
      <c r="C3" s="618"/>
      <c r="D3" s="618"/>
      <c r="E3" s="618"/>
      <c r="F3" s="618"/>
      <c r="G3" s="618"/>
      <c r="H3" s="618"/>
      <c r="I3" s="618"/>
      <c r="J3" s="618"/>
      <c r="K3" s="618"/>
      <c r="L3" s="618"/>
      <c r="M3" s="618"/>
    </row>
    <row r="4" spans="1:18" ht="23.25" x14ac:dyDescent="0.35">
      <c r="C4" s="342"/>
      <c r="D4" s="342"/>
      <c r="E4" s="342"/>
      <c r="F4" s="342"/>
      <c r="G4" s="342"/>
      <c r="H4" s="342"/>
      <c r="I4" s="342"/>
      <c r="J4" s="342"/>
      <c r="K4" s="342"/>
      <c r="L4" s="342"/>
      <c r="M4" s="342"/>
    </row>
    <row r="5" spans="1:18" ht="23.25" x14ac:dyDescent="0.35">
      <c r="C5" s="635" t="s">
        <v>18</v>
      </c>
      <c r="D5" s="635"/>
      <c r="E5" s="635"/>
      <c r="F5" s="635"/>
      <c r="G5" s="635"/>
      <c r="H5" s="635"/>
      <c r="I5" s="635"/>
      <c r="J5" s="635"/>
      <c r="K5" s="635"/>
      <c r="L5" s="635"/>
      <c r="M5" s="635"/>
    </row>
    <row r="6" spans="1:18" ht="23.25" x14ac:dyDescent="0.35">
      <c r="C6" s="343"/>
      <c r="D6" s="343"/>
      <c r="E6" s="602" t="str">
        <f>IF(Main!K14="","",CONCATENATE("Report Number: ", WorkItemNumber))</f>
        <v/>
      </c>
      <c r="F6" s="602"/>
      <c r="G6" s="602"/>
      <c r="H6" s="602"/>
      <c r="I6" s="602"/>
      <c r="J6" s="602"/>
      <c r="K6" s="602"/>
      <c r="L6" s="343"/>
      <c r="M6" s="343"/>
    </row>
    <row r="7" spans="1:18" ht="18.75" customHeight="1" x14ac:dyDescent="0.3">
      <c r="G7" s="614"/>
      <c r="H7" s="614"/>
      <c r="I7" s="316"/>
      <c r="R7" t="str">
        <f>CONCATENATE("Page ",Main!L9," of ",Main!L10)</f>
        <v xml:space="preserve">Page  of </v>
      </c>
    </row>
    <row r="8" spans="1:18" ht="18" customHeight="1" x14ac:dyDescent="0.25">
      <c r="G8" s="630"/>
      <c r="H8" s="630"/>
      <c r="J8" s="106"/>
      <c r="K8" s="344" t="s">
        <v>888</v>
      </c>
      <c r="L8" s="339" t="e">
        <f>'Header Info OLD'!AX2</f>
        <v>#REF!</v>
      </c>
      <c r="M8" s="339"/>
      <c r="N8" s="339"/>
      <c r="O8" s="339"/>
    </row>
    <row r="9" spans="1:18" ht="18" customHeight="1" x14ac:dyDescent="0.25">
      <c r="A9" s="344" t="s">
        <v>840</v>
      </c>
      <c r="B9" s="38" t="str">
        <f>Main!D5</f>
        <v>CHROME PLUS INT'L - WICHITA</v>
      </c>
      <c r="J9" s="106"/>
      <c r="K9" s="344" t="s">
        <v>889</v>
      </c>
      <c r="L9" s="615" t="e">
        <f>'Header Info OLD'!AY2</f>
        <v>#REF!</v>
      </c>
      <c r="M9" s="615"/>
      <c r="N9" s="615"/>
      <c r="O9" s="615"/>
    </row>
    <row r="10" spans="1:18" ht="18" customHeight="1" x14ac:dyDescent="0.25">
      <c r="A10" s="118"/>
      <c r="B10" s="339" t="str">
        <f>IF('Header Info OLD'!AU2=0,"",'Header Info OLD'!AU2)</f>
        <v>3838 W. MAY ST.</v>
      </c>
      <c r="J10" s="106"/>
      <c r="K10" s="344"/>
      <c r="L10" s="615"/>
      <c r="M10" s="615"/>
      <c r="N10" s="615"/>
      <c r="O10" s="615"/>
    </row>
    <row r="11" spans="1:18" ht="18" customHeight="1" x14ac:dyDescent="0.25">
      <c r="A11" s="118"/>
      <c r="B11" s="339" t="str">
        <f>IF('Header Info OLD'!AV2=0,"",'Header Info OLD'!AV2)</f>
        <v>WICHITA, KS 67213</v>
      </c>
      <c r="J11" s="106"/>
      <c r="K11" s="344" t="s">
        <v>890</v>
      </c>
      <c r="L11" s="339" t="e">
        <f>'Header Info OLD'!AZ2</f>
        <v>#REF!</v>
      </c>
      <c r="M11" s="339"/>
      <c r="N11" s="339"/>
      <c r="O11" s="339"/>
    </row>
    <row r="12" spans="1:18" ht="18" customHeight="1" x14ac:dyDescent="0.25">
      <c r="A12" s="118"/>
      <c r="B12" s="339" t="str">
        <f>IF('Header Info OLD'!AW2=0,"",'Header Info OLD'!AW2)</f>
        <v/>
      </c>
      <c r="J12" s="106"/>
      <c r="K12" s="344"/>
      <c r="L12" s="345"/>
      <c r="M12" s="345"/>
      <c r="N12" s="345"/>
      <c r="O12" s="345"/>
    </row>
    <row r="13" spans="1:18" ht="8.1" customHeight="1" x14ac:dyDescent="0.2">
      <c r="A13" s="118"/>
      <c r="K13" s="332"/>
    </row>
    <row r="14" spans="1:18" ht="18" customHeight="1" x14ac:dyDescent="0.25">
      <c r="A14" s="349" t="s">
        <v>841</v>
      </c>
      <c r="B14" s="346" t="str">
        <f>'Header Info OLD'!BA2</f>
        <v>CURE OVEN</v>
      </c>
      <c r="C14" s="347"/>
      <c r="D14" s="347"/>
      <c r="E14" s="347"/>
      <c r="F14" s="321"/>
      <c r="G14" s="335" t="s">
        <v>846</v>
      </c>
      <c r="H14" s="346" t="e">
        <f>'Header Info OLD'!BF2</f>
        <v>#REF!</v>
      </c>
      <c r="I14" s="321"/>
      <c r="J14" s="321"/>
      <c r="K14" s="321"/>
      <c r="L14" s="321"/>
      <c r="M14" s="335" t="s">
        <v>851</v>
      </c>
      <c r="N14" s="346">
        <f>Main!D7</f>
        <v>0</v>
      </c>
      <c r="O14" s="322"/>
    </row>
    <row r="15" spans="1:18" ht="18" customHeight="1" x14ac:dyDescent="0.25">
      <c r="A15" s="350" t="s">
        <v>842</v>
      </c>
      <c r="B15" s="348" t="str">
        <f>'Header Info OLD'!BB2</f>
        <v>GENERIC 2354</v>
      </c>
      <c r="C15" s="339"/>
      <c r="D15" s="339"/>
      <c r="E15" s="339"/>
      <c r="G15" s="344" t="s">
        <v>847</v>
      </c>
      <c r="H15" s="348" t="e">
        <f>'Header Info OLD'!BG2</f>
        <v>#REF!</v>
      </c>
      <c r="M15" s="344" t="s">
        <v>852</v>
      </c>
      <c r="N15" s="352">
        <f>Main!D3</f>
        <v>0</v>
      </c>
      <c r="O15" s="323"/>
    </row>
    <row r="16" spans="1:18" ht="18" customHeight="1" x14ac:dyDescent="0.25">
      <c r="A16" s="350" t="s">
        <v>843</v>
      </c>
      <c r="B16" s="632" t="str">
        <f>'Header Info OLD'!BC2</f>
        <v>OVEN NO. 13</v>
      </c>
      <c r="C16" s="632"/>
      <c r="D16" s="632"/>
      <c r="E16" s="632"/>
      <c r="G16" s="344" t="s">
        <v>848</v>
      </c>
      <c r="H16" s="348" t="e">
        <f>'Header Info OLD'!BH2</f>
        <v>#REF!</v>
      </c>
      <c r="M16" s="344" t="s">
        <v>853</v>
      </c>
      <c r="N16" s="352" t="e">
        <f>IF('Header Info OLD'!BK2="N/A", "N/A", EDATE(N15, CHOOSE(MATCH('Header Info OLD'!BK2, {"M","2 Mo","Q","4 Mo","6 Mo","A","2Yr","3Yr"}, 0), 1, 2, 3, 4, 6, 12, 24, 36)))</f>
        <v>#REF!</v>
      </c>
      <c r="O16" s="323"/>
    </row>
    <row r="17" spans="1:19" ht="18" customHeight="1" x14ac:dyDescent="0.25">
      <c r="A17" s="350" t="s">
        <v>844</v>
      </c>
      <c r="B17" s="403" t="str">
        <f>'Header Info OLD'!BD2</f>
        <v>Oven No. 1</v>
      </c>
      <c r="C17" s="339"/>
      <c r="D17" s="339"/>
      <c r="E17" s="339"/>
      <c r="G17" s="344" t="s">
        <v>849</v>
      </c>
      <c r="H17" s="348" t="e">
        <f>'Header Info OLD'!BI2</f>
        <v>#REF!</v>
      </c>
      <c r="M17" s="344" t="str">
        <f>IF(Main!K13="","","PO:")</f>
        <v/>
      </c>
      <c r="N17" s="348" t="str">
        <f>IF(Main!K13="","",Main!K13)</f>
        <v/>
      </c>
      <c r="O17" s="323"/>
    </row>
    <row r="18" spans="1:19" ht="18" customHeight="1" x14ac:dyDescent="0.25">
      <c r="A18" s="350" t="s">
        <v>845</v>
      </c>
      <c r="B18" s="621">
        <f>'Header Info OLD'!BE2</f>
        <v>0</v>
      </c>
      <c r="C18" s="621"/>
      <c r="D18" s="621"/>
      <c r="E18" s="621"/>
      <c r="G18" s="344" t="s">
        <v>850</v>
      </c>
      <c r="H18" s="348" t="e">
        <f>'Header Info OLD'!BJ2</f>
        <v>#REF!</v>
      </c>
      <c r="M18" s="344" t="s">
        <v>854</v>
      </c>
      <c r="N18" s="348" t="str">
        <f>Main!G18</f>
        <v>ACCEPTED</v>
      </c>
      <c r="O18" s="323"/>
    </row>
    <row r="19" spans="1:19" ht="18" customHeight="1" x14ac:dyDescent="0.25">
      <c r="A19" s="334"/>
      <c r="B19" s="622"/>
      <c r="C19" s="622"/>
      <c r="D19" s="622"/>
      <c r="E19" s="622"/>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859</v>
      </c>
      <c r="B21" s="633" t="e">
        <f>'Header Info OLD'!BL2</f>
        <v>#REF!</v>
      </c>
      <c r="C21" s="633"/>
      <c r="D21" s="633"/>
      <c r="E21" s="633"/>
      <c r="F21" s="335" t="s">
        <v>861</v>
      </c>
      <c r="G21" s="633" t="e">
        <f>'Header Info OLD'!BM2</f>
        <v>#REF!</v>
      </c>
      <c r="H21" s="633"/>
      <c r="I21" s="633"/>
      <c r="J21" s="335" t="s">
        <v>862</v>
      </c>
      <c r="K21" s="347" t="e">
        <f>'Header Info OLD'!BN2</f>
        <v>#REF!</v>
      </c>
      <c r="L21" s="321"/>
      <c r="M21" s="335" t="s">
        <v>863</v>
      </c>
      <c r="N21" s="360" t="e">
        <f>Main!G27</f>
        <v>#REF!</v>
      </c>
      <c r="O21" s="322"/>
    </row>
    <row r="22" spans="1:19" ht="18" customHeight="1" x14ac:dyDescent="0.25">
      <c r="A22" s="353" t="s">
        <v>860</v>
      </c>
      <c r="B22" s="634" t="e">
        <f>'Header Info OLD'!BO2</f>
        <v>#REF!</v>
      </c>
      <c r="C22" s="634"/>
      <c r="D22" s="634"/>
      <c r="E22" s="634"/>
      <c r="F22" s="336" t="s">
        <v>861</v>
      </c>
      <c r="G22" s="634" t="e">
        <f>'Header Info OLD'!BP2</f>
        <v>#REF!</v>
      </c>
      <c r="H22" s="634"/>
      <c r="I22" s="634"/>
      <c r="J22" s="336" t="s">
        <v>862</v>
      </c>
      <c r="K22" s="359" t="e">
        <f>'Header Info OLD'!BQ2</f>
        <v>#REF!</v>
      </c>
      <c r="L22" s="324"/>
      <c r="M22" s="336" t="s">
        <v>863</v>
      </c>
      <c r="N22" s="361" t="e">
        <f>Main!G28</f>
        <v>#REF!</v>
      </c>
      <c r="O22" s="325"/>
    </row>
    <row r="23" spans="1:19" ht="8.1" customHeight="1" x14ac:dyDescent="0.25">
      <c r="A23" s="106"/>
      <c r="B23" s="339"/>
      <c r="C23" s="339"/>
      <c r="D23" s="339"/>
      <c r="E23" s="328"/>
    </row>
    <row r="24" spans="1:19" ht="18" customHeight="1" x14ac:dyDescent="0.25">
      <c r="A24" s="349" t="s">
        <v>864</v>
      </c>
      <c r="B24" s="355">
        <f>Temperature</f>
        <v>0</v>
      </c>
      <c r="C24" s="347"/>
      <c r="D24" s="347"/>
      <c r="E24" s="329"/>
      <c r="F24" s="321"/>
      <c r="G24" s="335" t="s">
        <v>867</v>
      </c>
      <c r="H24" s="337">
        <f>Main!D26</f>
        <v>0</v>
      </c>
      <c r="I24" s="321"/>
      <c r="J24" s="321"/>
      <c r="K24" s="321"/>
      <c r="L24" s="333"/>
      <c r="M24" s="335" t="s">
        <v>871</v>
      </c>
      <c r="N24" s="347" t="str">
        <f ca="1">TEXT(Access_Data!D33,"0.0") &amp; "°F / " &amp; TEXT(Access_Data!H33,"0.0") &amp; "°F"</f>
        <v>0.0°F / 0.0°F</v>
      </c>
      <c r="O24" s="322"/>
    </row>
    <row r="25" spans="1:19" ht="18" customHeight="1" x14ac:dyDescent="0.25">
      <c r="A25" s="350" t="s">
        <v>865</v>
      </c>
      <c r="B25" s="356">
        <f>Main!D15</f>
        <v>0</v>
      </c>
      <c r="C25" s="339"/>
      <c r="D25" s="339"/>
      <c r="E25" s="328"/>
      <c r="G25" s="344" t="s">
        <v>868</v>
      </c>
      <c r="H25" s="338" t="e">
        <f>Main!E29</f>
        <v>#VALUE!</v>
      </c>
      <c r="L25" s="106"/>
      <c r="M25" s="344" t="s">
        <v>872</v>
      </c>
      <c r="N25" s="339" t="e">
        <f>IF(Main!H15=TRUE,Main!G17,"VERIFY LOAD!!!")</f>
        <v>#REF!</v>
      </c>
      <c r="O25" s="323"/>
      <c r="R25" s="175"/>
      <c r="S25" s="100"/>
    </row>
    <row r="26" spans="1:19" ht="18" customHeight="1" x14ac:dyDescent="0.25">
      <c r="A26" s="350" t="s">
        <v>866</v>
      </c>
      <c r="B26" s="339" t="s">
        <v>686</v>
      </c>
      <c r="C26" s="339"/>
      <c r="D26" s="339"/>
      <c r="E26" s="328"/>
      <c r="G26" s="344" t="s">
        <v>869</v>
      </c>
      <c r="H26" s="339" t="str">
        <f>Main!I19</f>
        <v>N/A</v>
      </c>
      <c r="L26" s="106"/>
      <c r="M26" s="344" t="s">
        <v>870</v>
      </c>
      <c r="N26" s="339" t="e">
        <f ca="1">TEXT(Access_Data!K33,"0.0") &amp; "°F"</f>
        <v>#VALUE!</v>
      </c>
      <c r="O26" s="323"/>
    </row>
    <row r="27" spans="1:19" ht="18" customHeight="1" x14ac:dyDescent="0.2">
      <c r="A27" s="354"/>
      <c r="B27" s="324"/>
      <c r="C27" s="631" t="s">
        <v>873</v>
      </c>
      <c r="D27" s="631"/>
      <c r="E27" s="631"/>
      <c r="F27" s="631"/>
      <c r="G27" s="631"/>
      <c r="H27" s="631"/>
      <c r="I27" s="631"/>
      <c r="J27" s="631"/>
      <c r="K27" s="631"/>
      <c r="L27" s="631"/>
      <c r="M27" s="631"/>
      <c r="N27" s="324"/>
      <c r="O27" s="325"/>
    </row>
    <row r="28" spans="1:19" ht="8.1" customHeight="1" x14ac:dyDescent="0.2"/>
    <row r="29" spans="1:19" ht="18" customHeight="1" x14ac:dyDescent="0.2">
      <c r="A29" s="627" t="s">
        <v>820</v>
      </c>
      <c r="B29" s="628"/>
      <c r="C29" s="629"/>
      <c r="D29" s="627" t="s">
        <v>874</v>
      </c>
      <c r="E29" s="628"/>
      <c r="F29" s="628"/>
      <c r="G29" s="629"/>
      <c r="H29" s="627" t="s">
        <v>821</v>
      </c>
      <c r="I29" s="628"/>
      <c r="J29" s="628"/>
      <c r="K29" s="629"/>
      <c r="L29" s="627" t="s">
        <v>610</v>
      </c>
      <c r="M29" s="628"/>
      <c r="N29" s="628"/>
      <c r="O29" s="629"/>
    </row>
    <row r="30" spans="1:19" ht="18" customHeight="1" x14ac:dyDescent="0.2">
      <c r="A30" s="340"/>
      <c r="B30" s="330" t="e">
        <f>'Header Info OLD'!BS2</f>
        <v>#REF!</v>
      </c>
      <c r="C30" s="341"/>
      <c r="D30" s="624" t="str">
        <f>CONCATENATE(Main!D22,"°F"," / ",Main!D23,"% RH")</f>
        <v>°F / % RH</v>
      </c>
      <c r="E30" s="625"/>
      <c r="F30" s="625"/>
      <c r="G30" s="626"/>
      <c r="H30" s="624" t="e">
        <f>'Header Info OLD'!BT2</f>
        <v>#REF!</v>
      </c>
      <c r="I30" s="625"/>
      <c r="J30" s="625"/>
      <c r="K30" s="626"/>
      <c r="L30" s="624" t="e">
        <f>'Header Info OLD'!BU2</f>
        <v>#REF!</v>
      </c>
      <c r="M30" s="625"/>
      <c r="N30" s="625"/>
      <c r="O30" s="626"/>
    </row>
    <row r="31" spans="1:19" ht="18" customHeight="1" x14ac:dyDescent="0.2"/>
    <row r="32" spans="1:19" ht="18" customHeight="1" x14ac:dyDescent="0.25">
      <c r="A32" s="363" t="s">
        <v>875</v>
      </c>
      <c r="B32" s="616" t="s">
        <v>876</v>
      </c>
      <c r="C32" s="616"/>
      <c r="D32" s="363" t="s">
        <v>797</v>
      </c>
      <c r="E32" s="363" t="s">
        <v>796</v>
      </c>
      <c r="F32" s="363" t="s">
        <v>877</v>
      </c>
      <c r="G32" s="106"/>
      <c r="H32" s="106"/>
      <c r="I32" s="363" t="s">
        <v>875</v>
      </c>
      <c r="J32" s="616" t="s">
        <v>876</v>
      </c>
      <c r="K32" s="616"/>
      <c r="L32" s="363" t="s">
        <v>797</v>
      </c>
      <c r="M32" s="363" t="s">
        <v>796</v>
      </c>
      <c r="N32" s="363" t="s">
        <v>877</v>
      </c>
    </row>
    <row r="33" spans="1:14" ht="18" customHeight="1" x14ac:dyDescent="0.2">
      <c r="A33" s="364" t="str">
        <f>IF(B33="","",1)</f>
        <v/>
      </c>
      <c r="B33" s="614" t="str">
        <f>IF(Main!O5="","",Main!O5)</f>
        <v/>
      </c>
      <c r="C33" s="614"/>
      <c r="D33" s="365" t="str">
        <f ca="1">IF(Access_Data!B27="","",Access_Data!B27)</f>
        <v/>
      </c>
      <c r="E33" s="365" t="str">
        <f ca="1">IF(Access_Data!B29="","",Access_Data!B29)</f>
        <v/>
      </c>
      <c r="F33" s="365" t="str">
        <f ca="1">IF(Access_Data!B31="","",Access_Data!B31)</f>
        <v/>
      </c>
      <c r="G33" s="106"/>
      <c r="H33" s="106"/>
      <c r="I33" s="364" t="str">
        <f>IF(J33="","",21)</f>
        <v/>
      </c>
      <c r="J33" s="614" t="str">
        <f>IF(Main!O25="","",Main!O25)</f>
        <v/>
      </c>
      <c r="K33" s="614"/>
      <c r="L33" s="365" t="str">
        <f ca="1">IF(Access_Data!AB27="","",Access_Data!AB27)</f>
        <v/>
      </c>
      <c r="M33" s="365" t="str">
        <f ca="1">IF(Access_Data!AB29="","",Access_Data!AB29)</f>
        <v/>
      </c>
      <c r="N33" s="365" t="str">
        <f ca="1">IF(Access_Data!AB31="","",Access_Data!AB31)</f>
        <v/>
      </c>
    </row>
    <row r="34" spans="1:14" ht="18" customHeight="1" x14ac:dyDescent="0.2">
      <c r="A34" s="364" t="str">
        <f>IF(B34="","",2)</f>
        <v/>
      </c>
      <c r="B34" s="614" t="str">
        <f>IF(Main!O6="","",Main!O6)</f>
        <v/>
      </c>
      <c r="C34" s="614"/>
      <c r="D34" s="365" t="str">
        <f ca="1">IF(Access_Data!C27="","",Access_Data!C27)</f>
        <v/>
      </c>
      <c r="E34" s="365" t="str">
        <f ca="1">IF(Access_Data!C29="","",Access_Data!C29)</f>
        <v/>
      </c>
      <c r="F34" s="365" t="str">
        <f ca="1">IF(Access_Data!C31="","",Access_Data!C31)</f>
        <v/>
      </c>
      <c r="G34" s="106"/>
      <c r="H34" s="106"/>
      <c r="I34" s="364" t="str">
        <f>IF(J34="","",22)</f>
        <v/>
      </c>
      <c r="J34" s="614" t="str">
        <f>IF(Main!O26="","",Main!O26)</f>
        <v/>
      </c>
      <c r="K34" s="614"/>
      <c r="L34" s="365" t="str">
        <f ca="1">IF(Access_Data!AC27="","",Access_Data!AC27)</f>
        <v/>
      </c>
      <c r="M34" s="365" t="str">
        <f ca="1">IF(Access_Data!AC29="","",Access_Data!AC29)</f>
        <v/>
      </c>
      <c r="N34" s="365" t="str">
        <f ca="1">IF(Access_Data!AC31="","",Access_Data!AC31)</f>
        <v/>
      </c>
    </row>
    <row r="35" spans="1:14" ht="18" customHeight="1" x14ac:dyDescent="0.2">
      <c r="A35" s="364" t="str">
        <f>IF(B35="","",3)</f>
        <v/>
      </c>
      <c r="B35" s="614" t="str">
        <f>IF(Main!O7="","",Main!O7)</f>
        <v/>
      </c>
      <c r="C35" s="614"/>
      <c r="D35" s="365" t="str">
        <f ca="1">IF(Access_Data!D27="","",Access_Data!D27)</f>
        <v/>
      </c>
      <c r="E35" s="365" t="str">
        <f ca="1">IF(Access_Data!D29="","",Access_Data!D29)</f>
        <v/>
      </c>
      <c r="F35" s="365" t="str">
        <f ca="1">IF(Access_Data!D31="","",Access_Data!D31)</f>
        <v/>
      </c>
      <c r="G35" s="106"/>
      <c r="H35" s="106"/>
      <c r="I35" s="364" t="str">
        <f>IF(J35="","",23)</f>
        <v/>
      </c>
      <c r="J35" s="614" t="str">
        <f>IF(Main!O27="","",Main!O27)</f>
        <v/>
      </c>
      <c r="K35" s="614"/>
      <c r="L35" s="365" t="str">
        <f ca="1">IF(Access_Data!AD27="","",Access_Data!AD27)</f>
        <v/>
      </c>
      <c r="M35" s="365" t="str">
        <f ca="1">IF(Access_Data!AD29="","",Access_Data!AD29)</f>
        <v/>
      </c>
      <c r="N35" s="365" t="str">
        <f ca="1">IF(Access_Data!AD31="","",Access_Data!AD31)</f>
        <v/>
      </c>
    </row>
    <row r="36" spans="1:14" ht="18" customHeight="1" x14ac:dyDescent="0.2">
      <c r="A36" s="364" t="str">
        <f>IF(B36="","",4)</f>
        <v/>
      </c>
      <c r="B36" s="614" t="str">
        <f>IF(Main!O8="","",Main!O8)</f>
        <v/>
      </c>
      <c r="C36" s="614"/>
      <c r="D36" s="365" t="str">
        <f ca="1">IF(Access_Data!E27="","",Access_Data!E27)</f>
        <v/>
      </c>
      <c r="E36" s="365" t="str">
        <f ca="1">IF(Access_Data!E29="","",Access_Data!E29)</f>
        <v/>
      </c>
      <c r="F36" s="365" t="str">
        <f ca="1">IF(Access_Data!E31="","",Access_Data!E31)</f>
        <v/>
      </c>
      <c r="G36" s="106"/>
      <c r="H36" s="106"/>
      <c r="I36" s="364" t="str">
        <f>IF(J36="","",24)</f>
        <v/>
      </c>
      <c r="J36" s="614" t="str">
        <f>IF(Main!O28="","",Main!O28)</f>
        <v/>
      </c>
      <c r="K36" s="614"/>
      <c r="L36" s="365" t="str">
        <f ca="1">IF(Access_Data!AE27="","",Access_Data!AE27)</f>
        <v/>
      </c>
      <c r="M36" s="365" t="str">
        <f ca="1">IF(Access_Data!AE29="","",Access_Data!AE29)</f>
        <v/>
      </c>
      <c r="N36" s="365" t="str">
        <f ca="1">IF(Access_Data!AE31="","",Access_Data!AE31)</f>
        <v/>
      </c>
    </row>
    <row r="37" spans="1:14" ht="18" customHeight="1" x14ac:dyDescent="0.2">
      <c r="A37" s="364" t="str">
        <f>IF(B37="","",5)</f>
        <v/>
      </c>
      <c r="B37" s="614" t="str">
        <f>IF(Main!O9="","",Main!O9)</f>
        <v/>
      </c>
      <c r="C37" s="614"/>
      <c r="D37" s="365" t="str">
        <f ca="1">IF(Access_Data!F27="","",Access_Data!F27)</f>
        <v/>
      </c>
      <c r="E37" s="365" t="str">
        <f ca="1">IF(Access_Data!F29="","",Access_Data!F29)</f>
        <v/>
      </c>
      <c r="F37" s="365" t="str">
        <f ca="1">IF(Access_Data!F31="","",Access_Data!F31)</f>
        <v/>
      </c>
      <c r="G37" s="106"/>
      <c r="H37" s="106"/>
      <c r="I37" s="364" t="str">
        <f>IF(J37="","",25)</f>
        <v/>
      </c>
      <c r="J37" s="614" t="str">
        <f>IF(Main!O29="","",Main!O29)</f>
        <v/>
      </c>
      <c r="K37" s="614"/>
      <c r="L37" s="365" t="str">
        <f ca="1">IF(Access_Data!AF27="","",Access_Data!AF27)</f>
        <v/>
      </c>
      <c r="M37" s="365" t="str">
        <f ca="1">IF(Access_Data!AF29="","",Access_Data!AF29)</f>
        <v/>
      </c>
      <c r="N37" s="365" t="str">
        <f ca="1">IF(Access_Data!AF31="","",Access_Data!AF31)</f>
        <v/>
      </c>
    </row>
    <row r="38" spans="1:14" ht="18" customHeight="1" x14ac:dyDescent="0.2">
      <c r="A38" s="364" t="str">
        <f>IF(B38="","",6)</f>
        <v/>
      </c>
      <c r="B38" s="614" t="str">
        <f>IF(Main!O10="","",Main!O10)</f>
        <v/>
      </c>
      <c r="C38" s="614"/>
      <c r="D38" s="365" t="str">
        <f ca="1">IF(Access_Data!G27="","",Access_Data!G27)</f>
        <v/>
      </c>
      <c r="E38" s="365" t="str">
        <f ca="1">IF(Access_Data!G29="","",Access_Data!G29)</f>
        <v/>
      </c>
      <c r="F38" s="365" t="str">
        <f ca="1">IF(Access_Data!G31="","",Access_Data!G31)</f>
        <v/>
      </c>
      <c r="G38" s="106"/>
      <c r="H38" s="106"/>
      <c r="I38" s="364" t="str">
        <f>IF(J38="","",26)</f>
        <v/>
      </c>
      <c r="J38" s="614" t="str">
        <f>IF(Main!O30="","",Main!O30)</f>
        <v/>
      </c>
      <c r="K38" s="614"/>
      <c r="L38" s="365" t="str">
        <f ca="1">IF(Access_Data!AG27="","",Access_Data!AG27)</f>
        <v/>
      </c>
      <c r="M38" s="365" t="str">
        <f ca="1">IF(Access_Data!AG29="","",Access_Data!AG29)</f>
        <v/>
      </c>
      <c r="N38" s="365" t="str">
        <f ca="1">IF(Access_Data!AG31="","",Access_Data!AG31)</f>
        <v/>
      </c>
    </row>
    <row r="39" spans="1:14" ht="18" customHeight="1" x14ac:dyDescent="0.2">
      <c r="A39" s="364" t="str">
        <f>IF(B39="","",7)</f>
        <v/>
      </c>
      <c r="B39" s="614" t="str">
        <f>IF(Main!O11="","",Main!O11)</f>
        <v/>
      </c>
      <c r="C39" s="614"/>
      <c r="D39" s="365" t="str">
        <f ca="1">IF(Access_Data!H27="","",Access_Data!H27)</f>
        <v/>
      </c>
      <c r="E39" s="365" t="str">
        <f ca="1">IF(Access_Data!H29="","",Access_Data!H29)</f>
        <v/>
      </c>
      <c r="F39" s="365" t="str">
        <f ca="1">IF(Access_Data!H31="","",Access_Data!H31)</f>
        <v/>
      </c>
      <c r="G39" s="106"/>
      <c r="H39" s="106"/>
      <c r="I39" s="364" t="str">
        <f>IF(J39="","",27)</f>
        <v/>
      </c>
      <c r="J39" s="614" t="str">
        <f>IF(Main!O31="","",Main!O31)</f>
        <v/>
      </c>
      <c r="K39" s="614"/>
      <c r="L39" s="365" t="str">
        <f ca="1">IF(Access_Data!AH27="","",Access_Data!AH27)</f>
        <v/>
      </c>
      <c r="M39" s="365" t="str">
        <f ca="1">IF(Access_Data!AH29="","",Access_Data!AH29)</f>
        <v/>
      </c>
      <c r="N39" s="365" t="str">
        <f ca="1">IF(Access_Data!AH31="","",Access_Data!AH31)</f>
        <v/>
      </c>
    </row>
    <row r="40" spans="1:14" ht="18" customHeight="1" x14ac:dyDescent="0.2">
      <c r="A40" s="364" t="str">
        <f>IF(B40="","",8)</f>
        <v/>
      </c>
      <c r="B40" s="614" t="str">
        <f>IF(Main!O12="","",Main!O12)</f>
        <v/>
      </c>
      <c r="C40" s="614"/>
      <c r="D40" s="365" t="str">
        <f ca="1">IF(Access_Data!I27="","",Access_Data!I27)</f>
        <v/>
      </c>
      <c r="E40" s="365" t="str">
        <f ca="1">IF(Access_Data!I29="","",Access_Data!I29)</f>
        <v/>
      </c>
      <c r="F40" s="365" t="str">
        <f ca="1">IF(Access_Data!I31="","",Access_Data!I31)</f>
        <v/>
      </c>
      <c r="G40" s="106"/>
      <c r="H40" s="106"/>
      <c r="I40" s="364" t="str">
        <f>IF(J40="","",28)</f>
        <v/>
      </c>
      <c r="J40" s="614" t="str">
        <f>IF(Main!O32="","",Main!O32)</f>
        <v/>
      </c>
      <c r="K40" s="614"/>
      <c r="L40" s="365" t="str">
        <f ca="1">IF(Access_Data!AI27="","",Access_Data!AI27)</f>
        <v/>
      </c>
      <c r="M40" s="365" t="str">
        <f ca="1">IF(Access_Data!AI29="","",Access_Data!AI29)</f>
        <v/>
      </c>
      <c r="N40" s="365" t="str">
        <f ca="1">IF(Access_Data!AI31="","",Access_Data!AI31)</f>
        <v/>
      </c>
    </row>
    <row r="41" spans="1:14" ht="18" customHeight="1" x14ac:dyDescent="0.2">
      <c r="A41" s="364" t="str">
        <f>IF(B41="","",9)</f>
        <v/>
      </c>
      <c r="B41" s="614" t="str">
        <f>IF(Main!O13="","",Main!O13)</f>
        <v/>
      </c>
      <c r="C41" s="614"/>
      <c r="D41" s="365" t="str">
        <f ca="1">IF(Access_Data!J27="","",Access_Data!J27)</f>
        <v/>
      </c>
      <c r="E41" s="365" t="str">
        <f ca="1">IF(Access_Data!J29="","",Access_Data!J29)</f>
        <v/>
      </c>
      <c r="F41" s="365" t="str">
        <f ca="1">IF(Access_Data!J31="","",Access_Data!J31)</f>
        <v/>
      </c>
      <c r="G41" s="106"/>
      <c r="H41" s="106"/>
      <c r="I41" s="364" t="str">
        <f>IF(J41="","",29)</f>
        <v/>
      </c>
      <c r="J41" s="614" t="str">
        <f>IF(Main!O33="","",Main!O33)</f>
        <v/>
      </c>
      <c r="K41" s="614"/>
      <c r="L41" s="365" t="str">
        <f ca="1">IF(Access_Data!AP27="","",Access_Data!AP27)</f>
        <v/>
      </c>
      <c r="M41" s="365" t="str">
        <f ca="1">IF(Access_Data!AP29="","",Access_Data!AP29)</f>
        <v/>
      </c>
      <c r="N41" s="365" t="str">
        <f ca="1">IF(Access_Data!AP31="","",Access_Data!AP31)</f>
        <v/>
      </c>
    </row>
    <row r="42" spans="1:14" ht="18" customHeight="1" x14ac:dyDescent="0.2">
      <c r="A42" s="364" t="str">
        <f>IF(B42="","",10)</f>
        <v/>
      </c>
      <c r="B42" s="614" t="str">
        <f>IF(Main!O14="","",Main!O14)</f>
        <v/>
      </c>
      <c r="C42" s="614"/>
      <c r="D42" s="365" t="str">
        <f ca="1">IF(Access_Data!K27="","",Access_Data!K27)</f>
        <v/>
      </c>
      <c r="E42" s="365" t="str">
        <f ca="1">IF(Access_Data!K29="","",Access_Data!K29)</f>
        <v/>
      </c>
      <c r="F42" s="365" t="str">
        <f ca="1">IF(Access_Data!K31="","",Access_Data!K31)</f>
        <v/>
      </c>
      <c r="G42" s="106"/>
      <c r="H42" s="106"/>
      <c r="I42" s="364" t="str">
        <f>IF(J42="","",30)</f>
        <v/>
      </c>
      <c r="J42" s="614" t="str">
        <f>IF(Main!O34="","",Main!O34)</f>
        <v/>
      </c>
      <c r="K42" s="614"/>
      <c r="L42" s="365" t="str">
        <f ca="1">IF(Access_Data!AQ27="","",Access_Data!AQ27)</f>
        <v/>
      </c>
      <c r="M42" s="365" t="str">
        <f ca="1">IF(Access_Data!AQ29="","",Access_Data!AQ29)</f>
        <v/>
      </c>
      <c r="N42" s="365">
        <f ca="1">IF(Access_Data!AQ31="","",Access_Data!AQ31)</f>
        <v>0</v>
      </c>
    </row>
    <row r="43" spans="1:14" ht="18" customHeight="1" x14ac:dyDescent="0.2">
      <c r="A43" s="364" t="str">
        <f>IF(B43="","",11)</f>
        <v/>
      </c>
      <c r="B43" s="614" t="str">
        <f>IF(Main!O15="","",Main!O15)</f>
        <v/>
      </c>
      <c r="C43" s="614"/>
      <c r="D43" s="365" t="str">
        <f ca="1">IF(Access_Data!L27="","",Access_Data!L27)</f>
        <v/>
      </c>
      <c r="E43" s="365" t="str">
        <f ca="1">IF(Access_Data!L29="","",Access_Data!L29)</f>
        <v/>
      </c>
      <c r="F43" s="365" t="str">
        <f ca="1">IF(Access_Data!L31="","",Access_Data!L31)</f>
        <v/>
      </c>
      <c r="G43" s="106"/>
      <c r="H43" s="106"/>
      <c r="I43" s="364" t="str">
        <f>IF(J43="","",31)</f>
        <v/>
      </c>
      <c r="J43" s="614" t="str">
        <f>IF(Main!O35="","",Main!O35)</f>
        <v/>
      </c>
      <c r="K43" s="614"/>
      <c r="L43" s="365" t="str">
        <f ca="1">IF(Access_Data!AR27="","",Access_Data!AR27)</f>
        <v/>
      </c>
      <c r="M43" s="365" t="str">
        <f ca="1">IF(Access_Data!AR29="","",Access_Data!AR29)</f>
        <v/>
      </c>
      <c r="N43" s="365">
        <f ca="1">IF(Access_Data!AR31="","",Access_Data!AR31)</f>
        <v>0</v>
      </c>
    </row>
    <row r="44" spans="1:14" ht="18" customHeight="1" x14ac:dyDescent="0.2">
      <c r="A44" s="364" t="str">
        <f>IF(B44="","",12)</f>
        <v/>
      </c>
      <c r="B44" s="614" t="str">
        <f>IF(Main!O16="","",Main!O16)</f>
        <v/>
      </c>
      <c r="C44" s="614"/>
      <c r="D44" s="365" t="str">
        <f ca="1">IF(Access_Data!M27="","",Access_Data!M27)</f>
        <v/>
      </c>
      <c r="E44" s="365" t="str">
        <f ca="1">IF(Access_Data!M29="","",Access_Data!M29)</f>
        <v/>
      </c>
      <c r="F44" s="365" t="str">
        <f ca="1">IF(Access_Data!M31="","",Access_Data!M31)</f>
        <v/>
      </c>
      <c r="G44" s="106"/>
      <c r="H44" s="106"/>
      <c r="I44" s="364" t="str">
        <f>IF(J44="","",32)</f>
        <v/>
      </c>
      <c r="J44" s="614" t="str">
        <f>IF(Main!O36="","",Main!O36)</f>
        <v/>
      </c>
      <c r="K44" s="614"/>
      <c r="L44" s="365" t="str">
        <f ca="1">IF(Access_Data!AS27="","",Access_Data!AS27)</f>
        <v/>
      </c>
      <c r="M44" s="365" t="str">
        <f ca="1">IF(Access_Data!AS29="","",Access_Data!AS29)</f>
        <v/>
      </c>
      <c r="N44" s="365">
        <f ca="1">IF(Access_Data!AS31="","",Access_Data!AS31)</f>
        <v>0</v>
      </c>
    </row>
    <row r="45" spans="1:14" ht="18" customHeight="1" x14ac:dyDescent="0.2">
      <c r="A45" s="364" t="str">
        <f>IF(B45="","",13)</f>
        <v/>
      </c>
      <c r="B45" s="614" t="str">
        <f>IF(Main!O17="","",Main!O17)</f>
        <v/>
      </c>
      <c r="C45" s="614"/>
      <c r="D45" s="365" t="str">
        <f ca="1">IF(Access_Data!N27="","",Access_Data!N27)</f>
        <v/>
      </c>
      <c r="E45" s="365" t="str">
        <f ca="1">IF(Access_Data!N29="","",Access_Data!N29)</f>
        <v/>
      </c>
      <c r="F45" s="365" t="str">
        <f ca="1">IF(Access_Data!N31="","",Access_Data!N31)</f>
        <v/>
      </c>
      <c r="G45" s="106"/>
      <c r="H45" s="106"/>
      <c r="I45" s="364" t="str">
        <f>IF(J45="","",33)</f>
        <v/>
      </c>
      <c r="J45" s="614" t="str">
        <f>IF(Main!O37="","",Main!O37)</f>
        <v/>
      </c>
      <c r="K45" s="614"/>
      <c r="L45" s="365" t="str">
        <f ca="1">IF(Access_Data!AT27="","",Access_Data!AT27)</f>
        <v/>
      </c>
      <c r="M45" s="365" t="str">
        <f ca="1">IF(Access_Data!AT29="","",Access_Data!AT29)</f>
        <v/>
      </c>
      <c r="N45" s="365">
        <f ca="1">IF(Access_Data!AT31="","",Access_Data!AT31)</f>
        <v>0</v>
      </c>
    </row>
    <row r="46" spans="1:14" ht="18" customHeight="1" x14ac:dyDescent="0.2">
      <c r="A46" s="364" t="str">
        <f>IF(B46="","",14)</f>
        <v/>
      </c>
      <c r="B46" s="614" t="str">
        <f>IF(Main!O18="","",Main!O18)</f>
        <v/>
      </c>
      <c r="C46" s="614"/>
      <c r="D46" s="365" t="str">
        <f ca="1">IF(Access_Data!O27="","",Access_Data!O27)</f>
        <v/>
      </c>
      <c r="E46" s="365" t="str">
        <f ca="1">IF(Access_Data!O29="","",Access_Data!O29)</f>
        <v/>
      </c>
      <c r="F46" s="365" t="str">
        <f ca="1">IF(Access_Data!O31="","",Access_Data!O31)</f>
        <v/>
      </c>
      <c r="G46" s="106"/>
      <c r="H46" s="106"/>
      <c r="I46" s="364" t="str">
        <f>IF(J46="","",34)</f>
        <v/>
      </c>
      <c r="J46" s="614" t="str">
        <f>IF(Main!O38="","",Main!O38)</f>
        <v/>
      </c>
      <c r="K46" s="614"/>
      <c r="L46" s="365" t="str">
        <f ca="1">IF(Access_Data!AU27="","",Access_Data!AU27)</f>
        <v/>
      </c>
      <c r="M46" s="365" t="str">
        <f ca="1">IF(Access_Data!AU29="","",Access_Data!AU29)</f>
        <v/>
      </c>
      <c r="N46" s="365">
        <f ca="1">IF(Access_Data!AU31="","",Access_Data!AU31)</f>
        <v>0</v>
      </c>
    </row>
    <row r="47" spans="1:14" ht="18" customHeight="1" x14ac:dyDescent="0.2">
      <c r="A47" s="364" t="str">
        <f>IF(B47="","",15)</f>
        <v/>
      </c>
      <c r="B47" s="614" t="str">
        <f>IF(Main!O19="","",Main!O19)</f>
        <v/>
      </c>
      <c r="C47" s="614"/>
      <c r="D47" s="365" t="str">
        <f ca="1">IF(Access_Data!V27="","",Access_Data!V27)</f>
        <v/>
      </c>
      <c r="E47" s="365" t="str">
        <f ca="1">IF(Access_Data!V29="","",Access_Data!V29)</f>
        <v/>
      </c>
      <c r="F47" s="365" t="str">
        <f ca="1">IF(Access_Data!V31="","",Access_Data!V31)</f>
        <v/>
      </c>
      <c r="G47" s="106"/>
      <c r="H47" s="106"/>
      <c r="I47" s="364" t="str">
        <f>IF(J47="","",35)</f>
        <v/>
      </c>
      <c r="J47" s="614" t="str">
        <f>IF(Main!O39="","",Main!O39)</f>
        <v/>
      </c>
      <c r="K47" s="614"/>
      <c r="L47" s="365" t="str">
        <f ca="1">IF(Access_Data!AV27="","",Access_Data!AV27)</f>
        <v/>
      </c>
      <c r="M47" s="365" t="str">
        <f ca="1">IF(Access_Data!AV29="","",Access_Data!AV29)</f>
        <v/>
      </c>
      <c r="N47" s="365">
        <f ca="1">IF(Access_Data!AV31="","",Access_Data!AV31)</f>
        <v>0</v>
      </c>
    </row>
    <row r="48" spans="1:14" ht="18" customHeight="1" x14ac:dyDescent="0.2">
      <c r="A48" s="364" t="str">
        <f>IF(B48="","",16)</f>
        <v/>
      </c>
      <c r="B48" s="614" t="str">
        <f>IF(Main!O20="","",Main!O20)</f>
        <v/>
      </c>
      <c r="C48" s="614"/>
      <c r="D48" s="365" t="str">
        <f ca="1">IF(Access_Data!W27="","",Access_Data!W27)</f>
        <v/>
      </c>
      <c r="E48" s="365" t="str">
        <f ca="1">IF(Access_Data!W29="","",Access_Data!W29)</f>
        <v/>
      </c>
      <c r="F48" s="365" t="str">
        <f ca="1">IF(Access_Data!W31="","",Access_Data!W31)</f>
        <v/>
      </c>
      <c r="G48" s="106"/>
      <c r="H48" s="106"/>
      <c r="I48" s="364" t="str">
        <f>IF(J48="","",36)</f>
        <v/>
      </c>
      <c r="J48" s="614" t="str">
        <f>IF(Main!O40="","",Main!O40)</f>
        <v/>
      </c>
      <c r="K48" s="614"/>
      <c r="L48" s="365" t="str">
        <f ca="1">IF(Access_Data!AW27="","",Access_Data!AW27)</f>
        <v/>
      </c>
      <c r="M48" s="365" t="str">
        <f ca="1">IF(Access_Data!AW29="","",Access_Data!AW29)</f>
        <v/>
      </c>
      <c r="N48" s="365">
        <f ca="1">IF(Access_Data!AW31="","",Access_Data!AW31)</f>
        <v>0</v>
      </c>
    </row>
    <row r="49" spans="1:20" ht="18" customHeight="1" x14ac:dyDescent="0.2">
      <c r="A49" s="364" t="str">
        <f>IF(B49="","",17)</f>
        <v/>
      </c>
      <c r="B49" s="614" t="str">
        <f>IF(Main!O21="","",Main!O21)</f>
        <v/>
      </c>
      <c r="C49" s="614"/>
      <c r="D49" s="365" t="str">
        <f ca="1">IF(Access_Data!X27="","",Access_Data!X27)</f>
        <v/>
      </c>
      <c r="E49" s="365" t="str">
        <f ca="1">IF(Access_Data!X29="","",Access_Data!X29)</f>
        <v/>
      </c>
      <c r="F49" s="365" t="str">
        <f ca="1">IF(Access_Data!X31="","",Access_Data!X31)</f>
        <v/>
      </c>
      <c r="G49" s="106"/>
      <c r="H49" s="106"/>
      <c r="I49" s="364" t="str">
        <f>IF(J49="","",37)</f>
        <v/>
      </c>
      <c r="J49" s="614" t="str">
        <f>IF(Main!O41="","",Main!O41)</f>
        <v/>
      </c>
      <c r="K49" s="614"/>
      <c r="L49" s="365" t="str">
        <f ca="1">IF(Access_Data!AX27="","",Access_Data!AX27)</f>
        <v/>
      </c>
      <c r="M49" s="365" t="str">
        <f ca="1">IF(Access_Data!AX29="","",Access_Data!AX29)</f>
        <v/>
      </c>
      <c r="N49" s="365">
        <f ca="1">IF(Access_Data!AX31="","",Access_Data!AX31)</f>
        <v>0</v>
      </c>
    </row>
    <row r="50" spans="1:20" ht="18" customHeight="1" x14ac:dyDescent="0.2">
      <c r="A50" s="364" t="str">
        <f>IF(B50="","",18)</f>
        <v/>
      </c>
      <c r="B50" s="614" t="str">
        <f>IF(Main!O22="","",Main!O22)</f>
        <v/>
      </c>
      <c r="C50" s="614"/>
      <c r="D50" s="365" t="str">
        <f ca="1">IF(Access_Data!Y27="","",Access_Data!Y27)</f>
        <v/>
      </c>
      <c r="E50" s="365" t="str">
        <f ca="1">IF(Access_Data!Y29="","",Access_Data!Y29)</f>
        <v/>
      </c>
      <c r="F50" s="365" t="str">
        <f ca="1">IF(Access_Data!Y31="","",Access_Data!Y31)</f>
        <v/>
      </c>
      <c r="G50" s="106"/>
      <c r="H50" s="106"/>
      <c r="I50" s="364" t="str">
        <f>IF(J50="","",38)</f>
        <v/>
      </c>
      <c r="J50" s="614" t="str">
        <f>IF(Main!O42="","",Main!O42)</f>
        <v/>
      </c>
      <c r="K50" s="614"/>
      <c r="L50" s="365" t="str">
        <f ca="1">IF(Access_Data!AY27="","",Access_Data!AY27)</f>
        <v/>
      </c>
      <c r="M50" s="365" t="str">
        <f ca="1">IF(Access_Data!AY29="","",Access_Data!AY29)</f>
        <v/>
      </c>
      <c r="N50" s="365">
        <f ca="1">IF(Access_Data!AY31="","",Access_Data!AY31)</f>
        <v>0</v>
      </c>
    </row>
    <row r="51" spans="1:20" ht="18" customHeight="1" x14ac:dyDescent="0.2">
      <c r="A51" s="364" t="str">
        <f>IF(B51="","",19)</f>
        <v/>
      </c>
      <c r="B51" s="614" t="str">
        <f>IF(Main!O23="","",Main!O23)</f>
        <v/>
      </c>
      <c r="C51" s="614"/>
      <c r="D51" s="365" t="str">
        <f ca="1">IF(Access_Data!Z27="","",Access_Data!X27)</f>
        <v/>
      </c>
      <c r="E51" s="365" t="str">
        <f ca="1">IF(Access_Data!Z29="","",Access_Data!Z29)</f>
        <v/>
      </c>
      <c r="F51" s="365" t="str">
        <f ca="1">IF(Access_Data!Z31="","",Access_Data!Z31)</f>
        <v/>
      </c>
      <c r="G51" s="106"/>
      <c r="H51" s="106"/>
      <c r="I51" s="364" t="str">
        <f>IF(J51="","",39)</f>
        <v/>
      </c>
      <c r="J51" s="614" t="str">
        <f>IF(Main!O43="","",Main!O43)</f>
        <v/>
      </c>
      <c r="K51" s="614"/>
      <c r="L51" s="365" t="str">
        <f ca="1">IF(Access_Data!AZ27="","",Access_Data!AZ27)</f>
        <v/>
      </c>
      <c r="M51" s="365" t="str">
        <f ca="1">IF(Access_Data!AZ29="","",Access_Data!AZ29)</f>
        <v/>
      </c>
      <c r="N51" s="365">
        <f ca="1">IF(Access_Data!AZ31="","",Access_Data!AZ31)</f>
        <v>0</v>
      </c>
    </row>
    <row r="52" spans="1:20" ht="18" customHeight="1" x14ac:dyDescent="0.2">
      <c r="A52" s="364" t="str">
        <f>IF(B52="","",20)</f>
        <v/>
      </c>
      <c r="B52" s="614" t="str">
        <f>IF(Main!O24="","",Main!O24)</f>
        <v/>
      </c>
      <c r="C52" s="614"/>
      <c r="D52" s="365" t="str">
        <f ca="1">IF(Access_Data!AA27="","",Access_Data!AA27)</f>
        <v/>
      </c>
      <c r="E52" s="365" t="str">
        <f ca="1">IF(Access_Data!AA29="","",Access_Data!AA29)</f>
        <v/>
      </c>
      <c r="F52" s="365" t="str">
        <f ca="1">IF(Access_Data!AA31="","",Access_Data!AA31)</f>
        <v/>
      </c>
      <c r="G52" s="106"/>
      <c r="H52" s="106"/>
      <c r="I52" s="364" t="str">
        <f>IF(J52="","",40)</f>
        <v/>
      </c>
      <c r="J52" s="614" t="str">
        <f>IF(Main!O44="","",Main!O44)</f>
        <v/>
      </c>
      <c r="K52" s="614"/>
      <c r="L52" s="365" t="str">
        <f ca="1">IF(Access_Data!BA27="","",Access_Data!BA27)</f>
        <v/>
      </c>
      <c r="M52" s="365" t="str">
        <f ca="1">IF(Access_Data!BA29="","",Access_Data!BA29)</f>
        <v/>
      </c>
      <c r="N52" s="365">
        <f ca="1">IF(Access_Data!BA31="","",Access_Data!BA31)</f>
        <v>0</v>
      </c>
    </row>
    <row r="53" spans="1:20" ht="18" customHeight="1" x14ac:dyDescent="0.2">
      <c r="B53" s="620" t="s">
        <v>878</v>
      </c>
      <c r="C53" s="620"/>
      <c r="D53" s="620"/>
      <c r="E53" s="620"/>
      <c r="F53" s="620"/>
      <c r="G53" s="620"/>
      <c r="H53" s="620"/>
      <c r="I53" s="620"/>
      <c r="J53" s="620"/>
      <c r="K53" s="620"/>
      <c r="L53" s="620"/>
      <c r="M53" s="620"/>
      <c r="N53" s="620"/>
    </row>
    <row r="54" spans="1:20" ht="18" customHeight="1" x14ac:dyDescent="0.25">
      <c r="A54" s="366" t="s">
        <v>879</v>
      </c>
      <c r="B54" s="615" t="e">
        <f>CONCATENATE(Main!G23,"  ",'Header Info OLD'!BR2,Main!U25)</f>
        <v>#REF!</v>
      </c>
      <c r="C54" s="615"/>
      <c r="D54" s="615"/>
      <c r="E54" s="615"/>
      <c r="F54" s="615"/>
      <c r="G54" s="615"/>
      <c r="H54" s="615"/>
      <c r="I54" s="615"/>
      <c r="J54" s="615"/>
      <c r="K54" s="615"/>
      <c r="L54" s="615"/>
      <c r="M54" s="615"/>
      <c r="N54" s="615"/>
      <c r="O54" s="615"/>
    </row>
    <row r="55" spans="1:20" ht="18" customHeight="1" x14ac:dyDescent="0.25">
      <c r="A55" s="103"/>
      <c r="B55" s="615"/>
      <c r="C55" s="615"/>
      <c r="D55" s="615"/>
      <c r="E55" s="615"/>
      <c r="F55" s="615"/>
      <c r="G55" s="615"/>
      <c r="H55" s="615"/>
      <c r="I55" s="615"/>
      <c r="J55" s="615"/>
      <c r="K55" s="615"/>
      <c r="L55" s="615"/>
      <c r="M55" s="615"/>
      <c r="N55" s="615"/>
      <c r="O55" s="615"/>
    </row>
    <row r="56" spans="1:20" ht="18" customHeight="1" x14ac:dyDescent="0.25">
      <c r="A56" s="103"/>
      <c r="B56" s="615"/>
      <c r="C56" s="615"/>
      <c r="D56" s="615"/>
      <c r="E56" s="615"/>
      <c r="F56" s="615"/>
      <c r="G56" s="615"/>
      <c r="H56" s="615"/>
      <c r="I56" s="615"/>
      <c r="J56" s="615"/>
      <c r="K56" s="615"/>
      <c r="L56" s="615"/>
      <c r="M56" s="615"/>
      <c r="N56" s="615"/>
      <c r="O56" s="615"/>
    </row>
    <row r="57" spans="1:20" ht="18" customHeight="1" x14ac:dyDescent="0.25">
      <c r="A57" s="103"/>
      <c r="B57" s="615"/>
      <c r="C57" s="615"/>
      <c r="D57" s="615"/>
      <c r="E57" s="615"/>
      <c r="F57" s="615"/>
      <c r="G57" s="615"/>
      <c r="H57" s="615"/>
      <c r="I57" s="615"/>
      <c r="J57" s="615"/>
      <c r="K57" s="615"/>
      <c r="L57" s="615"/>
      <c r="M57" s="615"/>
      <c r="N57" s="615"/>
      <c r="O57" s="615"/>
    </row>
    <row r="58" spans="1:20" ht="18" customHeight="1" x14ac:dyDescent="0.25">
      <c r="A58" s="103"/>
      <c r="B58" s="615"/>
      <c r="C58" s="615"/>
      <c r="D58" s="615"/>
      <c r="E58" s="615"/>
      <c r="F58" s="615"/>
      <c r="G58" s="615"/>
      <c r="H58" s="615"/>
      <c r="I58" s="615"/>
      <c r="J58" s="615"/>
      <c r="K58" s="615"/>
      <c r="L58" s="615"/>
      <c r="M58" s="615"/>
      <c r="N58" s="615"/>
      <c r="O58" s="615"/>
    </row>
    <row r="59" spans="1:20" ht="18" customHeight="1" x14ac:dyDescent="0.25">
      <c r="A59" s="103"/>
      <c r="B59" s="615"/>
      <c r="C59" s="615"/>
      <c r="D59" s="615"/>
      <c r="E59" s="615"/>
      <c r="F59" s="615"/>
      <c r="G59" s="615"/>
      <c r="H59" s="615"/>
      <c r="I59" s="615"/>
      <c r="J59" s="615"/>
      <c r="K59" s="615"/>
      <c r="L59" s="615"/>
      <c r="M59" s="615"/>
      <c r="N59" s="615"/>
      <c r="O59" s="615"/>
    </row>
    <row r="60" spans="1:20" ht="18" customHeight="1" x14ac:dyDescent="0.2">
      <c r="A60" s="619" t="s">
        <v>887</v>
      </c>
      <c r="B60" s="619"/>
      <c r="C60" s="619"/>
      <c r="D60" s="619"/>
      <c r="E60" s="619"/>
      <c r="F60" s="619"/>
      <c r="G60" s="619"/>
      <c r="H60" s="619"/>
      <c r="I60" s="619"/>
      <c r="J60" s="619"/>
      <c r="K60" s="619"/>
      <c r="L60" s="619"/>
      <c r="M60" s="619"/>
      <c r="N60" s="619"/>
      <c r="O60" s="619"/>
    </row>
    <row r="61" spans="1:20" ht="18" customHeight="1" x14ac:dyDescent="0.2">
      <c r="A61" s="623" t="s">
        <v>880</v>
      </c>
      <c r="B61" s="623"/>
      <c r="C61" s="623"/>
      <c r="D61" s="623"/>
      <c r="E61" s="623"/>
      <c r="F61" s="613" t="s">
        <v>881</v>
      </c>
      <c r="G61" s="613"/>
      <c r="H61" s="613"/>
      <c r="I61" s="613" t="s">
        <v>882</v>
      </c>
      <c r="J61" s="613"/>
      <c r="K61" s="613" t="s">
        <v>883</v>
      </c>
      <c r="L61" s="613"/>
      <c r="M61" s="613" t="s">
        <v>884</v>
      </c>
      <c r="N61" s="613"/>
      <c r="O61" s="613"/>
      <c r="R61" s="44" t="s">
        <v>5367</v>
      </c>
      <c r="T61" s="44" t="s">
        <v>5368</v>
      </c>
    </row>
    <row r="62" spans="1:20" ht="18" customHeight="1" x14ac:dyDescent="0.2">
      <c r="A62" s="603" t="str">
        <f>IF(F62="","",CONCATENATE(T62," - ",R62))</f>
        <v/>
      </c>
      <c r="B62" s="604"/>
      <c r="C62" s="604"/>
      <c r="D62" s="604"/>
      <c r="E62" s="605"/>
      <c r="F62" s="603" t="str">
        <f>IF(Main!D9="", "", _xlfn.XLOOKUP(Main!D9,Daqbooks[asset_tag],Daqbooks[serial_number]))</f>
        <v/>
      </c>
      <c r="G62" s="604"/>
      <c r="H62" s="605"/>
      <c r="I62" s="609" t="str">
        <f>IF(F62="","",Main!D12)</f>
        <v/>
      </c>
      <c r="J62" s="610"/>
      <c r="K62" s="609" t="str">
        <f>IF(F62="","",Main!D13)</f>
        <v/>
      </c>
      <c r="L62" s="610"/>
      <c r="M62" s="637" t="str">
        <f>IF(F62="","",REPLACE(Main!D14,3,1,""))</f>
        <v/>
      </c>
      <c r="N62" s="638"/>
      <c r="O62" s="639"/>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606" t="str">
        <f t="shared" ref="A63:A68" si="0">IF(Q63="","",CONCATENATE(T63," - ",R63))</f>
        <v/>
      </c>
      <c r="B63" s="607"/>
      <c r="C63" s="607"/>
      <c r="D63" s="607"/>
      <c r="E63" s="608"/>
      <c r="F63" s="606" t="str">
        <f>IF(Main!D48="","",Main!D48)</f>
        <v/>
      </c>
      <c r="G63" s="607"/>
      <c r="H63" s="608"/>
      <c r="I63" s="611" t="str">
        <f>IF(Q63="","",Main!D49)</f>
        <v/>
      </c>
      <c r="J63" s="612"/>
      <c r="K63" s="611" t="str">
        <f>IF(Q63="","",Main!D50)</f>
        <v/>
      </c>
      <c r="L63" s="612"/>
      <c r="M63" s="606" t="str">
        <f>IF(Q63="","",Main!D54)</f>
        <v/>
      </c>
      <c r="N63" s="607"/>
      <c r="O63" s="608"/>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606" t="str">
        <f t="shared" si="0"/>
        <v/>
      </c>
      <c r="B64" s="607"/>
      <c r="C64" s="607"/>
      <c r="D64" s="607"/>
      <c r="E64" s="608"/>
      <c r="F64" s="606" t="str">
        <f>IF(Main!E48="","",Main!E48)</f>
        <v/>
      </c>
      <c r="G64" s="607"/>
      <c r="H64" s="608"/>
      <c r="I64" s="611" t="str">
        <f>IF(Q64="","",Main!E49)</f>
        <v/>
      </c>
      <c r="J64" s="612"/>
      <c r="K64" s="611" t="str">
        <f>IF(Q64="","",Main!E50)</f>
        <v/>
      </c>
      <c r="L64" s="612"/>
      <c r="M64" s="606" t="str">
        <f>IF(Q64="","",Main!E54)</f>
        <v/>
      </c>
      <c r="N64" s="607"/>
      <c r="O64" s="608"/>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606" t="str">
        <f t="shared" si="0"/>
        <v/>
      </c>
      <c r="B65" s="607"/>
      <c r="C65" s="607"/>
      <c r="D65" s="607"/>
      <c r="E65" s="608"/>
      <c r="F65" s="606" t="str">
        <f>IF(Main!F48="","",Main!F48)</f>
        <v/>
      </c>
      <c r="G65" s="607"/>
      <c r="H65" s="608"/>
      <c r="I65" s="611" t="str">
        <f>IF(Q65="","",Main!F49)</f>
        <v/>
      </c>
      <c r="J65" s="612"/>
      <c r="K65" s="611" t="str">
        <f>IF(Q65="","",Main!F50)</f>
        <v/>
      </c>
      <c r="L65" s="612"/>
      <c r="M65" s="606" t="str">
        <f>IF(Q65="","",Main!F54)</f>
        <v/>
      </c>
      <c r="N65" s="607"/>
      <c r="O65" s="608"/>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606" t="str">
        <f t="shared" si="0"/>
        <v/>
      </c>
      <c r="B66" s="607"/>
      <c r="C66" s="607"/>
      <c r="D66" s="607"/>
      <c r="E66" s="608"/>
      <c r="F66" s="606" t="str">
        <f>IF(Main!G48="","",Main!G48)</f>
        <v/>
      </c>
      <c r="G66" s="607"/>
      <c r="H66" s="608"/>
      <c r="I66" s="611" t="str">
        <f>IF(Q66="","",Main!G49)</f>
        <v/>
      </c>
      <c r="J66" s="612"/>
      <c r="K66" s="611" t="str">
        <f>IF(Q66="","",Main!G50)</f>
        <v/>
      </c>
      <c r="L66" s="612"/>
      <c r="M66" s="606" t="str">
        <f>IF(Q66="","",Main!G54)</f>
        <v/>
      </c>
      <c r="N66" s="607"/>
      <c r="O66" s="608"/>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606" t="str">
        <f t="shared" si="0"/>
        <v/>
      </c>
      <c r="B67" s="607"/>
      <c r="C67" s="607"/>
      <c r="D67" s="607"/>
      <c r="E67" s="608"/>
      <c r="F67" s="606" t="str">
        <f>IF(Main!H48="","",Main!H48)</f>
        <v/>
      </c>
      <c r="G67" s="607"/>
      <c r="H67" s="608"/>
      <c r="I67" s="611" t="str">
        <f>IF(Q67="","",Main!H49)</f>
        <v/>
      </c>
      <c r="J67" s="612"/>
      <c r="K67" s="611" t="str">
        <f>IF(Q67="","",Main!H50)</f>
        <v/>
      </c>
      <c r="L67" s="612"/>
      <c r="M67" s="606" t="str">
        <f>IF(Q67="","",Main!H54)</f>
        <v/>
      </c>
      <c r="N67" s="607"/>
      <c r="O67" s="608"/>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606" t="str">
        <f t="shared" si="0"/>
        <v/>
      </c>
      <c r="B68" s="607"/>
      <c r="C68" s="607"/>
      <c r="D68" s="607"/>
      <c r="E68" s="608"/>
      <c r="F68" s="606" t="str">
        <f>IF(Main!I48="","",Main!I48)</f>
        <v/>
      </c>
      <c r="G68" s="607"/>
      <c r="H68" s="608"/>
      <c r="I68" s="611" t="str">
        <f>IF(Q68="","",Main!I49)</f>
        <v/>
      </c>
      <c r="J68" s="612"/>
      <c r="K68" s="611" t="str">
        <f>IF(Q68="","",Main!I50)</f>
        <v/>
      </c>
      <c r="L68" s="612"/>
      <c r="M68" s="606" t="str">
        <f>IF(Q68="","",Main!I54)</f>
        <v/>
      </c>
      <c r="N68" s="607"/>
      <c r="O68" s="608"/>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624" t="str">
        <f>IF(T69="","",CONCATENATE(T69," - ",R69))</f>
        <v/>
      </c>
      <c r="B69" s="625"/>
      <c r="C69" s="625"/>
      <c r="D69" s="625"/>
      <c r="E69" s="626"/>
      <c r="F69" s="640" t="str">
        <f>IF(W69="","",W69)</f>
        <v/>
      </c>
      <c r="G69" s="641"/>
      <c r="H69" s="642"/>
      <c r="I69" s="643"/>
      <c r="J69" s="644"/>
      <c r="K69" s="643"/>
      <c r="L69" s="644"/>
      <c r="M69" s="624"/>
      <c r="N69" s="625"/>
      <c r="O69" s="626"/>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36" t="s">
        <v>3791</v>
      </c>
      <c r="B71" s="636"/>
      <c r="C71" s="636"/>
      <c r="D71" s="636"/>
      <c r="E71" s="636"/>
      <c r="F71" s="636"/>
      <c r="G71" s="636"/>
      <c r="H71" s="636"/>
      <c r="I71" s="636"/>
      <c r="J71" s="636"/>
      <c r="K71" s="636"/>
      <c r="L71" s="636"/>
      <c r="M71" s="636"/>
      <c r="N71" s="636"/>
      <c r="O71" s="636"/>
    </row>
    <row r="72" spans="1:20" ht="18" customHeight="1" x14ac:dyDescent="0.2">
      <c r="A72" s="636"/>
      <c r="B72" s="636"/>
      <c r="C72" s="636"/>
      <c r="D72" s="636"/>
      <c r="E72" s="636"/>
      <c r="F72" s="636"/>
      <c r="G72" s="636"/>
      <c r="H72" s="636"/>
      <c r="I72" s="636"/>
      <c r="J72" s="636"/>
      <c r="K72" s="636"/>
      <c r="L72" s="636"/>
      <c r="M72" s="636"/>
      <c r="N72" s="636"/>
      <c r="O72" s="636"/>
    </row>
    <row r="73" spans="1:20" ht="18" customHeight="1" x14ac:dyDescent="0.2">
      <c r="A73" s="636"/>
      <c r="B73" s="636"/>
      <c r="C73" s="636"/>
      <c r="D73" s="636"/>
      <c r="E73" s="636"/>
      <c r="F73" s="636"/>
      <c r="G73" s="636"/>
      <c r="H73" s="636"/>
      <c r="I73" s="636"/>
      <c r="J73" s="636"/>
      <c r="K73" s="636"/>
      <c r="L73" s="636"/>
      <c r="M73" s="636"/>
      <c r="N73" s="636"/>
      <c r="O73" s="63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885</v>
      </c>
      <c r="N80" s="362" t="s">
        <v>886</v>
      </c>
    </row>
    <row r="81" ht="15" customHeight="1" x14ac:dyDescent="0.2"/>
    <row r="82" ht="15" customHeight="1" x14ac:dyDescent="0.2"/>
  </sheetData>
  <sheetProtection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O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5" width="12.42578125" bestFit="1" customWidth="1"/>
    <col min="6" max="6" width="39.7109375" bestFit="1" customWidth="1"/>
    <col min="7" max="7" width="12.28515625" bestFit="1" customWidth="1"/>
    <col min="8" max="8" width="8.42578125" bestFit="1" customWidth="1"/>
    <col min="9" max="9" width="13.85546875" bestFit="1" customWidth="1"/>
    <col min="10" max="10" width="12.42578125" bestFit="1" customWidth="1"/>
    <col min="11" max="11" width="12.28515625" bestFit="1" customWidth="1"/>
    <col min="12" max="12" width="16.42578125" bestFit="1" customWidth="1"/>
    <col min="13" max="13" width="16.140625" bestFit="1" customWidth="1"/>
    <col min="14" max="14" width="17.42578125" bestFit="1" customWidth="1"/>
    <col min="15" max="15" width="14.28515625" customWidth="1"/>
    <col min="16" max="16" width="17.42578125" bestFit="1" customWidth="1"/>
    <col min="17" max="17" width="13.5703125" bestFit="1" customWidth="1"/>
  </cols>
  <sheetData>
    <row r="1" spans="1:15" x14ac:dyDescent="0.2">
      <c r="A1"/>
      <c r="B1"/>
      <c r="C1"/>
      <c r="D1"/>
      <c r="E1"/>
      <c r="F1"/>
      <c r="G1"/>
      <c r="H1"/>
      <c r="I1"/>
      <c r="J1"/>
      <c r="K1"/>
      <c r="L1"/>
      <c r="M1"/>
      <c r="N1"/>
      <c r="O1"/>
    </row>
    <row r="2" spans="1:15" x14ac:dyDescent="0.2">
      <c r="A2"/>
      <c r="B2"/>
      <c r="C2"/>
      <c r="F2"/>
      <c r="G2"/>
      <c r="I2"/>
      <c r="L2"/>
      <c r="M2"/>
      <c r="N2"/>
      <c r="O2"/>
    </row>
  </sheetData>
  <phoneticPr fontId="23"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4584</v>
      </c>
      <c r="B1" t="s">
        <v>4620</v>
      </c>
    </row>
    <row r="2" spans="1:2" x14ac:dyDescent="0.2">
      <c r="A2" t="s">
        <v>4463</v>
      </c>
      <c r="B2">
        <v>57283</v>
      </c>
    </row>
    <row r="3" spans="1:2" x14ac:dyDescent="0.2">
      <c r="A3" t="s">
        <v>4464</v>
      </c>
      <c r="B3">
        <v>1270490</v>
      </c>
    </row>
    <row r="4" spans="1:2" x14ac:dyDescent="0.2">
      <c r="A4" t="s">
        <v>4457</v>
      </c>
      <c r="B4" t="s">
        <v>1243</v>
      </c>
    </row>
    <row r="5" spans="1:2" x14ac:dyDescent="0.2">
      <c r="A5" t="s">
        <v>4465</v>
      </c>
    </row>
    <row r="6" spans="1:2" x14ac:dyDescent="0.2">
      <c r="A6" t="s">
        <v>4458</v>
      </c>
      <c r="B6" t="s">
        <v>4615</v>
      </c>
    </row>
    <row r="7" spans="1:2" x14ac:dyDescent="0.2">
      <c r="A7" t="s">
        <v>4588</v>
      </c>
    </row>
    <row r="8" spans="1:2" x14ac:dyDescent="0.2">
      <c r="A8" t="s">
        <v>4621</v>
      </c>
      <c r="B8">
        <v>1</v>
      </c>
    </row>
    <row r="9" spans="1:2" x14ac:dyDescent="0.2">
      <c r="A9" t="s">
        <v>4466</v>
      </c>
      <c r="B9" t="s">
        <v>4616</v>
      </c>
    </row>
    <row r="10" spans="1:2" x14ac:dyDescent="0.2">
      <c r="A10" t="s">
        <v>4467</v>
      </c>
      <c r="B10" t="s">
        <v>4616</v>
      </c>
    </row>
    <row r="11" spans="1:2" x14ac:dyDescent="0.2">
      <c r="A11" t="s">
        <v>4468</v>
      </c>
      <c r="B11" t="s">
        <v>1157</v>
      </c>
    </row>
    <row r="12" spans="1:2" x14ac:dyDescent="0.2">
      <c r="A12" t="s">
        <v>4622</v>
      </c>
      <c r="B12" t="s">
        <v>3008</v>
      </c>
    </row>
    <row r="13" spans="1:2" x14ac:dyDescent="0.2">
      <c r="A13" t="s">
        <v>4623</v>
      </c>
    </row>
    <row r="14" spans="1:2" x14ac:dyDescent="0.2">
      <c r="A14" t="s">
        <v>4624</v>
      </c>
    </row>
    <row r="15" spans="1:2" x14ac:dyDescent="0.2">
      <c r="A15" t="s">
        <v>4625</v>
      </c>
    </row>
    <row r="16" spans="1:2" x14ac:dyDescent="0.2">
      <c r="A16" t="s">
        <v>4469</v>
      </c>
      <c r="B16" t="s">
        <v>4489</v>
      </c>
    </row>
    <row r="17" spans="1:2" x14ac:dyDescent="0.2">
      <c r="A17" t="s">
        <v>4459</v>
      </c>
      <c r="B17" t="s">
        <v>577</v>
      </c>
    </row>
    <row r="18" spans="1:2" x14ac:dyDescent="0.2">
      <c r="A18" t="s">
        <v>182</v>
      </c>
    </row>
    <row r="19" spans="1:2" x14ac:dyDescent="0.2">
      <c r="A19" t="s">
        <v>4626</v>
      </c>
    </row>
    <row r="20" spans="1:2" x14ac:dyDescent="0.2">
      <c r="A20" t="s">
        <v>4627</v>
      </c>
      <c r="B20" t="s">
        <v>34</v>
      </c>
    </row>
    <row r="21" spans="1:2" x14ac:dyDescent="0.2">
      <c r="A21" t="s">
        <v>4470</v>
      </c>
    </row>
    <row r="22" spans="1:2" x14ac:dyDescent="0.2">
      <c r="A22" t="s">
        <v>4628</v>
      </c>
    </row>
    <row r="23" spans="1:2" x14ac:dyDescent="0.2">
      <c r="A23" t="s">
        <v>4471</v>
      </c>
    </row>
    <row r="24" spans="1:2" x14ac:dyDescent="0.2">
      <c r="A24" t="s">
        <v>4586</v>
      </c>
    </row>
    <row r="25" spans="1:2" x14ac:dyDescent="0.2">
      <c r="A25" t="s">
        <v>4587</v>
      </c>
    </row>
    <row r="26" spans="1:2" x14ac:dyDescent="0.2">
      <c r="A26" t="s">
        <v>4629</v>
      </c>
      <c r="B26">
        <v>4130</v>
      </c>
    </row>
    <row r="27" spans="1:2" x14ac:dyDescent="0.2">
      <c r="A27" t="s">
        <v>4630</v>
      </c>
      <c r="B27">
        <v>150962</v>
      </c>
    </row>
    <row r="28" spans="1:2" x14ac:dyDescent="0.2">
      <c r="A28" t="s">
        <v>4472</v>
      </c>
      <c r="B28" t="s">
        <v>4631</v>
      </c>
    </row>
    <row r="29" spans="1:2" x14ac:dyDescent="0.2">
      <c r="A29" t="s">
        <v>4473</v>
      </c>
      <c r="B29" t="s">
        <v>4489</v>
      </c>
    </row>
    <row r="30" spans="1:2" x14ac:dyDescent="0.2">
      <c r="A30" t="s">
        <v>4474</v>
      </c>
      <c r="B30" t="s">
        <v>34</v>
      </c>
    </row>
    <row r="31" spans="1:2" x14ac:dyDescent="0.2">
      <c r="A31" t="s">
        <v>4475</v>
      </c>
      <c r="B31" t="s">
        <v>4485</v>
      </c>
    </row>
    <row r="32" spans="1:2" x14ac:dyDescent="0.2">
      <c r="A32" t="s">
        <v>4632</v>
      </c>
      <c r="B32" t="s">
        <v>4617</v>
      </c>
    </row>
    <row r="33" spans="1:2" x14ac:dyDescent="0.2">
      <c r="A33" t="s">
        <v>4633</v>
      </c>
      <c r="B33">
        <v>96854</v>
      </c>
    </row>
    <row r="34" spans="1:2" x14ac:dyDescent="0.2">
      <c r="A34" t="s">
        <v>610</v>
      </c>
    </row>
    <row r="35" spans="1:2" x14ac:dyDescent="0.2">
      <c r="A35" t="s">
        <v>4634</v>
      </c>
    </row>
    <row r="36" spans="1:2" x14ac:dyDescent="0.2">
      <c r="A36" t="s">
        <v>4635</v>
      </c>
    </row>
    <row r="37" spans="1:2" x14ac:dyDescent="0.2">
      <c r="A37" t="s">
        <v>4636</v>
      </c>
    </row>
    <row r="38" spans="1:2" x14ac:dyDescent="0.2">
      <c r="A38" t="s">
        <v>4637</v>
      </c>
    </row>
    <row r="39" spans="1:2" x14ac:dyDescent="0.2">
      <c r="A39" t="s">
        <v>4638</v>
      </c>
    </row>
    <row r="40" spans="1:2" x14ac:dyDescent="0.2">
      <c r="A40" t="s">
        <v>4639</v>
      </c>
    </row>
    <row r="41" spans="1:2" x14ac:dyDescent="0.2">
      <c r="A41" t="s">
        <v>4640</v>
      </c>
    </row>
    <row r="42" spans="1:2" x14ac:dyDescent="0.2">
      <c r="A42" t="s">
        <v>4641</v>
      </c>
      <c r="B42">
        <v>1</v>
      </c>
    </row>
    <row r="43" spans="1:2" x14ac:dyDescent="0.2">
      <c r="A43" t="s">
        <v>4642</v>
      </c>
    </row>
    <row r="44" spans="1:2" x14ac:dyDescent="0.2">
      <c r="A44" t="s">
        <v>4643</v>
      </c>
    </row>
    <row r="45" spans="1:2" x14ac:dyDescent="0.2">
      <c r="A45" t="s">
        <v>4644</v>
      </c>
    </row>
    <row r="46" spans="1:2" x14ac:dyDescent="0.2">
      <c r="A46" t="s">
        <v>4645</v>
      </c>
    </row>
    <row r="47" spans="1:2" x14ac:dyDescent="0.2">
      <c r="A47" t="s">
        <v>4646</v>
      </c>
      <c r="B47">
        <v>0</v>
      </c>
    </row>
  </sheetData>
  <sheetProtection algorithmName="SHA-512" hashValue="29jJWD/zaMgVIjgqQVO9fWRjwnpDETv9l7obOeD9poadbIyGAB3a9mQ9B0eM0hGfwi72a0+QpRFzB0TeX4vVAQ==" saltValue="anHfmtA9VYrGgfg1rzN3sg==" spinCount="100000" sheet="1" objects="1" scenarios="1"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P1653"/>
  <sheetViews>
    <sheetView workbookViewId="0">
      <selection activeCell="B2" sqref="B2"/>
    </sheetView>
  </sheetViews>
  <sheetFormatPr defaultRowHeight="12.75" x14ac:dyDescent="0.2"/>
  <cols>
    <col min="2" max="2" width="53.85546875" bestFit="1" customWidth="1"/>
    <col min="3" max="3" width="39.42578125" bestFit="1" customWidth="1"/>
    <col min="4" max="4" width="41.28515625" bestFit="1" customWidth="1"/>
    <col min="5" max="6" width="12.42578125" bestFit="1" customWidth="1"/>
    <col min="7" max="7" width="57.5703125" bestFit="1" customWidth="1"/>
    <col min="8" max="8" width="12.28515625" bestFit="1" customWidth="1"/>
    <col min="9" max="9" width="39.5703125" bestFit="1" customWidth="1"/>
    <col min="10" max="10" width="16" bestFit="1" customWidth="1"/>
    <col min="11" max="11" width="26" bestFit="1" customWidth="1"/>
    <col min="12" max="12" width="24.5703125" bestFit="1" customWidth="1"/>
    <col min="13" max="13" width="24" bestFit="1" customWidth="1"/>
    <col min="14" max="14" width="16.140625" bestFit="1" customWidth="1"/>
    <col min="15" max="15" width="33" bestFit="1" customWidth="1"/>
    <col min="16" max="16" width="14.28515625" customWidth="1"/>
    <col min="17" max="17" width="57.5703125" bestFit="1" customWidth="1"/>
    <col min="18" max="18" width="12.28515625" bestFit="1" customWidth="1"/>
    <col min="19" max="19" width="39.5703125" bestFit="1" customWidth="1"/>
    <col min="20" max="20" width="16" bestFit="1" customWidth="1"/>
    <col min="21" max="21" width="26" bestFit="1" customWidth="1"/>
    <col min="22" max="22" width="24.5703125" bestFit="1" customWidth="1"/>
    <col min="23" max="23" width="24" bestFit="1" customWidth="1"/>
    <col min="24" max="24" width="16.140625" bestFit="1" customWidth="1"/>
    <col min="25" max="25" width="33" bestFit="1" customWidth="1"/>
    <col min="26" max="26" width="14.28515625" customWidth="1"/>
    <col min="27" max="27" width="33" bestFit="1" customWidth="1"/>
    <col min="28" max="28" width="13.5703125" bestFit="1" customWidth="1"/>
    <col min="29" max="29" width="22" bestFit="1" customWidth="1"/>
    <col min="30" max="30" width="17.85546875" bestFit="1" customWidth="1"/>
    <col min="31" max="31" width="13.140625" bestFit="1" customWidth="1"/>
    <col min="32" max="32" width="14.140625" bestFit="1" customWidth="1"/>
    <col min="33" max="33" width="53.85546875" bestFit="1" customWidth="1"/>
    <col min="34" max="34" width="58.7109375" bestFit="1" customWidth="1"/>
    <col min="35" max="35" width="22.28515625" bestFit="1" customWidth="1"/>
    <col min="36" max="36" width="20.85546875" bestFit="1" customWidth="1"/>
    <col min="37" max="37" width="54.140625" bestFit="1" customWidth="1"/>
    <col min="38" max="38" width="22.28515625" bestFit="1" customWidth="1"/>
    <col min="39" max="39" width="35.5703125" bestFit="1" customWidth="1"/>
    <col min="40" max="40" width="30" bestFit="1" customWidth="1"/>
    <col min="41" max="41" width="29.85546875" bestFit="1" customWidth="1"/>
    <col min="42" max="42" width="16.42578125" bestFit="1" customWidth="1"/>
    <col min="43" max="43" width="18.7109375" bestFit="1" customWidth="1"/>
    <col min="44" max="44" width="11.85546875" bestFit="1" customWidth="1"/>
  </cols>
  <sheetData>
    <row r="1" spans="1:16" x14ac:dyDescent="0.2">
      <c r="A1" s="44" t="s">
        <v>4456</v>
      </c>
    </row>
    <row r="3" spans="1:16" x14ac:dyDescent="0.2">
      <c r="B3"/>
      <c r="C3" s="61"/>
      <c r="D3" s="61"/>
      <c r="E3"/>
      <c r="F3"/>
      <c r="G3"/>
      <c r="H3"/>
      <c r="I3"/>
      <c r="J3"/>
      <c r="K3"/>
      <c r="L3"/>
      <c r="M3"/>
      <c r="N3"/>
      <c r="O3" s="61"/>
      <c r="P3"/>
    </row>
    <row r="4" spans="1:16" x14ac:dyDescent="0.2">
      <c r="B4"/>
      <c r="C4" s="61"/>
      <c r="D4" s="61"/>
      <c r="G4"/>
      <c r="H4"/>
      <c r="I4"/>
      <c r="K4"/>
      <c r="L4"/>
      <c r="M4"/>
      <c r="N4"/>
      <c r="O4" s="61"/>
      <c r="P4"/>
    </row>
    <row r="5" spans="1:16" x14ac:dyDescent="0.2">
      <c r="B5"/>
      <c r="C5" s="61"/>
      <c r="D5" s="61"/>
      <c r="G5"/>
      <c r="H5"/>
      <c r="J5"/>
      <c r="M5"/>
      <c r="N5"/>
      <c r="O5" s="61"/>
      <c r="P5"/>
    </row>
    <row r="6" spans="1:16" x14ac:dyDescent="0.2">
      <c r="B6"/>
      <c r="C6" s="61"/>
      <c r="D6" s="61"/>
      <c r="G6"/>
      <c r="H6"/>
      <c r="M6"/>
      <c r="N6"/>
      <c r="O6" s="61"/>
      <c r="P6"/>
    </row>
    <row r="7" spans="1:16" x14ac:dyDescent="0.2">
      <c r="B7"/>
      <c r="C7" s="61"/>
      <c r="D7" s="61"/>
      <c r="G7"/>
      <c r="H7"/>
      <c r="I7"/>
      <c r="K7"/>
      <c r="L7"/>
      <c r="M7"/>
      <c r="N7"/>
      <c r="O7" s="61"/>
      <c r="P7"/>
    </row>
    <row r="8" spans="1:16" x14ac:dyDescent="0.2">
      <c r="B8"/>
      <c r="C8" s="61"/>
      <c r="D8" s="61"/>
      <c r="G8"/>
      <c r="H8"/>
      <c r="M8"/>
      <c r="N8"/>
      <c r="O8" s="61"/>
      <c r="P8"/>
    </row>
    <row r="9" spans="1:16" x14ac:dyDescent="0.2">
      <c r="B9"/>
      <c r="C9" s="61"/>
      <c r="D9" s="61"/>
      <c r="G9"/>
      <c r="H9"/>
      <c r="J9"/>
      <c r="M9"/>
      <c r="N9"/>
      <c r="O9" s="61"/>
      <c r="P9"/>
    </row>
    <row r="10" spans="1:16" x14ac:dyDescent="0.2">
      <c r="B10"/>
      <c r="C10" s="61"/>
      <c r="D10" s="61"/>
      <c r="G10"/>
      <c r="H10"/>
      <c r="J10"/>
      <c r="M10"/>
      <c r="N10"/>
      <c r="O10" s="61"/>
      <c r="P10"/>
    </row>
    <row r="11" spans="1:16" x14ac:dyDescent="0.2">
      <c r="B11"/>
      <c r="C11" s="61"/>
      <c r="D11" s="61"/>
      <c r="G11"/>
      <c r="H11"/>
      <c r="I11"/>
      <c r="J11"/>
      <c r="M11"/>
      <c r="N11"/>
      <c r="O11" s="61"/>
      <c r="P11"/>
    </row>
    <row r="12" spans="1:16" x14ac:dyDescent="0.2">
      <c r="B12"/>
      <c r="C12" s="61"/>
      <c r="D12" s="61"/>
      <c r="G12"/>
      <c r="H12"/>
      <c r="J12"/>
      <c r="M12"/>
      <c r="N12"/>
      <c r="O12" s="61"/>
      <c r="P12"/>
    </row>
    <row r="13" spans="1:16" x14ac:dyDescent="0.2">
      <c r="B13"/>
      <c r="C13" s="61"/>
      <c r="D13" s="61"/>
      <c r="G13"/>
      <c r="H13"/>
      <c r="J13"/>
      <c r="M13"/>
      <c r="N13"/>
      <c r="O13" s="61"/>
      <c r="P13"/>
    </row>
    <row r="14" spans="1:16" x14ac:dyDescent="0.2">
      <c r="B14"/>
      <c r="C14" s="61"/>
      <c r="D14" s="61"/>
      <c r="G14"/>
      <c r="H14"/>
      <c r="J14"/>
      <c r="M14"/>
      <c r="N14"/>
      <c r="O14" s="61"/>
      <c r="P14"/>
    </row>
    <row r="15" spans="1:16" x14ac:dyDescent="0.2">
      <c r="B15"/>
      <c r="C15" s="61"/>
      <c r="D15" s="61"/>
      <c r="G15"/>
      <c r="H15"/>
      <c r="I15"/>
      <c r="J15"/>
      <c r="M15"/>
      <c r="N15"/>
      <c r="O15" s="61"/>
      <c r="P15"/>
    </row>
    <row r="16" spans="1:16" x14ac:dyDescent="0.2">
      <c r="B16"/>
      <c r="C16" s="61"/>
      <c r="D16" s="61"/>
      <c r="G16"/>
      <c r="H16"/>
      <c r="N16"/>
      <c r="O16" s="61"/>
      <c r="P16"/>
    </row>
    <row r="17" spans="2:16" x14ac:dyDescent="0.2">
      <c r="B17"/>
      <c r="C17" s="61"/>
      <c r="D17" s="61"/>
      <c r="G17"/>
      <c r="H17"/>
      <c r="M17"/>
      <c r="N17"/>
      <c r="O17" s="61"/>
      <c r="P17"/>
    </row>
    <row r="18" spans="2:16" x14ac:dyDescent="0.2">
      <c r="B18"/>
      <c r="C18" s="61"/>
      <c r="D18" s="61"/>
      <c r="G18"/>
      <c r="H18"/>
      <c r="N18"/>
      <c r="O18" s="61"/>
      <c r="P18"/>
    </row>
    <row r="19" spans="2:16" x14ac:dyDescent="0.2">
      <c r="B19"/>
      <c r="C19" s="61"/>
      <c r="D19" s="61"/>
      <c r="G19"/>
      <c r="H19"/>
      <c r="J19"/>
      <c r="M19"/>
      <c r="N19"/>
      <c r="O19" s="61"/>
      <c r="P19"/>
    </row>
    <row r="20" spans="2:16" x14ac:dyDescent="0.2">
      <c r="B20"/>
      <c r="C20" s="61"/>
      <c r="D20" s="61"/>
      <c r="G20"/>
      <c r="H20"/>
      <c r="J20"/>
      <c r="M20"/>
      <c r="N20"/>
      <c r="O20" s="61"/>
      <c r="P20"/>
    </row>
    <row r="21" spans="2:16" x14ac:dyDescent="0.2">
      <c r="B21"/>
      <c r="C21" s="61"/>
      <c r="D21" s="61"/>
      <c r="G21"/>
      <c r="H21"/>
      <c r="M21"/>
      <c r="N21"/>
      <c r="O21" s="61"/>
      <c r="P21"/>
    </row>
    <row r="22" spans="2:16" x14ac:dyDescent="0.2">
      <c r="B22"/>
      <c r="C22" s="61"/>
      <c r="D22" s="61"/>
      <c r="G22"/>
      <c r="H22"/>
      <c r="N22"/>
      <c r="O22" s="61"/>
      <c r="P22"/>
    </row>
    <row r="23" spans="2:16" x14ac:dyDescent="0.2">
      <c r="B23"/>
      <c r="C23" s="61"/>
      <c r="D23" s="61"/>
      <c r="G23"/>
      <c r="H23"/>
      <c r="J23"/>
      <c r="M23"/>
      <c r="N23"/>
      <c r="O23" s="61"/>
      <c r="P23"/>
    </row>
    <row r="24" spans="2:16" x14ac:dyDescent="0.2">
      <c r="B24"/>
      <c r="C24" s="61"/>
      <c r="D24" s="61"/>
      <c r="G24"/>
      <c r="H24"/>
      <c r="J24"/>
      <c r="M24"/>
      <c r="N24"/>
      <c r="O24" s="61"/>
      <c r="P24"/>
    </row>
    <row r="25" spans="2:16" x14ac:dyDescent="0.2">
      <c r="B25"/>
      <c r="C25" s="61"/>
      <c r="D25" s="61"/>
      <c r="G25"/>
      <c r="H25"/>
      <c r="K25"/>
      <c r="L25"/>
      <c r="M25"/>
      <c r="N25"/>
      <c r="O25" s="61"/>
      <c r="P25"/>
    </row>
    <row r="26" spans="2:16" x14ac:dyDescent="0.2">
      <c r="B26"/>
      <c r="C26" s="61"/>
      <c r="D26" s="61"/>
      <c r="G26"/>
      <c r="H26"/>
      <c r="J26"/>
      <c r="M26"/>
      <c r="N26"/>
      <c r="O26" s="61"/>
      <c r="P26"/>
    </row>
    <row r="27" spans="2:16" x14ac:dyDescent="0.2">
      <c r="B27"/>
      <c r="C27" s="61"/>
      <c r="D27" s="61"/>
      <c r="G27"/>
      <c r="H27"/>
      <c r="M27"/>
      <c r="N27"/>
      <c r="O27" s="61"/>
      <c r="P27"/>
    </row>
    <row r="28" spans="2:16" x14ac:dyDescent="0.2">
      <c r="B28"/>
      <c r="C28" s="61"/>
      <c r="D28" s="61"/>
      <c r="G28"/>
      <c r="H28"/>
      <c r="J28"/>
      <c r="M28"/>
      <c r="N28"/>
      <c r="O28" s="61"/>
      <c r="P28"/>
    </row>
    <row r="29" spans="2:16" x14ac:dyDescent="0.2">
      <c r="B29"/>
      <c r="C29" s="61"/>
      <c r="D29" s="61"/>
      <c r="G29"/>
      <c r="H29"/>
      <c r="J29"/>
      <c r="M29"/>
      <c r="N29"/>
      <c r="O29" s="61"/>
      <c r="P29"/>
    </row>
    <row r="30" spans="2:16" x14ac:dyDescent="0.2">
      <c r="B30"/>
      <c r="C30" s="61"/>
      <c r="D30" s="61"/>
      <c r="G30"/>
      <c r="H30"/>
      <c r="M30"/>
      <c r="O30" s="61"/>
      <c r="P30"/>
    </row>
    <row r="31" spans="2:16" x14ac:dyDescent="0.2">
      <c r="B31"/>
      <c r="C31" s="61"/>
      <c r="D31" s="61"/>
      <c r="G31"/>
      <c r="H31"/>
      <c r="M31"/>
      <c r="N31"/>
      <c r="O31" s="61"/>
      <c r="P31"/>
    </row>
    <row r="32" spans="2:16" x14ac:dyDescent="0.2">
      <c r="B32"/>
      <c r="C32" s="61"/>
      <c r="D32" s="61"/>
      <c r="G32"/>
      <c r="H32"/>
      <c r="I32"/>
      <c r="J32"/>
      <c r="M32"/>
      <c r="N32"/>
      <c r="O32" s="61"/>
      <c r="P32"/>
    </row>
    <row r="33" spans="2:16" x14ac:dyDescent="0.2">
      <c r="B33"/>
      <c r="C33" s="61"/>
      <c r="D33" s="61"/>
      <c r="G33"/>
      <c r="H33"/>
      <c r="M33"/>
      <c r="N33"/>
      <c r="O33" s="61"/>
      <c r="P33"/>
    </row>
    <row r="34" spans="2:16" x14ac:dyDescent="0.2">
      <c r="B34"/>
      <c r="C34" s="61"/>
      <c r="D34" s="61"/>
      <c r="G34"/>
      <c r="H34"/>
      <c r="J34"/>
      <c r="M34"/>
      <c r="N34"/>
      <c r="O34" s="61"/>
      <c r="P34"/>
    </row>
    <row r="35" spans="2:16" x14ac:dyDescent="0.2">
      <c r="B35"/>
      <c r="C35" s="61"/>
      <c r="D35" s="61"/>
      <c r="G35"/>
      <c r="H35"/>
      <c r="I35"/>
      <c r="J35"/>
      <c r="M35"/>
      <c r="N35"/>
      <c r="O35" s="61"/>
      <c r="P35"/>
    </row>
    <row r="36" spans="2:16" x14ac:dyDescent="0.2">
      <c r="B36"/>
      <c r="C36" s="61"/>
      <c r="D36" s="61"/>
      <c r="G36"/>
      <c r="H36"/>
      <c r="J36"/>
      <c r="M36"/>
      <c r="N36"/>
      <c r="O36" s="61"/>
      <c r="P36"/>
    </row>
    <row r="37" spans="2:16" x14ac:dyDescent="0.2">
      <c r="B37"/>
      <c r="C37" s="61"/>
      <c r="D37" s="61"/>
      <c r="G37"/>
      <c r="H37"/>
      <c r="J37"/>
      <c r="M37"/>
      <c r="N37"/>
      <c r="O37" s="61"/>
      <c r="P37"/>
    </row>
    <row r="38" spans="2:16" x14ac:dyDescent="0.2">
      <c r="B38"/>
      <c r="C38" s="61"/>
      <c r="D38" s="61"/>
      <c r="G38"/>
      <c r="H38"/>
      <c r="J38"/>
      <c r="M38"/>
      <c r="N38"/>
      <c r="O38" s="61"/>
      <c r="P38"/>
    </row>
    <row r="39" spans="2:16" x14ac:dyDescent="0.2">
      <c r="B39"/>
      <c r="C39" s="61"/>
      <c r="D39" s="61"/>
      <c r="G39"/>
      <c r="H39"/>
      <c r="J39"/>
      <c r="M39"/>
      <c r="N39"/>
      <c r="O39" s="61"/>
      <c r="P39"/>
    </row>
    <row r="40" spans="2:16" x14ac:dyDescent="0.2">
      <c r="B40"/>
      <c r="C40" s="61"/>
      <c r="D40" s="61"/>
      <c r="G40"/>
      <c r="H40"/>
      <c r="J40"/>
      <c r="M40"/>
      <c r="N40"/>
      <c r="O40" s="61"/>
      <c r="P40"/>
    </row>
    <row r="41" spans="2:16" x14ac:dyDescent="0.2">
      <c r="B41"/>
      <c r="C41" s="61"/>
      <c r="D41" s="61"/>
      <c r="G41"/>
      <c r="H41"/>
      <c r="J41"/>
      <c r="M41"/>
      <c r="N41"/>
      <c r="O41" s="61"/>
      <c r="P41"/>
    </row>
    <row r="42" spans="2:16" x14ac:dyDescent="0.2">
      <c r="B42"/>
      <c r="C42" s="61"/>
      <c r="D42" s="61"/>
      <c r="G42"/>
      <c r="H42"/>
      <c r="I42"/>
      <c r="J42"/>
      <c r="M42"/>
      <c r="N42"/>
      <c r="O42" s="61"/>
      <c r="P42"/>
    </row>
    <row r="43" spans="2:16" x14ac:dyDescent="0.2">
      <c r="B43"/>
      <c r="C43" s="61"/>
      <c r="D43" s="61"/>
      <c r="G43"/>
      <c r="H43"/>
      <c r="I43"/>
      <c r="J43"/>
      <c r="M43"/>
      <c r="N43"/>
      <c r="O43" s="61"/>
      <c r="P43"/>
    </row>
    <row r="44" spans="2:16" x14ac:dyDescent="0.2">
      <c r="B44"/>
      <c r="C44" s="61"/>
      <c r="D44" s="61"/>
      <c r="G44"/>
      <c r="H44"/>
      <c r="M44"/>
      <c r="N44"/>
      <c r="O44" s="61"/>
      <c r="P44"/>
    </row>
    <row r="45" spans="2:16" x14ac:dyDescent="0.2">
      <c r="B45"/>
      <c r="C45" s="61"/>
      <c r="D45" s="61"/>
      <c r="G45"/>
      <c r="H45"/>
      <c r="J45"/>
      <c r="M45"/>
      <c r="N45"/>
      <c r="O45" s="61"/>
      <c r="P45"/>
    </row>
    <row r="46" spans="2:16" x14ac:dyDescent="0.2">
      <c r="B46"/>
      <c r="C46" s="61"/>
      <c r="D46" s="61"/>
      <c r="G46"/>
      <c r="H46"/>
      <c r="J46"/>
      <c r="M46"/>
      <c r="N46"/>
      <c r="O46" s="61"/>
      <c r="P46"/>
    </row>
    <row r="47" spans="2:16" x14ac:dyDescent="0.2">
      <c r="B47"/>
      <c r="C47" s="61"/>
      <c r="D47" s="61"/>
      <c r="G47"/>
      <c r="H47"/>
      <c r="J47"/>
      <c r="M47"/>
      <c r="N47"/>
      <c r="O47" s="61"/>
      <c r="P47"/>
    </row>
    <row r="48" spans="2:16" x14ac:dyDescent="0.2">
      <c r="B48"/>
      <c r="C48" s="61"/>
      <c r="D48" s="61"/>
      <c r="G48"/>
      <c r="H48"/>
      <c r="I48"/>
      <c r="J48"/>
      <c r="M48"/>
      <c r="N48"/>
      <c r="O48" s="61"/>
      <c r="P48"/>
    </row>
    <row r="49" spans="2:16" x14ac:dyDescent="0.2">
      <c r="B49"/>
      <c r="C49" s="61"/>
      <c r="D49" s="61"/>
      <c r="G49"/>
      <c r="H49"/>
      <c r="M49"/>
      <c r="N49"/>
      <c r="O49" s="61"/>
      <c r="P49"/>
    </row>
    <row r="50" spans="2:16" x14ac:dyDescent="0.2">
      <c r="B50"/>
      <c r="C50" s="61"/>
      <c r="D50" s="61"/>
      <c r="G50"/>
      <c r="H50"/>
      <c r="J50"/>
      <c r="M50"/>
      <c r="N50"/>
      <c r="O50" s="61"/>
      <c r="P50"/>
    </row>
    <row r="51" spans="2:16" x14ac:dyDescent="0.2">
      <c r="B51"/>
      <c r="C51" s="61"/>
      <c r="D51" s="61"/>
      <c r="G51"/>
      <c r="H51"/>
      <c r="I51"/>
      <c r="J51"/>
      <c r="M51"/>
      <c r="N51"/>
      <c r="O51" s="61"/>
      <c r="P51"/>
    </row>
    <row r="52" spans="2:16" x14ac:dyDescent="0.2">
      <c r="B52"/>
      <c r="C52" s="61"/>
      <c r="D52" s="61"/>
      <c r="G52"/>
      <c r="H52"/>
      <c r="M52"/>
      <c r="N52"/>
      <c r="O52" s="61"/>
      <c r="P52"/>
    </row>
    <row r="53" spans="2:16" x14ac:dyDescent="0.2">
      <c r="B53"/>
      <c r="C53" s="61"/>
      <c r="D53" s="61"/>
      <c r="G53"/>
      <c r="H53"/>
      <c r="I53"/>
      <c r="K53"/>
      <c r="L53"/>
      <c r="M53"/>
      <c r="N53"/>
      <c r="O53" s="61"/>
      <c r="P53"/>
    </row>
    <row r="54" spans="2:16" x14ac:dyDescent="0.2">
      <c r="B54"/>
      <c r="C54" s="61"/>
      <c r="D54" s="61"/>
      <c r="G54"/>
      <c r="H54"/>
      <c r="I54"/>
      <c r="J54"/>
      <c r="M54"/>
      <c r="N54"/>
      <c r="O54" s="61"/>
      <c r="P54"/>
    </row>
    <row r="55" spans="2:16" x14ac:dyDescent="0.2">
      <c r="B55"/>
      <c r="C55" s="61"/>
      <c r="D55" s="61"/>
      <c r="G55"/>
      <c r="H55"/>
      <c r="M55"/>
      <c r="N55"/>
      <c r="O55" s="61"/>
      <c r="P55"/>
    </row>
    <row r="56" spans="2:16" x14ac:dyDescent="0.2">
      <c r="B56"/>
      <c r="C56" s="61"/>
      <c r="D56" s="61"/>
      <c r="G56"/>
      <c r="H56"/>
      <c r="M56"/>
      <c r="N56"/>
      <c r="O56" s="61"/>
      <c r="P56"/>
    </row>
    <row r="57" spans="2:16" x14ac:dyDescent="0.2">
      <c r="B57"/>
      <c r="C57" s="61"/>
      <c r="D57" s="61"/>
      <c r="G57"/>
      <c r="H57"/>
      <c r="J57"/>
      <c r="M57"/>
      <c r="N57"/>
      <c r="O57" s="61"/>
      <c r="P57"/>
    </row>
    <row r="58" spans="2:16" x14ac:dyDescent="0.2">
      <c r="B58"/>
      <c r="C58" s="61"/>
      <c r="D58" s="61"/>
      <c r="G58"/>
      <c r="H58"/>
      <c r="I58"/>
      <c r="J58"/>
      <c r="M58"/>
      <c r="O58" s="61"/>
      <c r="P58"/>
    </row>
    <row r="59" spans="2:16" x14ac:dyDescent="0.2">
      <c r="B59"/>
      <c r="C59" s="61"/>
      <c r="D59" s="61"/>
      <c r="G59"/>
      <c r="H59"/>
      <c r="N59"/>
      <c r="O59" s="61"/>
      <c r="P59"/>
    </row>
    <row r="60" spans="2:16" x14ac:dyDescent="0.2">
      <c r="B60"/>
      <c r="C60" s="61"/>
      <c r="D60" s="61"/>
      <c r="G60"/>
      <c r="H60"/>
      <c r="J60"/>
      <c r="M60"/>
      <c r="N60"/>
      <c r="O60" s="61"/>
      <c r="P60"/>
    </row>
    <row r="61" spans="2:16" x14ac:dyDescent="0.2">
      <c r="B61"/>
      <c r="C61" s="61"/>
      <c r="D61" s="61"/>
      <c r="G61"/>
      <c r="H61"/>
      <c r="I61"/>
      <c r="J61"/>
      <c r="M61"/>
      <c r="O61" s="61"/>
      <c r="P61"/>
    </row>
    <row r="62" spans="2:16" x14ac:dyDescent="0.2">
      <c r="B62"/>
      <c r="C62" s="61"/>
      <c r="D62" s="61"/>
      <c r="G62"/>
      <c r="H62"/>
      <c r="J62"/>
      <c r="M62"/>
      <c r="N62"/>
      <c r="O62" s="61"/>
      <c r="P62"/>
    </row>
    <row r="63" spans="2:16" x14ac:dyDescent="0.2">
      <c r="B63"/>
      <c r="C63" s="61"/>
      <c r="D63" s="61"/>
      <c r="G63"/>
      <c r="H63"/>
      <c r="J63"/>
      <c r="M63"/>
      <c r="O63" s="61"/>
      <c r="P63"/>
    </row>
    <row r="64" spans="2:16" x14ac:dyDescent="0.2">
      <c r="B64"/>
      <c r="C64" s="61"/>
      <c r="D64" s="61"/>
      <c r="G64"/>
      <c r="H64"/>
      <c r="J64"/>
      <c r="M64"/>
      <c r="N64"/>
      <c r="O64" s="61"/>
      <c r="P64"/>
    </row>
    <row r="65" spans="2:16" x14ac:dyDescent="0.2">
      <c r="B65"/>
      <c r="C65" s="61"/>
      <c r="D65" s="61"/>
      <c r="G65"/>
      <c r="H65"/>
      <c r="I65"/>
      <c r="J65"/>
      <c r="M65"/>
      <c r="N65"/>
      <c r="O65" s="61"/>
      <c r="P65"/>
    </row>
    <row r="66" spans="2:16" x14ac:dyDescent="0.2">
      <c r="B66"/>
      <c r="C66" s="61"/>
      <c r="D66" s="61"/>
      <c r="G66"/>
      <c r="H66"/>
      <c r="I66"/>
      <c r="J66"/>
      <c r="M66"/>
      <c r="O66" s="61"/>
      <c r="P66"/>
    </row>
    <row r="67" spans="2:16" x14ac:dyDescent="0.2">
      <c r="B67"/>
      <c r="C67" s="61"/>
      <c r="D67" s="61"/>
      <c r="G67"/>
      <c r="H67"/>
      <c r="J67"/>
      <c r="M67"/>
      <c r="N67"/>
      <c r="O67" s="61"/>
      <c r="P67"/>
    </row>
    <row r="68" spans="2:16" x14ac:dyDescent="0.2">
      <c r="B68"/>
      <c r="C68" s="61"/>
      <c r="D68" s="61"/>
      <c r="G68"/>
      <c r="H68"/>
      <c r="J68"/>
      <c r="M68"/>
      <c r="N68"/>
      <c r="O68" s="61"/>
      <c r="P68"/>
    </row>
    <row r="69" spans="2:16" x14ac:dyDescent="0.2">
      <c r="B69"/>
      <c r="C69" s="61"/>
      <c r="D69" s="61"/>
      <c r="G69"/>
      <c r="H69"/>
      <c r="I69"/>
      <c r="J69"/>
      <c r="M69"/>
      <c r="O69" s="61"/>
      <c r="P69"/>
    </row>
    <row r="70" spans="2:16" x14ac:dyDescent="0.2">
      <c r="B70"/>
      <c r="C70" s="61"/>
      <c r="D70" s="61"/>
      <c r="G70"/>
      <c r="H70"/>
      <c r="J70"/>
      <c r="M70"/>
      <c r="N70"/>
      <c r="O70" s="61"/>
      <c r="P70"/>
    </row>
    <row r="71" spans="2:16" x14ac:dyDescent="0.2">
      <c r="B71"/>
      <c r="C71" s="61"/>
      <c r="D71" s="61"/>
      <c r="G71"/>
      <c r="H71"/>
      <c r="I71"/>
      <c r="J71"/>
      <c r="M71"/>
      <c r="O71" s="61"/>
      <c r="P71"/>
    </row>
    <row r="72" spans="2:16" x14ac:dyDescent="0.2">
      <c r="B72"/>
      <c r="C72" s="61"/>
      <c r="D72" s="61"/>
      <c r="G72"/>
      <c r="H72"/>
      <c r="J72"/>
      <c r="M72"/>
      <c r="N72"/>
      <c r="O72" s="61"/>
      <c r="P72"/>
    </row>
    <row r="73" spans="2:16" x14ac:dyDescent="0.2">
      <c r="B73"/>
      <c r="C73" s="61"/>
      <c r="D73" s="61"/>
      <c r="G73"/>
      <c r="H73"/>
      <c r="M73"/>
      <c r="N73"/>
      <c r="O73" s="61"/>
      <c r="P73"/>
    </row>
    <row r="74" spans="2:16" x14ac:dyDescent="0.2">
      <c r="B74"/>
      <c r="C74" s="61"/>
      <c r="D74" s="61"/>
      <c r="G74"/>
      <c r="H74"/>
      <c r="M74"/>
      <c r="N74"/>
      <c r="O74" s="61"/>
      <c r="P74"/>
    </row>
    <row r="75" spans="2:16" x14ac:dyDescent="0.2">
      <c r="B75"/>
      <c r="C75" s="61"/>
      <c r="D75" s="61"/>
      <c r="G75"/>
      <c r="H75"/>
      <c r="M75"/>
      <c r="N75"/>
      <c r="O75" s="61"/>
      <c r="P75"/>
    </row>
    <row r="76" spans="2:16" x14ac:dyDescent="0.2">
      <c r="B76"/>
      <c r="C76" s="61"/>
      <c r="D76" s="61"/>
      <c r="G76"/>
      <c r="H76"/>
      <c r="J76"/>
      <c r="M76"/>
      <c r="N76"/>
      <c r="O76" s="61"/>
      <c r="P76"/>
    </row>
    <row r="77" spans="2:16" x14ac:dyDescent="0.2">
      <c r="B77"/>
      <c r="C77" s="61"/>
      <c r="D77" s="61"/>
      <c r="G77"/>
      <c r="H77"/>
      <c r="J77"/>
      <c r="M77"/>
      <c r="N77"/>
      <c r="O77" s="61"/>
      <c r="P77"/>
    </row>
    <row r="78" spans="2:16" x14ac:dyDescent="0.2">
      <c r="B78"/>
      <c r="C78" s="61"/>
      <c r="D78" s="61"/>
      <c r="G78"/>
      <c r="H78"/>
      <c r="J78"/>
      <c r="M78"/>
      <c r="N78"/>
      <c r="O78" s="61"/>
      <c r="P78"/>
    </row>
    <row r="79" spans="2:16" x14ac:dyDescent="0.2">
      <c r="B79"/>
      <c r="C79" s="61"/>
      <c r="D79" s="61"/>
      <c r="G79"/>
      <c r="H79"/>
      <c r="J79"/>
      <c r="M79"/>
      <c r="N79"/>
      <c r="O79" s="61"/>
      <c r="P79"/>
    </row>
    <row r="80" spans="2:16" x14ac:dyDescent="0.2">
      <c r="B80"/>
      <c r="C80" s="61"/>
      <c r="D80" s="61"/>
      <c r="G80"/>
      <c r="H80"/>
      <c r="N80"/>
      <c r="O80" s="61"/>
      <c r="P80"/>
    </row>
    <row r="81" spans="2:16" x14ac:dyDescent="0.2">
      <c r="B81"/>
      <c r="C81" s="61"/>
      <c r="D81" s="61"/>
      <c r="G81"/>
      <c r="H81"/>
      <c r="J81"/>
      <c r="M81"/>
      <c r="N81"/>
      <c r="O81" s="61"/>
      <c r="P81"/>
    </row>
    <row r="82" spans="2:16" x14ac:dyDescent="0.2">
      <c r="B82"/>
      <c r="C82" s="61"/>
      <c r="D82" s="61"/>
      <c r="G82"/>
      <c r="H82"/>
      <c r="J82"/>
      <c r="M82"/>
      <c r="N82"/>
      <c r="O82" s="61"/>
      <c r="P82"/>
    </row>
    <row r="83" spans="2:16" x14ac:dyDescent="0.2">
      <c r="B83"/>
      <c r="C83" s="61"/>
      <c r="D83" s="61"/>
      <c r="G83"/>
      <c r="H83"/>
      <c r="I83"/>
      <c r="J83"/>
      <c r="M83"/>
      <c r="O83" s="61"/>
      <c r="P83"/>
    </row>
    <row r="84" spans="2:16" x14ac:dyDescent="0.2">
      <c r="B84"/>
      <c r="C84" s="61"/>
      <c r="D84" s="61"/>
      <c r="G84"/>
      <c r="H84"/>
      <c r="I84"/>
      <c r="K84"/>
      <c r="L84"/>
      <c r="M84"/>
      <c r="N84"/>
      <c r="O84" s="61"/>
      <c r="P84"/>
    </row>
    <row r="85" spans="2:16" x14ac:dyDescent="0.2">
      <c r="B85"/>
      <c r="C85" s="61"/>
      <c r="D85" s="61"/>
      <c r="G85"/>
      <c r="H85"/>
      <c r="I85"/>
      <c r="J85"/>
      <c r="M85"/>
      <c r="O85" s="61"/>
      <c r="P85"/>
    </row>
    <row r="86" spans="2:16" x14ac:dyDescent="0.2">
      <c r="B86"/>
      <c r="C86" s="61"/>
      <c r="D86" s="61"/>
      <c r="G86"/>
      <c r="H86"/>
      <c r="J86"/>
      <c r="K86"/>
      <c r="L86"/>
      <c r="M86"/>
      <c r="N86"/>
      <c r="O86" s="61"/>
      <c r="P86"/>
    </row>
    <row r="87" spans="2:16" x14ac:dyDescent="0.2">
      <c r="B87"/>
      <c r="C87" s="61"/>
      <c r="D87" s="61"/>
      <c r="G87"/>
      <c r="H87"/>
      <c r="J87"/>
      <c r="M87"/>
      <c r="N87"/>
      <c r="O87" s="61"/>
      <c r="P87"/>
    </row>
    <row r="88" spans="2:16" x14ac:dyDescent="0.2">
      <c r="B88"/>
      <c r="C88" s="61"/>
      <c r="D88" s="61"/>
      <c r="G88"/>
      <c r="H88"/>
      <c r="J88"/>
      <c r="M88"/>
      <c r="N88"/>
      <c r="O88" s="61"/>
      <c r="P88"/>
    </row>
    <row r="89" spans="2:16" x14ac:dyDescent="0.2">
      <c r="B89"/>
      <c r="C89" s="61"/>
      <c r="D89" s="61"/>
      <c r="G89"/>
      <c r="H89"/>
      <c r="J89"/>
      <c r="M89"/>
      <c r="N89"/>
      <c r="O89" s="61"/>
      <c r="P89"/>
    </row>
    <row r="90" spans="2:16" x14ac:dyDescent="0.2">
      <c r="B90"/>
      <c r="C90" s="61"/>
      <c r="D90" s="61"/>
      <c r="G90"/>
      <c r="H90"/>
      <c r="J90"/>
      <c r="K90"/>
      <c r="L90"/>
      <c r="M90"/>
      <c r="N90"/>
      <c r="O90" s="61"/>
      <c r="P90"/>
    </row>
    <row r="91" spans="2:16" x14ac:dyDescent="0.2">
      <c r="B91"/>
      <c r="C91" s="61"/>
      <c r="D91" s="61"/>
      <c r="G91"/>
      <c r="H91"/>
      <c r="J91"/>
      <c r="M91"/>
      <c r="N91"/>
      <c r="O91" s="61"/>
      <c r="P91"/>
    </row>
    <row r="92" spans="2:16" x14ac:dyDescent="0.2">
      <c r="B92"/>
      <c r="C92" s="61"/>
      <c r="D92" s="61"/>
      <c r="G92"/>
      <c r="H92"/>
      <c r="J92"/>
      <c r="M92"/>
      <c r="N92"/>
      <c r="O92" s="61"/>
      <c r="P92"/>
    </row>
    <row r="93" spans="2:16" x14ac:dyDescent="0.2">
      <c r="B93"/>
      <c r="C93" s="61"/>
      <c r="D93" s="61"/>
      <c r="G93"/>
      <c r="H93"/>
      <c r="M93"/>
      <c r="N93"/>
      <c r="O93" s="61"/>
      <c r="P93"/>
    </row>
    <row r="94" spans="2:16" x14ac:dyDescent="0.2">
      <c r="B94"/>
      <c r="C94" s="61"/>
      <c r="D94" s="61"/>
      <c r="G94"/>
      <c r="H94"/>
      <c r="J94"/>
      <c r="K94"/>
      <c r="M94"/>
      <c r="N94"/>
      <c r="O94" s="61"/>
      <c r="P94"/>
    </row>
    <row r="95" spans="2:16" x14ac:dyDescent="0.2">
      <c r="B95"/>
      <c r="C95" s="61"/>
      <c r="D95" s="61"/>
      <c r="G95"/>
      <c r="H95"/>
      <c r="J95"/>
      <c r="M95"/>
      <c r="N95"/>
      <c r="O95" s="61"/>
      <c r="P95"/>
    </row>
    <row r="96" spans="2:16" x14ac:dyDescent="0.2">
      <c r="B96"/>
      <c r="C96" s="61"/>
      <c r="D96" s="61"/>
      <c r="G96"/>
      <c r="H96"/>
      <c r="J96"/>
      <c r="M96"/>
      <c r="N96"/>
      <c r="O96" s="61"/>
      <c r="P96"/>
    </row>
    <row r="97" spans="2:16" x14ac:dyDescent="0.2">
      <c r="B97"/>
      <c r="C97" s="61"/>
      <c r="D97" s="61"/>
      <c r="G97"/>
      <c r="H97"/>
      <c r="J97"/>
      <c r="M97"/>
      <c r="N97"/>
      <c r="O97" s="61"/>
      <c r="P97"/>
    </row>
    <row r="98" spans="2:16" x14ac:dyDescent="0.2">
      <c r="B98"/>
      <c r="C98" s="61"/>
      <c r="D98" s="61"/>
      <c r="G98"/>
      <c r="H98"/>
      <c r="O98" s="61"/>
      <c r="P98"/>
    </row>
    <row r="99" spans="2:16" x14ac:dyDescent="0.2">
      <c r="B99"/>
      <c r="C99" s="61"/>
      <c r="D99" s="61"/>
      <c r="G99"/>
      <c r="H99"/>
      <c r="M99"/>
      <c r="N99"/>
      <c r="O99" s="61"/>
      <c r="P99"/>
    </row>
    <row r="100" spans="2:16" x14ac:dyDescent="0.2">
      <c r="B100"/>
      <c r="C100" s="61"/>
      <c r="D100" s="61"/>
      <c r="G100"/>
      <c r="H100"/>
      <c r="M100"/>
      <c r="N100"/>
      <c r="O100" s="61"/>
      <c r="P100"/>
    </row>
    <row r="101" spans="2:16" x14ac:dyDescent="0.2">
      <c r="B101"/>
      <c r="C101" s="61"/>
      <c r="D101" s="61"/>
      <c r="G101"/>
      <c r="H101"/>
      <c r="J101"/>
      <c r="M101"/>
      <c r="N101"/>
      <c r="O101" s="61"/>
      <c r="P101"/>
    </row>
    <row r="102" spans="2:16" x14ac:dyDescent="0.2">
      <c r="B102"/>
      <c r="C102" s="61"/>
      <c r="D102" s="61"/>
      <c r="G102"/>
      <c r="H102"/>
      <c r="J102"/>
      <c r="M102"/>
      <c r="N102"/>
      <c r="O102" s="61"/>
      <c r="P102"/>
    </row>
    <row r="103" spans="2:16" x14ac:dyDescent="0.2">
      <c r="B103"/>
      <c r="C103" s="61"/>
      <c r="D103" s="61"/>
      <c r="G103"/>
      <c r="H103"/>
      <c r="J103"/>
      <c r="M103"/>
      <c r="N103"/>
      <c r="O103" s="61"/>
      <c r="P103"/>
    </row>
    <row r="104" spans="2:16" x14ac:dyDescent="0.2">
      <c r="B104"/>
      <c r="C104" s="61"/>
      <c r="D104" s="61"/>
      <c r="G104"/>
      <c r="H104"/>
      <c r="J104"/>
      <c r="M104"/>
      <c r="N104"/>
      <c r="O104" s="61"/>
      <c r="P104"/>
    </row>
    <row r="105" spans="2:16" x14ac:dyDescent="0.2">
      <c r="B105"/>
      <c r="C105" s="61"/>
      <c r="D105" s="61"/>
      <c r="G105"/>
      <c r="H105"/>
      <c r="M105"/>
      <c r="N105"/>
      <c r="O105" s="61"/>
      <c r="P105"/>
    </row>
    <row r="106" spans="2:16" x14ac:dyDescent="0.2">
      <c r="B106"/>
      <c r="C106" s="61"/>
      <c r="D106" s="61"/>
      <c r="G106"/>
      <c r="H106"/>
      <c r="M106"/>
      <c r="N106"/>
      <c r="O106" s="61"/>
      <c r="P106"/>
    </row>
    <row r="107" spans="2:16" x14ac:dyDescent="0.2">
      <c r="B107"/>
      <c r="C107" s="61"/>
      <c r="D107" s="61"/>
      <c r="G107"/>
      <c r="H107"/>
      <c r="I107"/>
      <c r="K107"/>
      <c r="L107"/>
      <c r="M107"/>
      <c r="N107"/>
      <c r="O107" s="61"/>
      <c r="P107"/>
    </row>
    <row r="108" spans="2:16" x14ac:dyDescent="0.2">
      <c r="B108"/>
      <c r="C108" s="61"/>
      <c r="D108" s="61"/>
      <c r="G108"/>
      <c r="H108"/>
      <c r="M108"/>
      <c r="N108"/>
      <c r="O108" s="61"/>
      <c r="P108"/>
    </row>
    <row r="109" spans="2:16" x14ac:dyDescent="0.2">
      <c r="B109"/>
      <c r="C109" s="61"/>
      <c r="D109" s="61"/>
      <c r="G109"/>
      <c r="H109"/>
      <c r="J109"/>
      <c r="M109"/>
      <c r="N109"/>
      <c r="O109" s="61"/>
      <c r="P109"/>
    </row>
    <row r="110" spans="2:16" x14ac:dyDescent="0.2">
      <c r="B110"/>
      <c r="C110" s="61"/>
      <c r="D110" s="61"/>
      <c r="G110"/>
      <c r="H110"/>
      <c r="J110"/>
      <c r="M110"/>
      <c r="N110"/>
      <c r="O110" s="61"/>
      <c r="P110"/>
    </row>
    <row r="111" spans="2:16" x14ac:dyDescent="0.2">
      <c r="B111"/>
      <c r="C111" s="61"/>
      <c r="D111" s="61"/>
      <c r="G111"/>
      <c r="H111"/>
      <c r="M111"/>
      <c r="N111"/>
      <c r="O111" s="61"/>
      <c r="P111"/>
    </row>
    <row r="112" spans="2:16" x14ac:dyDescent="0.2">
      <c r="B112"/>
      <c r="C112" s="61"/>
      <c r="D112" s="61"/>
      <c r="G112"/>
      <c r="H112"/>
      <c r="N112"/>
      <c r="O112" s="61"/>
      <c r="P112"/>
    </row>
    <row r="113" spans="2:16" x14ac:dyDescent="0.2">
      <c r="B113"/>
      <c r="C113" s="61"/>
      <c r="D113" s="61"/>
      <c r="G113"/>
      <c r="H113"/>
      <c r="J113"/>
      <c r="M113"/>
      <c r="N113"/>
      <c r="O113" s="61"/>
      <c r="P113"/>
    </row>
    <row r="114" spans="2:16" x14ac:dyDescent="0.2">
      <c r="B114"/>
      <c r="C114" s="61"/>
      <c r="D114" s="61"/>
      <c r="G114"/>
      <c r="H114"/>
      <c r="M114"/>
      <c r="N114"/>
      <c r="O114" s="61"/>
      <c r="P114"/>
    </row>
    <row r="115" spans="2:16" x14ac:dyDescent="0.2">
      <c r="B115"/>
      <c r="C115" s="61"/>
      <c r="D115" s="61"/>
      <c r="G115"/>
      <c r="H115"/>
      <c r="J115"/>
      <c r="M115"/>
      <c r="N115"/>
      <c r="O115" s="61"/>
      <c r="P115"/>
    </row>
    <row r="116" spans="2:16" x14ac:dyDescent="0.2">
      <c r="B116"/>
      <c r="C116" s="61"/>
      <c r="D116" s="61"/>
      <c r="G116"/>
      <c r="H116"/>
      <c r="J116"/>
      <c r="M116"/>
      <c r="N116"/>
      <c r="O116" s="61"/>
      <c r="P116"/>
    </row>
    <row r="117" spans="2:16" x14ac:dyDescent="0.2">
      <c r="B117"/>
      <c r="C117" s="61"/>
      <c r="D117" s="61"/>
      <c r="G117"/>
      <c r="H117"/>
      <c r="M117"/>
      <c r="N117"/>
      <c r="O117" s="61"/>
      <c r="P117"/>
    </row>
    <row r="118" spans="2:16" x14ac:dyDescent="0.2">
      <c r="B118"/>
      <c r="C118" s="61"/>
      <c r="D118" s="61"/>
      <c r="G118"/>
      <c r="H118"/>
      <c r="J118"/>
      <c r="M118"/>
      <c r="N118"/>
      <c r="O118" s="61"/>
      <c r="P118"/>
    </row>
    <row r="119" spans="2:16" x14ac:dyDescent="0.2">
      <c r="B119"/>
      <c r="C119" s="61"/>
      <c r="D119" s="61"/>
      <c r="G119"/>
      <c r="H119"/>
      <c r="I119"/>
      <c r="J119"/>
      <c r="M119"/>
      <c r="O119" s="61"/>
      <c r="P119"/>
    </row>
    <row r="120" spans="2:16" x14ac:dyDescent="0.2">
      <c r="B120"/>
      <c r="C120" s="61"/>
      <c r="D120" s="61"/>
      <c r="G120"/>
      <c r="H120"/>
      <c r="M120"/>
      <c r="N120"/>
      <c r="O120" s="61"/>
      <c r="P120"/>
    </row>
    <row r="121" spans="2:16" x14ac:dyDescent="0.2">
      <c r="B121"/>
      <c r="C121" s="61"/>
      <c r="D121" s="61"/>
      <c r="G121"/>
      <c r="H121"/>
      <c r="M121"/>
      <c r="N121"/>
      <c r="O121" s="61"/>
      <c r="P121"/>
    </row>
    <row r="122" spans="2:16" x14ac:dyDescent="0.2">
      <c r="B122"/>
      <c r="C122" s="61"/>
      <c r="D122" s="61"/>
      <c r="G122"/>
      <c r="H122"/>
      <c r="I122"/>
      <c r="J122"/>
      <c r="M122"/>
      <c r="O122" s="61"/>
      <c r="P122"/>
    </row>
    <row r="123" spans="2:16" x14ac:dyDescent="0.2">
      <c r="B123"/>
      <c r="C123" s="61"/>
      <c r="D123" s="61"/>
      <c r="G123"/>
      <c r="H123"/>
      <c r="I123"/>
      <c r="K123"/>
      <c r="L123"/>
      <c r="M123"/>
      <c r="N123"/>
      <c r="O123" s="61"/>
      <c r="P123"/>
    </row>
    <row r="124" spans="2:16" x14ac:dyDescent="0.2">
      <c r="B124"/>
      <c r="C124" s="61"/>
      <c r="D124" s="61"/>
      <c r="G124"/>
      <c r="H124"/>
      <c r="J124"/>
      <c r="M124"/>
      <c r="N124"/>
      <c r="O124" s="61"/>
      <c r="P124"/>
    </row>
    <row r="125" spans="2:16" x14ac:dyDescent="0.2">
      <c r="B125"/>
      <c r="C125" s="61"/>
      <c r="D125" s="61"/>
      <c r="G125"/>
      <c r="H125"/>
      <c r="I125"/>
      <c r="J125"/>
      <c r="M125"/>
      <c r="O125" s="61"/>
      <c r="P125"/>
    </row>
    <row r="126" spans="2:16" x14ac:dyDescent="0.2">
      <c r="B126"/>
      <c r="C126" s="61"/>
      <c r="D126" s="61"/>
      <c r="G126"/>
      <c r="H126"/>
      <c r="J126"/>
      <c r="M126"/>
      <c r="N126"/>
      <c r="O126" s="61"/>
      <c r="P126"/>
    </row>
    <row r="127" spans="2:16" x14ac:dyDescent="0.2">
      <c r="B127"/>
      <c r="C127" s="61"/>
      <c r="D127" s="61"/>
      <c r="G127"/>
      <c r="H127"/>
      <c r="J127"/>
      <c r="M127"/>
      <c r="N127"/>
      <c r="O127" s="61"/>
      <c r="P127"/>
    </row>
    <row r="128" spans="2:16" x14ac:dyDescent="0.2">
      <c r="B128"/>
      <c r="C128" s="61"/>
      <c r="D128" s="61"/>
      <c r="G128"/>
      <c r="H128"/>
      <c r="J128"/>
      <c r="M128"/>
      <c r="N128"/>
      <c r="O128" s="61"/>
      <c r="P128"/>
    </row>
    <row r="129" spans="2:16" x14ac:dyDescent="0.2">
      <c r="B129"/>
      <c r="C129" s="61"/>
      <c r="D129" s="61"/>
      <c r="G129"/>
      <c r="H129"/>
      <c r="J129"/>
      <c r="M129"/>
      <c r="N129"/>
      <c r="O129" s="61"/>
      <c r="P129"/>
    </row>
    <row r="130" spans="2:16" x14ac:dyDescent="0.2">
      <c r="B130"/>
      <c r="C130" s="61"/>
      <c r="D130" s="61"/>
      <c r="G130"/>
      <c r="H130"/>
      <c r="J130"/>
      <c r="M130"/>
      <c r="N130"/>
      <c r="O130" s="61"/>
      <c r="P130"/>
    </row>
    <row r="131" spans="2:16" x14ac:dyDescent="0.2">
      <c r="B131"/>
      <c r="C131" s="61"/>
      <c r="D131" s="61"/>
      <c r="G131"/>
      <c r="H131"/>
      <c r="M131"/>
      <c r="N131"/>
      <c r="O131" s="61"/>
      <c r="P131"/>
    </row>
    <row r="132" spans="2:16" x14ac:dyDescent="0.2">
      <c r="B132"/>
      <c r="C132" s="61"/>
      <c r="D132" s="61"/>
      <c r="G132"/>
      <c r="H132"/>
      <c r="J132"/>
      <c r="M132"/>
      <c r="N132"/>
      <c r="O132" s="61"/>
      <c r="P132"/>
    </row>
    <row r="133" spans="2:16" x14ac:dyDescent="0.2">
      <c r="B133"/>
      <c r="C133" s="61"/>
      <c r="D133" s="61"/>
      <c r="G133"/>
      <c r="H133"/>
      <c r="J133"/>
      <c r="M133"/>
      <c r="N133"/>
      <c r="O133" s="61"/>
      <c r="P133"/>
    </row>
    <row r="134" spans="2:16" x14ac:dyDescent="0.2">
      <c r="B134"/>
      <c r="C134" s="61"/>
      <c r="D134" s="61"/>
      <c r="G134"/>
      <c r="H134"/>
      <c r="J134"/>
      <c r="M134"/>
      <c r="N134"/>
      <c r="O134" s="61"/>
      <c r="P134"/>
    </row>
    <row r="135" spans="2:16" x14ac:dyDescent="0.2">
      <c r="B135"/>
      <c r="C135" s="61"/>
      <c r="D135" s="61"/>
      <c r="G135"/>
      <c r="H135"/>
      <c r="N135"/>
      <c r="O135" s="61"/>
      <c r="P135"/>
    </row>
    <row r="136" spans="2:16" x14ac:dyDescent="0.2">
      <c r="B136"/>
      <c r="C136" s="61"/>
      <c r="D136" s="61"/>
      <c r="G136"/>
      <c r="H136"/>
      <c r="M136"/>
      <c r="N136"/>
      <c r="O136" s="61"/>
      <c r="P136"/>
    </row>
    <row r="137" spans="2:16" x14ac:dyDescent="0.2">
      <c r="B137"/>
      <c r="C137" s="61"/>
      <c r="D137" s="61"/>
      <c r="G137"/>
      <c r="H137"/>
      <c r="J137"/>
      <c r="M137"/>
      <c r="N137"/>
      <c r="O137" s="61"/>
      <c r="P137"/>
    </row>
    <row r="138" spans="2:16" x14ac:dyDescent="0.2">
      <c r="B138"/>
      <c r="C138" s="61"/>
      <c r="D138" s="61"/>
      <c r="G138"/>
      <c r="H138"/>
      <c r="J138"/>
      <c r="M138"/>
      <c r="N138"/>
      <c r="O138" s="61"/>
      <c r="P138"/>
    </row>
    <row r="139" spans="2:16" x14ac:dyDescent="0.2">
      <c r="B139"/>
      <c r="C139" s="61"/>
      <c r="D139" s="61"/>
      <c r="G139"/>
      <c r="H139"/>
      <c r="M139"/>
      <c r="N139"/>
      <c r="O139" s="61"/>
      <c r="P139"/>
    </row>
    <row r="140" spans="2:16" x14ac:dyDescent="0.2">
      <c r="B140"/>
      <c r="C140" s="61"/>
      <c r="D140" s="61"/>
      <c r="G140"/>
      <c r="H140"/>
      <c r="K140"/>
      <c r="L140"/>
      <c r="M140"/>
      <c r="N140"/>
      <c r="O140" s="61"/>
      <c r="P140"/>
    </row>
    <row r="141" spans="2:16" x14ac:dyDescent="0.2">
      <c r="B141"/>
      <c r="C141" s="61"/>
      <c r="D141" s="61"/>
      <c r="G141"/>
      <c r="H141"/>
      <c r="I141"/>
      <c r="K141"/>
      <c r="L141"/>
      <c r="M141"/>
      <c r="N141"/>
      <c r="O141" s="61"/>
      <c r="P141"/>
    </row>
    <row r="142" spans="2:16" x14ac:dyDescent="0.2">
      <c r="B142"/>
      <c r="C142" s="61"/>
      <c r="D142" s="61"/>
      <c r="G142"/>
      <c r="H142"/>
      <c r="I142"/>
      <c r="K142"/>
      <c r="L142"/>
      <c r="M142"/>
      <c r="N142"/>
      <c r="O142" s="61"/>
      <c r="P142"/>
    </row>
    <row r="143" spans="2:16" x14ac:dyDescent="0.2">
      <c r="B143"/>
      <c r="C143" s="61"/>
      <c r="D143" s="61"/>
      <c r="G143"/>
      <c r="H143"/>
      <c r="M143"/>
      <c r="N143"/>
      <c r="O143" s="61"/>
      <c r="P143"/>
    </row>
    <row r="144" spans="2:16" x14ac:dyDescent="0.2">
      <c r="B144"/>
      <c r="C144" s="61"/>
      <c r="D144" s="61"/>
      <c r="G144"/>
      <c r="H144"/>
      <c r="I144"/>
      <c r="K144"/>
      <c r="L144"/>
      <c r="M144"/>
      <c r="N144"/>
      <c r="O144" s="61"/>
      <c r="P144"/>
    </row>
    <row r="145" spans="2:16" x14ac:dyDescent="0.2">
      <c r="B145"/>
      <c r="C145" s="61"/>
      <c r="D145" s="61"/>
      <c r="G145"/>
      <c r="H145"/>
      <c r="K145"/>
      <c r="L145"/>
      <c r="M145"/>
      <c r="N145"/>
      <c r="O145" s="61"/>
      <c r="P145"/>
    </row>
    <row r="146" spans="2:16" x14ac:dyDescent="0.2">
      <c r="B146"/>
      <c r="C146" s="61"/>
      <c r="D146" s="61"/>
      <c r="G146"/>
      <c r="H146"/>
      <c r="I146"/>
      <c r="K146"/>
      <c r="L146"/>
      <c r="M146"/>
      <c r="N146"/>
      <c r="O146" s="61"/>
      <c r="P146"/>
    </row>
    <row r="147" spans="2:16" x14ac:dyDescent="0.2">
      <c r="B147"/>
      <c r="C147" s="61"/>
      <c r="D147" s="61"/>
      <c r="G147"/>
      <c r="H147"/>
      <c r="J147"/>
      <c r="M147"/>
      <c r="N147"/>
      <c r="O147" s="61"/>
      <c r="P147"/>
    </row>
    <row r="148" spans="2:16" x14ac:dyDescent="0.2">
      <c r="B148"/>
      <c r="C148" s="61"/>
      <c r="D148" s="61"/>
      <c r="G148"/>
      <c r="H148"/>
      <c r="J148"/>
      <c r="M148"/>
      <c r="N148"/>
      <c r="O148" s="61"/>
      <c r="P148"/>
    </row>
    <row r="149" spans="2:16" x14ac:dyDescent="0.2">
      <c r="B149"/>
      <c r="C149" s="61"/>
      <c r="D149" s="61"/>
      <c r="G149"/>
      <c r="H149"/>
      <c r="I149"/>
      <c r="J149"/>
      <c r="M149"/>
      <c r="N149"/>
      <c r="O149" s="61"/>
      <c r="P149"/>
    </row>
    <row r="150" spans="2:16" x14ac:dyDescent="0.2">
      <c r="B150"/>
      <c r="C150" s="61"/>
      <c r="D150" s="61"/>
      <c r="G150"/>
      <c r="H150"/>
      <c r="I150"/>
      <c r="J150"/>
      <c r="M150"/>
      <c r="N150"/>
      <c r="O150" s="61"/>
      <c r="P150"/>
    </row>
    <row r="151" spans="2:16" x14ac:dyDescent="0.2">
      <c r="B151"/>
      <c r="C151" s="61"/>
      <c r="D151" s="61"/>
      <c r="G151"/>
      <c r="H151"/>
      <c r="J151"/>
      <c r="M151"/>
      <c r="N151"/>
      <c r="O151" s="61"/>
      <c r="P151"/>
    </row>
    <row r="152" spans="2:16" x14ac:dyDescent="0.2">
      <c r="B152"/>
      <c r="C152" s="61"/>
      <c r="D152" s="61"/>
      <c r="G152"/>
      <c r="H152"/>
      <c r="M152"/>
      <c r="N152"/>
      <c r="O152" s="61"/>
      <c r="P152"/>
    </row>
    <row r="153" spans="2:16" x14ac:dyDescent="0.2">
      <c r="B153"/>
      <c r="C153" s="61"/>
      <c r="D153" s="61"/>
      <c r="G153"/>
      <c r="H153"/>
      <c r="J153"/>
      <c r="M153"/>
      <c r="N153"/>
      <c r="O153" s="61"/>
      <c r="P153"/>
    </row>
    <row r="154" spans="2:16" x14ac:dyDescent="0.2">
      <c r="B154"/>
      <c r="C154" s="61"/>
      <c r="D154" s="61"/>
      <c r="G154"/>
      <c r="H154"/>
      <c r="M154"/>
      <c r="N154"/>
      <c r="O154" s="61"/>
      <c r="P154"/>
    </row>
    <row r="155" spans="2:16" x14ac:dyDescent="0.2">
      <c r="B155"/>
      <c r="C155" s="61"/>
      <c r="D155" s="61"/>
      <c r="G155"/>
      <c r="H155"/>
      <c r="M155"/>
      <c r="N155"/>
      <c r="O155" s="61"/>
      <c r="P155"/>
    </row>
    <row r="156" spans="2:16" x14ac:dyDescent="0.2">
      <c r="B156"/>
      <c r="C156" s="61"/>
      <c r="D156" s="61"/>
      <c r="G156"/>
      <c r="H156"/>
      <c r="I156"/>
      <c r="J156"/>
      <c r="M156"/>
      <c r="N156"/>
      <c r="O156" s="61"/>
      <c r="P156"/>
    </row>
    <row r="157" spans="2:16" x14ac:dyDescent="0.2">
      <c r="B157"/>
      <c r="C157" s="61"/>
      <c r="D157" s="61"/>
      <c r="G157"/>
      <c r="H157"/>
      <c r="I157"/>
      <c r="J157"/>
      <c r="M157"/>
      <c r="N157"/>
      <c r="O157" s="61"/>
      <c r="P157"/>
    </row>
    <row r="158" spans="2:16" x14ac:dyDescent="0.2">
      <c r="B158"/>
      <c r="C158" s="61"/>
      <c r="D158" s="61"/>
      <c r="G158"/>
      <c r="H158"/>
      <c r="J158"/>
      <c r="M158"/>
      <c r="N158"/>
      <c r="O158" s="61"/>
      <c r="P158"/>
    </row>
    <row r="159" spans="2:16" x14ac:dyDescent="0.2">
      <c r="B159"/>
      <c r="C159" s="61"/>
      <c r="D159" s="61"/>
      <c r="G159"/>
      <c r="H159"/>
      <c r="I159"/>
      <c r="J159"/>
      <c r="M159"/>
      <c r="N159"/>
      <c r="O159" s="61"/>
      <c r="P159"/>
    </row>
    <row r="160" spans="2:16" x14ac:dyDescent="0.2">
      <c r="B160"/>
      <c r="C160" s="61"/>
      <c r="D160" s="61"/>
      <c r="G160"/>
      <c r="H160"/>
      <c r="N160"/>
      <c r="O160" s="61"/>
      <c r="P160"/>
    </row>
    <row r="161" spans="2:16" x14ac:dyDescent="0.2">
      <c r="B161"/>
      <c r="C161" s="61"/>
      <c r="D161" s="61"/>
      <c r="G161"/>
      <c r="H161"/>
      <c r="J161"/>
      <c r="M161"/>
      <c r="N161"/>
      <c r="O161" s="61"/>
      <c r="P161"/>
    </row>
    <row r="162" spans="2:16" x14ac:dyDescent="0.2">
      <c r="B162"/>
      <c r="C162" s="61"/>
      <c r="D162" s="61"/>
      <c r="G162"/>
      <c r="H162"/>
      <c r="I162"/>
      <c r="J162"/>
      <c r="M162"/>
      <c r="O162" s="61"/>
      <c r="P162"/>
    </row>
    <row r="163" spans="2:16" x14ac:dyDescent="0.2">
      <c r="B163"/>
      <c r="C163" s="61"/>
      <c r="D163" s="61"/>
      <c r="G163"/>
      <c r="H163"/>
      <c r="I163"/>
      <c r="J163"/>
      <c r="M163"/>
      <c r="N163"/>
      <c r="O163" s="61"/>
      <c r="P163"/>
    </row>
    <row r="164" spans="2:16" x14ac:dyDescent="0.2">
      <c r="B164"/>
      <c r="C164" s="61"/>
      <c r="D164" s="61"/>
      <c r="G164"/>
      <c r="H164"/>
      <c r="I164"/>
      <c r="K164"/>
      <c r="L164"/>
      <c r="M164"/>
      <c r="N164"/>
      <c r="O164" s="61"/>
      <c r="P164"/>
    </row>
    <row r="165" spans="2:16" x14ac:dyDescent="0.2">
      <c r="B165"/>
      <c r="C165" s="61"/>
      <c r="D165" s="61"/>
      <c r="G165"/>
      <c r="H165"/>
      <c r="I165"/>
      <c r="J165"/>
      <c r="M165"/>
      <c r="N165"/>
      <c r="O165" s="61"/>
      <c r="P165"/>
    </row>
    <row r="166" spans="2:16" x14ac:dyDescent="0.2">
      <c r="B166"/>
      <c r="C166" s="61"/>
      <c r="D166" s="61"/>
      <c r="G166"/>
      <c r="H166"/>
      <c r="J166"/>
      <c r="M166"/>
      <c r="N166"/>
      <c r="O166" s="61"/>
      <c r="P166"/>
    </row>
    <row r="167" spans="2:16" x14ac:dyDescent="0.2">
      <c r="B167"/>
      <c r="C167" s="61"/>
      <c r="D167" s="61"/>
      <c r="G167"/>
      <c r="H167"/>
      <c r="I167"/>
      <c r="J167"/>
      <c r="M167"/>
      <c r="N167"/>
      <c r="O167" s="61"/>
      <c r="P167"/>
    </row>
    <row r="168" spans="2:16" x14ac:dyDescent="0.2">
      <c r="B168"/>
      <c r="C168" s="61"/>
      <c r="D168" s="61"/>
      <c r="G168"/>
      <c r="H168"/>
      <c r="I168"/>
      <c r="J168"/>
      <c r="M168"/>
      <c r="O168" s="61"/>
      <c r="P168"/>
    </row>
    <row r="169" spans="2:16" x14ac:dyDescent="0.2">
      <c r="B169"/>
      <c r="C169" s="61"/>
      <c r="D169" s="61"/>
      <c r="G169"/>
      <c r="H169"/>
      <c r="I169"/>
      <c r="J169"/>
      <c r="M169"/>
      <c r="N169"/>
      <c r="O169" s="61"/>
      <c r="P169"/>
    </row>
    <row r="170" spans="2:16" x14ac:dyDescent="0.2">
      <c r="B170"/>
      <c r="C170" s="61"/>
      <c r="D170" s="61"/>
      <c r="G170"/>
      <c r="H170"/>
      <c r="I170"/>
      <c r="J170"/>
      <c r="M170"/>
      <c r="N170"/>
      <c r="O170" s="61"/>
      <c r="P170"/>
    </row>
    <row r="171" spans="2:16" x14ac:dyDescent="0.2">
      <c r="B171"/>
      <c r="C171" s="61"/>
      <c r="D171" s="61"/>
      <c r="G171"/>
      <c r="H171"/>
      <c r="I171"/>
      <c r="J171"/>
      <c r="M171"/>
      <c r="N171"/>
      <c r="O171" s="61"/>
      <c r="P171"/>
    </row>
    <row r="172" spans="2:16" x14ac:dyDescent="0.2">
      <c r="B172"/>
      <c r="C172" s="61"/>
      <c r="D172" s="61"/>
      <c r="G172"/>
      <c r="H172"/>
      <c r="N172"/>
      <c r="O172" s="61"/>
      <c r="P172"/>
    </row>
    <row r="173" spans="2:16" x14ac:dyDescent="0.2">
      <c r="B173"/>
      <c r="C173" s="61"/>
      <c r="D173" s="61"/>
      <c r="G173"/>
      <c r="H173"/>
      <c r="I173"/>
      <c r="K173"/>
      <c r="L173"/>
      <c r="M173"/>
      <c r="N173"/>
      <c r="O173" s="61"/>
      <c r="P173"/>
    </row>
    <row r="174" spans="2:16" x14ac:dyDescent="0.2">
      <c r="B174"/>
      <c r="C174" s="61"/>
      <c r="D174" s="61"/>
      <c r="G174"/>
      <c r="H174"/>
      <c r="I174"/>
      <c r="K174"/>
      <c r="L174"/>
      <c r="M174"/>
      <c r="N174"/>
      <c r="O174" s="61"/>
      <c r="P174"/>
    </row>
    <row r="175" spans="2:16" x14ac:dyDescent="0.2">
      <c r="B175"/>
      <c r="C175" s="61"/>
      <c r="D175" s="61"/>
      <c r="G175"/>
      <c r="H175"/>
      <c r="M175"/>
      <c r="N175"/>
      <c r="O175" s="61"/>
      <c r="P175"/>
    </row>
    <row r="176" spans="2:16" x14ac:dyDescent="0.2">
      <c r="B176"/>
      <c r="C176" s="61"/>
      <c r="D176" s="61"/>
      <c r="G176"/>
      <c r="H176"/>
      <c r="I176"/>
      <c r="K176"/>
      <c r="L176"/>
      <c r="M176"/>
      <c r="N176"/>
      <c r="O176" s="61"/>
      <c r="P176"/>
    </row>
    <row r="177" spans="2:16" x14ac:dyDescent="0.2">
      <c r="B177"/>
      <c r="C177" s="61"/>
      <c r="D177" s="61"/>
      <c r="G177"/>
      <c r="H177"/>
      <c r="I177"/>
      <c r="J177"/>
      <c r="K177"/>
      <c r="L177"/>
      <c r="M177"/>
      <c r="N177"/>
      <c r="O177" s="61"/>
      <c r="P177"/>
    </row>
    <row r="178" spans="2:16" x14ac:dyDescent="0.2">
      <c r="B178"/>
      <c r="C178" s="61"/>
      <c r="D178" s="61"/>
      <c r="G178"/>
      <c r="H178"/>
      <c r="J178"/>
      <c r="M178"/>
      <c r="N178"/>
      <c r="O178" s="61"/>
      <c r="P178"/>
    </row>
    <row r="179" spans="2:16" x14ac:dyDescent="0.2">
      <c r="B179"/>
      <c r="C179" s="61"/>
      <c r="D179" s="61"/>
      <c r="G179"/>
      <c r="H179"/>
      <c r="I179"/>
      <c r="J179"/>
      <c r="M179"/>
      <c r="N179"/>
      <c r="O179" s="61"/>
      <c r="P179"/>
    </row>
    <row r="180" spans="2:16" x14ac:dyDescent="0.2">
      <c r="B180"/>
      <c r="C180" s="61"/>
      <c r="D180" s="61"/>
      <c r="G180"/>
      <c r="H180"/>
      <c r="I180"/>
      <c r="J180"/>
      <c r="M180"/>
      <c r="N180"/>
      <c r="O180" s="61"/>
      <c r="P180"/>
    </row>
    <row r="181" spans="2:16" x14ac:dyDescent="0.2">
      <c r="B181"/>
      <c r="C181" s="61"/>
      <c r="D181" s="61"/>
      <c r="G181"/>
      <c r="H181"/>
      <c r="J181"/>
      <c r="M181"/>
      <c r="N181"/>
      <c r="O181" s="61"/>
      <c r="P181"/>
    </row>
    <row r="182" spans="2:16" x14ac:dyDescent="0.2">
      <c r="B182"/>
      <c r="C182" s="61"/>
      <c r="D182" s="61"/>
      <c r="G182"/>
      <c r="H182"/>
      <c r="N182"/>
      <c r="O182" s="61"/>
      <c r="P182"/>
    </row>
    <row r="183" spans="2:16" x14ac:dyDescent="0.2">
      <c r="B183"/>
      <c r="C183" s="61"/>
      <c r="D183" s="61"/>
      <c r="G183"/>
      <c r="H183"/>
      <c r="I183"/>
      <c r="J183"/>
      <c r="M183"/>
      <c r="O183" s="61"/>
      <c r="P183"/>
    </row>
    <row r="184" spans="2:16" x14ac:dyDescent="0.2">
      <c r="B184"/>
      <c r="C184" s="61"/>
      <c r="D184" s="61"/>
      <c r="G184"/>
      <c r="H184"/>
      <c r="J184"/>
      <c r="M184"/>
      <c r="N184"/>
      <c r="O184" s="61"/>
      <c r="P184"/>
    </row>
    <row r="185" spans="2:16" x14ac:dyDescent="0.2">
      <c r="B185"/>
      <c r="C185" s="61"/>
      <c r="D185" s="61"/>
      <c r="G185"/>
      <c r="H185"/>
      <c r="I185"/>
      <c r="J185"/>
      <c r="M185"/>
      <c r="N185"/>
      <c r="O185" s="61"/>
      <c r="P185"/>
    </row>
    <row r="186" spans="2:16" x14ac:dyDescent="0.2">
      <c r="B186"/>
      <c r="C186" s="61"/>
      <c r="D186" s="61"/>
      <c r="G186"/>
      <c r="H186"/>
      <c r="I186"/>
      <c r="J186"/>
      <c r="M186"/>
      <c r="N186"/>
      <c r="O186" s="61"/>
      <c r="P186"/>
    </row>
    <row r="187" spans="2:16" x14ac:dyDescent="0.2">
      <c r="B187"/>
      <c r="C187" s="61"/>
      <c r="D187" s="61"/>
      <c r="G187"/>
      <c r="H187"/>
      <c r="M187"/>
      <c r="N187"/>
      <c r="O187" s="61"/>
      <c r="P187"/>
    </row>
    <row r="188" spans="2:16" x14ac:dyDescent="0.2">
      <c r="B188"/>
      <c r="C188" s="61"/>
      <c r="D188" s="61"/>
      <c r="G188"/>
      <c r="H188"/>
      <c r="N188"/>
      <c r="O188" s="61"/>
      <c r="P188"/>
    </row>
    <row r="189" spans="2:16" x14ac:dyDescent="0.2">
      <c r="B189"/>
      <c r="C189" s="61"/>
      <c r="D189" s="61"/>
      <c r="G189"/>
      <c r="H189"/>
      <c r="N189"/>
      <c r="O189" s="61"/>
      <c r="P189"/>
    </row>
    <row r="190" spans="2:16" x14ac:dyDescent="0.2">
      <c r="B190"/>
      <c r="C190" s="61"/>
      <c r="D190" s="61"/>
      <c r="G190"/>
      <c r="H190"/>
      <c r="I190"/>
      <c r="J190"/>
      <c r="M190"/>
      <c r="N190"/>
      <c r="O190" s="61"/>
      <c r="P190"/>
    </row>
    <row r="191" spans="2:16" x14ac:dyDescent="0.2">
      <c r="B191"/>
      <c r="C191" s="61"/>
      <c r="D191" s="61"/>
      <c r="G191"/>
      <c r="H191"/>
      <c r="I191"/>
      <c r="J191"/>
      <c r="M191"/>
      <c r="N191"/>
      <c r="O191" s="61"/>
      <c r="P191"/>
    </row>
    <row r="192" spans="2:16" x14ac:dyDescent="0.2">
      <c r="B192"/>
      <c r="C192" s="61"/>
      <c r="D192" s="61"/>
      <c r="G192"/>
      <c r="H192"/>
      <c r="I192"/>
      <c r="J192"/>
      <c r="M192"/>
      <c r="N192"/>
      <c r="O192" s="61"/>
      <c r="P192"/>
    </row>
    <row r="193" spans="2:16" x14ac:dyDescent="0.2">
      <c r="B193"/>
      <c r="C193" s="61"/>
      <c r="D193" s="61"/>
      <c r="G193"/>
      <c r="H193"/>
      <c r="I193"/>
      <c r="J193"/>
      <c r="M193"/>
      <c r="N193"/>
      <c r="O193" s="61"/>
      <c r="P193"/>
    </row>
    <row r="194" spans="2:16" x14ac:dyDescent="0.2">
      <c r="B194"/>
      <c r="C194" s="61"/>
      <c r="D194" s="61"/>
      <c r="G194"/>
      <c r="H194"/>
      <c r="M194"/>
      <c r="N194"/>
      <c r="O194" s="61"/>
      <c r="P194"/>
    </row>
    <row r="195" spans="2:16" x14ac:dyDescent="0.2">
      <c r="B195"/>
      <c r="C195" s="61"/>
      <c r="D195" s="61"/>
      <c r="G195"/>
      <c r="H195"/>
      <c r="M195"/>
      <c r="N195"/>
      <c r="O195" s="61"/>
      <c r="P195"/>
    </row>
    <row r="196" spans="2:16" x14ac:dyDescent="0.2">
      <c r="B196"/>
      <c r="C196" s="61"/>
      <c r="D196" s="61"/>
      <c r="G196"/>
      <c r="H196"/>
      <c r="I196"/>
      <c r="J196"/>
      <c r="M196"/>
      <c r="N196"/>
      <c r="O196" s="61"/>
      <c r="P196"/>
    </row>
    <row r="197" spans="2:16" x14ac:dyDescent="0.2">
      <c r="B197"/>
      <c r="C197" s="61"/>
      <c r="D197" s="61"/>
      <c r="G197"/>
      <c r="H197"/>
      <c r="J197"/>
      <c r="M197"/>
      <c r="N197"/>
      <c r="O197" s="61"/>
      <c r="P197"/>
    </row>
    <row r="198" spans="2:16" x14ac:dyDescent="0.2">
      <c r="B198"/>
      <c r="C198" s="61"/>
      <c r="D198" s="61"/>
      <c r="G198"/>
      <c r="H198"/>
      <c r="J198"/>
      <c r="M198"/>
      <c r="N198"/>
      <c r="O198" s="61"/>
      <c r="P198"/>
    </row>
    <row r="199" spans="2:16" x14ac:dyDescent="0.2">
      <c r="B199"/>
      <c r="C199" s="61"/>
      <c r="D199" s="61"/>
      <c r="G199"/>
      <c r="H199"/>
      <c r="J199"/>
      <c r="M199"/>
      <c r="N199"/>
      <c r="O199" s="61"/>
      <c r="P199"/>
    </row>
    <row r="200" spans="2:16" x14ac:dyDescent="0.2">
      <c r="B200"/>
      <c r="C200" s="61"/>
      <c r="D200" s="61"/>
      <c r="G200"/>
      <c r="H200"/>
      <c r="M200"/>
      <c r="N200"/>
      <c r="O200" s="61"/>
      <c r="P200"/>
    </row>
    <row r="201" spans="2:16" x14ac:dyDescent="0.2">
      <c r="B201"/>
      <c r="C201" s="61"/>
      <c r="D201" s="61"/>
      <c r="G201"/>
      <c r="H201"/>
      <c r="I201"/>
      <c r="M201"/>
      <c r="N201"/>
      <c r="O201" s="61"/>
      <c r="P201"/>
    </row>
    <row r="202" spans="2:16" x14ac:dyDescent="0.2">
      <c r="B202"/>
      <c r="C202" s="61"/>
      <c r="D202" s="61"/>
      <c r="G202"/>
      <c r="H202"/>
      <c r="I202"/>
      <c r="J202"/>
      <c r="M202"/>
      <c r="O202" s="61"/>
      <c r="P202"/>
    </row>
    <row r="203" spans="2:16" x14ac:dyDescent="0.2">
      <c r="B203"/>
      <c r="C203" s="61"/>
      <c r="D203" s="61"/>
      <c r="G203"/>
      <c r="H203"/>
      <c r="M203"/>
      <c r="N203"/>
      <c r="O203" s="61"/>
      <c r="P203"/>
    </row>
    <row r="204" spans="2:16" x14ac:dyDescent="0.2">
      <c r="B204"/>
      <c r="C204" s="61"/>
      <c r="D204" s="61"/>
      <c r="G204"/>
      <c r="H204"/>
      <c r="I204"/>
      <c r="J204"/>
      <c r="M204"/>
      <c r="N204"/>
      <c r="O204" s="61"/>
      <c r="P204"/>
    </row>
    <row r="205" spans="2:16" x14ac:dyDescent="0.2">
      <c r="B205"/>
      <c r="C205" s="61"/>
      <c r="D205" s="61"/>
      <c r="G205"/>
      <c r="H205"/>
      <c r="I205"/>
      <c r="J205"/>
      <c r="M205"/>
      <c r="N205"/>
      <c r="O205" s="61"/>
      <c r="P205"/>
    </row>
    <row r="206" spans="2:16" x14ac:dyDescent="0.2">
      <c r="B206"/>
      <c r="C206" s="61"/>
      <c r="D206" s="61"/>
      <c r="G206"/>
      <c r="H206"/>
      <c r="I206"/>
      <c r="J206"/>
      <c r="M206"/>
      <c r="N206"/>
      <c r="O206" s="61"/>
      <c r="P206"/>
    </row>
    <row r="207" spans="2:16" x14ac:dyDescent="0.2">
      <c r="B207"/>
      <c r="C207" s="61"/>
      <c r="D207" s="61"/>
      <c r="G207"/>
      <c r="H207"/>
      <c r="I207"/>
      <c r="J207"/>
      <c r="M207"/>
      <c r="N207"/>
      <c r="O207" s="61"/>
      <c r="P207"/>
    </row>
    <row r="208" spans="2:16" x14ac:dyDescent="0.2">
      <c r="B208"/>
      <c r="C208" s="61"/>
      <c r="D208" s="61"/>
      <c r="G208"/>
      <c r="H208"/>
      <c r="J208"/>
      <c r="M208"/>
      <c r="N208"/>
      <c r="O208" s="61"/>
      <c r="P208"/>
    </row>
    <row r="209" spans="2:16" x14ac:dyDescent="0.2">
      <c r="B209"/>
      <c r="C209" s="61"/>
      <c r="D209" s="61"/>
      <c r="G209"/>
      <c r="H209"/>
      <c r="J209"/>
      <c r="M209"/>
      <c r="N209"/>
      <c r="O209" s="61"/>
      <c r="P209"/>
    </row>
    <row r="210" spans="2:16" x14ac:dyDescent="0.2">
      <c r="B210"/>
      <c r="C210" s="61"/>
      <c r="D210" s="61"/>
      <c r="G210"/>
      <c r="H210"/>
      <c r="I210"/>
      <c r="J210"/>
      <c r="M210"/>
      <c r="N210"/>
      <c r="O210" s="61"/>
      <c r="P210"/>
    </row>
    <row r="211" spans="2:16" x14ac:dyDescent="0.2">
      <c r="B211"/>
      <c r="C211" s="61"/>
      <c r="D211" s="61"/>
      <c r="G211"/>
      <c r="H211"/>
      <c r="I211"/>
      <c r="J211"/>
      <c r="K211"/>
      <c r="L211"/>
      <c r="M211"/>
      <c r="N211"/>
      <c r="O211" s="61"/>
      <c r="P211"/>
    </row>
    <row r="212" spans="2:16" x14ac:dyDescent="0.2">
      <c r="B212"/>
      <c r="C212" s="61"/>
      <c r="D212" s="61"/>
      <c r="G212"/>
      <c r="H212"/>
      <c r="M212"/>
      <c r="N212"/>
      <c r="O212" s="61"/>
      <c r="P212"/>
    </row>
    <row r="213" spans="2:16" x14ac:dyDescent="0.2">
      <c r="B213"/>
      <c r="C213" s="61"/>
      <c r="D213" s="61"/>
      <c r="G213"/>
      <c r="H213"/>
      <c r="I213"/>
      <c r="J213"/>
      <c r="M213"/>
      <c r="N213"/>
      <c r="O213" s="61"/>
      <c r="P213"/>
    </row>
    <row r="214" spans="2:16" x14ac:dyDescent="0.2">
      <c r="B214"/>
      <c r="C214" s="61"/>
      <c r="D214" s="61"/>
      <c r="G214"/>
      <c r="H214"/>
      <c r="I214"/>
      <c r="J214"/>
      <c r="M214"/>
      <c r="N214"/>
      <c r="O214" s="61"/>
      <c r="P214"/>
    </row>
    <row r="215" spans="2:16" x14ac:dyDescent="0.2">
      <c r="B215"/>
      <c r="C215" s="61"/>
      <c r="D215" s="61"/>
      <c r="G215"/>
      <c r="H215"/>
      <c r="J215"/>
      <c r="M215"/>
      <c r="N215"/>
      <c r="O215" s="61"/>
      <c r="P215"/>
    </row>
    <row r="216" spans="2:16" x14ac:dyDescent="0.2">
      <c r="B216"/>
      <c r="C216" s="61"/>
      <c r="D216" s="61"/>
      <c r="G216"/>
      <c r="H216"/>
      <c r="I216"/>
      <c r="J216"/>
      <c r="M216"/>
      <c r="N216"/>
      <c r="O216" s="61"/>
      <c r="P216"/>
    </row>
    <row r="217" spans="2:16" x14ac:dyDescent="0.2">
      <c r="B217"/>
      <c r="C217" s="61"/>
      <c r="D217" s="61"/>
      <c r="G217"/>
      <c r="H217"/>
      <c r="J217"/>
      <c r="M217"/>
      <c r="N217"/>
      <c r="O217" s="61"/>
      <c r="P217"/>
    </row>
    <row r="218" spans="2:16" x14ac:dyDescent="0.2">
      <c r="B218"/>
      <c r="C218" s="61"/>
      <c r="D218" s="61"/>
      <c r="G218"/>
      <c r="H218"/>
      <c r="M218"/>
      <c r="N218"/>
      <c r="O218" s="61"/>
      <c r="P218"/>
    </row>
    <row r="219" spans="2:16" x14ac:dyDescent="0.2">
      <c r="B219"/>
      <c r="C219" s="61"/>
      <c r="D219" s="61"/>
      <c r="G219"/>
      <c r="H219"/>
      <c r="N219"/>
      <c r="O219" s="61"/>
      <c r="P219"/>
    </row>
    <row r="220" spans="2:16" x14ac:dyDescent="0.2">
      <c r="B220"/>
      <c r="C220" s="61"/>
      <c r="D220" s="61"/>
      <c r="G220"/>
      <c r="H220"/>
      <c r="I220"/>
      <c r="J220"/>
      <c r="M220"/>
      <c r="N220"/>
      <c r="O220" s="61"/>
      <c r="P220"/>
    </row>
    <row r="221" spans="2:16" x14ac:dyDescent="0.2">
      <c r="B221"/>
      <c r="C221" s="61"/>
      <c r="D221" s="61"/>
      <c r="G221"/>
      <c r="H221"/>
      <c r="J221"/>
      <c r="M221"/>
      <c r="N221"/>
      <c r="O221" s="61"/>
      <c r="P221"/>
    </row>
    <row r="222" spans="2:16" x14ac:dyDescent="0.2">
      <c r="B222"/>
      <c r="C222" s="61"/>
      <c r="D222" s="61"/>
      <c r="G222"/>
      <c r="H222"/>
      <c r="I222"/>
      <c r="J222"/>
      <c r="M222"/>
      <c r="N222"/>
      <c r="O222" s="61"/>
      <c r="P222"/>
    </row>
    <row r="223" spans="2:16" x14ac:dyDescent="0.2">
      <c r="B223"/>
      <c r="C223" s="61"/>
      <c r="D223" s="61"/>
      <c r="G223"/>
      <c r="H223"/>
      <c r="M223"/>
      <c r="N223"/>
      <c r="O223" s="61"/>
      <c r="P223"/>
    </row>
    <row r="224" spans="2:16" x14ac:dyDescent="0.2">
      <c r="B224"/>
      <c r="C224" s="61"/>
      <c r="D224" s="61"/>
      <c r="G224"/>
      <c r="H224"/>
      <c r="M224"/>
      <c r="N224"/>
      <c r="O224" s="61"/>
      <c r="P224"/>
    </row>
    <row r="225" spans="2:16" x14ac:dyDescent="0.2">
      <c r="B225"/>
      <c r="C225" s="61"/>
      <c r="D225" s="61"/>
      <c r="G225"/>
      <c r="H225"/>
      <c r="J225"/>
      <c r="M225"/>
      <c r="N225"/>
      <c r="O225" s="61"/>
      <c r="P225"/>
    </row>
    <row r="226" spans="2:16" x14ac:dyDescent="0.2">
      <c r="B226"/>
      <c r="C226" s="61"/>
      <c r="D226" s="61"/>
      <c r="G226"/>
      <c r="H226"/>
      <c r="I226"/>
      <c r="J226"/>
      <c r="M226"/>
      <c r="N226"/>
      <c r="O226" s="61"/>
      <c r="P226"/>
    </row>
    <row r="227" spans="2:16" x14ac:dyDescent="0.2">
      <c r="B227"/>
      <c r="C227" s="61"/>
      <c r="D227" s="61"/>
      <c r="G227"/>
      <c r="H227"/>
      <c r="J227"/>
      <c r="M227"/>
      <c r="N227"/>
      <c r="O227" s="61"/>
      <c r="P227"/>
    </row>
    <row r="228" spans="2:16" x14ac:dyDescent="0.2">
      <c r="B228"/>
      <c r="C228" s="61"/>
      <c r="D228" s="61"/>
      <c r="G228"/>
      <c r="H228"/>
      <c r="J228"/>
      <c r="M228"/>
      <c r="N228"/>
      <c r="O228" s="61"/>
      <c r="P228"/>
    </row>
    <row r="229" spans="2:16" x14ac:dyDescent="0.2">
      <c r="B229"/>
      <c r="C229" s="61"/>
      <c r="D229" s="61"/>
      <c r="G229"/>
      <c r="H229"/>
      <c r="J229"/>
      <c r="M229"/>
      <c r="N229"/>
      <c r="O229" s="61"/>
      <c r="P229"/>
    </row>
    <row r="230" spans="2:16" x14ac:dyDescent="0.2">
      <c r="B230"/>
      <c r="C230" s="61"/>
      <c r="D230" s="61"/>
      <c r="G230"/>
      <c r="H230"/>
      <c r="M230"/>
      <c r="N230"/>
      <c r="O230" s="61"/>
      <c r="P230"/>
    </row>
    <row r="231" spans="2:16" x14ac:dyDescent="0.2">
      <c r="B231"/>
      <c r="C231" s="61"/>
      <c r="D231" s="61"/>
      <c r="G231"/>
      <c r="H231"/>
      <c r="I231"/>
      <c r="J231"/>
      <c r="M231"/>
      <c r="N231"/>
      <c r="O231" s="61"/>
      <c r="P231"/>
    </row>
    <row r="232" spans="2:16" x14ac:dyDescent="0.2">
      <c r="B232"/>
      <c r="C232" s="61"/>
      <c r="D232" s="61"/>
      <c r="G232"/>
      <c r="H232"/>
      <c r="I232"/>
      <c r="J232"/>
      <c r="M232"/>
      <c r="N232"/>
      <c r="O232" s="61"/>
      <c r="P232"/>
    </row>
    <row r="233" spans="2:16" x14ac:dyDescent="0.2">
      <c r="B233"/>
      <c r="C233" s="61"/>
      <c r="D233" s="61"/>
      <c r="G233"/>
      <c r="H233"/>
      <c r="I233"/>
      <c r="J233"/>
      <c r="M233"/>
      <c r="N233"/>
      <c r="O233" s="61"/>
      <c r="P233"/>
    </row>
    <row r="234" spans="2:16" x14ac:dyDescent="0.2">
      <c r="B234"/>
      <c r="C234" s="61"/>
      <c r="D234" s="61"/>
      <c r="G234"/>
      <c r="H234"/>
      <c r="M234"/>
      <c r="N234"/>
      <c r="O234" s="61"/>
      <c r="P234"/>
    </row>
    <row r="235" spans="2:16" x14ac:dyDescent="0.2">
      <c r="B235"/>
      <c r="C235" s="61"/>
      <c r="D235" s="61"/>
      <c r="G235"/>
      <c r="H235"/>
      <c r="I235"/>
      <c r="M235"/>
      <c r="N235"/>
      <c r="O235" s="61"/>
      <c r="P235"/>
    </row>
    <row r="236" spans="2:16" x14ac:dyDescent="0.2">
      <c r="B236"/>
      <c r="C236" s="61"/>
      <c r="D236" s="61"/>
      <c r="G236"/>
      <c r="H236"/>
      <c r="J236"/>
      <c r="M236"/>
      <c r="N236"/>
      <c r="O236" s="61"/>
      <c r="P236"/>
    </row>
    <row r="237" spans="2:16" x14ac:dyDescent="0.2">
      <c r="B237"/>
      <c r="C237" s="61"/>
      <c r="D237" s="61"/>
      <c r="G237"/>
      <c r="H237"/>
      <c r="I237"/>
      <c r="J237"/>
      <c r="M237"/>
      <c r="N237"/>
      <c r="O237" s="61"/>
      <c r="P237"/>
    </row>
    <row r="238" spans="2:16" x14ac:dyDescent="0.2">
      <c r="B238"/>
      <c r="C238" s="61"/>
      <c r="D238" s="61"/>
      <c r="G238"/>
      <c r="H238"/>
      <c r="I238"/>
      <c r="K238"/>
      <c r="L238"/>
      <c r="M238"/>
      <c r="N238"/>
      <c r="O238" s="61"/>
      <c r="P238"/>
    </row>
    <row r="239" spans="2:16" x14ac:dyDescent="0.2">
      <c r="B239"/>
      <c r="C239" s="61"/>
      <c r="D239" s="61"/>
      <c r="G239"/>
      <c r="H239"/>
      <c r="I239"/>
      <c r="K239"/>
      <c r="L239"/>
      <c r="M239"/>
      <c r="N239"/>
      <c r="O239" s="61"/>
      <c r="P239"/>
    </row>
    <row r="240" spans="2:16" x14ac:dyDescent="0.2">
      <c r="B240"/>
      <c r="C240" s="61"/>
      <c r="D240" s="61"/>
      <c r="G240"/>
      <c r="H240"/>
      <c r="I240"/>
      <c r="K240"/>
      <c r="L240"/>
      <c r="M240"/>
      <c r="N240"/>
      <c r="O240" s="61"/>
      <c r="P240"/>
    </row>
    <row r="241" spans="2:16" x14ac:dyDescent="0.2">
      <c r="B241"/>
      <c r="C241" s="61"/>
      <c r="D241" s="61"/>
      <c r="G241"/>
      <c r="H241"/>
      <c r="K241"/>
      <c r="L241"/>
      <c r="M241"/>
      <c r="N241"/>
      <c r="O241" s="61"/>
      <c r="P241"/>
    </row>
    <row r="242" spans="2:16" x14ac:dyDescent="0.2">
      <c r="B242"/>
      <c r="C242" s="61"/>
      <c r="D242" s="61"/>
      <c r="G242"/>
      <c r="H242"/>
      <c r="N242"/>
      <c r="O242" s="61"/>
      <c r="P242"/>
    </row>
    <row r="243" spans="2:16" x14ac:dyDescent="0.2">
      <c r="B243"/>
      <c r="C243" s="61"/>
      <c r="D243" s="61"/>
      <c r="G243"/>
      <c r="H243"/>
      <c r="I243"/>
      <c r="J243"/>
      <c r="M243"/>
      <c r="N243"/>
      <c r="O243" s="61"/>
      <c r="P243"/>
    </row>
    <row r="244" spans="2:16" x14ac:dyDescent="0.2">
      <c r="B244"/>
      <c r="C244" s="61"/>
      <c r="D244" s="61"/>
      <c r="G244"/>
      <c r="H244"/>
      <c r="M244"/>
      <c r="N244"/>
      <c r="O244" s="61"/>
      <c r="P244"/>
    </row>
    <row r="245" spans="2:16" x14ac:dyDescent="0.2">
      <c r="B245"/>
      <c r="C245" s="61"/>
      <c r="D245" s="61"/>
      <c r="G245"/>
      <c r="H245"/>
      <c r="I245"/>
      <c r="J245"/>
      <c r="M245"/>
      <c r="N245"/>
      <c r="O245" s="61"/>
      <c r="P245"/>
    </row>
    <row r="246" spans="2:16" x14ac:dyDescent="0.2">
      <c r="B246"/>
      <c r="C246" s="61"/>
      <c r="D246" s="61"/>
      <c r="G246"/>
      <c r="H246"/>
      <c r="I246"/>
      <c r="J246"/>
      <c r="M246"/>
      <c r="N246"/>
      <c r="O246" s="61"/>
      <c r="P246"/>
    </row>
    <row r="247" spans="2:16" x14ac:dyDescent="0.2">
      <c r="B247"/>
      <c r="C247" s="61"/>
      <c r="D247" s="61"/>
      <c r="G247"/>
      <c r="H247"/>
      <c r="I247"/>
      <c r="J247"/>
      <c r="M247"/>
      <c r="N247"/>
      <c r="O247" s="61"/>
      <c r="P247"/>
    </row>
    <row r="248" spans="2:16" x14ac:dyDescent="0.2">
      <c r="B248"/>
      <c r="C248" s="61"/>
      <c r="D248" s="61"/>
      <c r="G248"/>
      <c r="H248"/>
      <c r="I248"/>
      <c r="K248"/>
      <c r="L248"/>
      <c r="M248"/>
      <c r="N248"/>
      <c r="O248" s="61"/>
      <c r="P248"/>
    </row>
    <row r="249" spans="2:16" x14ac:dyDescent="0.2">
      <c r="B249"/>
      <c r="C249" s="61"/>
      <c r="D249" s="61"/>
      <c r="G249"/>
      <c r="H249"/>
      <c r="M249"/>
      <c r="N249"/>
      <c r="O249" s="61"/>
      <c r="P249"/>
    </row>
    <row r="250" spans="2:16" x14ac:dyDescent="0.2">
      <c r="B250"/>
      <c r="C250" s="61"/>
      <c r="D250" s="61"/>
      <c r="G250"/>
      <c r="H250"/>
      <c r="J250"/>
      <c r="M250"/>
      <c r="N250"/>
      <c r="O250" s="61"/>
      <c r="P250"/>
    </row>
    <row r="251" spans="2:16" x14ac:dyDescent="0.2">
      <c r="B251"/>
      <c r="C251" s="61"/>
      <c r="D251" s="61"/>
      <c r="G251"/>
      <c r="H251"/>
      <c r="I251"/>
      <c r="J251"/>
      <c r="M251"/>
      <c r="O251" s="61"/>
      <c r="P251"/>
    </row>
    <row r="252" spans="2:16" x14ac:dyDescent="0.2">
      <c r="B252"/>
      <c r="C252" s="61"/>
      <c r="D252" s="61"/>
      <c r="G252"/>
      <c r="H252"/>
      <c r="I252"/>
      <c r="K252"/>
      <c r="L252"/>
      <c r="M252"/>
      <c r="N252"/>
      <c r="O252" s="61"/>
      <c r="P252"/>
    </row>
    <row r="253" spans="2:16" x14ac:dyDescent="0.2">
      <c r="B253"/>
      <c r="C253" s="61"/>
      <c r="D253" s="61"/>
      <c r="G253"/>
      <c r="H253"/>
      <c r="M253"/>
      <c r="N253"/>
      <c r="O253" s="61"/>
      <c r="P253"/>
    </row>
    <row r="254" spans="2:16" x14ac:dyDescent="0.2">
      <c r="B254"/>
      <c r="C254" s="61"/>
      <c r="D254" s="61"/>
      <c r="G254"/>
      <c r="H254"/>
      <c r="I254"/>
      <c r="J254"/>
      <c r="M254"/>
      <c r="N254"/>
      <c r="O254" s="61"/>
      <c r="P254"/>
    </row>
    <row r="255" spans="2:16" x14ac:dyDescent="0.2">
      <c r="B255"/>
      <c r="C255" s="61"/>
      <c r="D255" s="61"/>
      <c r="G255"/>
      <c r="H255"/>
      <c r="J255"/>
      <c r="M255"/>
      <c r="N255"/>
      <c r="O255" s="61"/>
      <c r="P255"/>
    </row>
    <row r="256" spans="2:16" x14ac:dyDescent="0.2">
      <c r="B256"/>
      <c r="C256" s="61"/>
      <c r="D256" s="61"/>
      <c r="G256"/>
      <c r="H256"/>
      <c r="I256"/>
      <c r="K256"/>
      <c r="L256"/>
      <c r="M256"/>
      <c r="N256"/>
      <c r="O256" s="61"/>
      <c r="P256"/>
    </row>
    <row r="257" spans="2:16" x14ac:dyDescent="0.2">
      <c r="B257"/>
      <c r="C257" s="61"/>
      <c r="D257" s="61"/>
      <c r="G257"/>
      <c r="H257"/>
      <c r="K257"/>
      <c r="M257"/>
      <c r="N257"/>
      <c r="O257" s="61"/>
      <c r="P257"/>
    </row>
    <row r="258" spans="2:16" x14ac:dyDescent="0.2">
      <c r="B258"/>
      <c r="C258" s="61"/>
      <c r="D258" s="61"/>
      <c r="G258"/>
      <c r="H258"/>
      <c r="J258"/>
      <c r="M258"/>
      <c r="N258"/>
      <c r="O258" s="61"/>
      <c r="P258"/>
    </row>
    <row r="259" spans="2:16" x14ac:dyDescent="0.2">
      <c r="B259"/>
      <c r="C259" s="61"/>
      <c r="D259" s="61"/>
      <c r="G259"/>
      <c r="H259"/>
      <c r="J259"/>
      <c r="M259"/>
      <c r="N259"/>
      <c r="O259" s="61"/>
      <c r="P259"/>
    </row>
    <row r="260" spans="2:16" x14ac:dyDescent="0.2">
      <c r="B260"/>
      <c r="C260" s="61"/>
      <c r="D260" s="61"/>
      <c r="G260"/>
      <c r="H260"/>
      <c r="M260"/>
      <c r="N260"/>
      <c r="O260" s="61"/>
      <c r="P260"/>
    </row>
    <row r="261" spans="2:16" x14ac:dyDescent="0.2">
      <c r="B261"/>
      <c r="C261" s="61"/>
      <c r="D261" s="61"/>
      <c r="G261"/>
      <c r="H261"/>
      <c r="I261"/>
      <c r="J261"/>
      <c r="M261"/>
      <c r="N261"/>
      <c r="O261" s="61"/>
      <c r="P261"/>
    </row>
    <row r="262" spans="2:16" x14ac:dyDescent="0.2">
      <c r="B262"/>
      <c r="C262" s="61"/>
      <c r="D262" s="61"/>
      <c r="G262"/>
      <c r="H262"/>
      <c r="J262"/>
      <c r="M262"/>
      <c r="N262"/>
      <c r="O262" s="61"/>
      <c r="P262"/>
    </row>
    <row r="263" spans="2:16" x14ac:dyDescent="0.2">
      <c r="B263"/>
      <c r="C263" s="61"/>
      <c r="D263" s="61"/>
      <c r="G263"/>
      <c r="H263"/>
      <c r="M263"/>
      <c r="N263"/>
      <c r="O263" s="61"/>
      <c r="P263"/>
    </row>
    <row r="264" spans="2:16" x14ac:dyDescent="0.2">
      <c r="B264"/>
      <c r="C264" s="61"/>
      <c r="D264" s="61"/>
      <c r="G264"/>
      <c r="H264"/>
      <c r="I264"/>
      <c r="J264"/>
      <c r="M264"/>
      <c r="N264"/>
      <c r="O264" s="61"/>
      <c r="P264"/>
    </row>
    <row r="265" spans="2:16" x14ac:dyDescent="0.2">
      <c r="B265"/>
      <c r="C265" s="61"/>
      <c r="D265" s="61"/>
      <c r="G265"/>
      <c r="H265"/>
      <c r="I265"/>
      <c r="J265"/>
      <c r="M265"/>
      <c r="N265"/>
      <c r="O265" s="61"/>
      <c r="P265"/>
    </row>
    <row r="266" spans="2:16" x14ac:dyDescent="0.2">
      <c r="B266"/>
      <c r="C266" s="61"/>
      <c r="D266" s="61"/>
      <c r="G266"/>
      <c r="H266"/>
      <c r="J266"/>
      <c r="M266"/>
      <c r="N266"/>
      <c r="O266" s="61"/>
      <c r="P266"/>
    </row>
    <row r="267" spans="2:16" x14ac:dyDescent="0.2">
      <c r="B267"/>
      <c r="C267" s="61"/>
      <c r="D267" s="61"/>
      <c r="G267"/>
      <c r="H267"/>
      <c r="J267"/>
      <c r="M267"/>
      <c r="N267"/>
      <c r="O267" s="61"/>
      <c r="P267"/>
    </row>
    <row r="268" spans="2:16" x14ac:dyDescent="0.2">
      <c r="B268"/>
      <c r="C268" s="61"/>
      <c r="D268" s="61"/>
      <c r="G268"/>
      <c r="H268"/>
      <c r="I268"/>
      <c r="J268"/>
      <c r="M268"/>
      <c r="N268"/>
      <c r="O268" s="61"/>
      <c r="P268"/>
    </row>
    <row r="269" spans="2:16" x14ac:dyDescent="0.2">
      <c r="B269"/>
      <c r="C269" s="61"/>
      <c r="D269" s="61"/>
      <c r="G269"/>
      <c r="H269"/>
      <c r="I269"/>
      <c r="J269"/>
      <c r="M269"/>
      <c r="N269"/>
      <c r="O269" s="61"/>
      <c r="P269"/>
    </row>
    <row r="270" spans="2:16" x14ac:dyDescent="0.2">
      <c r="B270"/>
      <c r="C270" s="61"/>
      <c r="D270" s="61"/>
      <c r="G270"/>
      <c r="H270"/>
      <c r="M270"/>
      <c r="N270"/>
      <c r="O270" s="61"/>
      <c r="P270"/>
    </row>
    <row r="271" spans="2:16" x14ac:dyDescent="0.2">
      <c r="B271"/>
      <c r="C271" s="61"/>
      <c r="D271" s="61"/>
      <c r="G271"/>
      <c r="H271"/>
      <c r="I271"/>
      <c r="J271"/>
      <c r="M271"/>
      <c r="N271"/>
      <c r="O271" s="61"/>
      <c r="P271"/>
    </row>
    <row r="272" spans="2:16" x14ac:dyDescent="0.2">
      <c r="B272"/>
      <c r="C272" s="61"/>
      <c r="D272" s="61"/>
      <c r="G272"/>
      <c r="H272"/>
      <c r="I272"/>
      <c r="J272"/>
      <c r="M272"/>
      <c r="N272"/>
      <c r="O272" s="61"/>
      <c r="P272"/>
    </row>
    <row r="273" spans="2:16" x14ac:dyDescent="0.2">
      <c r="B273"/>
      <c r="C273" s="61"/>
      <c r="D273" s="61"/>
      <c r="G273"/>
      <c r="H273"/>
      <c r="I273"/>
      <c r="J273"/>
      <c r="M273"/>
      <c r="N273"/>
      <c r="O273" s="61"/>
      <c r="P273"/>
    </row>
    <row r="274" spans="2:16" x14ac:dyDescent="0.2">
      <c r="B274"/>
      <c r="C274" s="61"/>
      <c r="D274" s="61"/>
      <c r="G274"/>
      <c r="H274"/>
      <c r="O274" s="61"/>
      <c r="P274"/>
    </row>
    <row r="275" spans="2:16" x14ac:dyDescent="0.2">
      <c r="B275"/>
      <c r="C275" s="61"/>
      <c r="D275" s="61"/>
      <c r="G275"/>
      <c r="H275"/>
      <c r="J275"/>
      <c r="M275"/>
      <c r="N275"/>
      <c r="O275" s="61"/>
      <c r="P275"/>
    </row>
    <row r="276" spans="2:16" x14ac:dyDescent="0.2">
      <c r="B276"/>
      <c r="C276" s="61"/>
      <c r="D276" s="61"/>
      <c r="G276"/>
      <c r="H276"/>
      <c r="I276"/>
      <c r="J276"/>
      <c r="M276"/>
      <c r="N276"/>
      <c r="O276" s="61"/>
      <c r="P276"/>
    </row>
    <row r="277" spans="2:16" x14ac:dyDescent="0.2">
      <c r="B277"/>
      <c r="C277" s="61"/>
      <c r="D277" s="61"/>
      <c r="G277"/>
      <c r="H277"/>
      <c r="I277"/>
      <c r="J277"/>
      <c r="M277"/>
      <c r="N277"/>
      <c r="O277" s="61"/>
      <c r="P277"/>
    </row>
    <row r="278" spans="2:16" x14ac:dyDescent="0.2">
      <c r="B278"/>
      <c r="C278" s="61"/>
      <c r="D278" s="61"/>
      <c r="G278"/>
      <c r="H278"/>
      <c r="J278"/>
      <c r="M278"/>
      <c r="N278"/>
      <c r="O278" s="61"/>
      <c r="P278"/>
    </row>
    <row r="279" spans="2:16" x14ac:dyDescent="0.2">
      <c r="B279"/>
      <c r="C279" s="61"/>
      <c r="D279" s="61"/>
      <c r="G279"/>
      <c r="H279"/>
      <c r="I279"/>
      <c r="J279"/>
      <c r="M279"/>
      <c r="N279"/>
      <c r="O279" s="61"/>
      <c r="P279"/>
    </row>
    <row r="280" spans="2:16" x14ac:dyDescent="0.2">
      <c r="B280"/>
      <c r="C280" s="61"/>
      <c r="D280" s="61"/>
      <c r="G280"/>
      <c r="H280"/>
      <c r="J280"/>
      <c r="M280"/>
      <c r="N280"/>
      <c r="O280" s="61"/>
      <c r="P280"/>
    </row>
    <row r="281" spans="2:16" x14ac:dyDescent="0.2">
      <c r="B281"/>
      <c r="C281" s="61"/>
      <c r="D281" s="61"/>
      <c r="G281"/>
      <c r="H281"/>
      <c r="I281"/>
      <c r="J281"/>
      <c r="M281"/>
      <c r="N281"/>
      <c r="O281" s="61"/>
      <c r="P281"/>
    </row>
    <row r="282" spans="2:16" x14ac:dyDescent="0.2">
      <c r="B282"/>
      <c r="C282" s="61"/>
      <c r="D282" s="61"/>
      <c r="G282"/>
      <c r="H282"/>
      <c r="J282"/>
      <c r="M282"/>
      <c r="N282"/>
      <c r="O282" s="61"/>
      <c r="P282"/>
    </row>
    <row r="283" spans="2:16" x14ac:dyDescent="0.2">
      <c r="B283"/>
      <c r="C283" s="61"/>
      <c r="D283" s="61"/>
      <c r="G283"/>
      <c r="H283"/>
      <c r="J283"/>
      <c r="M283"/>
      <c r="N283"/>
      <c r="O283" s="61"/>
      <c r="P283"/>
    </row>
    <row r="284" spans="2:16" x14ac:dyDescent="0.2">
      <c r="B284"/>
      <c r="C284" s="61"/>
      <c r="D284" s="61"/>
      <c r="G284"/>
      <c r="H284"/>
      <c r="I284"/>
      <c r="J284"/>
      <c r="M284"/>
      <c r="N284"/>
      <c r="O284" s="61"/>
      <c r="P284"/>
    </row>
    <row r="285" spans="2:16" x14ac:dyDescent="0.2">
      <c r="B285"/>
      <c r="C285" s="61"/>
      <c r="D285" s="61"/>
      <c r="G285"/>
      <c r="H285"/>
      <c r="I285"/>
      <c r="J285"/>
      <c r="M285"/>
      <c r="N285"/>
      <c r="O285" s="61"/>
      <c r="P285"/>
    </row>
    <row r="286" spans="2:16" x14ac:dyDescent="0.2">
      <c r="B286"/>
      <c r="C286" s="61"/>
      <c r="D286" s="61"/>
      <c r="G286"/>
      <c r="H286"/>
      <c r="I286"/>
      <c r="J286"/>
      <c r="M286"/>
      <c r="N286"/>
      <c r="O286" s="61"/>
      <c r="P286"/>
    </row>
    <row r="287" spans="2:16" x14ac:dyDescent="0.2">
      <c r="B287"/>
      <c r="C287" s="61"/>
      <c r="D287" s="61"/>
      <c r="G287"/>
      <c r="H287"/>
      <c r="I287"/>
      <c r="J287"/>
      <c r="M287"/>
      <c r="N287"/>
      <c r="O287" s="61"/>
      <c r="P287"/>
    </row>
    <row r="288" spans="2:16" x14ac:dyDescent="0.2">
      <c r="B288"/>
      <c r="C288" s="61"/>
      <c r="D288" s="61"/>
      <c r="G288"/>
      <c r="H288"/>
      <c r="I288"/>
      <c r="J288"/>
      <c r="M288"/>
      <c r="N288"/>
      <c r="O288" s="61"/>
      <c r="P288"/>
    </row>
    <row r="289" spans="2:16" x14ac:dyDescent="0.2">
      <c r="B289"/>
      <c r="C289" s="61"/>
      <c r="D289" s="61"/>
      <c r="G289"/>
      <c r="H289"/>
      <c r="J289"/>
      <c r="M289"/>
      <c r="N289"/>
      <c r="O289" s="61"/>
      <c r="P289"/>
    </row>
    <row r="290" spans="2:16" x14ac:dyDescent="0.2">
      <c r="B290"/>
      <c r="C290" s="61"/>
      <c r="D290" s="61"/>
      <c r="G290"/>
      <c r="H290"/>
      <c r="M290"/>
      <c r="N290"/>
      <c r="O290" s="61"/>
      <c r="P290"/>
    </row>
    <row r="291" spans="2:16" x14ac:dyDescent="0.2">
      <c r="B291"/>
      <c r="C291" s="61"/>
      <c r="D291" s="61"/>
      <c r="G291"/>
      <c r="H291"/>
      <c r="I291"/>
      <c r="J291"/>
      <c r="M291"/>
      <c r="N291"/>
      <c r="O291" s="61"/>
      <c r="P291"/>
    </row>
    <row r="292" spans="2:16" x14ac:dyDescent="0.2">
      <c r="B292"/>
      <c r="C292" s="61"/>
      <c r="D292" s="61"/>
      <c r="G292"/>
      <c r="H292"/>
      <c r="I292"/>
      <c r="J292"/>
      <c r="M292"/>
      <c r="N292"/>
      <c r="O292" s="61"/>
      <c r="P292"/>
    </row>
    <row r="293" spans="2:16" x14ac:dyDescent="0.2">
      <c r="B293"/>
      <c r="C293" s="61"/>
      <c r="D293" s="61"/>
      <c r="G293"/>
      <c r="H293"/>
      <c r="I293"/>
      <c r="J293"/>
      <c r="M293"/>
      <c r="N293"/>
      <c r="O293" s="61"/>
      <c r="P293"/>
    </row>
    <row r="294" spans="2:16" x14ac:dyDescent="0.2">
      <c r="B294"/>
      <c r="C294" s="61"/>
      <c r="D294" s="61"/>
      <c r="G294"/>
      <c r="H294"/>
      <c r="I294"/>
      <c r="J294"/>
      <c r="M294"/>
      <c r="N294"/>
      <c r="O294" s="61"/>
      <c r="P294"/>
    </row>
    <row r="295" spans="2:16" x14ac:dyDescent="0.2">
      <c r="B295"/>
      <c r="C295" s="61"/>
      <c r="D295" s="61"/>
      <c r="G295"/>
      <c r="H295"/>
      <c r="I295"/>
      <c r="J295"/>
      <c r="M295"/>
      <c r="N295"/>
      <c r="O295" s="61"/>
      <c r="P295"/>
    </row>
    <row r="296" spans="2:16" x14ac:dyDescent="0.2">
      <c r="B296"/>
      <c r="C296" s="61"/>
      <c r="D296" s="61"/>
      <c r="G296"/>
      <c r="H296"/>
      <c r="I296"/>
      <c r="J296"/>
      <c r="M296"/>
      <c r="O296" s="61"/>
      <c r="P296"/>
    </row>
    <row r="297" spans="2:16" x14ac:dyDescent="0.2">
      <c r="B297"/>
      <c r="C297" s="61"/>
      <c r="D297" s="61"/>
      <c r="G297"/>
      <c r="H297"/>
      <c r="I297"/>
      <c r="J297"/>
      <c r="M297"/>
      <c r="N297"/>
      <c r="O297" s="61"/>
      <c r="P297"/>
    </row>
    <row r="298" spans="2:16" x14ac:dyDescent="0.2">
      <c r="B298"/>
      <c r="C298" s="61"/>
      <c r="D298" s="61"/>
      <c r="G298"/>
      <c r="H298"/>
      <c r="I298"/>
      <c r="J298"/>
      <c r="M298"/>
      <c r="N298"/>
      <c r="O298" s="61"/>
      <c r="P298"/>
    </row>
    <row r="299" spans="2:16" x14ac:dyDescent="0.2">
      <c r="B299"/>
      <c r="C299" s="61"/>
      <c r="D299" s="61"/>
      <c r="G299"/>
      <c r="H299"/>
      <c r="I299"/>
      <c r="J299"/>
      <c r="M299"/>
      <c r="N299"/>
      <c r="O299" s="61"/>
      <c r="P299"/>
    </row>
    <row r="300" spans="2:16" x14ac:dyDescent="0.2">
      <c r="B300"/>
      <c r="C300" s="61"/>
      <c r="D300" s="61"/>
      <c r="G300"/>
      <c r="H300"/>
      <c r="I300"/>
      <c r="J300"/>
      <c r="M300"/>
      <c r="N300"/>
      <c r="O300" s="61"/>
      <c r="P300"/>
    </row>
    <row r="301" spans="2:16" x14ac:dyDescent="0.2">
      <c r="B301"/>
      <c r="C301" s="61"/>
      <c r="D301" s="61"/>
      <c r="G301"/>
      <c r="H301"/>
      <c r="I301"/>
      <c r="J301"/>
      <c r="M301"/>
      <c r="N301"/>
      <c r="O301" s="61"/>
      <c r="P301"/>
    </row>
    <row r="302" spans="2:16" x14ac:dyDescent="0.2">
      <c r="B302"/>
      <c r="C302" s="61"/>
      <c r="D302" s="61"/>
      <c r="G302"/>
      <c r="H302"/>
      <c r="I302"/>
      <c r="J302"/>
      <c r="M302"/>
      <c r="N302"/>
      <c r="O302" s="61"/>
      <c r="P302"/>
    </row>
    <row r="303" spans="2:16" x14ac:dyDescent="0.2">
      <c r="B303"/>
      <c r="C303" s="61"/>
      <c r="D303" s="61"/>
      <c r="G303"/>
      <c r="H303"/>
      <c r="I303"/>
      <c r="J303"/>
      <c r="M303"/>
      <c r="N303"/>
      <c r="O303" s="61"/>
      <c r="P303"/>
    </row>
    <row r="304" spans="2:16" x14ac:dyDescent="0.2">
      <c r="B304"/>
      <c r="C304" s="61"/>
      <c r="D304" s="61"/>
      <c r="G304"/>
      <c r="H304"/>
      <c r="I304"/>
      <c r="J304"/>
      <c r="M304"/>
      <c r="N304"/>
      <c r="O304" s="61"/>
      <c r="P304"/>
    </row>
    <row r="305" spans="2:16" x14ac:dyDescent="0.2">
      <c r="B305"/>
      <c r="C305" s="61"/>
      <c r="D305" s="61"/>
      <c r="G305"/>
      <c r="H305"/>
      <c r="I305"/>
      <c r="J305"/>
      <c r="M305"/>
      <c r="N305"/>
      <c r="O305" s="61"/>
      <c r="P305"/>
    </row>
    <row r="306" spans="2:16" x14ac:dyDescent="0.2">
      <c r="B306"/>
      <c r="C306" s="61"/>
      <c r="D306" s="61"/>
      <c r="G306"/>
      <c r="H306"/>
      <c r="I306"/>
      <c r="J306"/>
      <c r="M306"/>
      <c r="N306"/>
      <c r="O306" s="61"/>
      <c r="P306"/>
    </row>
    <row r="307" spans="2:16" x14ac:dyDescent="0.2">
      <c r="B307"/>
      <c r="C307" s="61"/>
      <c r="D307" s="61"/>
      <c r="G307"/>
      <c r="H307"/>
      <c r="I307"/>
      <c r="J307"/>
      <c r="M307"/>
      <c r="N307"/>
      <c r="O307" s="61"/>
      <c r="P307"/>
    </row>
    <row r="308" spans="2:16" x14ac:dyDescent="0.2">
      <c r="B308"/>
      <c r="C308" s="61"/>
      <c r="D308" s="61"/>
      <c r="G308"/>
      <c r="H308"/>
      <c r="I308"/>
      <c r="J308"/>
      <c r="M308"/>
      <c r="N308"/>
      <c r="O308" s="61"/>
      <c r="P308"/>
    </row>
    <row r="309" spans="2:16" x14ac:dyDescent="0.2">
      <c r="B309"/>
      <c r="C309" s="61"/>
      <c r="D309" s="61"/>
      <c r="G309"/>
      <c r="H309"/>
      <c r="I309"/>
      <c r="J309"/>
      <c r="M309"/>
      <c r="O309" s="61"/>
      <c r="P309"/>
    </row>
    <row r="310" spans="2:16" x14ac:dyDescent="0.2">
      <c r="B310"/>
      <c r="C310" s="61"/>
      <c r="D310" s="61"/>
      <c r="G310"/>
      <c r="H310"/>
      <c r="I310"/>
      <c r="J310"/>
      <c r="M310"/>
      <c r="N310"/>
      <c r="O310" s="61"/>
      <c r="P310"/>
    </row>
    <row r="311" spans="2:16" x14ac:dyDescent="0.2">
      <c r="B311"/>
      <c r="C311" s="61"/>
      <c r="D311" s="61"/>
      <c r="G311"/>
      <c r="H311"/>
      <c r="I311"/>
      <c r="J311"/>
      <c r="M311"/>
      <c r="O311" s="61"/>
      <c r="P311"/>
    </row>
    <row r="312" spans="2:16" x14ac:dyDescent="0.2">
      <c r="B312"/>
      <c r="C312" s="61"/>
      <c r="D312" s="61"/>
      <c r="G312"/>
      <c r="H312"/>
      <c r="I312"/>
      <c r="J312"/>
      <c r="M312"/>
      <c r="N312"/>
      <c r="O312" s="61"/>
      <c r="P312"/>
    </row>
    <row r="313" spans="2:16" x14ac:dyDescent="0.2">
      <c r="B313"/>
      <c r="C313" s="61"/>
      <c r="D313" s="61"/>
      <c r="G313"/>
      <c r="H313"/>
      <c r="M313"/>
      <c r="N313"/>
      <c r="O313" s="61"/>
      <c r="P313"/>
    </row>
    <row r="314" spans="2:16" x14ac:dyDescent="0.2">
      <c r="B314"/>
      <c r="C314" s="61"/>
      <c r="D314" s="61"/>
      <c r="G314"/>
      <c r="H314"/>
      <c r="I314"/>
      <c r="J314"/>
      <c r="M314"/>
      <c r="N314"/>
      <c r="O314" s="61"/>
      <c r="P314"/>
    </row>
    <row r="315" spans="2:16" x14ac:dyDescent="0.2">
      <c r="B315"/>
      <c r="C315" s="61"/>
      <c r="D315" s="61"/>
      <c r="G315"/>
      <c r="H315"/>
      <c r="I315"/>
      <c r="J315"/>
      <c r="M315"/>
      <c r="N315"/>
      <c r="O315" s="61"/>
      <c r="P315"/>
    </row>
    <row r="316" spans="2:16" x14ac:dyDescent="0.2">
      <c r="B316"/>
      <c r="C316" s="61"/>
      <c r="D316" s="61"/>
      <c r="G316"/>
      <c r="H316"/>
      <c r="I316"/>
      <c r="J316"/>
      <c r="M316"/>
      <c r="N316"/>
      <c r="O316" s="61"/>
      <c r="P316"/>
    </row>
    <row r="317" spans="2:16" x14ac:dyDescent="0.2">
      <c r="B317"/>
      <c r="C317" s="61"/>
      <c r="D317" s="61"/>
      <c r="G317"/>
      <c r="H317"/>
      <c r="I317"/>
      <c r="J317"/>
      <c r="M317"/>
      <c r="N317"/>
      <c r="O317" s="61"/>
      <c r="P317"/>
    </row>
    <row r="318" spans="2:16" x14ac:dyDescent="0.2">
      <c r="B318"/>
      <c r="C318" s="61"/>
      <c r="D318" s="61"/>
      <c r="G318"/>
      <c r="H318"/>
      <c r="I318"/>
      <c r="J318"/>
      <c r="M318"/>
      <c r="N318"/>
      <c r="O318" s="61"/>
      <c r="P318"/>
    </row>
    <row r="319" spans="2:16" x14ac:dyDescent="0.2">
      <c r="B319"/>
      <c r="C319" s="61"/>
      <c r="D319" s="61"/>
      <c r="G319"/>
      <c r="H319"/>
      <c r="I319"/>
      <c r="J319"/>
      <c r="M319"/>
      <c r="N319"/>
      <c r="O319" s="61"/>
      <c r="P319"/>
    </row>
    <row r="320" spans="2:16" x14ac:dyDescent="0.2">
      <c r="B320"/>
      <c r="C320" s="61"/>
      <c r="D320" s="61"/>
      <c r="G320"/>
      <c r="H320"/>
      <c r="I320"/>
      <c r="J320"/>
      <c r="M320"/>
      <c r="N320"/>
      <c r="O320" s="61"/>
      <c r="P320"/>
    </row>
    <row r="321" spans="2:16" x14ac:dyDescent="0.2">
      <c r="B321"/>
      <c r="C321" s="61"/>
      <c r="D321" s="61"/>
      <c r="G321"/>
      <c r="H321"/>
      <c r="I321"/>
      <c r="J321"/>
      <c r="M321"/>
      <c r="N321"/>
      <c r="O321" s="61"/>
      <c r="P321"/>
    </row>
    <row r="322" spans="2:16" x14ac:dyDescent="0.2">
      <c r="B322"/>
      <c r="C322" s="61"/>
      <c r="D322" s="61"/>
      <c r="G322"/>
      <c r="H322"/>
      <c r="I322"/>
      <c r="J322"/>
      <c r="M322"/>
      <c r="N322"/>
      <c r="O322" s="61"/>
      <c r="P322"/>
    </row>
    <row r="323" spans="2:16" x14ac:dyDescent="0.2">
      <c r="B323"/>
      <c r="C323" s="61"/>
      <c r="D323" s="61"/>
      <c r="G323"/>
      <c r="H323"/>
      <c r="I323"/>
      <c r="J323"/>
      <c r="M323"/>
      <c r="N323"/>
      <c r="O323" s="61"/>
      <c r="P323"/>
    </row>
    <row r="324" spans="2:16" x14ac:dyDescent="0.2">
      <c r="B324"/>
      <c r="C324" s="61"/>
      <c r="D324" s="61"/>
      <c r="G324"/>
      <c r="H324"/>
      <c r="I324"/>
      <c r="J324"/>
      <c r="M324"/>
      <c r="O324" s="61"/>
      <c r="P324"/>
    </row>
    <row r="325" spans="2:16" x14ac:dyDescent="0.2">
      <c r="B325"/>
      <c r="C325" s="61"/>
      <c r="D325" s="61"/>
      <c r="G325"/>
      <c r="H325"/>
      <c r="I325"/>
      <c r="J325"/>
      <c r="M325"/>
      <c r="N325"/>
      <c r="O325" s="61"/>
      <c r="P325"/>
    </row>
    <row r="326" spans="2:16" x14ac:dyDescent="0.2">
      <c r="B326"/>
      <c r="C326" s="61"/>
      <c r="D326" s="61"/>
      <c r="G326"/>
      <c r="H326"/>
      <c r="I326"/>
      <c r="J326"/>
      <c r="M326"/>
      <c r="N326"/>
      <c r="O326" s="61"/>
      <c r="P326"/>
    </row>
    <row r="327" spans="2:16" x14ac:dyDescent="0.2">
      <c r="B327"/>
      <c r="C327" s="61"/>
      <c r="D327" s="61"/>
      <c r="G327"/>
      <c r="H327"/>
      <c r="I327"/>
      <c r="J327"/>
      <c r="M327"/>
      <c r="N327"/>
      <c r="O327" s="61"/>
      <c r="P327"/>
    </row>
    <row r="328" spans="2:16" x14ac:dyDescent="0.2">
      <c r="B328"/>
      <c r="C328" s="61"/>
      <c r="D328" s="61"/>
      <c r="G328"/>
      <c r="H328"/>
      <c r="I328"/>
      <c r="J328"/>
      <c r="M328"/>
      <c r="N328"/>
      <c r="O328" s="61"/>
      <c r="P328"/>
    </row>
    <row r="329" spans="2:16" x14ac:dyDescent="0.2">
      <c r="B329"/>
      <c r="C329" s="61"/>
      <c r="D329" s="61"/>
      <c r="G329"/>
      <c r="H329"/>
      <c r="J329"/>
      <c r="M329"/>
      <c r="N329"/>
      <c r="O329" s="61"/>
      <c r="P329"/>
    </row>
    <row r="330" spans="2:16" x14ac:dyDescent="0.2">
      <c r="B330"/>
      <c r="C330" s="61"/>
      <c r="D330" s="61"/>
      <c r="G330"/>
      <c r="H330"/>
      <c r="J330"/>
      <c r="M330"/>
      <c r="N330"/>
      <c r="O330" s="61"/>
      <c r="P330"/>
    </row>
    <row r="331" spans="2:16" x14ac:dyDescent="0.2">
      <c r="B331"/>
      <c r="C331" s="61"/>
      <c r="D331" s="61"/>
      <c r="G331"/>
      <c r="H331"/>
      <c r="I331"/>
      <c r="J331"/>
      <c r="M331"/>
      <c r="N331"/>
      <c r="O331" s="61"/>
      <c r="P331"/>
    </row>
    <row r="332" spans="2:16" x14ac:dyDescent="0.2">
      <c r="B332"/>
      <c r="C332" s="61"/>
      <c r="D332" s="61"/>
      <c r="G332"/>
      <c r="H332"/>
      <c r="I332"/>
      <c r="J332"/>
      <c r="M332"/>
      <c r="N332"/>
      <c r="O332" s="61"/>
      <c r="P332"/>
    </row>
    <row r="333" spans="2:16" x14ac:dyDescent="0.2">
      <c r="B333"/>
      <c r="C333" s="61"/>
      <c r="D333" s="61"/>
      <c r="G333"/>
      <c r="H333"/>
      <c r="I333"/>
      <c r="J333"/>
      <c r="M333"/>
      <c r="N333"/>
      <c r="O333" s="61"/>
      <c r="P333"/>
    </row>
    <row r="334" spans="2:16" x14ac:dyDescent="0.2">
      <c r="B334"/>
      <c r="C334" s="61"/>
      <c r="D334" s="61"/>
      <c r="G334"/>
      <c r="H334"/>
      <c r="I334"/>
      <c r="J334"/>
      <c r="M334"/>
      <c r="O334" s="61"/>
      <c r="P334"/>
    </row>
    <row r="335" spans="2:16" x14ac:dyDescent="0.2">
      <c r="B335"/>
      <c r="C335" s="61"/>
      <c r="D335" s="61"/>
      <c r="G335"/>
      <c r="H335"/>
      <c r="I335"/>
      <c r="J335"/>
      <c r="M335"/>
      <c r="N335"/>
      <c r="O335" s="61"/>
      <c r="P335"/>
    </row>
    <row r="336" spans="2:16" x14ac:dyDescent="0.2">
      <c r="B336"/>
      <c r="C336" s="61"/>
      <c r="D336" s="61"/>
      <c r="G336"/>
      <c r="H336"/>
      <c r="K336"/>
      <c r="L336"/>
      <c r="M336"/>
      <c r="N336"/>
      <c r="O336" s="61"/>
      <c r="P336"/>
    </row>
    <row r="337" spans="2:16" x14ac:dyDescent="0.2">
      <c r="B337"/>
      <c r="C337" s="61"/>
      <c r="D337" s="61"/>
      <c r="G337"/>
      <c r="H337"/>
      <c r="I337"/>
      <c r="K337"/>
      <c r="L337"/>
      <c r="M337"/>
      <c r="N337"/>
      <c r="O337" s="61"/>
      <c r="P337"/>
    </row>
    <row r="338" spans="2:16" x14ac:dyDescent="0.2">
      <c r="B338"/>
      <c r="C338" s="61"/>
      <c r="D338" s="61"/>
      <c r="G338"/>
      <c r="H338"/>
      <c r="N338"/>
      <c r="O338" s="61"/>
      <c r="P338"/>
    </row>
    <row r="339" spans="2:16" x14ac:dyDescent="0.2">
      <c r="B339"/>
      <c r="C339" s="61"/>
      <c r="D339" s="61"/>
      <c r="G339"/>
      <c r="H339"/>
      <c r="I339"/>
      <c r="J339"/>
      <c r="M339"/>
      <c r="N339"/>
      <c r="O339" s="61"/>
      <c r="P339"/>
    </row>
    <row r="340" spans="2:16" x14ac:dyDescent="0.2">
      <c r="B340"/>
      <c r="C340" s="61"/>
      <c r="D340" s="61"/>
      <c r="G340"/>
      <c r="H340"/>
      <c r="J340"/>
      <c r="M340"/>
      <c r="N340"/>
      <c r="O340" s="61"/>
      <c r="P340"/>
    </row>
    <row r="341" spans="2:16" x14ac:dyDescent="0.2">
      <c r="B341"/>
      <c r="C341" s="61"/>
      <c r="D341" s="61"/>
      <c r="G341"/>
      <c r="H341"/>
      <c r="I341"/>
      <c r="J341"/>
      <c r="M341"/>
      <c r="N341"/>
      <c r="O341" s="61"/>
      <c r="P341"/>
    </row>
    <row r="342" spans="2:16" x14ac:dyDescent="0.2">
      <c r="B342"/>
      <c r="C342" s="61"/>
      <c r="D342" s="61"/>
      <c r="G342"/>
      <c r="H342"/>
      <c r="I342"/>
      <c r="K342"/>
      <c r="L342"/>
      <c r="M342"/>
      <c r="N342"/>
      <c r="O342" s="61"/>
      <c r="P342"/>
    </row>
    <row r="343" spans="2:16" x14ac:dyDescent="0.2">
      <c r="B343"/>
      <c r="C343" s="61"/>
      <c r="D343" s="61"/>
      <c r="G343"/>
      <c r="H343"/>
      <c r="N343"/>
      <c r="O343" s="61"/>
      <c r="P343"/>
    </row>
    <row r="344" spans="2:16" x14ac:dyDescent="0.2">
      <c r="B344"/>
      <c r="C344" s="61"/>
      <c r="D344" s="61"/>
      <c r="G344"/>
      <c r="H344"/>
      <c r="M344"/>
      <c r="N344"/>
      <c r="O344" s="61"/>
      <c r="P344"/>
    </row>
    <row r="345" spans="2:16" x14ac:dyDescent="0.2">
      <c r="B345"/>
      <c r="C345" s="61"/>
      <c r="D345" s="61"/>
      <c r="G345"/>
      <c r="H345"/>
      <c r="I345"/>
      <c r="J345"/>
      <c r="K345"/>
      <c r="L345"/>
      <c r="M345"/>
      <c r="N345"/>
      <c r="O345" s="61"/>
      <c r="P345"/>
    </row>
    <row r="346" spans="2:16" x14ac:dyDescent="0.2">
      <c r="B346"/>
      <c r="C346" s="61"/>
      <c r="D346" s="61"/>
      <c r="G346"/>
      <c r="H346"/>
      <c r="I346"/>
      <c r="J346"/>
      <c r="M346"/>
      <c r="N346"/>
      <c r="O346" s="61"/>
      <c r="P346"/>
    </row>
    <row r="347" spans="2:16" x14ac:dyDescent="0.2">
      <c r="B347"/>
      <c r="C347" s="61"/>
      <c r="D347" s="61"/>
      <c r="G347"/>
      <c r="H347"/>
      <c r="I347"/>
      <c r="J347"/>
      <c r="M347"/>
      <c r="N347"/>
      <c r="O347" s="61"/>
      <c r="P347"/>
    </row>
    <row r="348" spans="2:16" x14ac:dyDescent="0.2">
      <c r="B348"/>
      <c r="C348" s="61"/>
      <c r="D348" s="61"/>
      <c r="G348"/>
      <c r="H348"/>
      <c r="I348"/>
      <c r="J348"/>
      <c r="M348"/>
      <c r="N348"/>
      <c r="O348" s="61"/>
      <c r="P348"/>
    </row>
    <row r="349" spans="2:16" x14ac:dyDescent="0.2">
      <c r="B349"/>
      <c r="C349" s="61"/>
      <c r="D349" s="61"/>
      <c r="G349"/>
      <c r="H349"/>
      <c r="J349"/>
      <c r="M349"/>
      <c r="N349"/>
      <c r="O349" s="61"/>
      <c r="P349"/>
    </row>
    <row r="350" spans="2:16" x14ac:dyDescent="0.2">
      <c r="B350"/>
      <c r="C350" s="61"/>
      <c r="D350" s="61"/>
      <c r="G350"/>
      <c r="H350"/>
      <c r="J350"/>
      <c r="M350"/>
      <c r="N350"/>
      <c r="O350" s="61"/>
      <c r="P350"/>
    </row>
    <row r="351" spans="2:16" x14ac:dyDescent="0.2">
      <c r="B351"/>
      <c r="C351" s="61"/>
      <c r="D351" s="61"/>
      <c r="G351"/>
      <c r="H351"/>
      <c r="K351"/>
      <c r="M351"/>
      <c r="N351"/>
      <c r="O351" s="61"/>
      <c r="P351"/>
    </row>
    <row r="352" spans="2:16" x14ac:dyDescent="0.2">
      <c r="B352"/>
      <c r="C352" s="61"/>
      <c r="D352" s="61"/>
      <c r="G352"/>
      <c r="H352"/>
      <c r="I352"/>
      <c r="J352"/>
      <c r="M352"/>
      <c r="N352"/>
      <c r="O352" s="61"/>
      <c r="P352"/>
    </row>
    <row r="353" spans="2:16" x14ac:dyDescent="0.2">
      <c r="B353"/>
      <c r="C353" s="61"/>
      <c r="D353" s="61"/>
      <c r="G353"/>
      <c r="H353"/>
      <c r="J353"/>
      <c r="M353"/>
      <c r="N353"/>
      <c r="O353" s="61"/>
      <c r="P353"/>
    </row>
    <row r="354" spans="2:16" x14ac:dyDescent="0.2">
      <c r="B354"/>
      <c r="C354" s="61"/>
      <c r="D354" s="61"/>
      <c r="G354"/>
      <c r="H354"/>
      <c r="I354"/>
      <c r="J354"/>
      <c r="M354"/>
      <c r="N354"/>
      <c r="O354" s="61"/>
      <c r="P354"/>
    </row>
    <row r="355" spans="2:16" x14ac:dyDescent="0.2">
      <c r="B355"/>
      <c r="C355" s="61"/>
      <c r="D355" s="61"/>
      <c r="G355"/>
      <c r="H355"/>
      <c r="I355"/>
      <c r="J355"/>
      <c r="M355"/>
      <c r="N355"/>
      <c r="O355" s="61"/>
      <c r="P355"/>
    </row>
    <row r="356" spans="2:16" x14ac:dyDescent="0.2">
      <c r="B356"/>
      <c r="C356" s="61"/>
      <c r="D356" s="61"/>
      <c r="G356"/>
      <c r="H356"/>
      <c r="I356"/>
      <c r="J356"/>
      <c r="M356"/>
      <c r="N356"/>
      <c r="O356" s="61"/>
      <c r="P356"/>
    </row>
    <row r="357" spans="2:16" x14ac:dyDescent="0.2">
      <c r="B357"/>
      <c r="C357" s="61"/>
      <c r="D357" s="61"/>
      <c r="G357"/>
      <c r="H357"/>
      <c r="I357"/>
      <c r="J357"/>
      <c r="M357"/>
      <c r="N357"/>
      <c r="O357" s="61"/>
      <c r="P357"/>
    </row>
    <row r="358" spans="2:16" x14ac:dyDescent="0.2">
      <c r="B358"/>
      <c r="C358" s="61"/>
      <c r="D358" s="61"/>
      <c r="G358"/>
      <c r="H358"/>
      <c r="N358"/>
      <c r="O358" s="61"/>
      <c r="P358"/>
    </row>
    <row r="359" spans="2:16" x14ac:dyDescent="0.2">
      <c r="B359"/>
      <c r="C359" s="61"/>
      <c r="D359" s="61"/>
      <c r="G359"/>
      <c r="H359"/>
      <c r="I359"/>
      <c r="J359"/>
      <c r="M359"/>
      <c r="N359"/>
      <c r="O359" s="61"/>
      <c r="P359"/>
    </row>
    <row r="360" spans="2:16" x14ac:dyDescent="0.2">
      <c r="B360"/>
      <c r="C360" s="61"/>
      <c r="D360" s="61"/>
      <c r="G360"/>
      <c r="H360"/>
      <c r="I360"/>
      <c r="J360"/>
      <c r="M360"/>
      <c r="N360"/>
      <c r="O360" s="61"/>
      <c r="P360"/>
    </row>
    <row r="361" spans="2:16" x14ac:dyDescent="0.2">
      <c r="B361"/>
      <c r="C361" s="61"/>
      <c r="D361" s="61"/>
      <c r="G361"/>
      <c r="H361"/>
      <c r="I361"/>
      <c r="J361"/>
      <c r="M361"/>
      <c r="O361" s="61"/>
      <c r="P361"/>
    </row>
    <row r="362" spans="2:16" x14ac:dyDescent="0.2">
      <c r="B362"/>
      <c r="C362" s="61"/>
      <c r="D362" s="61"/>
      <c r="G362"/>
      <c r="H362"/>
      <c r="I362"/>
      <c r="J362"/>
      <c r="M362"/>
      <c r="N362"/>
      <c r="O362" s="61"/>
      <c r="P362"/>
    </row>
    <row r="363" spans="2:16" x14ac:dyDescent="0.2">
      <c r="B363"/>
      <c r="C363" s="61"/>
      <c r="D363" s="61"/>
      <c r="G363"/>
      <c r="H363"/>
      <c r="M363"/>
      <c r="N363"/>
      <c r="O363" s="61"/>
      <c r="P363"/>
    </row>
    <row r="364" spans="2:16" x14ac:dyDescent="0.2">
      <c r="B364"/>
      <c r="C364" s="61"/>
      <c r="D364" s="61"/>
      <c r="G364"/>
      <c r="H364"/>
      <c r="J364"/>
      <c r="M364"/>
      <c r="N364"/>
      <c r="O364" s="61"/>
      <c r="P364"/>
    </row>
    <row r="365" spans="2:16" x14ac:dyDescent="0.2">
      <c r="B365"/>
      <c r="C365" s="61"/>
      <c r="D365" s="61"/>
      <c r="G365"/>
      <c r="H365"/>
      <c r="I365"/>
      <c r="J365"/>
      <c r="M365"/>
      <c r="O365" s="61"/>
      <c r="P365"/>
    </row>
    <row r="366" spans="2:16" x14ac:dyDescent="0.2">
      <c r="B366"/>
      <c r="C366" s="61"/>
      <c r="D366" s="61"/>
      <c r="G366"/>
      <c r="H366"/>
      <c r="J366"/>
      <c r="M366"/>
      <c r="N366"/>
      <c r="O366" s="61"/>
      <c r="P366"/>
    </row>
    <row r="367" spans="2:16" x14ac:dyDescent="0.2">
      <c r="B367"/>
      <c r="C367" s="61"/>
      <c r="D367" s="61"/>
      <c r="G367"/>
      <c r="H367"/>
      <c r="M367"/>
      <c r="N367"/>
      <c r="O367" s="61"/>
      <c r="P367"/>
    </row>
    <row r="368" spans="2:16" x14ac:dyDescent="0.2">
      <c r="B368"/>
      <c r="C368" s="61"/>
      <c r="D368" s="61"/>
      <c r="G368"/>
      <c r="H368"/>
      <c r="I368"/>
      <c r="J368"/>
      <c r="M368"/>
      <c r="N368"/>
      <c r="O368" s="61"/>
      <c r="P368"/>
    </row>
    <row r="369" spans="2:16" x14ac:dyDescent="0.2">
      <c r="B369"/>
      <c r="C369" s="61"/>
      <c r="D369" s="61"/>
      <c r="G369"/>
      <c r="H369"/>
      <c r="I369"/>
      <c r="J369"/>
      <c r="M369"/>
      <c r="N369"/>
      <c r="O369" s="61"/>
      <c r="P369"/>
    </row>
    <row r="370" spans="2:16" x14ac:dyDescent="0.2">
      <c r="B370"/>
      <c r="C370" s="61"/>
      <c r="D370" s="61"/>
      <c r="G370"/>
      <c r="H370"/>
      <c r="I370"/>
      <c r="J370"/>
      <c r="M370"/>
      <c r="N370"/>
      <c r="O370" s="61"/>
      <c r="P370"/>
    </row>
    <row r="371" spans="2:16" x14ac:dyDescent="0.2">
      <c r="B371"/>
      <c r="C371" s="61"/>
      <c r="D371" s="61"/>
      <c r="G371"/>
      <c r="H371"/>
      <c r="J371"/>
      <c r="M371"/>
      <c r="N371"/>
      <c r="O371" s="61"/>
      <c r="P371"/>
    </row>
    <row r="372" spans="2:16" x14ac:dyDescent="0.2">
      <c r="B372"/>
      <c r="C372" s="61"/>
      <c r="D372" s="61"/>
      <c r="G372"/>
      <c r="H372"/>
      <c r="J372"/>
      <c r="M372"/>
      <c r="N372"/>
      <c r="O372" s="61"/>
      <c r="P372"/>
    </row>
    <row r="373" spans="2:16" x14ac:dyDescent="0.2">
      <c r="B373"/>
      <c r="C373" s="61"/>
      <c r="D373" s="61"/>
      <c r="G373"/>
      <c r="H373"/>
      <c r="M373"/>
      <c r="O373" s="61"/>
      <c r="P373"/>
    </row>
    <row r="374" spans="2:16" x14ac:dyDescent="0.2">
      <c r="B374"/>
      <c r="C374" s="61"/>
      <c r="D374" s="61"/>
      <c r="G374"/>
      <c r="H374"/>
      <c r="I374"/>
      <c r="J374"/>
      <c r="M374"/>
      <c r="N374"/>
      <c r="O374" s="61"/>
      <c r="P374"/>
    </row>
    <row r="375" spans="2:16" x14ac:dyDescent="0.2">
      <c r="B375"/>
      <c r="C375" s="61"/>
      <c r="D375" s="61"/>
      <c r="G375"/>
      <c r="H375"/>
      <c r="I375"/>
      <c r="J375"/>
      <c r="M375"/>
      <c r="N375"/>
      <c r="O375" s="61"/>
      <c r="P375"/>
    </row>
    <row r="376" spans="2:16" x14ac:dyDescent="0.2">
      <c r="B376"/>
      <c r="C376" s="61"/>
      <c r="D376" s="61"/>
      <c r="G376"/>
      <c r="H376"/>
      <c r="I376"/>
      <c r="J376"/>
      <c r="M376"/>
      <c r="N376"/>
      <c r="O376" s="61"/>
      <c r="P376"/>
    </row>
    <row r="377" spans="2:16" x14ac:dyDescent="0.2">
      <c r="B377"/>
      <c r="C377" s="61"/>
      <c r="D377" s="61"/>
      <c r="G377"/>
      <c r="H377"/>
      <c r="M377"/>
      <c r="N377"/>
      <c r="O377" s="61"/>
      <c r="P377"/>
    </row>
    <row r="378" spans="2:16" x14ac:dyDescent="0.2">
      <c r="B378"/>
      <c r="C378" s="61"/>
      <c r="D378" s="61"/>
      <c r="G378"/>
      <c r="H378"/>
      <c r="K378"/>
      <c r="L378"/>
      <c r="M378"/>
      <c r="N378"/>
      <c r="O378" s="61"/>
      <c r="P378"/>
    </row>
    <row r="379" spans="2:16" x14ac:dyDescent="0.2">
      <c r="B379"/>
      <c r="C379" s="61"/>
      <c r="D379" s="61"/>
      <c r="G379"/>
      <c r="H379"/>
      <c r="J379"/>
      <c r="M379"/>
      <c r="N379"/>
      <c r="O379" s="61"/>
      <c r="P379"/>
    </row>
    <row r="380" spans="2:16" x14ac:dyDescent="0.2">
      <c r="B380"/>
      <c r="C380" s="61"/>
      <c r="D380" s="61"/>
      <c r="G380"/>
      <c r="H380"/>
      <c r="J380"/>
      <c r="M380"/>
      <c r="N380"/>
      <c r="O380" s="61"/>
      <c r="P380"/>
    </row>
    <row r="381" spans="2:16" x14ac:dyDescent="0.2">
      <c r="B381"/>
      <c r="C381" s="61"/>
      <c r="D381" s="61"/>
      <c r="G381"/>
      <c r="H381"/>
      <c r="I381"/>
      <c r="J381"/>
      <c r="M381"/>
      <c r="N381"/>
      <c r="O381" s="61"/>
      <c r="P381"/>
    </row>
    <row r="382" spans="2:16" x14ac:dyDescent="0.2">
      <c r="B382"/>
      <c r="C382" s="61"/>
      <c r="D382" s="61"/>
      <c r="G382"/>
      <c r="H382"/>
      <c r="I382"/>
      <c r="J382"/>
      <c r="M382"/>
      <c r="N382"/>
      <c r="O382" s="61"/>
      <c r="P382"/>
    </row>
    <row r="383" spans="2:16" x14ac:dyDescent="0.2">
      <c r="B383"/>
      <c r="C383" s="61"/>
      <c r="D383" s="61"/>
      <c r="G383"/>
      <c r="H383"/>
      <c r="I383"/>
      <c r="J383"/>
      <c r="M383"/>
      <c r="N383"/>
      <c r="O383" s="61"/>
      <c r="P383"/>
    </row>
    <row r="384" spans="2:16" x14ac:dyDescent="0.2">
      <c r="B384"/>
      <c r="C384" s="61"/>
      <c r="D384" s="61"/>
      <c r="G384"/>
      <c r="H384"/>
      <c r="N384"/>
      <c r="O384" s="61"/>
      <c r="P384"/>
    </row>
    <row r="385" spans="2:16" x14ac:dyDescent="0.2">
      <c r="B385"/>
      <c r="C385" s="61"/>
      <c r="D385" s="61"/>
      <c r="G385"/>
      <c r="H385"/>
      <c r="K385"/>
      <c r="L385"/>
      <c r="M385"/>
      <c r="N385"/>
      <c r="O385" s="61"/>
      <c r="P385"/>
    </row>
    <row r="386" spans="2:16" x14ac:dyDescent="0.2">
      <c r="B386"/>
      <c r="C386" s="61"/>
      <c r="D386" s="61"/>
      <c r="G386"/>
      <c r="H386"/>
      <c r="I386"/>
      <c r="J386"/>
      <c r="M386"/>
      <c r="N386"/>
      <c r="O386" s="61"/>
      <c r="P386"/>
    </row>
    <row r="387" spans="2:16" x14ac:dyDescent="0.2">
      <c r="B387"/>
      <c r="C387" s="61"/>
      <c r="D387" s="61"/>
      <c r="G387"/>
      <c r="H387"/>
      <c r="J387"/>
      <c r="M387"/>
      <c r="N387"/>
      <c r="O387" s="61"/>
      <c r="P387"/>
    </row>
    <row r="388" spans="2:16" x14ac:dyDescent="0.2">
      <c r="B388"/>
      <c r="C388" s="61"/>
      <c r="D388" s="61"/>
      <c r="G388"/>
      <c r="H388"/>
      <c r="I388"/>
      <c r="J388"/>
      <c r="M388"/>
      <c r="N388"/>
      <c r="O388" s="61"/>
      <c r="P388"/>
    </row>
    <row r="389" spans="2:16" x14ac:dyDescent="0.2">
      <c r="B389"/>
      <c r="C389" s="61"/>
      <c r="D389" s="61"/>
      <c r="G389"/>
      <c r="H389"/>
      <c r="J389"/>
      <c r="M389"/>
      <c r="N389"/>
      <c r="O389" s="61"/>
      <c r="P389"/>
    </row>
    <row r="390" spans="2:16" x14ac:dyDescent="0.2">
      <c r="B390"/>
      <c r="C390" s="61"/>
      <c r="D390" s="61"/>
      <c r="G390"/>
      <c r="H390"/>
      <c r="K390"/>
      <c r="L390"/>
      <c r="M390"/>
      <c r="N390"/>
      <c r="O390" s="61"/>
      <c r="P390"/>
    </row>
    <row r="391" spans="2:16" x14ac:dyDescent="0.2">
      <c r="B391"/>
      <c r="C391" s="61"/>
      <c r="D391" s="61"/>
      <c r="G391"/>
      <c r="H391"/>
      <c r="J391"/>
      <c r="M391"/>
      <c r="N391"/>
      <c r="O391" s="61"/>
      <c r="P391"/>
    </row>
    <row r="392" spans="2:16" x14ac:dyDescent="0.2">
      <c r="B392"/>
      <c r="C392" s="61"/>
      <c r="D392" s="61"/>
      <c r="G392"/>
      <c r="H392"/>
      <c r="I392"/>
      <c r="J392"/>
      <c r="M392"/>
      <c r="O392" s="61"/>
      <c r="P392"/>
    </row>
    <row r="393" spans="2:16" x14ac:dyDescent="0.2">
      <c r="B393"/>
      <c r="C393" s="61"/>
      <c r="D393" s="61"/>
      <c r="G393"/>
      <c r="H393"/>
      <c r="I393"/>
      <c r="J393"/>
      <c r="M393"/>
      <c r="N393"/>
      <c r="O393" s="61"/>
      <c r="P393"/>
    </row>
    <row r="394" spans="2:16" x14ac:dyDescent="0.2">
      <c r="B394"/>
      <c r="C394" s="61"/>
      <c r="D394" s="61"/>
      <c r="G394"/>
      <c r="H394"/>
      <c r="I394"/>
      <c r="J394"/>
      <c r="M394"/>
      <c r="N394"/>
      <c r="O394" s="61"/>
      <c r="P394"/>
    </row>
    <row r="395" spans="2:16" x14ac:dyDescent="0.2">
      <c r="B395"/>
      <c r="C395" s="61"/>
      <c r="D395" s="61"/>
      <c r="G395"/>
      <c r="H395"/>
      <c r="M395"/>
      <c r="N395"/>
      <c r="O395" s="61"/>
      <c r="P395"/>
    </row>
    <row r="396" spans="2:16" x14ac:dyDescent="0.2">
      <c r="B396"/>
      <c r="C396" s="61"/>
      <c r="D396" s="61"/>
      <c r="G396"/>
      <c r="H396"/>
      <c r="J396"/>
      <c r="M396"/>
      <c r="N396"/>
      <c r="O396" s="61"/>
      <c r="P396"/>
    </row>
    <row r="397" spans="2:16" x14ac:dyDescent="0.2">
      <c r="B397"/>
      <c r="C397" s="61"/>
      <c r="D397" s="61"/>
      <c r="G397"/>
      <c r="H397"/>
      <c r="I397"/>
      <c r="J397"/>
      <c r="M397"/>
      <c r="N397"/>
      <c r="O397" s="61"/>
      <c r="P397"/>
    </row>
    <row r="398" spans="2:16" x14ac:dyDescent="0.2">
      <c r="B398"/>
      <c r="C398" s="61"/>
      <c r="D398" s="61"/>
      <c r="G398"/>
      <c r="H398"/>
      <c r="N398"/>
      <c r="O398" s="61"/>
      <c r="P398"/>
    </row>
    <row r="399" spans="2:16" x14ac:dyDescent="0.2">
      <c r="B399"/>
      <c r="C399" s="61"/>
      <c r="D399" s="61"/>
      <c r="G399"/>
      <c r="H399"/>
      <c r="I399"/>
      <c r="K399"/>
      <c r="L399"/>
      <c r="M399"/>
      <c r="N399"/>
      <c r="O399" s="61"/>
      <c r="P399"/>
    </row>
    <row r="400" spans="2:16" x14ac:dyDescent="0.2">
      <c r="B400"/>
      <c r="C400" s="61"/>
      <c r="D400" s="61"/>
      <c r="G400"/>
      <c r="H400"/>
      <c r="I400"/>
      <c r="K400"/>
      <c r="L400"/>
      <c r="M400"/>
      <c r="N400"/>
      <c r="O400" s="61"/>
      <c r="P400"/>
    </row>
    <row r="401" spans="2:16" x14ac:dyDescent="0.2">
      <c r="B401"/>
      <c r="C401" s="61"/>
      <c r="D401" s="61"/>
      <c r="G401"/>
      <c r="H401"/>
      <c r="I401"/>
      <c r="M401"/>
      <c r="N401"/>
      <c r="O401" s="61"/>
      <c r="P401"/>
    </row>
    <row r="402" spans="2:16" x14ac:dyDescent="0.2">
      <c r="B402"/>
      <c r="C402" s="61"/>
      <c r="D402" s="61"/>
      <c r="G402"/>
      <c r="H402"/>
      <c r="K402"/>
      <c r="L402"/>
      <c r="M402"/>
      <c r="N402"/>
      <c r="O402" s="61"/>
      <c r="P402"/>
    </row>
    <row r="403" spans="2:16" x14ac:dyDescent="0.2">
      <c r="B403"/>
      <c r="C403" s="61"/>
      <c r="D403" s="61"/>
      <c r="G403"/>
      <c r="H403"/>
      <c r="I403"/>
      <c r="K403"/>
      <c r="L403"/>
      <c r="M403"/>
      <c r="N403"/>
      <c r="O403" s="61"/>
      <c r="P403"/>
    </row>
    <row r="404" spans="2:16" x14ac:dyDescent="0.2">
      <c r="B404"/>
      <c r="C404" s="61"/>
      <c r="D404" s="61"/>
      <c r="H404"/>
      <c r="N404"/>
      <c r="O404" s="61"/>
      <c r="P404"/>
    </row>
    <row r="405" spans="2:16" x14ac:dyDescent="0.2">
      <c r="B405"/>
      <c r="C405" s="61"/>
      <c r="D405" s="61"/>
      <c r="G405"/>
      <c r="H405"/>
      <c r="I405"/>
      <c r="K405"/>
      <c r="L405"/>
      <c r="M405"/>
      <c r="N405"/>
      <c r="O405" s="61"/>
      <c r="P405"/>
    </row>
    <row r="406" spans="2:16" x14ac:dyDescent="0.2">
      <c r="B406"/>
      <c r="C406" s="61"/>
      <c r="D406" s="61"/>
      <c r="G406"/>
      <c r="H406"/>
      <c r="I406"/>
      <c r="L406"/>
      <c r="M406"/>
      <c r="N406"/>
      <c r="O406" s="61"/>
      <c r="P406"/>
    </row>
    <row r="407" spans="2:16" x14ac:dyDescent="0.2">
      <c r="B407"/>
      <c r="C407" s="61"/>
      <c r="D407" s="61"/>
      <c r="G407"/>
      <c r="H407"/>
      <c r="I407"/>
      <c r="J407"/>
      <c r="M407"/>
      <c r="O407" s="61"/>
      <c r="P407"/>
    </row>
    <row r="408" spans="2:16" x14ac:dyDescent="0.2">
      <c r="B408"/>
      <c r="C408" s="61"/>
      <c r="D408" s="61"/>
      <c r="G408"/>
      <c r="H408"/>
      <c r="K408"/>
      <c r="L408"/>
      <c r="M408"/>
      <c r="N408"/>
      <c r="O408" s="61"/>
      <c r="P408"/>
    </row>
    <row r="409" spans="2:16" x14ac:dyDescent="0.2">
      <c r="B409"/>
      <c r="C409" s="61"/>
      <c r="D409" s="61"/>
      <c r="G409"/>
      <c r="H409"/>
      <c r="I409"/>
      <c r="K409"/>
      <c r="L409"/>
      <c r="M409"/>
      <c r="N409"/>
      <c r="O409" s="61"/>
      <c r="P409"/>
    </row>
    <row r="410" spans="2:16" x14ac:dyDescent="0.2">
      <c r="B410"/>
      <c r="C410" s="61"/>
      <c r="D410" s="61"/>
      <c r="G410"/>
      <c r="H410"/>
      <c r="I410"/>
      <c r="K410"/>
      <c r="L410"/>
      <c r="M410"/>
      <c r="N410"/>
      <c r="O410" s="61"/>
      <c r="P410"/>
    </row>
    <row r="411" spans="2:16" x14ac:dyDescent="0.2">
      <c r="B411"/>
      <c r="C411" s="61"/>
      <c r="D411" s="61"/>
      <c r="G411"/>
      <c r="H411"/>
      <c r="I411"/>
      <c r="K411"/>
      <c r="L411"/>
      <c r="M411"/>
      <c r="N411"/>
      <c r="O411" s="61"/>
      <c r="P411"/>
    </row>
    <row r="412" spans="2:16" x14ac:dyDescent="0.2">
      <c r="B412"/>
      <c r="C412" s="61"/>
      <c r="D412" s="61"/>
      <c r="G412"/>
      <c r="H412"/>
      <c r="I412"/>
      <c r="K412"/>
      <c r="L412"/>
      <c r="M412"/>
      <c r="N412"/>
      <c r="O412" s="61"/>
      <c r="P412"/>
    </row>
    <row r="413" spans="2:16" x14ac:dyDescent="0.2">
      <c r="B413"/>
      <c r="C413" s="61"/>
      <c r="D413" s="61"/>
      <c r="G413"/>
      <c r="H413"/>
      <c r="I413"/>
      <c r="K413"/>
      <c r="L413"/>
      <c r="N413"/>
      <c r="O413" s="61"/>
      <c r="P413"/>
    </row>
    <row r="414" spans="2:16" x14ac:dyDescent="0.2">
      <c r="B414"/>
      <c r="C414" s="61"/>
      <c r="D414" s="61"/>
      <c r="G414"/>
      <c r="H414"/>
      <c r="I414"/>
      <c r="K414"/>
      <c r="L414"/>
      <c r="M414"/>
      <c r="N414"/>
      <c r="O414" s="61"/>
      <c r="P414"/>
    </row>
    <row r="415" spans="2:16" x14ac:dyDescent="0.2">
      <c r="B415"/>
      <c r="C415" s="61"/>
      <c r="D415" s="61"/>
      <c r="G415"/>
      <c r="H415"/>
      <c r="I415"/>
      <c r="J415"/>
      <c r="M415"/>
      <c r="N415"/>
      <c r="O415" s="61"/>
      <c r="P415"/>
    </row>
    <row r="416" spans="2:16" x14ac:dyDescent="0.2">
      <c r="B416"/>
      <c r="C416" s="61"/>
      <c r="D416" s="61"/>
      <c r="G416"/>
      <c r="H416"/>
      <c r="I416"/>
      <c r="J416"/>
      <c r="M416"/>
      <c r="N416"/>
      <c r="O416" s="61"/>
      <c r="P416"/>
    </row>
    <row r="417" spans="2:16" x14ac:dyDescent="0.2">
      <c r="B417"/>
      <c r="C417" s="61"/>
      <c r="D417" s="61"/>
      <c r="G417"/>
      <c r="H417"/>
      <c r="M417"/>
      <c r="N417"/>
      <c r="O417" s="61"/>
      <c r="P417"/>
    </row>
    <row r="418" spans="2:16" x14ac:dyDescent="0.2">
      <c r="B418"/>
      <c r="C418" s="61"/>
      <c r="D418" s="61"/>
      <c r="G418"/>
      <c r="H418"/>
      <c r="J418"/>
      <c r="M418"/>
      <c r="N418"/>
      <c r="O418" s="61"/>
      <c r="P418"/>
    </row>
    <row r="419" spans="2:16" x14ac:dyDescent="0.2">
      <c r="B419"/>
      <c r="C419" s="61"/>
      <c r="D419" s="61"/>
      <c r="G419"/>
      <c r="H419"/>
      <c r="I419"/>
      <c r="J419"/>
      <c r="M419"/>
      <c r="O419" s="61"/>
      <c r="P419"/>
    </row>
    <row r="420" spans="2:16" x14ac:dyDescent="0.2">
      <c r="B420"/>
      <c r="C420" s="61"/>
      <c r="D420" s="61"/>
      <c r="G420"/>
      <c r="H420"/>
      <c r="J420"/>
      <c r="M420"/>
      <c r="N420"/>
      <c r="O420" s="61"/>
      <c r="P420"/>
    </row>
    <row r="421" spans="2:16" x14ac:dyDescent="0.2">
      <c r="B421"/>
      <c r="C421" s="61"/>
      <c r="D421" s="61"/>
      <c r="G421"/>
      <c r="H421"/>
      <c r="J421"/>
      <c r="M421"/>
      <c r="N421"/>
      <c r="O421" s="61"/>
      <c r="P421"/>
    </row>
    <row r="422" spans="2:16" x14ac:dyDescent="0.2">
      <c r="B422"/>
      <c r="C422" s="61"/>
      <c r="D422" s="61"/>
      <c r="G422"/>
      <c r="H422"/>
      <c r="I422"/>
      <c r="J422"/>
      <c r="M422"/>
      <c r="N422"/>
      <c r="O422" s="61"/>
      <c r="P422"/>
    </row>
    <row r="423" spans="2:16" x14ac:dyDescent="0.2">
      <c r="B423"/>
      <c r="C423" s="61"/>
      <c r="D423" s="61"/>
      <c r="G423"/>
      <c r="H423"/>
      <c r="I423"/>
      <c r="J423"/>
      <c r="M423"/>
      <c r="N423"/>
      <c r="O423" s="61"/>
      <c r="P423"/>
    </row>
    <row r="424" spans="2:16" x14ac:dyDescent="0.2">
      <c r="B424"/>
      <c r="C424" s="61"/>
      <c r="D424" s="61"/>
      <c r="G424"/>
      <c r="H424"/>
      <c r="I424"/>
      <c r="J424"/>
      <c r="M424"/>
      <c r="O424" s="61"/>
      <c r="P424"/>
    </row>
    <row r="425" spans="2:16" x14ac:dyDescent="0.2">
      <c r="B425"/>
      <c r="C425" s="61"/>
      <c r="D425" s="61"/>
      <c r="G425"/>
      <c r="H425"/>
      <c r="I425"/>
      <c r="J425"/>
      <c r="M425"/>
      <c r="O425" s="61"/>
      <c r="P425"/>
    </row>
    <row r="426" spans="2:16" x14ac:dyDescent="0.2">
      <c r="B426"/>
      <c r="C426" s="61"/>
      <c r="D426" s="61"/>
      <c r="G426"/>
      <c r="H426"/>
      <c r="I426"/>
      <c r="J426"/>
      <c r="M426"/>
      <c r="N426"/>
      <c r="O426" s="61"/>
      <c r="P426"/>
    </row>
    <row r="427" spans="2:16" x14ac:dyDescent="0.2">
      <c r="B427"/>
      <c r="C427" s="61"/>
      <c r="D427" s="61"/>
      <c r="G427"/>
      <c r="H427"/>
      <c r="I427"/>
      <c r="J427"/>
      <c r="M427"/>
      <c r="N427"/>
      <c r="O427" s="61"/>
      <c r="P427"/>
    </row>
    <row r="428" spans="2:16" x14ac:dyDescent="0.2">
      <c r="B428"/>
      <c r="C428" s="61"/>
      <c r="D428" s="61"/>
      <c r="G428"/>
      <c r="H428"/>
      <c r="I428"/>
      <c r="J428"/>
      <c r="M428"/>
      <c r="N428"/>
      <c r="O428" s="61"/>
      <c r="P428"/>
    </row>
    <row r="429" spans="2:16" x14ac:dyDescent="0.2">
      <c r="B429"/>
      <c r="C429" s="61"/>
      <c r="D429" s="61"/>
      <c r="G429"/>
      <c r="H429"/>
      <c r="I429"/>
      <c r="J429"/>
      <c r="M429"/>
      <c r="N429"/>
      <c r="O429" s="61"/>
      <c r="P429"/>
    </row>
    <row r="430" spans="2:16" x14ac:dyDescent="0.2">
      <c r="B430"/>
      <c r="C430" s="61"/>
      <c r="D430" s="61"/>
      <c r="G430"/>
      <c r="H430"/>
      <c r="I430"/>
      <c r="J430"/>
      <c r="M430"/>
      <c r="N430"/>
      <c r="O430" s="61"/>
      <c r="P430"/>
    </row>
    <row r="431" spans="2:16" x14ac:dyDescent="0.2">
      <c r="B431"/>
      <c r="C431" s="61"/>
      <c r="D431" s="61"/>
      <c r="G431"/>
      <c r="H431"/>
      <c r="I431"/>
      <c r="J431"/>
      <c r="M431"/>
      <c r="N431"/>
      <c r="O431" s="61"/>
      <c r="P431"/>
    </row>
    <row r="432" spans="2:16" x14ac:dyDescent="0.2">
      <c r="B432"/>
      <c r="C432" s="61"/>
      <c r="D432" s="61"/>
      <c r="G432"/>
      <c r="H432"/>
      <c r="I432"/>
      <c r="J432"/>
      <c r="M432"/>
      <c r="O432" s="61"/>
      <c r="P432"/>
    </row>
    <row r="433" spans="2:16" x14ac:dyDescent="0.2">
      <c r="B433"/>
      <c r="C433" s="61"/>
      <c r="D433" s="61"/>
      <c r="G433"/>
      <c r="H433"/>
      <c r="I433"/>
      <c r="J433"/>
      <c r="M433"/>
      <c r="O433" s="61"/>
      <c r="P433"/>
    </row>
    <row r="434" spans="2:16" x14ac:dyDescent="0.2">
      <c r="B434"/>
      <c r="C434" s="61"/>
      <c r="D434" s="61"/>
      <c r="G434"/>
      <c r="H434"/>
      <c r="J434"/>
      <c r="M434"/>
      <c r="N434"/>
      <c r="O434" s="61"/>
      <c r="P434"/>
    </row>
    <row r="435" spans="2:16" x14ac:dyDescent="0.2">
      <c r="B435"/>
      <c r="C435" s="61"/>
      <c r="D435" s="61"/>
      <c r="G435"/>
      <c r="H435"/>
      <c r="M435"/>
      <c r="N435"/>
      <c r="O435" s="61"/>
      <c r="P435"/>
    </row>
    <row r="436" spans="2:16" x14ac:dyDescent="0.2">
      <c r="B436"/>
      <c r="C436" s="61"/>
      <c r="D436" s="61"/>
      <c r="G436"/>
      <c r="H436"/>
      <c r="I436"/>
      <c r="J436"/>
      <c r="M436"/>
      <c r="N436"/>
      <c r="O436" s="61"/>
      <c r="P436"/>
    </row>
    <row r="437" spans="2:16" x14ac:dyDescent="0.2">
      <c r="B437"/>
      <c r="C437" s="61"/>
      <c r="D437" s="61"/>
      <c r="G437"/>
      <c r="H437"/>
      <c r="I437"/>
      <c r="J437"/>
      <c r="M437"/>
      <c r="N437"/>
      <c r="O437" s="61"/>
      <c r="P437"/>
    </row>
    <row r="438" spans="2:16" x14ac:dyDescent="0.2">
      <c r="B438"/>
      <c r="C438" s="61"/>
      <c r="D438" s="61"/>
      <c r="G438"/>
      <c r="H438"/>
      <c r="I438"/>
      <c r="J438"/>
      <c r="M438"/>
      <c r="N438"/>
      <c r="O438" s="61"/>
      <c r="P438"/>
    </row>
    <row r="439" spans="2:16" x14ac:dyDescent="0.2">
      <c r="B439"/>
      <c r="C439" s="61"/>
      <c r="D439" s="61"/>
      <c r="G439"/>
      <c r="H439"/>
      <c r="I439"/>
      <c r="J439"/>
      <c r="M439"/>
      <c r="O439" s="61"/>
      <c r="P439"/>
    </row>
    <row r="440" spans="2:16" x14ac:dyDescent="0.2">
      <c r="B440"/>
      <c r="C440" s="61"/>
      <c r="D440" s="61"/>
      <c r="G440"/>
      <c r="H440"/>
      <c r="I440"/>
      <c r="J440"/>
      <c r="M440"/>
      <c r="N440"/>
      <c r="O440" s="61"/>
      <c r="P440"/>
    </row>
    <row r="441" spans="2:16" x14ac:dyDescent="0.2">
      <c r="B441"/>
      <c r="C441" s="61"/>
      <c r="D441" s="61"/>
      <c r="G441"/>
      <c r="H441"/>
      <c r="I441"/>
      <c r="J441"/>
      <c r="M441"/>
      <c r="N441"/>
      <c r="O441" s="61"/>
      <c r="P441"/>
    </row>
    <row r="442" spans="2:16" x14ac:dyDescent="0.2">
      <c r="B442"/>
      <c r="C442" s="61"/>
      <c r="D442" s="61"/>
      <c r="G442"/>
      <c r="H442"/>
      <c r="I442"/>
      <c r="J442"/>
      <c r="M442"/>
      <c r="O442" s="61"/>
      <c r="P442"/>
    </row>
    <row r="443" spans="2:16" x14ac:dyDescent="0.2">
      <c r="B443"/>
      <c r="C443" s="61"/>
      <c r="D443" s="61"/>
      <c r="G443"/>
      <c r="H443"/>
      <c r="I443"/>
      <c r="J443"/>
      <c r="M443"/>
      <c r="N443"/>
      <c r="O443" s="61"/>
      <c r="P443"/>
    </row>
    <row r="444" spans="2:16" x14ac:dyDescent="0.2">
      <c r="B444"/>
      <c r="C444" s="61"/>
      <c r="D444" s="61"/>
      <c r="G444"/>
      <c r="H444"/>
      <c r="I444"/>
      <c r="J444"/>
      <c r="M444"/>
      <c r="N444"/>
      <c r="O444" s="61"/>
      <c r="P444"/>
    </row>
    <row r="445" spans="2:16" x14ac:dyDescent="0.2">
      <c r="B445"/>
      <c r="C445" s="61"/>
      <c r="D445" s="61"/>
      <c r="G445"/>
      <c r="H445"/>
      <c r="J445"/>
      <c r="M445"/>
      <c r="O445" s="61"/>
      <c r="P445"/>
    </row>
    <row r="446" spans="2:16" x14ac:dyDescent="0.2">
      <c r="B446"/>
      <c r="C446" s="61"/>
      <c r="D446" s="61"/>
      <c r="G446"/>
      <c r="H446"/>
      <c r="I446"/>
      <c r="J446"/>
      <c r="M446"/>
      <c r="N446"/>
      <c r="O446" s="61"/>
      <c r="P446"/>
    </row>
    <row r="447" spans="2:16" x14ac:dyDescent="0.2">
      <c r="B447"/>
      <c r="C447" s="61"/>
      <c r="D447" s="61"/>
      <c r="G447"/>
      <c r="H447"/>
      <c r="I447"/>
      <c r="J447"/>
      <c r="M447"/>
      <c r="N447"/>
      <c r="O447" s="61"/>
      <c r="P447"/>
    </row>
    <row r="448" spans="2:16" x14ac:dyDescent="0.2">
      <c r="B448"/>
      <c r="C448" s="61"/>
      <c r="D448" s="61"/>
      <c r="G448"/>
      <c r="H448"/>
      <c r="M448"/>
      <c r="N448"/>
      <c r="O448" s="61"/>
      <c r="P448"/>
    </row>
    <row r="449" spans="2:16" x14ac:dyDescent="0.2">
      <c r="B449"/>
      <c r="C449" s="61"/>
      <c r="D449" s="61"/>
      <c r="G449"/>
      <c r="H449"/>
      <c r="I449"/>
      <c r="J449"/>
      <c r="M449"/>
      <c r="N449"/>
      <c r="O449" s="61"/>
      <c r="P449"/>
    </row>
    <row r="450" spans="2:16" x14ac:dyDescent="0.2">
      <c r="B450"/>
      <c r="C450" s="61"/>
      <c r="D450" s="61"/>
      <c r="G450"/>
      <c r="H450"/>
      <c r="I450"/>
      <c r="J450"/>
      <c r="M450"/>
      <c r="N450"/>
      <c r="O450" s="61"/>
      <c r="P450"/>
    </row>
    <row r="451" spans="2:16" x14ac:dyDescent="0.2">
      <c r="B451"/>
      <c r="C451" s="61"/>
      <c r="D451" s="61"/>
      <c r="G451"/>
      <c r="H451"/>
      <c r="I451"/>
      <c r="J451"/>
      <c r="M451"/>
      <c r="N451"/>
      <c r="O451" s="61"/>
      <c r="P451"/>
    </row>
    <row r="452" spans="2:16" x14ac:dyDescent="0.2">
      <c r="B452"/>
      <c r="C452" s="61"/>
      <c r="D452" s="61"/>
      <c r="G452"/>
      <c r="H452"/>
      <c r="I452"/>
      <c r="J452"/>
      <c r="M452"/>
      <c r="N452"/>
      <c r="O452" s="61"/>
      <c r="P452"/>
    </row>
    <row r="453" spans="2:16" x14ac:dyDescent="0.2">
      <c r="B453"/>
      <c r="C453" s="61"/>
      <c r="D453" s="61"/>
      <c r="G453"/>
      <c r="H453"/>
      <c r="J453"/>
      <c r="M453"/>
      <c r="N453"/>
      <c r="O453" s="61"/>
      <c r="P453"/>
    </row>
    <row r="454" spans="2:16" x14ac:dyDescent="0.2">
      <c r="B454"/>
      <c r="C454" s="61"/>
      <c r="D454" s="61"/>
      <c r="G454"/>
      <c r="H454"/>
      <c r="J454"/>
      <c r="M454"/>
      <c r="N454"/>
      <c r="O454" s="61"/>
      <c r="P454"/>
    </row>
    <row r="455" spans="2:16" x14ac:dyDescent="0.2">
      <c r="B455"/>
      <c r="C455" s="61"/>
      <c r="D455" s="61"/>
      <c r="G455"/>
      <c r="H455"/>
      <c r="N455"/>
      <c r="O455" s="61"/>
      <c r="P455"/>
    </row>
    <row r="456" spans="2:16" x14ac:dyDescent="0.2">
      <c r="B456"/>
      <c r="C456" s="61"/>
      <c r="D456" s="61"/>
      <c r="G456"/>
      <c r="H456"/>
      <c r="I456"/>
      <c r="J456"/>
      <c r="M456"/>
      <c r="N456"/>
      <c r="O456" s="61"/>
      <c r="P456"/>
    </row>
    <row r="457" spans="2:16" x14ac:dyDescent="0.2">
      <c r="B457"/>
      <c r="C457" s="61"/>
      <c r="D457" s="61"/>
      <c r="G457"/>
      <c r="H457"/>
      <c r="N457"/>
      <c r="O457" s="61"/>
      <c r="P457"/>
    </row>
    <row r="458" spans="2:16" x14ac:dyDescent="0.2">
      <c r="B458"/>
      <c r="C458" s="61"/>
      <c r="D458" s="61"/>
      <c r="G458"/>
      <c r="H458"/>
      <c r="J458"/>
      <c r="M458"/>
      <c r="N458"/>
      <c r="O458" s="61"/>
      <c r="P458"/>
    </row>
    <row r="459" spans="2:16" x14ac:dyDescent="0.2">
      <c r="B459"/>
      <c r="C459" s="61"/>
      <c r="D459" s="61"/>
      <c r="G459"/>
      <c r="H459"/>
      <c r="I459"/>
      <c r="J459"/>
      <c r="K459"/>
      <c r="L459"/>
      <c r="M459"/>
      <c r="N459"/>
      <c r="O459" s="61"/>
      <c r="P459"/>
    </row>
    <row r="460" spans="2:16" x14ac:dyDescent="0.2">
      <c r="B460"/>
      <c r="C460" s="61"/>
      <c r="D460" s="61"/>
      <c r="G460"/>
      <c r="H460"/>
      <c r="J460"/>
      <c r="M460"/>
      <c r="N460"/>
      <c r="O460" s="61"/>
      <c r="P460"/>
    </row>
    <row r="461" spans="2:16" x14ac:dyDescent="0.2">
      <c r="B461"/>
      <c r="C461" s="61"/>
      <c r="D461" s="61"/>
      <c r="G461"/>
      <c r="H461"/>
      <c r="M461"/>
      <c r="N461"/>
      <c r="O461" s="61"/>
      <c r="P461"/>
    </row>
    <row r="462" spans="2:16" x14ac:dyDescent="0.2">
      <c r="B462"/>
      <c r="C462" s="61"/>
      <c r="D462" s="61"/>
      <c r="G462"/>
      <c r="H462"/>
      <c r="I462"/>
      <c r="J462"/>
      <c r="M462"/>
      <c r="N462"/>
      <c r="O462" s="61"/>
      <c r="P462"/>
    </row>
    <row r="463" spans="2:16" x14ac:dyDescent="0.2">
      <c r="B463"/>
      <c r="C463" s="61"/>
      <c r="D463" s="61"/>
      <c r="G463"/>
      <c r="H463"/>
      <c r="J463"/>
      <c r="M463"/>
      <c r="N463"/>
      <c r="O463" s="61"/>
      <c r="P463"/>
    </row>
    <row r="464" spans="2:16" x14ac:dyDescent="0.2">
      <c r="B464"/>
      <c r="C464" s="61"/>
      <c r="D464" s="61"/>
      <c r="G464"/>
      <c r="H464"/>
      <c r="I464"/>
      <c r="J464"/>
      <c r="M464"/>
      <c r="N464"/>
      <c r="O464" s="61"/>
      <c r="P464"/>
    </row>
    <row r="465" spans="2:16" x14ac:dyDescent="0.2">
      <c r="B465"/>
      <c r="C465" s="61"/>
      <c r="D465" s="61"/>
      <c r="G465"/>
      <c r="H465"/>
      <c r="I465"/>
      <c r="J465"/>
      <c r="M465"/>
      <c r="N465"/>
      <c r="O465" s="61"/>
      <c r="P465"/>
    </row>
    <row r="466" spans="2:16" x14ac:dyDescent="0.2">
      <c r="B466"/>
      <c r="C466" s="61"/>
      <c r="D466" s="61"/>
      <c r="G466"/>
      <c r="H466"/>
      <c r="I466"/>
      <c r="J466"/>
      <c r="M466"/>
      <c r="N466"/>
      <c r="O466" s="61"/>
      <c r="P466"/>
    </row>
    <row r="467" spans="2:16" x14ac:dyDescent="0.2">
      <c r="B467"/>
      <c r="C467" s="61"/>
      <c r="D467" s="61"/>
      <c r="G467"/>
      <c r="H467"/>
      <c r="I467"/>
      <c r="K467"/>
      <c r="L467"/>
      <c r="M467"/>
      <c r="N467"/>
      <c r="O467" s="61"/>
      <c r="P467"/>
    </row>
    <row r="468" spans="2:16" x14ac:dyDescent="0.2">
      <c r="B468"/>
      <c r="C468" s="61"/>
      <c r="D468" s="61"/>
      <c r="G468"/>
      <c r="H468"/>
      <c r="K468"/>
      <c r="L468"/>
      <c r="M468"/>
      <c r="N468"/>
      <c r="O468" s="61"/>
      <c r="P468"/>
    </row>
    <row r="469" spans="2:16" x14ac:dyDescent="0.2">
      <c r="B469"/>
      <c r="C469" s="61"/>
      <c r="D469" s="61"/>
      <c r="G469"/>
      <c r="H469"/>
      <c r="K469"/>
      <c r="L469"/>
      <c r="M469"/>
      <c r="N469"/>
      <c r="O469" s="61"/>
      <c r="P469"/>
    </row>
    <row r="470" spans="2:16" x14ac:dyDescent="0.2">
      <c r="B470"/>
      <c r="C470" s="61"/>
      <c r="D470" s="61"/>
      <c r="G470"/>
      <c r="H470"/>
      <c r="I470"/>
      <c r="J470"/>
      <c r="M470"/>
      <c r="O470" s="61"/>
      <c r="P470"/>
    </row>
    <row r="471" spans="2:16" x14ac:dyDescent="0.2">
      <c r="B471"/>
      <c r="C471" s="61"/>
      <c r="D471" s="61"/>
      <c r="G471"/>
      <c r="H471"/>
      <c r="K471"/>
      <c r="L471"/>
      <c r="M471"/>
      <c r="N471"/>
      <c r="O471" s="61"/>
      <c r="P471"/>
    </row>
    <row r="472" spans="2:16" x14ac:dyDescent="0.2">
      <c r="B472"/>
      <c r="C472" s="61"/>
      <c r="D472" s="61"/>
      <c r="G472"/>
      <c r="H472"/>
      <c r="J472"/>
      <c r="M472"/>
      <c r="N472"/>
      <c r="O472" s="61"/>
      <c r="P472"/>
    </row>
    <row r="473" spans="2:16" x14ac:dyDescent="0.2">
      <c r="B473"/>
      <c r="C473" s="61"/>
      <c r="D473" s="61"/>
      <c r="G473"/>
      <c r="H473"/>
      <c r="I473"/>
      <c r="J473"/>
      <c r="M473"/>
      <c r="N473"/>
      <c r="O473" s="61"/>
      <c r="P473"/>
    </row>
    <row r="474" spans="2:16" x14ac:dyDescent="0.2">
      <c r="B474"/>
      <c r="C474" s="61"/>
      <c r="D474" s="61"/>
      <c r="G474"/>
      <c r="H474"/>
      <c r="M474"/>
      <c r="N474"/>
      <c r="O474" s="61"/>
      <c r="P474"/>
    </row>
    <row r="475" spans="2:16" x14ac:dyDescent="0.2">
      <c r="B475"/>
      <c r="C475" s="61"/>
      <c r="D475" s="61"/>
      <c r="G475"/>
      <c r="H475"/>
      <c r="M475"/>
      <c r="N475"/>
      <c r="O475" s="61"/>
      <c r="P475"/>
    </row>
    <row r="476" spans="2:16" x14ac:dyDescent="0.2">
      <c r="B476"/>
      <c r="C476" s="61"/>
      <c r="D476" s="61"/>
      <c r="G476"/>
      <c r="H476"/>
      <c r="M476"/>
      <c r="N476"/>
      <c r="O476" s="61"/>
      <c r="P476"/>
    </row>
    <row r="477" spans="2:16" x14ac:dyDescent="0.2">
      <c r="B477"/>
      <c r="C477" s="61"/>
      <c r="D477" s="61"/>
      <c r="G477"/>
      <c r="H477"/>
      <c r="M477"/>
      <c r="N477"/>
      <c r="O477" s="61"/>
      <c r="P477"/>
    </row>
    <row r="478" spans="2:16" x14ac:dyDescent="0.2">
      <c r="B478"/>
      <c r="C478" s="61"/>
      <c r="D478" s="61"/>
      <c r="G478"/>
      <c r="H478"/>
      <c r="I478"/>
      <c r="J478"/>
      <c r="M478"/>
      <c r="N478"/>
      <c r="O478" s="61"/>
      <c r="P478"/>
    </row>
    <row r="479" spans="2:16" x14ac:dyDescent="0.2">
      <c r="B479"/>
      <c r="C479" s="61"/>
      <c r="D479" s="61"/>
      <c r="G479"/>
      <c r="H479"/>
      <c r="I479"/>
      <c r="J479"/>
      <c r="M479"/>
      <c r="N479"/>
      <c r="O479" s="61"/>
      <c r="P479"/>
    </row>
    <row r="480" spans="2:16" x14ac:dyDescent="0.2">
      <c r="B480"/>
      <c r="C480" s="61"/>
      <c r="D480" s="61"/>
      <c r="G480"/>
      <c r="H480"/>
      <c r="I480"/>
      <c r="J480"/>
      <c r="M480"/>
      <c r="N480"/>
      <c r="O480" s="61"/>
      <c r="P480"/>
    </row>
    <row r="481" spans="2:16" x14ac:dyDescent="0.2">
      <c r="B481"/>
      <c r="C481" s="61"/>
      <c r="D481" s="61"/>
      <c r="G481"/>
      <c r="H481"/>
      <c r="J481"/>
      <c r="M481"/>
      <c r="N481"/>
      <c r="O481" s="61"/>
      <c r="P481"/>
    </row>
    <row r="482" spans="2:16" x14ac:dyDescent="0.2">
      <c r="B482"/>
      <c r="C482" s="61"/>
      <c r="D482" s="61"/>
      <c r="G482"/>
      <c r="H482"/>
      <c r="J482"/>
      <c r="M482"/>
      <c r="N482"/>
      <c r="O482" s="61"/>
      <c r="P482"/>
    </row>
    <row r="483" spans="2:16" x14ac:dyDescent="0.2">
      <c r="B483"/>
      <c r="C483" s="61"/>
      <c r="D483" s="61"/>
      <c r="G483"/>
      <c r="H483"/>
      <c r="I483"/>
      <c r="J483"/>
      <c r="M483"/>
      <c r="N483"/>
      <c r="O483" s="61"/>
      <c r="P483"/>
    </row>
    <row r="484" spans="2:16" x14ac:dyDescent="0.2">
      <c r="B484"/>
      <c r="C484" s="61"/>
      <c r="D484" s="61"/>
      <c r="G484"/>
      <c r="H484"/>
      <c r="I484"/>
      <c r="J484"/>
      <c r="M484"/>
      <c r="N484"/>
      <c r="O484" s="61"/>
      <c r="P484"/>
    </row>
    <row r="485" spans="2:16" x14ac:dyDescent="0.2">
      <c r="B485"/>
      <c r="C485" s="61"/>
      <c r="D485" s="61"/>
      <c r="G485"/>
      <c r="H485"/>
      <c r="I485"/>
      <c r="J485"/>
      <c r="M485"/>
      <c r="N485"/>
      <c r="O485" s="61"/>
      <c r="P485"/>
    </row>
    <row r="486" spans="2:16" x14ac:dyDescent="0.2">
      <c r="B486"/>
      <c r="C486" s="61"/>
      <c r="D486" s="61"/>
      <c r="G486"/>
      <c r="H486"/>
      <c r="K486"/>
      <c r="M486"/>
      <c r="N486"/>
      <c r="O486" s="61"/>
      <c r="P486"/>
    </row>
    <row r="487" spans="2:16" x14ac:dyDescent="0.2">
      <c r="B487"/>
      <c r="C487" s="61"/>
      <c r="D487" s="61"/>
      <c r="G487"/>
      <c r="H487"/>
      <c r="I487"/>
      <c r="J487"/>
      <c r="M487"/>
      <c r="N487"/>
      <c r="O487" s="61"/>
      <c r="P487"/>
    </row>
    <row r="488" spans="2:16" x14ac:dyDescent="0.2">
      <c r="B488"/>
      <c r="C488" s="61"/>
      <c r="D488" s="61"/>
      <c r="G488"/>
      <c r="H488"/>
      <c r="J488"/>
      <c r="M488"/>
      <c r="N488"/>
      <c r="O488" s="61"/>
      <c r="P488"/>
    </row>
    <row r="489" spans="2:16" x14ac:dyDescent="0.2">
      <c r="B489"/>
      <c r="C489" s="61"/>
      <c r="D489" s="61"/>
      <c r="G489"/>
      <c r="H489"/>
      <c r="J489"/>
      <c r="M489"/>
      <c r="N489"/>
      <c r="O489" s="61"/>
      <c r="P489"/>
    </row>
    <row r="490" spans="2:16" x14ac:dyDescent="0.2">
      <c r="B490"/>
      <c r="C490" s="61"/>
      <c r="D490" s="61"/>
      <c r="G490"/>
      <c r="H490"/>
      <c r="J490"/>
      <c r="M490"/>
      <c r="N490"/>
      <c r="O490" s="61"/>
      <c r="P490"/>
    </row>
    <row r="491" spans="2:16" x14ac:dyDescent="0.2">
      <c r="B491"/>
      <c r="C491" s="61"/>
      <c r="D491" s="61"/>
      <c r="G491"/>
      <c r="H491"/>
      <c r="I491"/>
      <c r="J491"/>
      <c r="M491"/>
      <c r="N491"/>
      <c r="O491" s="61"/>
      <c r="P491"/>
    </row>
    <row r="492" spans="2:16" x14ac:dyDescent="0.2">
      <c r="B492"/>
      <c r="C492" s="61"/>
      <c r="D492" s="61"/>
      <c r="G492"/>
      <c r="H492"/>
      <c r="J492"/>
      <c r="M492"/>
      <c r="N492"/>
      <c r="O492" s="61"/>
      <c r="P492"/>
    </row>
    <row r="493" spans="2:16" x14ac:dyDescent="0.2">
      <c r="B493"/>
      <c r="C493" s="61"/>
      <c r="D493" s="61"/>
      <c r="G493"/>
      <c r="H493"/>
      <c r="M493"/>
      <c r="N493"/>
      <c r="O493" s="61"/>
      <c r="P493"/>
    </row>
    <row r="494" spans="2:16" x14ac:dyDescent="0.2">
      <c r="B494"/>
      <c r="C494" s="61"/>
      <c r="D494" s="61"/>
      <c r="G494"/>
      <c r="H494"/>
      <c r="J494"/>
      <c r="M494"/>
      <c r="N494"/>
      <c r="O494" s="61"/>
      <c r="P494"/>
    </row>
    <row r="495" spans="2:16" x14ac:dyDescent="0.2">
      <c r="B495"/>
      <c r="C495" s="61"/>
      <c r="D495" s="61"/>
      <c r="G495"/>
      <c r="H495"/>
      <c r="I495"/>
      <c r="J495"/>
      <c r="M495"/>
      <c r="N495"/>
      <c r="O495" s="61"/>
      <c r="P495"/>
    </row>
    <row r="496" spans="2:16" x14ac:dyDescent="0.2">
      <c r="B496"/>
      <c r="C496" s="61"/>
      <c r="D496" s="61"/>
      <c r="G496"/>
      <c r="H496"/>
      <c r="J496"/>
      <c r="M496"/>
      <c r="N496"/>
      <c r="O496" s="61"/>
      <c r="P496"/>
    </row>
    <row r="497" spans="2:16" x14ac:dyDescent="0.2">
      <c r="B497"/>
      <c r="C497" s="61"/>
      <c r="D497" s="61"/>
      <c r="G497"/>
      <c r="H497"/>
      <c r="I497"/>
      <c r="K497"/>
      <c r="L497"/>
      <c r="M497"/>
      <c r="N497"/>
      <c r="O497" s="61"/>
      <c r="P497"/>
    </row>
    <row r="498" spans="2:16" x14ac:dyDescent="0.2">
      <c r="B498"/>
      <c r="C498" s="61"/>
      <c r="D498" s="61"/>
      <c r="G498"/>
      <c r="H498"/>
      <c r="I498"/>
      <c r="J498"/>
      <c r="M498"/>
      <c r="N498"/>
      <c r="O498" s="61"/>
      <c r="P498"/>
    </row>
    <row r="499" spans="2:16" x14ac:dyDescent="0.2">
      <c r="B499"/>
      <c r="C499" s="61"/>
      <c r="D499" s="61"/>
      <c r="G499"/>
      <c r="H499"/>
      <c r="J499"/>
      <c r="M499"/>
      <c r="N499"/>
      <c r="O499" s="61"/>
      <c r="P499"/>
    </row>
    <row r="500" spans="2:16" x14ac:dyDescent="0.2">
      <c r="B500"/>
      <c r="C500" s="61"/>
      <c r="D500" s="61"/>
      <c r="G500"/>
      <c r="H500"/>
      <c r="I500"/>
      <c r="J500"/>
      <c r="M500"/>
      <c r="N500"/>
      <c r="O500" s="61"/>
      <c r="P500"/>
    </row>
    <row r="501" spans="2:16" x14ac:dyDescent="0.2">
      <c r="B501"/>
      <c r="C501" s="61"/>
      <c r="D501" s="61"/>
      <c r="G501"/>
      <c r="H501"/>
      <c r="I501"/>
      <c r="J501"/>
      <c r="M501"/>
      <c r="N501"/>
      <c r="O501" s="61"/>
      <c r="P501"/>
    </row>
    <row r="502" spans="2:16" x14ac:dyDescent="0.2">
      <c r="B502"/>
      <c r="C502" s="61"/>
      <c r="D502" s="61"/>
      <c r="G502"/>
      <c r="H502"/>
      <c r="I502"/>
      <c r="J502"/>
      <c r="M502"/>
      <c r="N502"/>
      <c r="O502" s="61"/>
      <c r="P502"/>
    </row>
    <row r="503" spans="2:16" x14ac:dyDescent="0.2">
      <c r="B503"/>
      <c r="C503" s="61"/>
      <c r="D503" s="61"/>
      <c r="G503"/>
      <c r="H503"/>
      <c r="I503"/>
      <c r="K503"/>
      <c r="L503"/>
      <c r="M503"/>
      <c r="N503"/>
      <c r="O503" s="61"/>
      <c r="P503"/>
    </row>
    <row r="504" spans="2:16" x14ac:dyDescent="0.2">
      <c r="B504"/>
      <c r="C504" s="61"/>
      <c r="D504" s="61"/>
      <c r="G504"/>
      <c r="H504"/>
      <c r="N504"/>
      <c r="O504" s="61"/>
      <c r="P504"/>
    </row>
    <row r="505" spans="2:16" x14ac:dyDescent="0.2">
      <c r="B505"/>
      <c r="C505" s="61"/>
      <c r="D505" s="61"/>
      <c r="G505"/>
      <c r="H505"/>
      <c r="I505"/>
      <c r="J505"/>
      <c r="M505"/>
      <c r="N505"/>
      <c r="O505" s="61"/>
      <c r="P505"/>
    </row>
    <row r="506" spans="2:16" x14ac:dyDescent="0.2">
      <c r="B506"/>
      <c r="C506" s="61"/>
      <c r="D506" s="61"/>
      <c r="G506"/>
      <c r="H506"/>
      <c r="J506"/>
      <c r="M506"/>
      <c r="N506"/>
      <c r="O506" s="61"/>
      <c r="P506"/>
    </row>
    <row r="507" spans="2:16" x14ac:dyDescent="0.2">
      <c r="B507"/>
      <c r="C507" s="61"/>
      <c r="D507" s="61"/>
      <c r="G507"/>
      <c r="H507"/>
      <c r="I507"/>
      <c r="J507"/>
      <c r="M507"/>
      <c r="N507"/>
      <c r="O507" s="61"/>
      <c r="P507"/>
    </row>
    <row r="508" spans="2:16" x14ac:dyDescent="0.2">
      <c r="B508"/>
      <c r="C508" s="61"/>
      <c r="D508" s="61"/>
      <c r="G508"/>
      <c r="H508"/>
      <c r="I508"/>
      <c r="J508"/>
      <c r="M508"/>
      <c r="N508"/>
      <c r="O508" s="61"/>
      <c r="P508"/>
    </row>
    <row r="509" spans="2:16" x14ac:dyDescent="0.2">
      <c r="B509"/>
      <c r="C509" s="61"/>
      <c r="D509" s="61"/>
      <c r="G509"/>
      <c r="H509"/>
      <c r="J509"/>
      <c r="M509"/>
      <c r="N509"/>
      <c r="O509" s="61"/>
      <c r="P509"/>
    </row>
    <row r="510" spans="2:16" x14ac:dyDescent="0.2">
      <c r="B510"/>
      <c r="C510" s="61"/>
      <c r="D510" s="61"/>
      <c r="G510"/>
      <c r="H510"/>
      <c r="I510"/>
      <c r="K510"/>
      <c r="L510"/>
      <c r="M510"/>
      <c r="N510"/>
      <c r="O510" s="61"/>
      <c r="P510"/>
    </row>
    <row r="511" spans="2:16" x14ac:dyDescent="0.2">
      <c r="B511"/>
      <c r="C511" s="61"/>
      <c r="D511" s="61"/>
      <c r="G511"/>
      <c r="H511"/>
      <c r="I511"/>
      <c r="J511"/>
      <c r="M511"/>
      <c r="N511"/>
      <c r="O511" s="61"/>
      <c r="P511"/>
    </row>
    <row r="512" spans="2:16" x14ac:dyDescent="0.2">
      <c r="B512"/>
      <c r="C512" s="61"/>
      <c r="D512" s="61"/>
      <c r="G512"/>
      <c r="H512"/>
      <c r="I512"/>
      <c r="K512"/>
      <c r="L512"/>
      <c r="M512"/>
      <c r="N512"/>
      <c r="O512" s="61"/>
      <c r="P512"/>
    </row>
    <row r="513" spans="2:16" x14ac:dyDescent="0.2">
      <c r="B513"/>
      <c r="C513" s="61"/>
      <c r="D513" s="61"/>
      <c r="G513"/>
      <c r="H513"/>
      <c r="I513"/>
      <c r="J513"/>
      <c r="M513"/>
      <c r="N513"/>
      <c r="O513" s="61"/>
      <c r="P513"/>
    </row>
    <row r="514" spans="2:16" x14ac:dyDescent="0.2">
      <c r="B514"/>
      <c r="C514" s="61"/>
      <c r="D514" s="61"/>
      <c r="G514"/>
      <c r="H514"/>
      <c r="J514"/>
      <c r="M514"/>
      <c r="N514"/>
      <c r="O514" s="61"/>
      <c r="P514"/>
    </row>
    <row r="515" spans="2:16" x14ac:dyDescent="0.2">
      <c r="B515"/>
      <c r="C515" s="61"/>
      <c r="D515" s="61"/>
      <c r="G515"/>
      <c r="H515"/>
      <c r="J515"/>
      <c r="M515"/>
      <c r="N515"/>
      <c r="O515" s="61"/>
      <c r="P515"/>
    </row>
    <row r="516" spans="2:16" x14ac:dyDescent="0.2">
      <c r="B516"/>
      <c r="C516" s="61"/>
      <c r="D516" s="61"/>
      <c r="G516"/>
      <c r="H516"/>
      <c r="J516"/>
      <c r="M516"/>
      <c r="N516"/>
      <c r="O516" s="61"/>
      <c r="P516"/>
    </row>
    <row r="517" spans="2:16" x14ac:dyDescent="0.2">
      <c r="B517"/>
      <c r="C517" s="61"/>
      <c r="D517" s="61"/>
      <c r="G517"/>
      <c r="H517"/>
      <c r="J517"/>
      <c r="M517"/>
      <c r="N517"/>
      <c r="O517" s="61"/>
      <c r="P517"/>
    </row>
    <row r="518" spans="2:16" x14ac:dyDescent="0.2">
      <c r="B518"/>
      <c r="C518" s="61"/>
      <c r="D518" s="61"/>
      <c r="G518"/>
      <c r="H518"/>
      <c r="I518"/>
      <c r="J518"/>
      <c r="M518"/>
      <c r="N518"/>
      <c r="O518" s="61"/>
      <c r="P518"/>
    </row>
    <row r="519" spans="2:16" x14ac:dyDescent="0.2">
      <c r="B519"/>
      <c r="C519" s="61"/>
      <c r="D519" s="61"/>
      <c r="G519"/>
      <c r="H519"/>
      <c r="I519"/>
      <c r="J519"/>
      <c r="M519"/>
      <c r="N519"/>
      <c r="O519" s="61"/>
      <c r="P519"/>
    </row>
    <row r="520" spans="2:16" x14ac:dyDescent="0.2">
      <c r="B520"/>
      <c r="C520" s="61"/>
      <c r="D520" s="61"/>
      <c r="G520"/>
      <c r="H520"/>
      <c r="I520"/>
      <c r="J520"/>
      <c r="M520"/>
      <c r="N520"/>
      <c r="O520" s="61"/>
      <c r="P520"/>
    </row>
    <row r="521" spans="2:16" x14ac:dyDescent="0.2">
      <c r="B521"/>
      <c r="C521" s="61"/>
      <c r="D521" s="61"/>
      <c r="G521"/>
      <c r="H521"/>
      <c r="I521"/>
      <c r="J521"/>
      <c r="M521"/>
      <c r="N521"/>
      <c r="O521" s="61"/>
      <c r="P521"/>
    </row>
    <row r="522" spans="2:16" x14ac:dyDescent="0.2">
      <c r="B522"/>
      <c r="C522" s="61"/>
      <c r="D522" s="61"/>
      <c r="G522"/>
      <c r="H522"/>
      <c r="I522"/>
      <c r="J522"/>
      <c r="M522"/>
      <c r="N522"/>
      <c r="O522" s="61"/>
      <c r="P522"/>
    </row>
    <row r="523" spans="2:16" x14ac:dyDescent="0.2">
      <c r="B523"/>
      <c r="C523" s="61"/>
      <c r="D523" s="61"/>
      <c r="G523"/>
      <c r="H523"/>
      <c r="K523"/>
      <c r="M523"/>
      <c r="N523"/>
      <c r="O523" s="61"/>
      <c r="P523"/>
    </row>
    <row r="524" spans="2:16" x14ac:dyDescent="0.2">
      <c r="B524"/>
      <c r="C524" s="61"/>
      <c r="D524" s="61"/>
      <c r="G524"/>
      <c r="H524"/>
      <c r="I524"/>
      <c r="M524"/>
      <c r="N524"/>
      <c r="O524" s="61"/>
      <c r="P524"/>
    </row>
    <row r="525" spans="2:16" x14ac:dyDescent="0.2">
      <c r="B525"/>
      <c r="C525" s="61"/>
      <c r="D525" s="61"/>
      <c r="G525"/>
      <c r="H525"/>
      <c r="K525"/>
      <c r="L525"/>
      <c r="M525"/>
      <c r="N525"/>
      <c r="O525" s="61"/>
      <c r="P525"/>
    </row>
    <row r="526" spans="2:16" x14ac:dyDescent="0.2">
      <c r="B526"/>
      <c r="C526" s="61"/>
      <c r="D526" s="61"/>
      <c r="G526"/>
      <c r="H526"/>
      <c r="I526"/>
      <c r="K526"/>
      <c r="L526"/>
      <c r="M526"/>
      <c r="N526"/>
      <c r="O526" s="61"/>
      <c r="P526"/>
    </row>
    <row r="527" spans="2:16" x14ac:dyDescent="0.2">
      <c r="B527"/>
      <c r="C527" s="61"/>
      <c r="D527" s="61"/>
      <c r="G527"/>
      <c r="H527"/>
      <c r="M527"/>
      <c r="N527"/>
      <c r="O527" s="61"/>
      <c r="P527"/>
    </row>
    <row r="528" spans="2:16" x14ac:dyDescent="0.2">
      <c r="B528"/>
      <c r="C528" s="61"/>
      <c r="D528" s="61"/>
      <c r="G528"/>
      <c r="H528"/>
      <c r="M528"/>
      <c r="N528"/>
      <c r="O528" s="61"/>
      <c r="P528"/>
    </row>
    <row r="529" spans="2:16" x14ac:dyDescent="0.2">
      <c r="B529"/>
      <c r="C529" s="61"/>
      <c r="D529" s="61"/>
      <c r="G529"/>
      <c r="H529"/>
      <c r="M529"/>
      <c r="N529"/>
      <c r="O529" s="61"/>
      <c r="P529"/>
    </row>
    <row r="530" spans="2:16" x14ac:dyDescent="0.2">
      <c r="B530"/>
      <c r="C530" s="61"/>
      <c r="D530" s="61"/>
      <c r="G530"/>
      <c r="H530"/>
      <c r="M530"/>
      <c r="N530"/>
      <c r="O530" s="61"/>
      <c r="P530"/>
    </row>
    <row r="531" spans="2:16" x14ac:dyDescent="0.2">
      <c r="B531"/>
      <c r="C531" s="61"/>
      <c r="D531" s="61"/>
      <c r="G531"/>
      <c r="H531"/>
      <c r="M531"/>
      <c r="N531"/>
      <c r="O531" s="61"/>
      <c r="P531"/>
    </row>
    <row r="532" spans="2:16" x14ac:dyDescent="0.2">
      <c r="B532"/>
      <c r="C532" s="61"/>
      <c r="D532" s="61"/>
      <c r="G532"/>
      <c r="H532"/>
      <c r="M532"/>
      <c r="N532"/>
      <c r="O532" s="61"/>
      <c r="P532"/>
    </row>
    <row r="533" spans="2:16" x14ac:dyDescent="0.2">
      <c r="B533"/>
      <c r="C533" s="61"/>
      <c r="D533" s="61"/>
      <c r="G533"/>
      <c r="H533"/>
      <c r="J533"/>
      <c r="M533"/>
      <c r="N533"/>
      <c r="O533" s="61"/>
      <c r="P533"/>
    </row>
    <row r="534" spans="2:16" x14ac:dyDescent="0.2">
      <c r="B534"/>
      <c r="C534" s="61"/>
      <c r="D534" s="61"/>
      <c r="G534"/>
      <c r="H534"/>
      <c r="J534"/>
      <c r="M534"/>
      <c r="N534"/>
      <c r="O534" s="61"/>
      <c r="P534"/>
    </row>
    <row r="535" spans="2:16" x14ac:dyDescent="0.2">
      <c r="B535"/>
      <c r="C535" s="61"/>
      <c r="D535" s="61"/>
      <c r="G535"/>
      <c r="H535"/>
      <c r="J535"/>
      <c r="M535"/>
      <c r="N535"/>
      <c r="O535" s="61"/>
      <c r="P535"/>
    </row>
    <row r="536" spans="2:16" x14ac:dyDescent="0.2">
      <c r="B536"/>
      <c r="C536" s="61"/>
      <c r="D536" s="61"/>
      <c r="G536"/>
      <c r="H536"/>
      <c r="I536"/>
      <c r="J536"/>
      <c r="M536"/>
      <c r="N536"/>
      <c r="O536" s="61"/>
      <c r="P536"/>
    </row>
    <row r="537" spans="2:16" x14ac:dyDescent="0.2">
      <c r="B537"/>
      <c r="C537" s="61"/>
      <c r="D537" s="61"/>
      <c r="G537"/>
      <c r="H537"/>
      <c r="M537"/>
      <c r="N537"/>
      <c r="O537" s="61"/>
      <c r="P537"/>
    </row>
    <row r="538" spans="2:16" x14ac:dyDescent="0.2">
      <c r="B538"/>
      <c r="C538" s="61"/>
      <c r="D538" s="61"/>
      <c r="G538"/>
      <c r="H538"/>
      <c r="M538"/>
      <c r="N538"/>
      <c r="O538" s="61"/>
      <c r="P538"/>
    </row>
    <row r="539" spans="2:16" x14ac:dyDescent="0.2">
      <c r="B539"/>
      <c r="C539" s="61"/>
      <c r="D539" s="61"/>
      <c r="G539"/>
      <c r="H539"/>
      <c r="I539"/>
      <c r="J539"/>
      <c r="M539"/>
      <c r="N539"/>
      <c r="O539" s="61"/>
      <c r="P539"/>
    </row>
    <row r="540" spans="2:16" x14ac:dyDescent="0.2">
      <c r="B540"/>
      <c r="C540" s="61"/>
      <c r="D540" s="61"/>
      <c r="G540"/>
      <c r="H540"/>
      <c r="J540"/>
      <c r="M540"/>
      <c r="N540"/>
      <c r="O540" s="61"/>
      <c r="P540"/>
    </row>
    <row r="541" spans="2:16" x14ac:dyDescent="0.2">
      <c r="B541"/>
      <c r="C541" s="61"/>
      <c r="D541" s="61"/>
      <c r="G541"/>
      <c r="H541"/>
      <c r="I541"/>
      <c r="J541"/>
      <c r="M541"/>
      <c r="N541"/>
      <c r="O541" s="61"/>
      <c r="P541"/>
    </row>
    <row r="542" spans="2:16" x14ac:dyDescent="0.2">
      <c r="B542"/>
      <c r="C542" s="61"/>
      <c r="D542" s="61"/>
      <c r="G542"/>
      <c r="H542"/>
      <c r="I542"/>
      <c r="J542"/>
      <c r="M542"/>
      <c r="N542"/>
      <c r="O542" s="61"/>
      <c r="P542"/>
    </row>
    <row r="543" spans="2:16" x14ac:dyDescent="0.2">
      <c r="B543"/>
      <c r="C543" s="61"/>
      <c r="D543" s="61"/>
      <c r="G543"/>
      <c r="H543"/>
      <c r="N543"/>
      <c r="O543" s="61"/>
      <c r="P543"/>
    </row>
    <row r="544" spans="2:16" x14ac:dyDescent="0.2">
      <c r="B544"/>
      <c r="C544" s="61"/>
      <c r="D544" s="61"/>
      <c r="G544"/>
      <c r="H544"/>
      <c r="I544"/>
      <c r="J544"/>
      <c r="M544"/>
      <c r="N544"/>
      <c r="O544" s="61"/>
      <c r="P544"/>
    </row>
    <row r="545" spans="2:16" x14ac:dyDescent="0.2">
      <c r="B545"/>
      <c r="C545" s="61"/>
      <c r="D545" s="61"/>
      <c r="G545"/>
      <c r="H545"/>
      <c r="J545"/>
      <c r="M545"/>
      <c r="N545"/>
      <c r="O545" s="61"/>
      <c r="P545"/>
    </row>
    <row r="546" spans="2:16" x14ac:dyDescent="0.2">
      <c r="B546"/>
      <c r="C546" s="61"/>
      <c r="D546" s="61"/>
      <c r="G546"/>
      <c r="H546"/>
      <c r="N546"/>
      <c r="O546" s="61"/>
      <c r="P546"/>
    </row>
    <row r="547" spans="2:16" x14ac:dyDescent="0.2">
      <c r="B547"/>
      <c r="C547" s="61"/>
      <c r="D547" s="61"/>
      <c r="G547"/>
      <c r="H547"/>
      <c r="I547"/>
      <c r="J547"/>
      <c r="M547"/>
      <c r="N547"/>
      <c r="O547" s="61"/>
      <c r="P547"/>
    </row>
    <row r="548" spans="2:16" x14ac:dyDescent="0.2">
      <c r="B548"/>
      <c r="C548" s="61"/>
      <c r="D548" s="61"/>
      <c r="G548"/>
      <c r="H548"/>
      <c r="I548"/>
      <c r="J548"/>
      <c r="M548"/>
      <c r="N548"/>
      <c r="O548" s="61"/>
      <c r="P548"/>
    </row>
    <row r="549" spans="2:16" x14ac:dyDescent="0.2">
      <c r="B549"/>
      <c r="C549" s="61"/>
      <c r="D549" s="61"/>
      <c r="G549"/>
      <c r="H549"/>
      <c r="I549"/>
      <c r="J549"/>
      <c r="M549"/>
      <c r="N549"/>
      <c r="O549" s="61"/>
      <c r="P549"/>
    </row>
    <row r="550" spans="2:16" x14ac:dyDescent="0.2">
      <c r="B550"/>
      <c r="C550" s="61"/>
      <c r="D550" s="61"/>
      <c r="G550"/>
      <c r="H550"/>
      <c r="M550"/>
      <c r="N550"/>
      <c r="O550" s="61"/>
      <c r="P550"/>
    </row>
    <row r="551" spans="2:16" x14ac:dyDescent="0.2">
      <c r="B551"/>
      <c r="C551" s="61"/>
      <c r="D551" s="61"/>
      <c r="G551"/>
      <c r="H551"/>
      <c r="I551"/>
      <c r="J551"/>
      <c r="M551"/>
      <c r="N551"/>
      <c r="O551" s="61"/>
      <c r="P551"/>
    </row>
    <row r="552" spans="2:16" x14ac:dyDescent="0.2">
      <c r="B552"/>
      <c r="C552" s="61"/>
      <c r="D552" s="61"/>
      <c r="G552"/>
      <c r="H552"/>
      <c r="J552"/>
      <c r="M552"/>
      <c r="N552"/>
      <c r="O552" s="61"/>
      <c r="P552"/>
    </row>
    <row r="553" spans="2:16" x14ac:dyDescent="0.2">
      <c r="B553"/>
      <c r="C553" s="61"/>
      <c r="D553" s="61"/>
      <c r="G553"/>
      <c r="H553"/>
      <c r="J553"/>
      <c r="M553"/>
      <c r="N553"/>
      <c r="O553" s="61"/>
      <c r="P553"/>
    </row>
    <row r="554" spans="2:16" x14ac:dyDescent="0.2">
      <c r="B554"/>
      <c r="C554" s="61"/>
      <c r="D554" s="61"/>
      <c r="G554"/>
      <c r="H554"/>
      <c r="I554"/>
      <c r="J554"/>
      <c r="M554"/>
      <c r="O554" s="61"/>
      <c r="P554"/>
    </row>
    <row r="555" spans="2:16" x14ac:dyDescent="0.2">
      <c r="B555"/>
      <c r="C555" s="61"/>
      <c r="D555" s="61"/>
      <c r="G555"/>
      <c r="H555"/>
      <c r="I555"/>
      <c r="J555"/>
      <c r="M555"/>
      <c r="O555" s="61"/>
      <c r="P555"/>
    </row>
    <row r="556" spans="2:16" x14ac:dyDescent="0.2">
      <c r="B556"/>
      <c r="C556" s="61"/>
      <c r="D556" s="61"/>
      <c r="G556"/>
      <c r="H556"/>
      <c r="N556"/>
      <c r="O556" s="61"/>
      <c r="P556"/>
    </row>
    <row r="557" spans="2:16" x14ac:dyDescent="0.2">
      <c r="B557"/>
      <c r="C557" s="61"/>
      <c r="D557" s="61"/>
      <c r="G557"/>
      <c r="H557"/>
      <c r="J557"/>
      <c r="M557"/>
      <c r="N557"/>
      <c r="O557" s="61"/>
      <c r="P557"/>
    </row>
    <row r="558" spans="2:16" x14ac:dyDescent="0.2">
      <c r="B558"/>
      <c r="C558" s="61"/>
      <c r="D558" s="61"/>
      <c r="G558"/>
      <c r="H558"/>
      <c r="I558"/>
      <c r="J558"/>
      <c r="M558"/>
      <c r="N558"/>
      <c r="O558" s="61"/>
      <c r="P558"/>
    </row>
    <row r="559" spans="2:16" x14ac:dyDescent="0.2">
      <c r="B559"/>
      <c r="C559" s="61"/>
      <c r="D559" s="61"/>
      <c r="G559"/>
      <c r="H559"/>
      <c r="M559"/>
      <c r="N559"/>
      <c r="O559" s="61"/>
      <c r="P559"/>
    </row>
    <row r="560" spans="2:16" x14ac:dyDescent="0.2">
      <c r="B560"/>
      <c r="C560" s="61"/>
      <c r="D560" s="61"/>
      <c r="G560"/>
      <c r="H560"/>
      <c r="I560"/>
      <c r="J560"/>
      <c r="M560"/>
      <c r="N560"/>
      <c r="O560" s="61"/>
      <c r="P560"/>
    </row>
    <row r="561" spans="2:16" x14ac:dyDescent="0.2">
      <c r="B561"/>
      <c r="C561" s="61"/>
      <c r="D561" s="61"/>
      <c r="G561"/>
      <c r="H561"/>
      <c r="K561"/>
      <c r="L561"/>
      <c r="M561"/>
      <c r="N561"/>
      <c r="O561" s="61"/>
      <c r="P561"/>
    </row>
    <row r="562" spans="2:16" x14ac:dyDescent="0.2">
      <c r="B562"/>
      <c r="C562" s="61"/>
      <c r="D562" s="61"/>
      <c r="G562"/>
      <c r="H562"/>
      <c r="I562"/>
      <c r="J562"/>
      <c r="M562"/>
      <c r="N562"/>
      <c r="O562" s="61"/>
      <c r="P562"/>
    </row>
    <row r="563" spans="2:16" x14ac:dyDescent="0.2">
      <c r="B563"/>
      <c r="C563" s="61"/>
      <c r="D563" s="61"/>
      <c r="G563"/>
      <c r="H563"/>
      <c r="I563"/>
      <c r="J563"/>
      <c r="M563"/>
      <c r="N563"/>
      <c r="O563" s="61"/>
      <c r="P563"/>
    </row>
    <row r="564" spans="2:16" x14ac:dyDescent="0.2">
      <c r="B564"/>
      <c r="C564" s="61"/>
      <c r="D564" s="61"/>
      <c r="G564"/>
      <c r="H564"/>
      <c r="I564"/>
      <c r="J564"/>
      <c r="M564"/>
      <c r="N564"/>
      <c r="O564" s="61"/>
      <c r="P564"/>
    </row>
    <row r="565" spans="2:16" x14ac:dyDescent="0.2">
      <c r="B565"/>
      <c r="C565" s="61"/>
      <c r="D565" s="61"/>
      <c r="G565"/>
      <c r="H565"/>
      <c r="K565"/>
      <c r="N565"/>
      <c r="O565" s="61"/>
      <c r="P565"/>
    </row>
    <row r="566" spans="2:16" x14ac:dyDescent="0.2">
      <c r="B566"/>
      <c r="C566" s="61"/>
      <c r="D566" s="61"/>
      <c r="G566"/>
      <c r="H566"/>
      <c r="I566"/>
      <c r="J566"/>
      <c r="M566"/>
      <c r="N566"/>
      <c r="O566" s="61"/>
      <c r="P566"/>
    </row>
    <row r="567" spans="2:16" x14ac:dyDescent="0.2">
      <c r="B567"/>
      <c r="C567" s="61"/>
      <c r="D567" s="61"/>
      <c r="G567"/>
      <c r="H567"/>
      <c r="I567"/>
      <c r="J567"/>
      <c r="M567"/>
      <c r="N567"/>
      <c r="O567" s="61"/>
      <c r="P567"/>
    </row>
    <row r="568" spans="2:16" x14ac:dyDescent="0.2">
      <c r="B568"/>
      <c r="C568" s="61"/>
      <c r="D568" s="61"/>
      <c r="G568"/>
      <c r="H568"/>
      <c r="I568"/>
      <c r="J568"/>
      <c r="M568"/>
      <c r="N568"/>
      <c r="O568" s="61"/>
      <c r="P568"/>
    </row>
    <row r="569" spans="2:16" x14ac:dyDescent="0.2">
      <c r="B569"/>
      <c r="C569" s="61"/>
      <c r="D569" s="61"/>
      <c r="G569"/>
      <c r="H569"/>
      <c r="I569"/>
      <c r="J569"/>
      <c r="M569"/>
      <c r="O569" s="61"/>
      <c r="P569"/>
    </row>
    <row r="570" spans="2:16" x14ac:dyDescent="0.2">
      <c r="B570"/>
      <c r="C570" s="61"/>
      <c r="D570" s="61"/>
      <c r="G570"/>
      <c r="H570"/>
      <c r="I570"/>
      <c r="M570"/>
      <c r="N570"/>
      <c r="O570" s="61"/>
      <c r="P570"/>
    </row>
    <row r="571" spans="2:16" x14ac:dyDescent="0.2">
      <c r="B571"/>
      <c r="C571" s="61"/>
      <c r="D571" s="61"/>
      <c r="G571"/>
      <c r="H571"/>
      <c r="I571"/>
      <c r="J571"/>
      <c r="M571"/>
      <c r="N571"/>
      <c r="O571" s="61"/>
      <c r="P571"/>
    </row>
    <row r="572" spans="2:16" x14ac:dyDescent="0.2">
      <c r="B572"/>
      <c r="C572" s="61"/>
      <c r="D572" s="61"/>
      <c r="G572"/>
      <c r="H572"/>
      <c r="I572"/>
      <c r="J572"/>
      <c r="M572"/>
      <c r="N572"/>
      <c r="O572" s="61"/>
      <c r="P572"/>
    </row>
    <row r="573" spans="2:16" x14ac:dyDescent="0.2">
      <c r="B573"/>
      <c r="C573" s="61"/>
      <c r="D573" s="61"/>
      <c r="G573"/>
      <c r="H573"/>
      <c r="J573"/>
      <c r="M573"/>
      <c r="N573"/>
      <c r="O573" s="61"/>
      <c r="P573"/>
    </row>
    <row r="574" spans="2:16" x14ac:dyDescent="0.2">
      <c r="B574"/>
      <c r="C574" s="61"/>
      <c r="D574" s="61"/>
      <c r="G574"/>
      <c r="H574"/>
      <c r="I574"/>
      <c r="J574"/>
      <c r="M574"/>
      <c r="N574"/>
      <c r="O574" s="61"/>
      <c r="P574"/>
    </row>
    <row r="575" spans="2:16" x14ac:dyDescent="0.2">
      <c r="B575"/>
      <c r="C575" s="61"/>
      <c r="D575" s="61"/>
      <c r="G575"/>
      <c r="H575"/>
      <c r="J575"/>
      <c r="M575"/>
      <c r="N575"/>
      <c r="O575" s="61"/>
      <c r="P575"/>
    </row>
    <row r="576" spans="2:16" x14ac:dyDescent="0.2">
      <c r="B576"/>
      <c r="C576" s="61"/>
      <c r="D576" s="61"/>
      <c r="G576"/>
      <c r="H576"/>
      <c r="I576"/>
      <c r="J576"/>
      <c r="M576"/>
      <c r="N576"/>
      <c r="O576" s="61"/>
      <c r="P576"/>
    </row>
    <row r="577" spans="2:16" x14ac:dyDescent="0.2">
      <c r="B577"/>
      <c r="C577" s="61"/>
      <c r="D577" s="61"/>
      <c r="G577"/>
      <c r="H577"/>
      <c r="I577"/>
      <c r="J577"/>
      <c r="M577"/>
      <c r="N577"/>
      <c r="O577" s="61"/>
      <c r="P577"/>
    </row>
    <row r="578" spans="2:16" x14ac:dyDescent="0.2">
      <c r="B578"/>
      <c r="C578" s="61"/>
      <c r="D578" s="61"/>
      <c r="G578"/>
      <c r="H578"/>
      <c r="I578"/>
      <c r="K578"/>
      <c r="L578"/>
      <c r="M578"/>
      <c r="N578"/>
      <c r="O578" s="61"/>
      <c r="P578"/>
    </row>
    <row r="579" spans="2:16" x14ac:dyDescent="0.2">
      <c r="B579"/>
      <c r="C579" s="61"/>
      <c r="D579" s="61"/>
      <c r="G579"/>
      <c r="H579"/>
      <c r="I579"/>
      <c r="K579"/>
      <c r="L579"/>
      <c r="M579"/>
      <c r="N579"/>
      <c r="O579" s="61"/>
      <c r="P579"/>
    </row>
    <row r="580" spans="2:16" x14ac:dyDescent="0.2">
      <c r="B580"/>
      <c r="C580" s="61"/>
      <c r="D580" s="61"/>
      <c r="G580"/>
      <c r="H580"/>
      <c r="M580"/>
      <c r="N580"/>
      <c r="O580" s="61"/>
      <c r="P580"/>
    </row>
    <row r="581" spans="2:16" x14ac:dyDescent="0.2">
      <c r="B581"/>
      <c r="C581" s="61"/>
      <c r="D581" s="61"/>
      <c r="G581"/>
      <c r="H581"/>
      <c r="I581"/>
      <c r="J581"/>
      <c r="M581"/>
      <c r="N581"/>
      <c r="O581" s="61"/>
      <c r="P581"/>
    </row>
    <row r="582" spans="2:16" x14ac:dyDescent="0.2">
      <c r="B582"/>
      <c r="C582" s="61"/>
      <c r="D582" s="61"/>
      <c r="G582"/>
      <c r="H582"/>
      <c r="J582"/>
      <c r="M582"/>
      <c r="N582"/>
      <c r="O582" s="61"/>
      <c r="P582"/>
    </row>
    <row r="583" spans="2:16" x14ac:dyDescent="0.2">
      <c r="B583"/>
      <c r="C583" s="61"/>
      <c r="D583" s="61"/>
      <c r="G583"/>
      <c r="H583"/>
      <c r="M583"/>
      <c r="N583"/>
      <c r="O583" s="61"/>
      <c r="P583"/>
    </row>
    <row r="584" spans="2:16" x14ac:dyDescent="0.2">
      <c r="B584"/>
      <c r="C584" s="61"/>
      <c r="D584" s="61"/>
      <c r="G584"/>
      <c r="H584"/>
      <c r="K584"/>
      <c r="L584"/>
      <c r="M584"/>
      <c r="N584"/>
      <c r="O584" s="61"/>
      <c r="P584"/>
    </row>
    <row r="585" spans="2:16" x14ac:dyDescent="0.2">
      <c r="B585"/>
      <c r="C585" s="61"/>
      <c r="D585" s="61"/>
      <c r="G585"/>
      <c r="H585"/>
      <c r="I585"/>
      <c r="K585"/>
      <c r="L585"/>
      <c r="M585"/>
      <c r="N585"/>
      <c r="O585" s="61"/>
      <c r="P585"/>
    </row>
    <row r="586" spans="2:16" x14ac:dyDescent="0.2">
      <c r="B586"/>
      <c r="C586" s="61"/>
      <c r="D586" s="61"/>
      <c r="G586"/>
      <c r="H586"/>
      <c r="N586"/>
      <c r="O586" s="61"/>
      <c r="P586"/>
    </row>
    <row r="587" spans="2:16" x14ac:dyDescent="0.2">
      <c r="B587"/>
      <c r="C587" s="61"/>
      <c r="D587" s="61"/>
      <c r="G587"/>
      <c r="H587"/>
      <c r="M587"/>
      <c r="N587"/>
      <c r="O587" s="61"/>
      <c r="P587"/>
    </row>
    <row r="588" spans="2:16" x14ac:dyDescent="0.2">
      <c r="B588"/>
      <c r="C588" s="61"/>
      <c r="D588" s="61"/>
      <c r="G588"/>
      <c r="H588"/>
      <c r="I588"/>
      <c r="J588"/>
      <c r="M588"/>
      <c r="O588" s="61"/>
      <c r="P588"/>
    </row>
    <row r="589" spans="2:16" x14ac:dyDescent="0.2">
      <c r="B589"/>
      <c r="C589" s="61"/>
      <c r="D589" s="61"/>
      <c r="G589"/>
      <c r="H589"/>
      <c r="I589"/>
      <c r="J589"/>
      <c r="M589"/>
      <c r="N589"/>
      <c r="O589" s="61"/>
      <c r="P589"/>
    </row>
    <row r="590" spans="2:16" x14ac:dyDescent="0.2">
      <c r="B590"/>
      <c r="C590" s="61"/>
      <c r="D590" s="61"/>
      <c r="G590"/>
      <c r="H590"/>
      <c r="M590"/>
      <c r="N590"/>
      <c r="O590" s="61"/>
      <c r="P590"/>
    </row>
    <row r="591" spans="2:16" x14ac:dyDescent="0.2">
      <c r="B591"/>
      <c r="C591" s="61"/>
      <c r="D591" s="61"/>
      <c r="G591"/>
      <c r="H591"/>
      <c r="I591"/>
      <c r="J591"/>
      <c r="M591"/>
      <c r="N591"/>
      <c r="O591" s="61"/>
      <c r="P591"/>
    </row>
    <row r="592" spans="2:16" x14ac:dyDescent="0.2">
      <c r="B592"/>
      <c r="C592" s="61"/>
      <c r="D592" s="61"/>
      <c r="G592"/>
      <c r="H592"/>
      <c r="J592"/>
      <c r="M592"/>
      <c r="N592"/>
      <c r="O592" s="61"/>
      <c r="P592"/>
    </row>
    <row r="593" spans="2:16" x14ac:dyDescent="0.2">
      <c r="B593"/>
      <c r="C593" s="61"/>
      <c r="D593" s="61"/>
      <c r="G593"/>
      <c r="H593"/>
      <c r="J593"/>
      <c r="M593"/>
      <c r="N593"/>
      <c r="O593" s="61"/>
      <c r="P593"/>
    </row>
    <row r="594" spans="2:16" x14ac:dyDescent="0.2">
      <c r="B594"/>
      <c r="C594" s="61"/>
      <c r="D594" s="61"/>
      <c r="G594"/>
      <c r="H594"/>
      <c r="I594"/>
      <c r="M594"/>
      <c r="N594"/>
      <c r="O594" s="61"/>
      <c r="P594"/>
    </row>
    <row r="595" spans="2:16" x14ac:dyDescent="0.2">
      <c r="B595"/>
      <c r="C595" s="61"/>
      <c r="D595" s="61"/>
      <c r="G595"/>
      <c r="H595"/>
      <c r="I595"/>
      <c r="J595"/>
      <c r="M595"/>
      <c r="N595"/>
      <c r="O595" s="61"/>
      <c r="P595"/>
    </row>
    <row r="596" spans="2:16" x14ac:dyDescent="0.2">
      <c r="B596"/>
      <c r="C596" s="61"/>
      <c r="D596" s="61"/>
      <c r="G596"/>
      <c r="H596"/>
      <c r="I596"/>
      <c r="J596"/>
      <c r="M596"/>
      <c r="N596"/>
      <c r="O596" s="61"/>
      <c r="P596"/>
    </row>
    <row r="597" spans="2:16" x14ac:dyDescent="0.2">
      <c r="B597"/>
      <c r="C597" s="61"/>
      <c r="D597" s="61"/>
      <c r="G597"/>
      <c r="H597"/>
      <c r="I597"/>
      <c r="J597"/>
      <c r="M597"/>
      <c r="N597"/>
      <c r="O597" s="61"/>
      <c r="P597"/>
    </row>
    <row r="598" spans="2:16" x14ac:dyDescent="0.2">
      <c r="B598"/>
      <c r="C598" s="61"/>
      <c r="D598" s="61"/>
      <c r="G598"/>
      <c r="H598"/>
      <c r="I598"/>
      <c r="J598"/>
      <c r="M598"/>
      <c r="N598"/>
      <c r="O598" s="61"/>
      <c r="P598"/>
    </row>
    <row r="599" spans="2:16" x14ac:dyDescent="0.2">
      <c r="B599"/>
      <c r="C599" s="61"/>
      <c r="D599" s="61"/>
      <c r="G599"/>
      <c r="H599"/>
      <c r="I599"/>
      <c r="J599"/>
      <c r="M599"/>
      <c r="N599"/>
      <c r="O599" s="61"/>
      <c r="P599"/>
    </row>
    <row r="600" spans="2:16" x14ac:dyDescent="0.2">
      <c r="B600"/>
      <c r="C600" s="61"/>
      <c r="D600" s="61"/>
      <c r="G600"/>
      <c r="H600"/>
      <c r="I600"/>
      <c r="J600"/>
      <c r="M600"/>
      <c r="N600"/>
      <c r="O600" s="61"/>
      <c r="P600"/>
    </row>
    <row r="601" spans="2:16" x14ac:dyDescent="0.2">
      <c r="B601"/>
      <c r="C601" s="61"/>
      <c r="D601" s="61"/>
      <c r="G601"/>
      <c r="H601"/>
      <c r="I601"/>
      <c r="K601"/>
      <c r="L601"/>
      <c r="M601"/>
      <c r="N601"/>
      <c r="O601" s="61"/>
      <c r="P601"/>
    </row>
    <row r="602" spans="2:16" x14ac:dyDescent="0.2">
      <c r="B602"/>
      <c r="C602" s="61"/>
      <c r="D602" s="61"/>
      <c r="G602"/>
      <c r="H602"/>
      <c r="N602"/>
      <c r="O602" s="61"/>
      <c r="P602"/>
    </row>
    <row r="603" spans="2:16" x14ac:dyDescent="0.2">
      <c r="B603"/>
      <c r="C603" s="61"/>
      <c r="D603" s="61"/>
      <c r="G603"/>
      <c r="H603"/>
      <c r="J603"/>
      <c r="M603"/>
      <c r="N603"/>
      <c r="O603" s="61"/>
      <c r="P603"/>
    </row>
    <row r="604" spans="2:16" x14ac:dyDescent="0.2">
      <c r="B604"/>
      <c r="C604" s="61"/>
      <c r="D604" s="61"/>
      <c r="G604"/>
      <c r="H604"/>
      <c r="I604"/>
      <c r="J604"/>
      <c r="M604"/>
      <c r="N604"/>
      <c r="O604" s="61"/>
      <c r="P604"/>
    </row>
    <row r="605" spans="2:16" x14ac:dyDescent="0.2">
      <c r="B605"/>
      <c r="C605" s="61"/>
      <c r="D605" s="61"/>
      <c r="G605"/>
      <c r="H605"/>
      <c r="J605"/>
      <c r="M605"/>
      <c r="N605"/>
      <c r="O605" s="61"/>
      <c r="P605"/>
    </row>
    <row r="606" spans="2:16" x14ac:dyDescent="0.2">
      <c r="B606"/>
      <c r="C606" s="61"/>
      <c r="D606" s="61"/>
      <c r="G606"/>
      <c r="H606"/>
      <c r="I606"/>
      <c r="J606"/>
      <c r="M606"/>
      <c r="N606"/>
      <c r="O606" s="61"/>
      <c r="P606"/>
    </row>
    <row r="607" spans="2:16" x14ac:dyDescent="0.2">
      <c r="B607"/>
      <c r="C607" s="61"/>
      <c r="D607" s="61"/>
      <c r="G607"/>
      <c r="H607"/>
      <c r="J607"/>
      <c r="M607"/>
      <c r="N607"/>
      <c r="O607" s="61"/>
      <c r="P607"/>
    </row>
    <row r="608" spans="2:16" x14ac:dyDescent="0.2">
      <c r="B608"/>
      <c r="C608" s="61"/>
      <c r="D608" s="61"/>
      <c r="G608"/>
      <c r="H608"/>
      <c r="J608"/>
      <c r="M608"/>
      <c r="N608"/>
      <c r="O608" s="61"/>
      <c r="P608"/>
    </row>
    <row r="609" spans="2:16" x14ac:dyDescent="0.2">
      <c r="B609"/>
      <c r="C609" s="61"/>
      <c r="D609" s="61"/>
      <c r="G609"/>
      <c r="H609"/>
      <c r="M609"/>
      <c r="N609"/>
      <c r="O609" s="61"/>
      <c r="P609"/>
    </row>
    <row r="610" spans="2:16" x14ac:dyDescent="0.2">
      <c r="B610"/>
      <c r="C610" s="61"/>
      <c r="D610" s="61"/>
      <c r="G610"/>
      <c r="H610"/>
      <c r="J610"/>
      <c r="M610"/>
      <c r="N610"/>
      <c r="O610" s="61"/>
      <c r="P610"/>
    </row>
    <row r="611" spans="2:16" x14ac:dyDescent="0.2">
      <c r="B611"/>
      <c r="C611" s="61"/>
      <c r="D611" s="61"/>
      <c r="G611"/>
      <c r="H611"/>
      <c r="I611"/>
      <c r="J611"/>
      <c r="M611"/>
      <c r="N611"/>
      <c r="O611" s="61"/>
      <c r="P611"/>
    </row>
    <row r="612" spans="2:16" x14ac:dyDescent="0.2">
      <c r="B612"/>
      <c r="C612" s="61"/>
      <c r="D612" s="61"/>
      <c r="G612"/>
      <c r="H612"/>
      <c r="J612"/>
      <c r="M612"/>
      <c r="N612"/>
      <c r="O612" s="61"/>
      <c r="P612"/>
    </row>
    <row r="613" spans="2:16" x14ac:dyDescent="0.2">
      <c r="B613"/>
      <c r="C613" s="61"/>
      <c r="D613" s="61"/>
      <c r="G613"/>
      <c r="H613"/>
      <c r="J613"/>
      <c r="M613"/>
      <c r="N613"/>
      <c r="O613" s="61"/>
      <c r="P613"/>
    </row>
    <row r="614" spans="2:16" x14ac:dyDescent="0.2">
      <c r="B614"/>
      <c r="C614" s="61"/>
      <c r="D614" s="61"/>
      <c r="G614"/>
      <c r="H614"/>
      <c r="J614"/>
      <c r="M614"/>
      <c r="N614"/>
      <c r="O614" s="61"/>
      <c r="P614"/>
    </row>
    <row r="615" spans="2:16" x14ac:dyDescent="0.2">
      <c r="B615"/>
      <c r="C615" s="61"/>
      <c r="D615" s="61"/>
      <c r="G615"/>
      <c r="H615"/>
      <c r="J615"/>
      <c r="M615"/>
      <c r="N615"/>
      <c r="O615" s="61"/>
      <c r="P615"/>
    </row>
    <row r="616" spans="2:16" x14ac:dyDescent="0.2">
      <c r="B616"/>
      <c r="C616" s="61"/>
      <c r="D616" s="61"/>
      <c r="G616"/>
      <c r="H616"/>
      <c r="J616"/>
      <c r="M616"/>
      <c r="N616"/>
      <c r="O616" s="61"/>
      <c r="P616"/>
    </row>
    <row r="617" spans="2:16" x14ac:dyDescent="0.2">
      <c r="B617"/>
      <c r="C617" s="61"/>
      <c r="D617" s="61"/>
      <c r="G617"/>
      <c r="H617"/>
      <c r="J617"/>
      <c r="M617"/>
      <c r="N617"/>
      <c r="O617" s="61"/>
      <c r="P617"/>
    </row>
    <row r="618" spans="2:16" x14ac:dyDescent="0.2">
      <c r="B618"/>
      <c r="C618" s="61"/>
      <c r="D618" s="61"/>
      <c r="G618"/>
      <c r="H618"/>
      <c r="M618"/>
      <c r="N618"/>
      <c r="O618" s="61"/>
      <c r="P618"/>
    </row>
    <row r="619" spans="2:16" x14ac:dyDescent="0.2">
      <c r="B619"/>
      <c r="C619" s="61"/>
      <c r="D619" s="61"/>
      <c r="G619"/>
      <c r="H619"/>
      <c r="K619"/>
      <c r="L619"/>
      <c r="M619"/>
      <c r="N619"/>
      <c r="O619" s="61"/>
      <c r="P619"/>
    </row>
    <row r="620" spans="2:16" x14ac:dyDescent="0.2">
      <c r="B620"/>
      <c r="C620" s="61"/>
      <c r="D620" s="61"/>
      <c r="G620"/>
      <c r="H620"/>
      <c r="M620"/>
      <c r="N620"/>
      <c r="O620" s="61"/>
      <c r="P620"/>
    </row>
    <row r="621" spans="2:16" x14ac:dyDescent="0.2">
      <c r="B621"/>
      <c r="C621" s="61"/>
      <c r="D621" s="61"/>
      <c r="G621"/>
      <c r="H621"/>
      <c r="I621"/>
      <c r="J621"/>
      <c r="M621"/>
      <c r="N621"/>
      <c r="O621" s="61"/>
      <c r="P621"/>
    </row>
    <row r="622" spans="2:16" x14ac:dyDescent="0.2">
      <c r="B622"/>
      <c r="C622" s="61"/>
      <c r="D622" s="61"/>
      <c r="G622"/>
      <c r="H622"/>
      <c r="N622"/>
      <c r="O622" s="61"/>
      <c r="P622"/>
    </row>
    <row r="623" spans="2:16" x14ac:dyDescent="0.2">
      <c r="B623"/>
      <c r="C623" s="61"/>
      <c r="D623" s="61"/>
      <c r="G623"/>
      <c r="H623"/>
      <c r="J623"/>
      <c r="M623"/>
      <c r="N623"/>
      <c r="O623" s="61"/>
      <c r="P623"/>
    </row>
    <row r="624" spans="2:16" x14ac:dyDescent="0.2">
      <c r="B624"/>
      <c r="C624" s="61"/>
      <c r="D624" s="61"/>
      <c r="G624"/>
      <c r="H624"/>
      <c r="I624"/>
      <c r="J624"/>
      <c r="M624"/>
      <c r="N624"/>
      <c r="O624" s="61"/>
      <c r="P624"/>
    </row>
    <row r="625" spans="2:16" x14ac:dyDescent="0.2">
      <c r="B625"/>
      <c r="C625" s="61"/>
      <c r="D625" s="61"/>
      <c r="G625"/>
      <c r="H625"/>
      <c r="M625"/>
      <c r="N625"/>
      <c r="O625" s="61"/>
      <c r="P625"/>
    </row>
    <row r="626" spans="2:16" x14ac:dyDescent="0.2">
      <c r="B626"/>
      <c r="C626" s="61"/>
      <c r="D626" s="61"/>
      <c r="G626"/>
      <c r="H626"/>
      <c r="I626"/>
      <c r="J626"/>
      <c r="M626"/>
      <c r="N626"/>
      <c r="O626" s="61"/>
      <c r="P626"/>
    </row>
    <row r="627" spans="2:16" x14ac:dyDescent="0.2">
      <c r="B627"/>
      <c r="C627" s="61"/>
      <c r="D627" s="61"/>
      <c r="G627"/>
      <c r="H627"/>
      <c r="I627"/>
      <c r="J627"/>
      <c r="M627"/>
      <c r="N627"/>
      <c r="O627" s="61"/>
      <c r="P627"/>
    </row>
    <row r="628" spans="2:16" x14ac:dyDescent="0.2">
      <c r="B628"/>
      <c r="C628" s="61"/>
      <c r="D628" s="61"/>
      <c r="G628"/>
      <c r="H628"/>
      <c r="J628"/>
      <c r="M628"/>
      <c r="N628"/>
      <c r="O628" s="61"/>
      <c r="P628"/>
    </row>
    <row r="629" spans="2:16" x14ac:dyDescent="0.2">
      <c r="B629"/>
      <c r="C629" s="61"/>
      <c r="D629" s="61"/>
      <c r="G629"/>
      <c r="H629"/>
      <c r="I629"/>
      <c r="J629"/>
      <c r="M629"/>
      <c r="N629"/>
      <c r="O629" s="61"/>
      <c r="P629"/>
    </row>
    <row r="630" spans="2:16" x14ac:dyDescent="0.2">
      <c r="B630"/>
      <c r="C630" s="61"/>
      <c r="D630" s="61"/>
      <c r="G630"/>
      <c r="H630"/>
      <c r="I630"/>
      <c r="J630"/>
      <c r="M630"/>
      <c r="N630"/>
      <c r="O630" s="61"/>
      <c r="P630"/>
    </row>
    <row r="631" spans="2:16" x14ac:dyDescent="0.2">
      <c r="B631"/>
      <c r="C631" s="61"/>
      <c r="D631" s="61"/>
      <c r="G631"/>
      <c r="H631"/>
      <c r="I631"/>
      <c r="K631"/>
      <c r="L631"/>
      <c r="M631"/>
      <c r="N631"/>
      <c r="O631" s="61"/>
      <c r="P631"/>
    </row>
    <row r="632" spans="2:16" x14ac:dyDescent="0.2">
      <c r="B632"/>
      <c r="C632" s="61"/>
      <c r="D632" s="61"/>
      <c r="G632"/>
      <c r="H632"/>
      <c r="I632"/>
      <c r="J632"/>
      <c r="M632"/>
      <c r="N632"/>
      <c r="O632" s="61"/>
      <c r="P632"/>
    </row>
    <row r="633" spans="2:16" x14ac:dyDescent="0.2">
      <c r="B633"/>
      <c r="C633" s="61"/>
      <c r="D633" s="61"/>
      <c r="G633"/>
      <c r="H633"/>
      <c r="I633"/>
      <c r="J633"/>
      <c r="M633"/>
      <c r="N633"/>
      <c r="O633" s="61"/>
      <c r="P633"/>
    </row>
    <row r="634" spans="2:16" x14ac:dyDescent="0.2">
      <c r="B634"/>
      <c r="C634" s="61"/>
      <c r="D634" s="61"/>
      <c r="G634"/>
      <c r="H634"/>
      <c r="J634"/>
      <c r="M634"/>
      <c r="N634"/>
      <c r="O634" s="61"/>
      <c r="P634"/>
    </row>
    <row r="635" spans="2:16" x14ac:dyDescent="0.2">
      <c r="B635"/>
      <c r="C635" s="61"/>
      <c r="D635" s="61"/>
      <c r="G635"/>
      <c r="H635"/>
      <c r="J635"/>
      <c r="M635"/>
      <c r="N635"/>
      <c r="O635" s="61"/>
      <c r="P635"/>
    </row>
    <row r="636" spans="2:16" x14ac:dyDescent="0.2">
      <c r="B636"/>
      <c r="C636" s="61"/>
      <c r="D636" s="61"/>
      <c r="G636"/>
      <c r="H636"/>
      <c r="J636"/>
      <c r="M636"/>
      <c r="N636"/>
      <c r="O636" s="61"/>
      <c r="P636"/>
    </row>
    <row r="637" spans="2:16" x14ac:dyDescent="0.2">
      <c r="B637"/>
      <c r="C637" s="61"/>
      <c r="D637" s="61"/>
      <c r="G637"/>
      <c r="H637"/>
      <c r="I637"/>
      <c r="J637"/>
      <c r="M637"/>
      <c r="O637" s="61"/>
      <c r="P637"/>
    </row>
    <row r="638" spans="2:16" x14ac:dyDescent="0.2">
      <c r="B638"/>
      <c r="C638" s="61"/>
      <c r="D638" s="61"/>
      <c r="G638"/>
      <c r="H638"/>
      <c r="I638"/>
      <c r="J638"/>
      <c r="M638"/>
      <c r="O638" s="61"/>
      <c r="P638"/>
    </row>
    <row r="639" spans="2:16" x14ac:dyDescent="0.2">
      <c r="B639"/>
      <c r="C639" s="61"/>
      <c r="D639" s="61"/>
      <c r="G639"/>
      <c r="H639"/>
      <c r="I639"/>
      <c r="J639"/>
      <c r="M639"/>
      <c r="N639"/>
      <c r="O639" s="61"/>
      <c r="P639"/>
    </row>
    <row r="640" spans="2:16" x14ac:dyDescent="0.2">
      <c r="B640"/>
      <c r="C640" s="61"/>
      <c r="D640" s="61"/>
      <c r="G640"/>
      <c r="H640"/>
      <c r="I640"/>
      <c r="J640"/>
      <c r="M640"/>
      <c r="N640"/>
      <c r="O640" s="61"/>
      <c r="P640"/>
    </row>
    <row r="641" spans="2:16" x14ac:dyDescent="0.2">
      <c r="B641"/>
      <c r="C641" s="61"/>
      <c r="D641" s="61"/>
      <c r="G641"/>
      <c r="H641"/>
      <c r="J641"/>
      <c r="M641"/>
      <c r="N641"/>
      <c r="O641" s="61"/>
      <c r="P641"/>
    </row>
    <row r="642" spans="2:16" x14ac:dyDescent="0.2">
      <c r="B642"/>
      <c r="C642" s="61"/>
      <c r="D642" s="61"/>
      <c r="G642"/>
      <c r="H642"/>
      <c r="I642"/>
      <c r="J642"/>
      <c r="M642"/>
      <c r="N642"/>
      <c r="O642" s="61"/>
      <c r="P642"/>
    </row>
    <row r="643" spans="2:16" x14ac:dyDescent="0.2">
      <c r="B643"/>
      <c r="C643" s="61"/>
      <c r="D643" s="61"/>
      <c r="G643"/>
      <c r="H643"/>
      <c r="J643"/>
      <c r="M643"/>
      <c r="N643"/>
      <c r="O643" s="61"/>
      <c r="P643"/>
    </row>
    <row r="644" spans="2:16" x14ac:dyDescent="0.2">
      <c r="B644"/>
      <c r="C644" s="61"/>
      <c r="D644" s="61"/>
      <c r="G644"/>
      <c r="H644"/>
      <c r="N644"/>
      <c r="O644" s="61"/>
      <c r="P644"/>
    </row>
    <row r="645" spans="2:16" x14ac:dyDescent="0.2">
      <c r="B645"/>
      <c r="C645" s="61"/>
      <c r="D645" s="61"/>
      <c r="G645"/>
      <c r="H645"/>
      <c r="I645"/>
      <c r="J645"/>
      <c r="M645"/>
      <c r="N645"/>
      <c r="O645" s="61"/>
      <c r="P645"/>
    </row>
    <row r="646" spans="2:16" x14ac:dyDescent="0.2">
      <c r="B646"/>
      <c r="C646" s="61"/>
      <c r="D646" s="61"/>
      <c r="G646"/>
      <c r="H646"/>
      <c r="I646"/>
      <c r="J646"/>
      <c r="M646"/>
      <c r="N646"/>
      <c r="O646" s="61"/>
      <c r="P646"/>
    </row>
    <row r="647" spans="2:16" x14ac:dyDescent="0.2">
      <c r="B647"/>
      <c r="C647" s="61"/>
      <c r="D647" s="61"/>
      <c r="G647"/>
      <c r="H647"/>
      <c r="I647"/>
      <c r="J647"/>
      <c r="M647"/>
      <c r="N647"/>
      <c r="O647" s="61"/>
      <c r="P647"/>
    </row>
    <row r="648" spans="2:16" x14ac:dyDescent="0.2">
      <c r="B648"/>
      <c r="C648" s="61"/>
      <c r="D648" s="61"/>
      <c r="G648"/>
      <c r="H648"/>
      <c r="I648"/>
      <c r="J648"/>
      <c r="M648"/>
      <c r="N648"/>
      <c r="O648" s="61"/>
      <c r="P648"/>
    </row>
    <row r="649" spans="2:16" x14ac:dyDescent="0.2">
      <c r="B649"/>
      <c r="C649" s="61"/>
      <c r="D649" s="61"/>
      <c r="G649"/>
      <c r="H649"/>
      <c r="M649"/>
      <c r="N649"/>
      <c r="O649" s="61"/>
      <c r="P649"/>
    </row>
    <row r="650" spans="2:16" x14ac:dyDescent="0.2">
      <c r="B650"/>
      <c r="C650" s="61"/>
      <c r="D650" s="61"/>
      <c r="G650"/>
      <c r="H650"/>
      <c r="I650"/>
      <c r="J650"/>
      <c r="M650"/>
      <c r="N650"/>
      <c r="O650" s="61"/>
      <c r="P650"/>
    </row>
    <row r="651" spans="2:16" x14ac:dyDescent="0.2">
      <c r="B651"/>
      <c r="C651" s="61"/>
      <c r="D651" s="61"/>
      <c r="G651"/>
      <c r="H651"/>
      <c r="I651"/>
      <c r="J651"/>
      <c r="M651"/>
      <c r="N651"/>
      <c r="O651" s="61"/>
      <c r="P651"/>
    </row>
    <row r="652" spans="2:16" x14ac:dyDescent="0.2">
      <c r="B652"/>
      <c r="C652" s="61"/>
      <c r="D652" s="61"/>
      <c r="G652"/>
      <c r="H652"/>
      <c r="I652"/>
      <c r="J652"/>
      <c r="M652"/>
      <c r="O652" s="61"/>
      <c r="P652"/>
    </row>
    <row r="653" spans="2:16" x14ac:dyDescent="0.2">
      <c r="B653"/>
      <c r="C653" s="61"/>
      <c r="D653" s="61"/>
      <c r="G653"/>
      <c r="H653"/>
      <c r="I653"/>
      <c r="J653"/>
      <c r="M653"/>
      <c r="N653"/>
      <c r="O653" s="61"/>
      <c r="P653"/>
    </row>
    <row r="654" spans="2:16" x14ac:dyDescent="0.2">
      <c r="B654"/>
      <c r="C654" s="61"/>
      <c r="D654" s="61"/>
      <c r="G654"/>
      <c r="H654"/>
      <c r="K654"/>
      <c r="L654"/>
      <c r="M654"/>
      <c r="N654"/>
      <c r="O654" s="61"/>
      <c r="P654"/>
    </row>
    <row r="655" spans="2:16" x14ac:dyDescent="0.2">
      <c r="B655"/>
      <c r="C655" s="61"/>
      <c r="D655" s="61"/>
      <c r="G655"/>
      <c r="H655"/>
      <c r="I655"/>
      <c r="J655"/>
      <c r="M655"/>
      <c r="N655"/>
      <c r="O655" s="61"/>
      <c r="P655"/>
    </row>
    <row r="656" spans="2:16" x14ac:dyDescent="0.2">
      <c r="B656"/>
      <c r="C656" s="61"/>
      <c r="D656" s="61"/>
      <c r="G656"/>
      <c r="H656"/>
      <c r="I656"/>
      <c r="J656"/>
      <c r="M656"/>
      <c r="N656"/>
      <c r="O656" s="61"/>
      <c r="P656"/>
    </row>
    <row r="657" spans="2:16" x14ac:dyDescent="0.2">
      <c r="B657"/>
      <c r="C657" s="61"/>
      <c r="D657" s="61"/>
      <c r="G657"/>
      <c r="H657"/>
      <c r="J657"/>
      <c r="M657"/>
      <c r="N657"/>
      <c r="O657" s="61"/>
      <c r="P657"/>
    </row>
    <row r="658" spans="2:16" x14ac:dyDescent="0.2">
      <c r="B658"/>
      <c r="C658" s="61"/>
      <c r="D658" s="61"/>
      <c r="G658"/>
      <c r="H658"/>
      <c r="I658"/>
      <c r="J658"/>
      <c r="M658"/>
      <c r="N658"/>
      <c r="O658" s="61"/>
      <c r="P658"/>
    </row>
    <row r="659" spans="2:16" x14ac:dyDescent="0.2">
      <c r="B659"/>
      <c r="C659" s="61"/>
      <c r="D659" s="61"/>
      <c r="G659"/>
      <c r="H659"/>
      <c r="I659"/>
      <c r="J659"/>
      <c r="M659"/>
      <c r="N659"/>
      <c r="O659" s="61"/>
      <c r="P659"/>
    </row>
    <row r="660" spans="2:16" x14ac:dyDescent="0.2">
      <c r="B660"/>
      <c r="C660" s="61"/>
      <c r="D660" s="61"/>
      <c r="G660"/>
      <c r="H660"/>
      <c r="I660"/>
      <c r="J660"/>
      <c r="M660"/>
      <c r="N660"/>
      <c r="O660" s="61"/>
      <c r="P660"/>
    </row>
    <row r="661" spans="2:16" x14ac:dyDescent="0.2">
      <c r="B661"/>
      <c r="C661" s="61"/>
      <c r="D661" s="61"/>
      <c r="G661"/>
      <c r="H661"/>
      <c r="J661"/>
      <c r="M661"/>
      <c r="N661"/>
      <c r="O661" s="61"/>
      <c r="P661"/>
    </row>
    <row r="662" spans="2:16" x14ac:dyDescent="0.2">
      <c r="B662"/>
      <c r="C662" s="61"/>
      <c r="D662" s="61"/>
      <c r="G662"/>
      <c r="H662"/>
      <c r="I662"/>
      <c r="J662"/>
      <c r="M662"/>
      <c r="N662"/>
      <c r="O662" s="61"/>
      <c r="P662"/>
    </row>
    <row r="663" spans="2:16" x14ac:dyDescent="0.2">
      <c r="B663"/>
      <c r="C663" s="61"/>
      <c r="D663" s="61"/>
      <c r="G663"/>
      <c r="H663"/>
      <c r="M663"/>
      <c r="N663"/>
      <c r="O663" s="61"/>
      <c r="P663"/>
    </row>
    <row r="664" spans="2:16" x14ac:dyDescent="0.2">
      <c r="B664"/>
      <c r="C664" s="61"/>
      <c r="D664" s="61"/>
      <c r="G664"/>
      <c r="H664"/>
      <c r="J664"/>
      <c r="M664"/>
      <c r="N664"/>
      <c r="O664" s="61"/>
      <c r="P664"/>
    </row>
    <row r="665" spans="2:16" x14ac:dyDescent="0.2">
      <c r="B665"/>
      <c r="C665" s="61"/>
      <c r="D665" s="61"/>
      <c r="G665"/>
      <c r="H665"/>
      <c r="I665"/>
      <c r="J665"/>
      <c r="M665"/>
      <c r="N665"/>
      <c r="O665" s="61"/>
      <c r="P665"/>
    </row>
    <row r="666" spans="2:16" x14ac:dyDescent="0.2">
      <c r="B666"/>
      <c r="C666" s="61"/>
      <c r="D666" s="61"/>
      <c r="G666"/>
      <c r="H666"/>
      <c r="I666"/>
      <c r="J666"/>
      <c r="M666"/>
      <c r="O666" s="61"/>
      <c r="P666"/>
    </row>
    <row r="667" spans="2:16" x14ac:dyDescent="0.2">
      <c r="B667"/>
      <c r="C667" s="61"/>
      <c r="D667" s="61"/>
      <c r="G667"/>
      <c r="H667"/>
      <c r="I667"/>
      <c r="J667"/>
      <c r="M667"/>
      <c r="N667"/>
      <c r="O667" s="61"/>
      <c r="P667"/>
    </row>
    <row r="668" spans="2:16" x14ac:dyDescent="0.2">
      <c r="B668"/>
      <c r="C668" s="61"/>
      <c r="D668" s="61"/>
      <c r="G668"/>
      <c r="H668"/>
      <c r="I668"/>
      <c r="K668"/>
      <c r="M668"/>
      <c r="N668"/>
      <c r="O668" s="61"/>
      <c r="P668"/>
    </row>
    <row r="669" spans="2:16" x14ac:dyDescent="0.2">
      <c r="B669"/>
      <c r="C669" s="61"/>
      <c r="D669" s="61"/>
      <c r="G669"/>
      <c r="H669"/>
      <c r="I669"/>
      <c r="J669"/>
      <c r="M669"/>
      <c r="N669"/>
      <c r="O669" s="61"/>
      <c r="P669"/>
    </row>
    <row r="670" spans="2:16" x14ac:dyDescent="0.2">
      <c r="B670"/>
      <c r="C670" s="61"/>
      <c r="D670" s="61"/>
      <c r="G670"/>
      <c r="H670"/>
      <c r="J670"/>
      <c r="M670"/>
      <c r="N670"/>
      <c r="O670" s="61"/>
      <c r="P670"/>
    </row>
    <row r="671" spans="2:16" x14ac:dyDescent="0.2">
      <c r="B671"/>
      <c r="C671" s="61"/>
      <c r="D671" s="61"/>
      <c r="G671"/>
      <c r="H671"/>
      <c r="N671"/>
      <c r="O671" s="61"/>
      <c r="P671"/>
    </row>
    <row r="672" spans="2:16" x14ac:dyDescent="0.2">
      <c r="B672"/>
      <c r="C672" s="61"/>
      <c r="D672" s="61"/>
      <c r="G672"/>
      <c r="H672"/>
      <c r="I672"/>
      <c r="N672"/>
      <c r="O672" s="61"/>
      <c r="P672"/>
    </row>
    <row r="673" spans="2:16" x14ac:dyDescent="0.2">
      <c r="B673"/>
      <c r="C673" s="61"/>
      <c r="D673" s="61"/>
      <c r="G673"/>
      <c r="H673"/>
      <c r="M673"/>
      <c r="N673"/>
      <c r="O673" s="61"/>
      <c r="P673"/>
    </row>
    <row r="674" spans="2:16" x14ac:dyDescent="0.2">
      <c r="B674"/>
      <c r="C674" s="61"/>
      <c r="D674" s="61"/>
      <c r="G674"/>
      <c r="H674"/>
      <c r="I674"/>
      <c r="J674"/>
      <c r="M674"/>
      <c r="N674"/>
      <c r="O674" s="61"/>
      <c r="P674"/>
    </row>
    <row r="675" spans="2:16" x14ac:dyDescent="0.2">
      <c r="B675"/>
      <c r="C675" s="61"/>
      <c r="D675" s="61"/>
      <c r="G675"/>
      <c r="H675"/>
      <c r="I675"/>
      <c r="J675"/>
      <c r="M675"/>
      <c r="N675"/>
      <c r="O675" s="61"/>
      <c r="P675"/>
    </row>
    <row r="676" spans="2:16" x14ac:dyDescent="0.2">
      <c r="B676"/>
      <c r="C676" s="61"/>
      <c r="D676" s="61"/>
      <c r="G676"/>
      <c r="H676"/>
      <c r="N676"/>
      <c r="O676" s="61"/>
      <c r="P676"/>
    </row>
    <row r="677" spans="2:16" x14ac:dyDescent="0.2">
      <c r="B677"/>
      <c r="C677" s="61"/>
      <c r="D677" s="61"/>
      <c r="G677"/>
      <c r="H677"/>
      <c r="I677"/>
      <c r="J677"/>
      <c r="M677"/>
      <c r="N677"/>
      <c r="O677" s="61"/>
      <c r="P677"/>
    </row>
    <row r="678" spans="2:16" x14ac:dyDescent="0.2">
      <c r="B678"/>
      <c r="C678" s="61"/>
      <c r="D678" s="61"/>
      <c r="G678"/>
      <c r="H678"/>
      <c r="M678"/>
      <c r="N678"/>
      <c r="O678" s="61"/>
      <c r="P678"/>
    </row>
    <row r="679" spans="2:16" x14ac:dyDescent="0.2">
      <c r="B679"/>
      <c r="C679" s="61"/>
      <c r="D679" s="61"/>
      <c r="G679"/>
      <c r="H679"/>
      <c r="I679"/>
      <c r="J679"/>
      <c r="M679"/>
      <c r="N679"/>
      <c r="O679" s="61"/>
      <c r="P679"/>
    </row>
    <row r="680" spans="2:16" x14ac:dyDescent="0.2">
      <c r="B680"/>
      <c r="C680" s="61"/>
      <c r="D680" s="61"/>
      <c r="G680"/>
      <c r="H680"/>
      <c r="I680"/>
      <c r="J680"/>
      <c r="M680"/>
      <c r="N680"/>
      <c r="O680" s="61"/>
      <c r="P680"/>
    </row>
    <row r="681" spans="2:16" x14ac:dyDescent="0.2">
      <c r="B681"/>
      <c r="C681" s="61"/>
      <c r="D681" s="61"/>
      <c r="G681"/>
      <c r="H681"/>
      <c r="I681"/>
      <c r="J681"/>
      <c r="M681"/>
      <c r="N681"/>
      <c r="O681" s="61"/>
      <c r="P681"/>
    </row>
    <row r="682" spans="2:16" x14ac:dyDescent="0.2">
      <c r="B682"/>
      <c r="C682" s="61"/>
      <c r="D682" s="61"/>
      <c r="G682"/>
      <c r="H682"/>
      <c r="I682"/>
      <c r="J682"/>
      <c r="M682"/>
      <c r="N682"/>
      <c r="O682" s="61"/>
      <c r="P682"/>
    </row>
    <row r="683" spans="2:16" x14ac:dyDescent="0.2">
      <c r="B683"/>
      <c r="C683" s="61"/>
      <c r="D683" s="61"/>
      <c r="G683"/>
      <c r="H683"/>
      <c r="N683"/>
      <c r="O683" s="61"/>
      <c r="P683"/>
    </row>
    <row r="684" spans="2:16" x14ac:dyDescent="0.2">
      <c r="B684"/>
      <c r="C684" s="61"/>
      <c r="D684" s="61"/>
      <c r="G684"/>
      <c r="H684"/>
      <c r="M684"/>
      <c r="N684"/>
      <c r="O684" s="61"/>
      <c r="P684"/>
    </row>
    <row r="685" spans="2:16" x14ac:dyDescent="0.2">
      <c r="B685"/>
      <c r="C685" s="61"/>
      <c r="D685" s="61"/>
      <c r="G685"/>
      <c r="H685"/>
      <c r="J685"/>
      <c r="M685"/>
      <c r="N685"/>
      <c r="O685" s="61"/>
      <c r="P685"/>
    </row>
    <row r="686" spans="2:16" x14ac:dyDescent="0.2">
      <c r="B686"/>
      <c r="C686" s="61"/>
      <c r="D686" s="61"/>
      <c r="G686"/>
      <c r="H686"/>
      <c r="I686"/>
      <c r="J686"/>
      <c r="M686"/>
      <c r="N686"/>
      <c r="O686" s="61"/>
      <c r="P686"/>
    </row>
    <row r="687" spans="2:16" x14ac:dyDescent="0.2">
      <c r="B687"/>
      <c r="C687" s="61"/>
      <c r="D687" s="61"/>
      <c r="G687"/>
      <c r="H687"/>
      <c r="I687"/>
      <c r="J687"/>
      <c r="M687"/>
      <c r="N687"/>
      <c r="O687" s="61"/>
      <c r="P687"/>
    </row>
    <row r="688" spans="2:16" x14ac:dyDescent="0.2">
      <c r="B688"/>
      <c r="C688" s="61"/>
      <c r="D688" s="61"/>
      <c r="G688"/>
      <c r="H688"/>
      <c r="I688"/>
      <c r="J688"/>
      <c r="M688"/>
      <c r="N688"/>
      <c r="O688" s="61"/>
      <c r="P688"/>
    </row>
    <row r="689" spans="2:16" x14ac:dyDescent="0.2">
      <c r="B689"/>
      <c r="C689" s="61"/>
      <c r="D689" s="61"/>
      <c r="G689"/>
      <c r="H689"/>
      <c r="I689"/>
      <c r="J689"/>
      <c r="M689"/>
      <c r="N689"/>
      <c r="O689" s="61"/>
      <c r="P689"/>
    </row>
    <row r="690" spans="2:16" x14ac:dyDescent="0.2">
      <c r="B690"/>
      <c r="C690" s="61"/>
      <c r="D690" s="61"/>
      <c r="G690"/>
      <c r="H690"/>
      <c r="I690"/>
      <c r="J690"/>
      <c r="M690"/>
      <c r="O690" s="61"/>
      <c r="P690"/>
    </row>
    <row r="691" spans="2:16" x14ac:dyDescent="0.2">
      <c r="B691"/>
      <c r="C691" s="61"/>
      <c r="D691" s="61"/>
      <c r="G691"/>
      <c r="H691"/>
      <c r="N691"/>
      <c r="O691" s="61"/>
      <c r="P691"/>
    </row>
    <row r="692" spans="2:16" x14ac:dyDescent="0.2">
      <c r="B692"/>
      <c r="C692" s="61"/>
      <c r="D692" s="61"/>
      <c r="G692"/>
      <c r="H692"/>
      <c r="I692"/>
      <c r="J692"/>
      <c r="M692"/>
      <c r="N692"/>
      <c r="O692" s="61"/>
      <c r="P692"/>
    </row>
    <row r="693" spans="2:16" x14ac:dyDescent="0.2">
      <c r="B693"/>
      <c r="C693" s="61"/>
      <c r="D693" s="61"/>
      <c r="G693"/>
      <c r="H693"/>
      <c r="I693"/>
      <c r="J693"/>
      <c r="M693"/>
      <c r="N693"/>
      <c r="O693" s="61"/>
      <c r="P693"/>
    </row>
    <row r="694" spans="2:16" x14ac:dyDescent="0.2">
      <c r="B694"/>
      <c r="C694" s="61"/>
      <c r="D694" s="61"/>
      <c r="G694"/>
      <c r="H694"/>
      <c r="N694"/>
      <c r="O694" s="61"/>
      <c r="P694"/>
    </row>
    <row r="695" spans="2:16" x14ac:dyDescent="0.2">
      <c r="B695"/>
      <c r="C695" s="61"/>
      <c r="D695" s="61"/>
      <c r="G695"/>
      <c r="H695"/>
      <c r="J695"/>
      <c r="M695"/>
      <c r="N695"/>
      <c r="O695" s="61"/>
      <c r="P695"/>
    </row>
    <row r="696" spans="2:16" x14ac:dyDescent="0.2">
      <c r="B696"/>
      <c r="C696" s="61"/>
      <c r="D696" s="61"/>
      <c r="G696"/>
      <c r="H696"/>
      <c r="K696"/>
      <c r="L696"/>
      <c r="M696"/>
      <c r="N696"/>
      <c r="O696" s="61"/>
      <c r="P696"/>
    </row>
    <row r="697" spans="2:16" x14ac:dyDescent="0.2">
      <c r="B697"/>
      <c r="C697" s="61"/>
      <c r="D697" s="61"/>
      <c r="G697"/>
      <c r="H697"/>
      <c r="I697"/>
      <c r="J697"/>
      <c r="M697"/>
      <c r="N697"/>
      <c r="O697" s="61"/>
      <c r="P697"/>
    </row>
    <row r="698" spans="2:16" x14ac:dyDescent="0.2">
      <c r="B698"/>
      <c r="C698" s="61"/>
      <c r="D698" s="61"/>
      <c r="G698"/>
      <c r="H698"/>
      <c r="J698"/>
      <c r="M698"/>
      <c r="N698"/>
      <c r="O698" s="61"/>
      <c r="P698"/>
    </row>
    <row r="699" spans="2:16" x14ac:dyDescent="0.2">
      <c r="B699"/>
      <c r="C699" s="61"/>
      <c r="D699" s="61"/>
      <c r="G699"/>
      <c r="H699"/>
      <c r="M699"/>
      <c r="N699"/>
      <c r="O699" s="61"/>
      <c r="P699"/>
    </row>
    <row r="700" spans="2:16" x14ac:dyDescent="0.2">
      <c r="B700"/>
      <c r="C700" s="61"/>
      <c r="D700" s="61"/>
      <c r="G700"/>
      <c r="H700"/>
      <c r="I700"/>
      <c r="K700"/>
      <c r="L700"/>
      <c r="M700"/>
      <c r="N700"/>
      <c r="O700" s="61"/>
      <c r="P700"/>
    </row>
    <row r="701" spans="2:16" x14ac:dyDescent="0.2">
      <c r="B701"/>
      <c r="C701" s="61"/>
      <c r="D701" s="61"/>
      <c r="G701"/>
      <c r="H701"/>
      <c r="I701"/>
      <c r="K701"/>
      <c r="L701"/>
      <c r="M701"/>
      <c r="N701"/>
      <c r="O701" s="61"/>
      <c r="P701"/>
    </row>
    <row r="702" spans="2:16" x14ac:dyDescent="0.2">
      <c r="B702"/>
      <c r="C702" s="61"/>
      <c r="D702" s="61"/>
      <c r="G702"/>
      <c r="H702"/>
      <c r="I702"/>
      <c r="K702"/>
      <c r="L702"/>
      <c r="M702"/>
      <c r="N702"/>
      <c r="O702" s="61"/>
      <c r="P702"/>
    </row>
    <row r="703" spans="2:16" x14ac:dyDescent="0.2">
      <c r="B703"/>
      <c r="C703" s="61"/>
      <c r="D703" s="61"/>
      <c r="G703"/>
      <c r="H703"/>
      <c r="J703"/>
      <c r="M703"/>
      <c r="N703"/>
      <c r="O703" s="61"/>
      <c r="P703"/>
    </row>
    <row r="704" spans="2:16" x14ac:dyDescent="0.2">
      <c r="B704"/>
      <c r="C704" s="61"/>
      <c r="D704" s="61"/>
      <c r="G704"/>
      <c r="H704"/>
      <c r="J704"/>
      <c r="M704"/>
      <c r="N704"/>
      <c r="O704" s="61"/>
      <c r="P704"/>
    </row>
    <row r="705" spans="2:16" x14ac:dyDescent="0.2">
      <c r="B705"/>
      <c r="C705" s="61"/>
      <c r="D705" s="61"/>
      <c r="G705"/>
      <c r="H705"/>
      <c r="I705"/>
      <c r="J705"/>
      <c r="K705"/>
      <c r="L705"/>
      <c r="M705"/>
      <c r="N705"/>
      <c r="O705" s="61"/>
      <c r="P705"/>
    </row>
    <row r="706" spans="2:16" x14ac:dyDescent="0.2">
      <c r="B706"/>
      <c r="C706" s="61"/>
      <c r="D706" s="61"/>
      <c r="G706"/>
      <c r="H706"/>
      <c r="I706"/>
      <c r="J706"/>
      <c r="M706"/>
      <c r="N706"/>
      <c r="O706" s="61"/>
      <c r="P706"/>
    </row>
    <row r="707" spans="2:16" x14ac:dyDescent="0.2">
      <c r="B707"/>
      <c r="C707" s="61"/>
      <c r="D707" s="61"/>
      <c r="G707"/>
      <c r="H707"/>
      <c r="I707"/>
      <c r="J707"/>
      <c r="K707"/>
      <c r="L707"/>
      <c r="M707"/>
      <c r="N707"/>
      <c r="O707" s="61"/>
      <c r="P707"/>
    </row>
    <row r="708" spans="2:16" x14ac:dyDescent="0.2">
      <c r="B708"/>
      <c r="C708" s="61"/>
      <c r="D708" s="61"/>
      <c r="G708"/>
      <c r="H708"/>
      <c r="J708"/>
      <c r="M708"/>
      <c r="N708"/>
      <c r="O708" s="61"/>
      <c r="P708"/>
    </row>
    <row r="709" spans="2:16" x14ac:dyDescent="0.2">
      <c r="B709"/>
      <c r="C709" s="61"/>
      <c r="D709" s="61"/>
      <c r="G709"/>
      <c r="H709"/>
      <c r="I709"/>
      <c r="J709"/>
      <c r="M709"/>
      <c r="N709"/>
      <c r="O709" s="61"/>
      <c r="P709"/>
    </row>
    <row r="710" spans="2:16" x14ac:dyDescent="0.2">
      <c r="B710"/>
      <c r="C710" s="61"/>
      <c r="D710" s="61"/>
      <c r="G710"/>
      <c r="H710"/>
      <c r="I710"/>
      <c r="J710"/>
      <c r="M710"/>
      <c r="N710"/>
      <c r="O710" s="61"/>
      <c r="P710"/>
    </row>
    <row r="711" spans="2:16" x14ac:dyDescent="0.2">
      <c r="B711"/>
      <c r="C711" s="61"/>
      <c r="D711" s="61"/>
      <c r="G711"/>
      <c r="H711"/>
      <c r="I711"/>
      <c r="J711"/>
      <c r="M711"/>
      <c r="N711"/>
      <c r="O711" s="61"/>
      <c r="P711"/>
    </row>
    <row r="712" spans="2:16" x14ac:dyDescent="0.2">
      <c r="B712"/>
      <c r="C712" s="61"/>
      <c r="D712" s="61"/>
      <c r="G712"/>
      <c r="H712"/>
      <c r="I712"/>
      <c r="J712"/>
      <c r="M712"/>
      <c r="N712"/>
      <c r="O712" s="61"/>
      <c r="P712"/>
    </row>
    <row r="713" spans="2:16" x14ac:dyDescent="0.2">
      <c r="B713"/>
      <c r="C713" s="61"/>
      <c r="D713" s="61"/>
      <c r="G713"/>
      <c r="H713"/>
      <c r="J713"/>
      <c r="M713"/>
      <c r="N713"/>
      <c r="O713" s="61"/>
      <c r="P713"/>
    </row>
    <row r="714" spans="2:16" x14ac:dyDescent="0.2">
      <c r="B714"/>
      <c r="C714" s="61"/>
      <c r="D714" s="61"/>
      <c r="G714"/>
      <c r="H714"/>
      <c r="I714"/>
      <c r="J714"/>
      <c r="M714"/>
      <c r="N714"/>
      <c r="O714" s="61"/>
      <c r="P714"/>
    </row>
    <row r="715" spans="2:16" x14ac:dyDescent="0.2">
      <c r="B715"/>
      <c r="C715" s="61"/>
      <c r="D715" s="61"/>
      <c r="G715"/>
      <c r="H715"/>
      <c r="I715"/>
      <c r="J715"/>
      <c r="M715"/>
      <c r="N715"/>
      <c r="O715" s="61"/>
      <c r="P715"/>
    </row>
    <row r="716" spans="2:16" x14ac:dyDescent="0.2">
      <c r="B716"/>
      <c r="C716" s="61"/>
      <c r="D716" s="61"/>
      <c r="G716"/>
      <c r="H716"/>
      <c r="I716"/>
      <c r="J716"/>
      <c r="M716"/>
      <c r="N716"/>
      <c r="O716" s="61"/>
      <c r="P716"/>
    </row>
    <row r="717" spans="2:16" x14ac:dyDescent="0.2">
      <c r="B717"/>
      <c r="C717" s="61"/>
      <c r="D717" s="61"/>
      <c r="G717"/>
      <c r="H717"/>
      <c r="M717"/>
      <c r="N717"/>
      <c r="O717" s="61"/>
      <c r="P717"/>
    </row>
    <row r="718" spans="2:16" x14ac:dyDescent="0.2">
      <c r="B718"/>
      <c r="C718" s="61"/>
      <c r="D718" s="61"/>
      <c r="G718"/>
      <c r="H718"/>
      <c r="I718"/>
      <c r="J718"/>
      <c r="M718"/>
      <c r="N718"/>
      <c r="O718" s="61"/>
      <c r="P718"/>
    </row>
    <row r="719" spans="2:16" x14ac:dyDescent="0.2">
      <c r="B719"/>
      <c r="C719" s="61"/>
      <c r="D719" s="61"/>
      <c r="G719"/>
      <c r="H719"/>
      <c r="I719"/>
      <c r="J719"/>
      <c r="M719"/>
      <c r="N719"/>
      <c r="O719" s="61"/>
      <c r="P719"/>
    </row>
    <row r="720" spans="2:16" x14ac:dyDescent="0.2">
      <c r="B720"/>
      <c r="C720" s="61"/>
      <c r="D720" s="61"/>
      <c r="G720"/>
      <c r="H720"/>
      <c r="J720"/>
      <c r="M720"/>
      <c r="N720"/>
      <c r="O720" s="61"/>
      <c r="P720"/>
    </row>
    <row r="721" spans="2:16" x14ac:dyDescent="0.2">
      <c r="B721"/>
      <c r="C721" s="61"/>
      <c r="D721" s="61"/>
      <c r="G721"/>
      <c r="H721"/>
      <c r="M721"/>
      <c r="N721"/>
      <c r="O721" s="61"/>
      <c r="P721"/>
    </row>
    <row r="722" spans="2:16" x14ac:dyDescent="0.2">
      <c r="B722"/>
      <c r="C722" s="61"/>
      <c r="D722" s="61"/>
      <c r="G722"/>
      <c r="H722"/>
      <c r="I722"/>
      <c r="K722"/>
      <c r="L722"/>
      <c r="M722"/>
      <c r="N722"/>
      <c r="O722" s="61"/>
      <c r="P722"/>
    </row>
    <row r="723" spans="2:16" x14ac:dyDescent="0.2">
      <c r="B723"/>
      <c r="C723" s="61"/>
      <c r="D723" s="61"/>
      <c r="G723"/>
      <c r="H723"/>
      <c r="I723"/>
      <c r="J723"/>
      <c r="M723"/>
      <c r="N723"/>
      <c r="O723" s="61"/>
      <c r="P723"/>
    </row>
    <row r="724" spans="2:16" x14ac:dyDescent="0.2">
      <c r="B724"/>
      <c r="C724" s="61"/>
      <c r="D724" s="61"/>
      <c r="G724"/>
      <c r="H724"/>
      <c r="K724"/>
      <c r="L724"/>
      <c r="M724"/>
      <c r="N724"/>
      <c r="O724" s="61"/>
      <c r="P724"/>
    </row>
    <row r="725" spans="2:16" x14ac:dyDescent="0.2">
      <c r="B725"/>
      <c r="C725" s="61"/>
      <c r="D725" s="61"/>
      <c r="G725"/>
      <c r="H725"/>
      <c r="I725"/>
      <c r="J725"/>
      <c r="M725"/>
      <c r="N725"/>
      <c r="O725" s="61"/>
      <c r="P725"/>
    </row>
    <row r="726" spans="2:16" x14ac:dyDescent="0.2">
      <c r="B726"/>
      <c r="C726" s="61"/>
      <c r="D726" s="61"/>
      <c r="G726"/>
      <c r="H726"/>
      <c r="I726"/>
      <c r="J726"/>
      <c r="M726"/>
      <c r="N726"/>
      <c r="O726" s="61"/>
      <c r="P726"/>
    </row>
    <row r="727" spans="2:16" x14ac:dyDescent="0.2">
      <c r="B727"/>
      <c r="C727" s="61"/>
      <c r="D727" s="61"/>
      <c r="G727"/>
      <c r="H727"/>
      <c r="J727"/>
      <c r="L727"/>
      <c r="M727"/>
      <c r="N727"/>
      <c r="O727" s="61"/>
      <c r="P727"/>
    </row>
    <row r="728" spans="2:16" x14ac:dyDescent="0.2">
      <c r="B728"/>
      <c r="C728" s="61"/>
      <c r="D728" s="61"/>
      <c r="G728"/>
      <c r="H728"/>
      <c r="M728"/>
      <c r="N728"/>
      <c r="O728" s="61"/>
      <c r="P728"/>
    </row>
    <row r="729" spans="2:16" x14ac:dyDescent="0.2">
      <c r="B729"/>
      <c r="C729" s="61"/>
      <c r="D729" s="61"/>
      <c r="G729"/>
      <c r="H729"/>
      <c r="M729"/>
      <c r="N729"/>
      <c r="O729" s="61"/>
      <c r="P729"/>
    </row>
    <row r="730" spans="2:16" x14ac:dyDescent="0.2">
      <c r="B730"/>
      <c r="C730" s="61"/>
      <c r="D730" s="61"/>
      <c r="G730"/>
      <c r="H730"/>
      <c r="I730"/>
      <c r="J730"/>
      <c r="M730"/>
      <c r="N730"/>
      <c r="O730" s="61"/>
      <c r="P730"/>
    </row>
    <row r="731" spans="2:16" x14ac:dyDescent="0.2">
      <c r="B731"/>
      <c r="C731" s="61"/>
      <c r="D731" s="61"/>
      <c r="G731"/>
      <c r="H731"/>
      <c r="K731"/>
      <c r="M731"/>
      <c r="N731"/>
      <c r="O731" s="61"/>
      <c r="P731"/>
    </row>
    <row r="732" spans="2:16" x14ac:dyDescent="0.2">
      <c r="B732"/>
      <c r="C732" s="61"/>
      <c r="D732" s="61"/>
      <c r="G732"/>
      <c r="H732"/>
      <c r="I732"/>
      <c r="M732"/>
      <c r="N732"/>
      <c r="O732" s="61"/>
      <c r="P732"/>
    </row>
    <row r="733" spans="2:16" x14ac:dyDescent="0.2">
      <c r="B733"/>
      <c r="C733" s="61"/>
      <c r="D733" s="61"/>
      <c r="G733"/>
      <c r="H733"/>
      <c r="I733"/>
      <c r="J733"/>
      <c r="M733"/>
      <c r="N733"/>
      <c r="O733" s="61"/>
      <c r="P733"/>
    </row>
    <row r="734" spans="2:16" x14ac:dyDescent="0.2">
      <c r="B734"/>
      <c r="C734" s="61"/>
      <c r="D734" s="61"/>
      <c r="G734"/>
      <c r="H734"/>
      <c r="M734"/>
      <c r="N734"/>
      <c r="O734" s="61"/>
      <c r="P734"/>
    </row>
    <row r="735" spans="2:16" x14ac:dyDescent="0.2">
      <c r="B735"/>
      <c r="C735" s="61"/>
      <c r="D735" s="61"/>
      <c r="G735"/>
      <c r="H735"/>
      <c r="K735"/>
      <c r="L735"/>
      <c r="M735"/>
      <c r="N735"/>
      <c r="O735" s="61"/>
      <c r="P735"/>
    </row>
    <row r="736" spans="2:16" x14ac:dyDescent="0.2">
      <c r="B736"/>
      <c r="C736" s="61"/>
      <c r="D736" s="61"/>
      <c r="G736"/>
      <c r="H736"/>
      <c r="I736"/>
      <c r="J736"/>
      <c r="M736"/>
      <c r="N736"/>
      <c r="O736" s="61"/>
      <c r="P736"/>
    </row>
    <row r="737" spans="2:16" x14ac:dyDescent="0.2">
      <c r="B737"/>
      <c r="C737" s="61"/>
      <c r="D737" s="61"/>
      <c r="G737"/>
      <c r="H737"/>
      <c r="N737"/>
      <c r="O737" s="61"/>
      <c r="P737"/>
    </row>
    <row r="738" spans="2:16" x14ac:dyDescent="0.2">
      <c r="B738"/>
      <c r="C738" s="61"/>
      <c r="D738" s="61"/>
      <c r="G738"/>
      <c r="H738"/>
      <c r="I738"/>
      <c r="J738"/>
      <c r="M738"/>
      <c r="N738"/>
      <c r="O738" s="61"/>
      <c r="P738"/>
    </row>
    <row r="739" spans="2:16" x14ac:dyDescent="0.2">
      <c r="B739"/>
      <c r="C739" s="61"/>
      <c r="D739" s="61"/>
      <c r="G739"/>
      <c r="H739"/>
      <c r="J739"/>
      <c r="M739"/>
      <c r="N739"/>
      <c r="O739" s="61"/>
      <c r="P739"/>
    </row>
    <row r="740" spans="2:16" x14ac:dyDescent="0.2">
      <c r="B740"/>
      <c r="C740" s="61"/>
      <c r="D740" s="61"/>
      <c r="G740"/>
      <c r="H740"/>
      <c r="I740"/>
      <c r="J740"/>
      <c r="M740"/>
      <c r="N740"/>
      <c r="O740" s="61"/>
      <c r="P740"/>
    </row>
    <row r="741" spans="2:16" x14ac:dyDescent="0.2">
      <c r="B741"/>
      <c r="C741" s="61"/>
      <c r="D741" s="61"/>
      <c r="G741"/>
      <c r="H741"/>
      <c r="I741"/>
      <c r="J741"/>
      <c r="M741"/>
      <c r="N741"/>
      <c r="O741" s="61"/>
      <c r="P741"/>
    </row>
    <row r="742" spans="2:16" x14ac:dyDescent="0.2">
      <c r="B742"/>
      <c r="C742" s="61"/>
      <c r="D742" s="61"/>
      <c r="G742"/>
      <c r="H742"/>
      <c r="I742"/>
      <c r="J742"/>
      <c r="M742"/>
      <c r="O742" s="61"/>
      <c r="P742"/>
    </row>
    <row r="743" spans="2:16" x14ac:dyDescent="0.2">
      <c r="B743"/>
      <c r="C743" s="61"/>
      <c r="D743" s="61"/>
      <c r="G743"/>
      <c r="H743"/>
      <c r="I743"/>
      <c r="J743"/>
      <c r="M743"/>
      <c r="N743"/>
      <c r="O743" s="61"/>
      <c r="P743"/>
    </row>
    <row r="744" spans="2:16" x14ac:dyDescent="0.2">
      <c r="B744"/>
      <c r="C744" s="61"/>
      <c r="D744" s="61"/>
      <c r="G744"/>
      <c r="H744"/>
      <c r="M744"/>
      <c r="N744"/>
      <c r="O744" s="61"/>
      <c r="P744"/>
    </row>
    <row r="745" spans="2:16" x14ac:dyDescent="0.2">
      <c r="B745"/>
      <c r="C745" s="61"/>
      <c r="D745" s="61"/>
      <c r="G745"/>
      <c r="H745"/>
      <c r="I745"/>
      <c r="J745"/>
      <c r="M745"/>
      <c r="N745"/>
      <c r="O745" s="61"/>
      <c r="P745"/>
    </row>
    <row r="746" spans="2:16" x14ac:dyDescent="0.2">
      <c r="B746"/>
      <c r="C746" s="61"/>
      <c r="D746" s="61"/>
      <c r="G746"/>
      <c r="H746"/>
      <c r="M746"/>
      <c r="N746"/>
      <c r="O746" s="61"/>
      <c r="P746"/>
    </row>
    <row r="747" spans="2:16" x14ac:dyDescent="0.2">
      <c r="B747"/>
      <c r="C747" s="61"/>
      <c r="D747" s="61"/>
      <c r="G747"/>
      <c r="H747"/>
      <c r="I747"/>
      <c r="J747"/>
      <c r="M747"/>
      <c r="N747"/>
      <c r="O747" s="61"/>
      <c r="P747"/>
    </row>
    <row r="748" spans="2:16" x14ac:dyDescent="0.2">
      <c r="B748"/>
      <c r="C748" s="61"/>
      <c r="D748" s="61"/>
      <c r="G748"/>
      <c r="H748"/>
      <c r="I748"/>
      <c r="J748"/>
      <c r="M748"/>
      <c r="N748"/>
      <c r="O748" s="61"/>
      <c r="P748"/>
    </row>
    <row r="749" spans="2:16" x14ac:dyDescent="0.2">
      <c r="B749"/>
      <c r="C749" s="61"/>
      <c r="D749" s="61"/>
      <c r="G749"/>
      <c r="H749"/>
      <c r="I749"/>
      <c r="J749"/>
      <c r="M749"/>
      <c r="N749"/>
      <c r="O749" s="61"/>
      <c r="P749"/>
    </row>
    <row r="750" spans="2:16" x14ac:dyDescent="0.2">
      <c r="B750"/>
      <c r="C750" s="61"/>
      <c r="D750" s="61"/>
      <c r="G750"/>
      <c r="H750"/>
      <c r="M750"/>
      <c r="N750"/>
      <c r="O750" s="61"/>
      <c r="P750"/>
    </row>
    <row r="751" spans="2:16" x14ac:dyDescent="0.2">
      <c r="B751"/>
      <c r="C751" s="61"/>
      <c r="D751" s="61"/>
      <c r="G751"/>
      <c r="H751"/>
      <c r="I751"/>
      <c r="J751"/>
      <c r="M751"/>
      <c r="N751"/>
      <c r="O751" s="61"/>
      <c r="P751"/>
    </row>
    <row r="752" spans="2:16" x14ac:dyDescent="0.2">
      <c r="B752"/>
      <c r="C752" s="61"/>
      <c r="D752" s="61"/>
      <c r="G752"/>
      <c r="H752"/>
      <c r="I752"/>
      <c r="J752"/>
      <c r="M752"/>
      <c r="N752"/>
      <c r="O752" s="61"/>
      <c r="P752"/>
    </row>
    <row r="753" spans="2:16" x14ac:dyDescent="0.2">
      <c r="B753"/>
      <c r="C753" s="61"/>
      <c r="D753" s="61"/>
      <c r="G753"/>
      <c r="H753"/>
      <c r="N753"/>
      <c r="O753" s="61"/>
      <c r="P753"/>
    </row>
    <row r="754" spans="2:16" x14ac:dyDescent="0.2">
      <c r="B754"/>
      <c r="C754" s="61"/>
      <c r="D754" s="61"/>
      <c r="G754"/>
      <c r="H754"/>
      <c r="I754"/>
      <c r="J754"/>
      <c r="M754"/>
      <c r="N754"/>
      <c r="O754" s="61"/>
      <c r="P754"/>
    </row>
    <row r="755" spans="2:16" x14ac:dyDescent="0.2">
      <c r="B755"/>
      <c r="C755" s="61"/>
      <c r="D755" s="61"/>
      <c r="G755"/>
      <c r="H755"/>
      <c r="I755"/>
      <c r="J755"/>
      <c r="M755"/>
      <c r="N755"/>
      <c r="O755" s="61"/>
      <c r="P755"/>
    </row>
    <row r="756" spans="2:16" x14ac:dyDescent="0.2">
      <c r="B756"/>
      <c r="C756" s="61"/>
      <c r="D756" s="61"/>
      <c r="G756"/>
      <c r="H756"/>
      <c r="I756"/>
      <c r="J756"/>
      <c r="M756"/>
      <c r="N756"/>
      <c r="O756" s="61"/>
      <c r="P756"/>
    </row>
    <row r="757" spans="2:16" x14ac:dyDescent="0.2">
      <c r="B757"/>
      <c r="C757" s="61"/>
      <c r="D757" s="61"/>
      <c r="G757"/>
      <c r="H757"/>
      <c r="I757"/>
      <c r="K757"/>
      <c r="L757"/>
      <c r="M757"/>
      <c r="N757"/>
      <c r="O757" s="61"/>
      <c r="P757"/>
    </row>
    <row r="758" spans="2:16" x14ac:dyDescent="0.2">
      <c r="B758"/>
      <c r="C758" s="61"/>
      <c r="D758" s="61"/>
      <c r="G758"/>
      <c r="H758"/>
      <c r="I758"/>
      <c r="M758"/>
      <c r="N758"/>
      <c r="O758" s="61"/>
      <c r="P758"/>
    </row>
    <row r="759" spans="2:16" x14ac:dyDescent="0.2">
      <c r="B759"/>
      <c r="C759" s="61"/>
      <c r="D759" s="61"/>
      <c r="G759"/>
      <c r="H759"/>
      <c r="I759"/>
      <c r="J759"/>
      <c r="M759"/>
      <c r="N759"/>
      <c r="O759" s="61"/>
      <c r="P759"/>
    </row>
    <row r="760" spans="2:16" x14ac:dyDescent="0.2">
      <c r="B760"/>
      <c r="C760" s="61"/>
      <c r="D760" s="61"/>
      <c r="G760"/>
      <c r="H760"/>
      <c r="J760"/>
      <c r="M760"/>
      <c r="N760"/>
      <c r="O760" s="61"/>
      <c r="P760"/>
    </row>
    <row r="761" spans="2:16" x14ac:dyDescent="0.2">
      <c r="B761"/>
      <c r="C761" s="61"/>
      <c r="D761" s="61"/>
      <c r="G761"/>
      <c r="H761"/>
      <c r="I761"/>
      <c r="J761"/>
      <c r="M761"/>
      <c r="N761"/>
      <c r="O761" s="61"/>
      <c r="P761"/>
    </row>
    <row r="762" spans="2:16" x14ac:dyDescent="0.2">
      <c r="B762"/>
      <c r="C762" s="61"/>
      <c r="D762" s="61"/>
      <c r="G762"/>
      <c r="H762"/>
      <c r="I762"/>
      <c r="J762"/>
      <c r="M762"/>
      <c r="N762"/>
      <c r="O762" s="61"/>
      <c r="P762"/>
    </row>
    <row r="763" spans="2:16" x14ac:dyDescent="0.2">
      <c r="B763"/>
      <c r="C763" s="61"/>
      <c r="D763" s="61"/>
      <c r="G763"/>
      <c r="H763"/>
      <c r="I763"/>
      <c r="J763"/>
      <c r="M763"/>
      <c r="N763"/>
      <c r="O763" s="61"/>
      <c r="P763"/>
    </row>
    <row r="764" spans="2:16" x14ac:dyDescent="0.2">
      <c r="B764"/>
      <c r="C764" s="61"/>
      <c r="D764" s="61"/>
      <c r="G764"/>
      <c r="H764"/>
      <c r="I764"/>
      <c r="J764"/>
      <c r="M764"/>
      <c r="N764"/>
      <c r="O764" s="61"/>
      <c r="P764"/>
    </row>
    <row r="765" spans="2:16" x14ac:dyDescent="0.2">
      <c r="B765"/>
      <c r="C765" s="61"/>
      <c r="D765" s="61"/>
      <c r="G765"/>
      <c r="H765"/>
      <c r="M765"/>
      <c r="N765"/>
      <c r="O765" s="61"/>
      <c r="P765"/>
    </row>
    <row r="766" spans="2:16" x14ac:dyDescent="0.2">
      <c r="B766"/>
      <c r="C766" s="61"/>
      <c r="D766" s="61"/>
      <c r="G766"/>
      <c r="H766"/>
      <c r="N766"/>
      <c r="O766" s="61"/>
      <c r="P766"/>
    </row>
    <row r="767" spans="2:16" x14ac:dyDescent="0.2">
      <c r="B767"/>
      <c r="C767" s="61"/>
      <c r="D767" s="61"/>
      <c r="G767"/>
      <c r="H767"/>
      <c r="J767"/>
      <c r="M767"/>
      <c r="N767"/>
      <c r="O767" s="61"/>
      <c r="P767"/>
    </row>
    <row r="768" spans="2:16" x14ac:dyDescent="0.2">
      <c r="B768"/>
      <c r="C768" s="61"/>
      <c r="D768" s="61"/>
      <c r="G768"/>
      <c r="H768"/>
      <c r="I768"/>
      <c r="J768"/>
      <c r="M768"/>
      <c r="N768"/>
      <c r="O768" s="61"/>
      <c r="P768"/>
    </row>
    <row r="769" spans="2:16" x14ac:dyDescent="0.2">
      <c r="B769"/>
      <c r="C769" s="61"/>
      <c r="D769" s="61"/>
      <c r="G769"/>
      <c r="H769"/>
      <c r="I769"/>
      <c r="J769"/>
      <c r="M769"/>
      <c r="N769"/>
      <c r="O769" s="61"/>
      <c r="P769"/>
    </row>
    <row r="770" spans="2:16" x14ac:dyDescent="0.2">
      <c r="B770"/>
      <c r="C770" s="61"/>
      <c r="D770" s="61"/>
      <c r="G770"/>
      <c r="H770"/>
      <c r="I770"/>
      <c r="J770"/>
      <c r="M770"/>
      <c r="N770"/>
      <c r="O770" s="61"/>
      <c r="P770"/>
    </row>
    <row r="771" spans="2:16" x14ac:dyDescent="0.2">
      <c r="B771"/>
      <c r="C771" s="61"/>
      <c r="D771" s="61"/>
      <c r="G771"/>
      <c r="H771"/>
      <c r="M771"/>
      <c r="N771"/>
      <c r="O771" s="61"/>
      <c r="P771"/>
    </row>
    <row r="772" spans="2:16" x14ac:dyDescent="0.2">
      <c r="B772"/>
      <c r="C772" s="61"/>
      <c r="D772" s="61"/>
      <c r="G772"/>
      <c r="H772"/>
      <c r="M772"/>
      <c r="N772"/>
      <c r="O772" s="61"/>
      <c r="P772"/>
    </row>
    <row r="773" spans="2:16" x14ac:dyDescent="0.2">
      <c r="B773"/>
      <c r="C773" s="61"/>
      <c r="D773" s="61"/>
      <c r="G773"/>
      <c r="H773"/>
      <c r="I773"/>
      <c r="K773"/>
      <c r="L773"/>
      <c r="M773"/>
      <c r="N773"/>
      <c r="O773" s="61"/>
      <c r="P773"/>
    </row>
    <row r="774" spans="2:16" x14ac:dyDescent="0.2">
      <c r="B774"/>
      <c r="C774" s="61"/>
      <c r="D774" s="61"/>
      <c r="G774"/>
      <c r="H774"/>
      <c r="I774"/>
      <c r="J774"/>
      <c r="M774"/>
      <c r="N774"/>
      <c r="O774" s="61"/>
      <c r="P774"/>
    </row>
    <row r="775" spans="2:16" x14ac:dyDescent="0.2">
      <c r="B775"/>
      <c r="C775" s="61"/>
      <c r="D775" s="61"/>
      <c r="G775"/>
      <c r="H775"/>
      <c r="M775"/>
      <c r="N775"/>
      <c r="O775" s="61"/>
      <c r="P775"/>
    </row>
    <row r="776" spans="2:16" x14ac:dyDescent="0.2">
      <c r="B776"/>
      <c r="C776" s="61"/>
      <c r="D776" s="61"/>
      <c r="G776"/>
      <c r="H776"/>
      <c r="N776"/>
      <c r="O776" s="61"/>
      <c r="P776"/>
    </row>
    <row r="777" spans="2:16" x14ac:dyDescent="0.2">
      <c r="B777"/>
      <c r="C777" s="61"/>
      <c r="D777" s="61"/>
      <c r="G777"/>
      <c r="H777"/>
      <c r="I777"/>
      <c r="J777"/>
      <c r="M777"/>
      <c r="O777" s="61"/>
      <c r="P777"/>
    </row>
    <row r="778" spans="2:16" x14ac:dyDescent="0.2">
      <c r="B778"/>
      <c r="C778" s="61"/>
      <c r="D778" s="61"/>
      <c r="G778"/>
      <c r="H778"/>
      <c r="I778"/>
      <c r="K778"/>
      <c r="L778"/>
      <c r="M778"/>
      <c r="N778"/>
      <c r="O778" s="61"/>
      <c r="P778"/>
    </row>
    <row r="779" spans="2:16" x14ac:dyDescent="0.2">
      <c r="B779"/>
      <c r="C779" s="61"/>
      <c r="D779" s="61"/>
      <c r="G779"/>
      <c r="H779"/>
      <c r="I779"/>
      <c r="K779"/>
      <c r="L779"/>
      <c r="M779"/>
      <c r="N779"/>
      <c r="O779" s="61"/>
      <c r="P779"/>
    </row>
    <row r="780" spans="2:16" x14ac:dyDescent="0.2">
      <c r="B780"/>
      <c r="C780" s="61"/>
      <c r="D780" s="61"/>
      <c r="G780"/>
      <c r="H780"/>
      <c r="I780"/>
      <c r="K780"/>
      <c r="L780"/>
      <c r="M780"/>
      <c r="N780"/>
      <c r="O780" s="61"/>
      <c r="P780"/>
    </row>
    <row r="781" spans="2:16" x14ac:dyDescent="0.2">
      <c r="B781"/>
      <c r="C781" s="61"/>
      <c r="D781" s="61"/>
      <c r="G781"/>
      <c r="H781"/>
      <c r="I781"/>
      <c r="J781"/>
      <c r="M781"/>
      <c r="N781"/>
      <c r="O781" s="61"/>
      <c r="P781"/>
    </row>
    <row r="782" spans="2:16" x14ac:dyDescent="0.2">
      <c r="B782"/>
      <c r="C782" s="61"/>
      <c r="D782" s="61"/>
      <c r="G782"/>
      <c r="H782"/>
      <c r="M782"/>
      <c r="N782"/>
      <c r="O782" s="61"/>
      <c r="P782"/>
    </row>
    <row r="783" spans="2:16" x14ac:dyDescent="0.2">
      <c r="B783"/>
      <c r="C783" s="61"/>
      <c r="D783" s="61"/>
      <c r="G783"/>
      <c r="H783"/>
      <c r="I783"/>
      <c r="J783"/>
      <c r="M783"/>
      <c r="N783"/>
      <c r="O783" s="61"/>
      <c r="P783"/>
    </row>
    <row r="784" spans="2:16" x14ac:dyDescent="0.2">
      <c r="B784"/>
      <c r="C784" s="61"/>
      <c r="D784" s="61"/>
      <c r="G784"/>
      <c r="H784"/>
      <c r="M784"/>
      <c r="N784"/>
      <c r="O784" s="61"/>
      <c r="P784"/>
    </row>
    <row r="785" spans="2:16" x14ac:dyDescent="0.2">
      <c r="B785"/>
      <c r="C785" s="61"/>
      <c r="D785" s="61"/>
      <c r="G785"/>
      <c r="H785"/>
      <c r="M785"/>
      <c r="N785"/>
      <c r="O785" s="61"/>
      <c r="P785"/>
    </row>
    <row r="786" spans="2:16" x14ac:dyDescent="0.2">
      <c r="B786"/>
      <c r="C786" s="61"/>
      <c r="D786" s="61"/>
      <c r="G786"/>
      <c r="H786"/>
      <c r="J786"/>
      <c r="M786"/>
      <c r="N786"/>
      <c r="O786" s="61"/>
      <c r="P786"/>
    </row>
    <row r="787" spans="2:16" x14ac:dyDescent="0.2">
      <c r="B787"/>
      <c r="C787" s="61"/>
      <c r="D787" s="61"/>
      <c r="G787"/>
      <c r="H787"/>
      <c r="I787"/>
      <c r="J787"/>
      <c r="M787"/>
      <c r="N787"/>
      <c r="O787" s="61"/>
      <c r="P787"/>
    </row>
    <row r="788" spans="2:16" x14ac:dyDescent="0.2">
      <c r="B788"/>
      <c r="C788" s="61"/>
      <c r="D788" s="61"/>
      <c r="G788"/>
      <c r="H788"/>
      <c r="I788"/>
      <c r="J788"/>
      <c r="M788"/>
      <c r="O788" s="61"/>
      <c r="P788"/>
    </row>
    <row r="789" spans="2:16" x14ac:dyDescent="0.2">
      <c r="B789"/>
      <c r="C789" s="61"/>
      <c r="D789" s="61"/>
      <c r="G789"/>
      <c r="H789"/>
      <c r="I789"/>
      <c r="M789"/>
      <c r="N789"/>
      <c r="O789" s="61"/>
      <c r="P789"/>
    </row>
    <row r="790" spans="2:16" x14ac:dyDescent="0.2">
      <c r="B790"/>
      <c r="C790" s="61"/>
      <c r="D790" s="61"/>
      <c r="G790"/>
      <c r="H790"/>
      <c r="M790"/>
      <c r="N790"/>
      <c r="O790" s="61"/>
      <c r="P790"/>
    </row>
    <row r="791" spans="2:16" x14ac:dyDescent="0.2">
      <c r="B791"/>
      <c r="C791" s="61"/>
      <c r="D791" s="61"/>
      <c r="G791"/>
      <c r="H791"/>
      <c r="J791"/>
      <c r="M791"/>
      <c r="N791"/>
      <c r="O791" s="61"/>
      <c r="P791"/>
    </row>
    <row r="792" spans="2:16" x14ac:dyDescent="0.2">
      <c r="B792"/>
      <c r="C792" s="61"/>
      <c r="D792" s="61"/>
      <c r="G792"/>
      <c r="H792"/>
      <c r="M792"/>
      <c r="N792"/>
      <c r="O792" s="61"/>
      <c r="P792"/>
    </row>
    <row r="793" spans="2:16" x14ac:dyDescent="0.2">
      <c r="B793"/>
      <c r="C793" s="61"/>
      <c r="D793" s="61"/>
      <c r="G793"/>
      <c r="H793"/>
      <c r="I793"/>
      <c r="J793"/>
      <c r="K793"/>
      <c r="L793"/>
      <c r="M793"/>
      <c r="N793"/>
      <c r="O793" s="61"/>
      <c r="P793"/>
    </row>
    <row r="794" spans="2:16" x14ac:dyDescent="0.2">
      <c r="B794"/>
      <c r="C794" s="61"/>
      <c r="D794" s="61"/>
      <c r="G794"/>
      <c r="H794"/>
      <c r="K794"/>
      <c r="N794"/>
      <c r="O794" s="61"/>
      <c r="P794"/>
    </row>
    <row r="795" spans="2:16" x14ac:dyDescent="0.2">
      <c r="B795"/>
      <c r="C795" s="61"/>
      <c r="D795" s="61"/>
      <c r="G795"/>
      <c r="H795"/>
      <c r="J795"/>
      <c r="M795"/>
      <c r="N795"/>
      <c r="O795" s="61"/>
      <c r="P795"/>
    </row>
    <row r="796" spans="2:16" x14ac:dyDescent="0.2">
      <c r="B796"/>
      <c r="C796" s="61"/>
      <c r="D796" s="61"/>
      <c r="G796"/>
      <c r="H796"/>
      <c r="I796"/>
      <c r="K796"/>
      <c r="L796"/>
      <c r="M796"/>
      <c r="N796"/>
      <c r="O796" s="61"/>
      <c r="P796"/>
    </row>
    <row r="797" spans="2:16" x14ac:dyDescent="0.2">
      <c r="B797"/>
      <c r="C797" s="61"/>
      <c r="D797" s="61"/>
      <c r="G797"/>
      <c r="H797"/>
      <c r="M797"/>
      <c r="N797"/>
      <c r="O797" s="61"/>
      <c r="P797"/>
    </row>
    <row r="798" spans="2:16" x14ac:dyDescent="0.2">
      <c r="B798"/>
      <c r="C798" s="61"/>
      <c r="D798" s="61"/>
      <c r="G798"/>
      <c r="H798"/>
      <c r="K798"/>
      <c r="L798"/>
      <c r="M798"/>
      <c r="N798"/>
      <c r="O798" s="61"/>
      <c r="P798"/>
    </row>
    <row r="799" spans="2:16" x14ac:dyDescent="0.2">
      <c r="B799"/>
      <c r="C799" s="61"/>
      <c r="D799" s="61"/>
      <c r="G799"/>
      <c r="H799"/>
      <c r="J799"/>
      <c r="M799"/>
      <c r="N799"/>
      <c r="O799" s="61"/>
      <c r="P799"/>
    </row>
    <row r="800" spans="2:16" x14ac:dyDescent="0.2">
      <c r="B800"/>
      <c r="C800" s="61"/>
      <c r="D800" s="61"/>
      <c r="G800"/>
      <c r="H800"/>
      <c r="I800"/>
      <c r="J800"/>
      <c r="M800"/>
      <c r="N800"/>
      <c r="O800" s="61"/>
      <c r="P800"/>
    </row>
    <row r="801" spans="2:16" x14ac:dyDescent="0.2">
      <c r="B801"/>
      <c r="C801" s="61"/>
      <c r="D801" s="61"/>
      <c r="G801"/>
      <c r="H801"/>
      <c r="M801"/>
      <c r="N801"/>
      <c r="O801" s="61"/>
      <c r="P801"/>
    </row>
    <row r="802" spans="2:16" x14ac:dyDescent="0.2">
      <c r="B802"/>
      <c r="C802" s="61"/>
      <c r="D802" s="61"/>
      <c r="G802"/>
      <c r="H802"/>
      <c r="M802"/>
      <c r="N802"/>
      <c r="O802" s="61"/>
      <c r="P802"/>
    </row>
    <row r="803" spans="2:16" x14ac:dyDescent="0.2">
      <c r="B803"/>
      <c r="C803" s="61"/>
      <c r="D803" s="61"/>
      <c r="G803"/>
      <c r="H803"/>
      <c r="I803"/>
      <c r="J803"/>
      <c r="M803"/>
      <c r="N803"/>
      <c r="O803" s="61"/>
      <c r="P803"/>
    </row>
    <row r="804" spans="2:16" x14ac:dyDescent="0.2">
      <c r="B804"/>
      <c r="C804" s="61"/>
      <c r="D804" s="61"/>
      <c r="G804"/>
      <c r="H804"/>
      <c r="M804"/>
      <c r="N804"/>
      <c r="O804" s="61"/>
      <c r="P804"/>
    </row>
    <row r="805" spans="2:16" x14ac:dyDescent="0.2">
      <c r="B805"/>
      <c r="C805" s="61"/>
      <c r="D805" s="61"/>
      <c r="G805"/>
      <c r="H805"/>
      <c r="I805"/>
      <c r="K805"/>
      <c r="L805"/>
      <c r="M805"/>
      <c r="N805"/>
      <c r="O805" s="61"/>
      <c r="P805"/>
    </row>
    <row r="806" spans="2:16" x14ac:dyDescent="0.2">
      <c r="B806"/>
      <c r="C806" s="61"/>
      <c r="D806" s="61"/>
      <c r="G806"/>
      <c r="H806"/>
      <c r="I806"/>
      <c r="J806"/>
      <c r="M806"/>
      <c r="N806"/>
      <c r="O806" s="61"/>
      <c r="P806"/>
    </row>
    <row r="807" spans="2:16" x14ac:dyDescent="0.2">
      <c r="B807"/>
      <c r="C807" s="61"/>
      <c r="D807" s="61"/>
      <c r="G807"/>
      <c r="H807"/>
      <c r="J807"/>
      <c r="M807"/>
      <c r="N807"/>
      <c r="O807" s="61"/>
      <c r="P807"/>
    </row>
    <row r="808" spans="2:16" x14ac:dyDescent="0.2">
      <c r="B808"/>
      <c r="C808" s="61"/>
      <c r="D808" s="61"/>
      <c r="G808"/>
      <c r="H808"/>
      <c r="I808"/>
      <c r="J808"/>
      <c r="M808"/>
      <c r="N808"/>
      <c r="O808" s="61"/>
      <c r="P808"/>
    </row>
    <row r="809" spans="2:16" x14ac:dyDescent="0.2">
      <c r="B809"/>
      <c r="C809" s="61"/>
      <c r="D809" s="61"/>
      <c r="G809"/>
      <c r="H809"/>
      <c r="I809"/>
      <c r="J809"/>
      <c r="M809"/>
      <c r="N809"/>
      <c r="O809" s="61"/>
      <c r="P809"/>
    </row>
    <row r="810" spans="2:16" x14ac:dyDescent="0.2">
      <c r="B810"/>
      <c r="C810" s="61"/>
      <c r="D810" s="61"/>
      <c r="G810"/>
      <c r="H810"/>
      <c r="M810"/>
      <c r="N810"/>
      <c r="O810" s="61"/>
      <c r="P810"/>
    </row>
    <row r="811" spans="2:16" x14ac:dyDescent="0.2">
      <c r="B811"/>
      <c r="C811" s="61"/>
      <c r="D811" s="61"/>
      <c r="G811"/>
      <c r="H811"/>
      <c r="I811"/>
      <c r="J811"/>
      <c r="M811"/>
      <c r="N811"/>
      <c r="O811" s="61"/>
      <c r="P811"/>
    </row>
    <row r="812" spans="2:16" x14ac:dyDescent="0.2">
      <c r="B812"/>
      <c r="C812" s="61"/>
      <c r="D812" s="61"/>
      <c r="G812"/>
      <c r="H812"/>
      <c r="K812"/>
      <c r="L812"/>
      <c r="M812"/>
      <c r="N812"/>
      <c r="O812" s="61"/>
      <c r="P812"/>
    </row>
    <row r="813" spans="2:16" x14ac:dyDescent="0.2">
      <c r="B813"/>
      <c r="C813" s="61"/>
      <c r="D813" s="61"/>
      <c r="G813"/>
      <c r="H813"/>
      <c r="M813"/>
      <c r="N813"/>
      <c r="O813" s="61"/>
      <c r="P813"/>
    </row>
    <row r="814" spans="2:16" x14ac:dyDescent="0.2">
      <c r="B814"/>
      <c r="C814" s="61"/>
      <c r="D814" s="61"/>
      <c r="G814"/>
      <c r="H814"/>
      <c r="N814"/>
      <c r="O814" s="61"/>
      <c r="P814"/>
    </row>
    <row r="815" spans="2:16" x14ac:dyDescent="0.2">
      <c r="B815"/>
      <c r="C815" s="61"/>
      <c r="D815" s="61"/>
      <c r="G815"/>
      <c r="H815"/>
      <c r="I815"/>
      <c r="J815"/>
      <c r="M815"/>
      <c r="N815"/>
      <c r="O815" s="61"/>
      <c r="P815"/>
    </row>
    <row r="816" spans="2:16" x14ac:dyDescent="0.2">
      <c r="B816"/>
      <c r="C816" s="61"/>
      <c r="D816" s="61"/>
      <c r="G816"/>
      <c r="H816"/>
      <c r="I816"/>
      <c r="M816"/>
      <c r="N816"/>
      <c r="O816" s="61"/>
      <c r="P816"/>
    </row>
    <row r="817" spans="2:16" x14ac:dyDescent="0.2">
      <c r="B817"/>
      <c r="C817" s="61"/>
      <c r="D817" s="61"/>
      <c r="G817"/>
      <c r="H817"/>
      <c r="I817"/>
      <c r="J817"/>
      <c r="M817"/>
      <c r="N817"/>
      <c r="O817" s="61"/>
      <c r="P817"/>
    </row>
    <row r="818" spans="2:16" x14ac:dyDescent="0.2">
      <c r="B818"/>
      <c r="C818" s="61"/>
      <c r="D818" s="61"/>
      <c r="G818"/>
      <c r="H818"/>
      <c r="I818"/>
      <c r="J818"/>
      <c r="M818"/>
      <c r="N818"/>
      <c r="O818" s="61"/>
      <c r="P818"/>
    </row>
    <row r="819" spans="2:16" x14ac:dyDescent="0.2">
      <c r="B819"/>
      <c r="C819" s="61"/>
      <c r="D819" s="61"/>
      <c r="G819"/>
      <c r="H819"/>
      <c r="M819"/>
      <c r="N819"/>
      <c r="O819" s="61"/>
      <c r="P819"/>
    </row>
    <row r="820" spans="2:16" x14ac:dyDescent="0.2">
      <c r="B820"/>
      <c r="C820" s="61"/>
      <c r="D820" s="61"/>
      <c r="G820"/>
      <c r="H820"/>
      <c r="J820"/>
      <c r="M820"/>
      <c r="N820"/>
      <c r="O820" s="61"/>
      <c r="P820"/>
    </row>
    <row r="821" spans="2:16" x14ac:dyDescent="0.2">
      <c r="B821"/>
      <c r="C821" s="61"/>
      <c r="D821" s="61"/>
      <c r="G821"/>
      <c r="H821"/>
      <c r="I821"/>
      <c r="J821"/>
      <c r="M821"/>
      <c r="O821" s="61"/>
      <c r="P821"/>
    </row>
    <row r="822" spans="2:16" x14ac:dyDescent="0.2">
      <c r="B822"/>
      <c r="C822" s="61"/>
      <c r="D822" s="61"/>
      <c r="G822"/>
      <c r="H822"/>
      <c r="J822"/>
      <c r="M822"/>
      <c r="N822"/>
      <c r="O822" s="61"/>
      <c r="P822"/>
    </row>
    <row r="823" spans="2:16" x14ac:dyDescent="0.2">
      <c r="B823"/>
      <c r="C823" s="61"/>
      <c r="D823" s="61"/>
      <c r="G823"/>
      <c r="H823"/>
      <c r="I823"/>
      <c r="M823"/>
      <c r="N823"/>
      <c r="O823" s="61"/>
      <c r="P823"/>
    </row>
    <row r="824" spans="2:16" x14ac:dyDescent="0.2">
      <c r="B824"/>
      <c r="C824" s="61"/>
      <c r="D824" s="61"/>
      <c r="G824"/>
      <c r="H824"/>
      <c r="I824"/>
      <c r="J824"/>
      <c r="M824"/>
      <c r="N824"/>
      <c r="O824" s="61"/>
      <c r="P824"/>
    </row>
    <row r="825" spans="2:16" x14ac:dyDescent="0.2">
      <c r="B825"/>
      <c r="C825" s="61"/>
      <c r="D825" s="61"/>
      <c r="G825"/>
      <c r="H825"/>
      <c r="I825"/>
      <c r="J825"/>
      <c r="M825"/>
      <c r="N825"/>
      <c r="O825" s="61"/>
      <c r="P825"/>
    </row>
    <row r="826" spans="2:16" x14ac:dyDescent="0.2">
      <c r="B826"/>
      <c r="C826" s="61"/>
      <c r="D826" s="61"/>
      <c r="G826"/>
      <c r="H826"/>
      <c r="I826"/>
      <c r="J826"/>
      <c r="M826"/>
      <c r="N826"/>
      <c r="O826" s="61"/>
      <c r="P826"/>
    </row>
    <row r="827" spans="2:16" x14ac:dyDescent="0.2">
      <c r="B827"/>
      <c r="C827" s="61"/>
      <c r="D827" s="61"/>
      <c r="G827"/>
      <c r="H827"/>
      <c r="N827"/>
      <c r="O827" s="61"/>
      <c r="P827"/>
    </row>
    <row r="828" spans="2:16" x14ac:dyDescent="0.2">
      <c r="B828"/>
      <c r="C828" s="61"/>
      <c r="D828" s="61"/>
      <c r="G828"/>
      <c r="H828"/>
      <c r="I828"/>
      <c r="N828"/>
      <c r="O828" s="61"/>
      <c r="P828"/>
    </row>
    <row r="829" spans="2:16" x14ac:dyDescent="0.2">
      <c r="B829"/>
      <c r="C829" s="61"/>
      <c r="D829" s="61"/>
      <c r="G829"/>
      <c r="H829"/>
      <c r="J829"/>
      <c r="M829"/>
      <c r="N829"/>
      <c r="O829" s="61"/>
      <c r="P829"/>
    </row>
    <row r="830" spans="2:16" x14ac:dyDescent="0.2">
      <c r="B830"/>
      <c r="C830" s="61"/>
      <c r="D830" s="61"/>
      <c r="G830"/>
      <c r="H830"/>
      <c r="N830"/>
      <c r="O830" s="61"/>
      <c r="P830"/>
    </row>
    <row r="831" spans="2:16" x14ac:dyDescent="0.2">
      <c r="B831"/>
      <c r="C831" s="61"/>
      <c r="D831" s="61"/>
      <c r="G831"/>
      <c r="H831"/>
      <c r="I831"/>
      <c r="J831"/>
      <c r="M831"/>
      <c r="N831"/>
      <c r="O831" s="61"/>
      <c r="P831"/>
    </row>
    <row r="832" spans="2:16" x14ac:dyDescent="0.2">
      <c r="B832"/>
      <c r="C832" s="61"/>
      <c r="D832" s="61"/>
      <c r="G832"/>
      <c r="H832"/>
      <c r="I832"/>
      <c r="J832"/>
      <c r="M832"/>
      <c r="N832"/>
      <c r="O832" s="61"/>
      <c r="P832"/>
    </row>
    <row r="833" spans="2:16" x14ac:dyDescent="0.2">
      <c r="B833"/>
      <c r="C833" s="61"/>
      <c r="D833" s="61"/>
      <c r="G833"/>
      <c r="H833"/>
      <c r="N833"/>
      <c r="O833" s="61"/>
      <c r="P833"/>
    </row>
    <row r="834" spans="2:16" x14ac:dyDescent="0.2">
      <c r="B834"/>
      <c r="C834" s="61"/>
      <c r="D834" s="61"/>
      <c r="G834"/>
      <c r="H834"/>
      <c r="M834"/>
      <c r="N834"/>
      <c r="O834" s="61"/>
      <c r="P834"/>
    </row>
    <row r="835" spans="2:16" x14ac:dyDescent="0.2">
      <c r="B835"/>
      <c r="C835" s="61"/>
      <c r="D835" s="61"/>
      <c r="G835"/>
      <c r="H835"/>
      <c r="I835"/>
      <c r="J835"/>
      <c r="M835"/>
      <c r="N835"/>
      <c r="O835" s="61"/>
      <c r="P835"/>
    </row>
    <row r="836" spans="2:16" x14ac:dyDescent="0.2">
      <c r="B836"/>
      <c r="C836" s="61"/>
      <c r="D836" s="61"/>
      <c r="G836"/>
      <c r="H836"/>
      <c r="M836"/>
      <c r="N836"/>
      <c r="O836" s="61"/>
      <c r="P836"/>
    </row>
    <row r="837" spans="2:16" x14ac:dyDescent="0.2">
      <c r="B837"/>
      <c r="C837" s="61"/>
      <c r="D837" s="61"/>
      <c r="G837"/>
      <c r="H837"/>
      <c r="M837"/>
      <c r="N837"/>
      <c r="O837" s="61"/>
      <c r="P837"/>
    </row>
    <row r="838" spans="2:16" x14ac:dyDescent="0.2">
      <c r="B838"/>
      <c r="C838" s="61"/>
      <c r="D838" s="61"/>
      <c r="G838"/>
      <c r="H838"/>
      <c r="I838"/>
      <c r="J838"/>
      <c r="K838"/>
      <c r="L838"/>
      <c r="M838"/>
      <c r="N838"/>
      <c r="O838" s="61"/>
      <c r="P838"/>
    </row>
    <row r="839" spans="2:16" x14ac:dyDescent="0.2">
      <c r="B839"/>
      <c r="C839" s="61"/>
      <c r="D839" s="61"/>
      <c r="G839"/>
      <c r="H839"/>
      <c r="J839"/>
      <c r="M839"/>
      <c r="N839"/>
      <c r="O839" s="61"/>
      <c r="P839"/>
    </row>
    <row r="840" spans="2:16" x14ac:dyDescent="0.2">
      <c r="B840"/>
      <c r="C840" s="61"/>
      <c r="D840" s="61"/>
      <c r="G840"/>
      <c r="H840"/>
      <c r="I840"/>
      <c r="J840"/>
      <c r="M840"/>
      <c r="N840"/>
      <c r="O840" s="61"/>
      <c r="P840"/>
    </row>
    <row r="841" spans="2:16" x14ac:dyDescent="0.2">
      <c r="B841"/>
      <c r="C841" s="61"/>
      <c r="D841" s="61"/>
      <c r="G841"/>
      <c r="H841"/>
      <c r="J841"/>
      <c r="M841"/>
      <c r="N841"/>
      <c r="O841" s="61"/>
      <c r="P841"/>
    </row>
    <row r="842" spans="2:16" x14ac:dyDescent="0.2">
      <c r="B842"/>
      <c r="C842" s="61"/>
      <c r="D842" s="61"/>
      <c r="G842"/>
      <c r="H842"/>
      <c r="I842"/>
      <c r="J842"/>
      <c r="M842"/>
      <c r="N842"/>
      <c r="O842" s="61"/>
      <c r="P842"/>
    </row>
    <row r="843" spans="2:16" x14ac:dyDescent="0.2">
      <c r="B843"/>
      <c r="C843" s="61"/>
      <c r="D843" s="61"/>
      <c r="G843"/>
      <c r="H843"/>
      <c r="M843"/>
      <c r="N843"/>
      <c r="O843" s="61"/>
      <c r="P843"/>
    </row>
    <row r="844" spans="2:16" x14ac:dyDescent="0.2">
      <c r="B844"/>
      <c r="C844" s="61"/>
      <c r="D844" s="61"/>
      <c r="G844"/>
      <c r="H844"/>
      <c r="K844"/>
      <c r="L844"/>
      <c r="M844"/>
      <c r="N844"/>
      <c r="O844" s="61"/>
      <c r="P844"/>
    </row>
    <row r="845" spans="2:16" x14ac:dyDescent="0.2">
      <c r="B845"/>
      <c r="C845" s="61"/>
      <c r="D845" s="61"/>
      <c r="G845"/>
      <c r="H845"/>
      <c r="J845"/>
      <c r="M845"/>
      <c r="N845"/>
      <c r="O845" s="61"/>
      <c r="P845"/>
    </row>
    <row r="846" spans="2:16" x14ac:dyDescent="0.2">
      <c r="B846"/>
      <c r="C846" s="61"/>
      <c r="D846" s="61"/>
      <c r="G846"/>
      <c r="H846"/>
      <c r="I846"/>
      <c r="J846"/>
      <c r="M846"/>
      <c r="O846" s="61"/>
      <c r="P846"/>
    </row>
    <row r="847" spans="2:16" x14ac:dyDescent="0.2">
      <c r="B847"/>
      <c r="C847" s="61"/>
      <c r="D847" s="61"/>
      <c r="G847"/>
      <c r="H847"/>
      <c r="I847"/>
      <c r="J847"/>
      <c r="M847"/>
      <c r="N847"/>
      <c r="O847" s="61"/>
      <c r="P847"/>
    </row>
    <row r="848" spans="2:16" x14ac:dyDescent="0.2">
      <c r="B848"/>
      <c r="C848" s="61"/>
      <c r="D848" s="61"/>
      <c r="G848"/>
      <c r="H848"/>
      <c r="K848"/>
      <c r="L848"/>
      <c r="M848"/>
      <c r="N848"/>
      <c r="O848" s="61"/>
      <c r="P848"/>
    </row>
    <row r="849" spans="2:16" x14ac:dyDescent="0.2">
      <c r="B849"/>
      <c r="C849" s="61"/>
      <c r="D849" s="61"/>
      <c r="G849"/>
      <c r="H849"/>
      <c r="I849"/>
      <c r="J849"/>
      <c r="M849"/>
      <c r="N849"/>
      <c r="O849" s="61"/>
      <c r="P849"/>
    </row>
    <row r="850" spans="2:16" x14ac:dyDescent="0.2">
      <c r="B850"/>
      <c r="C850" s="61"/>
      <c r="D850" s="61"/>
      <c r="G850"/>
      <c r="H850"/>
      <c r="I850"/>
      <c r="J850"/>
      <c r="M850"/>
      <c r="N850"/>
      <c r="O850" s="61"/>
      <c r="P850"/>
    </row>
    <row r="851" spans="2:16" x14ac:dyDescent="0.2">
      <c r="B851"/>
      <c r="C851" s="61"/>
      <c r="D851" s="61"/>
      <c r="G851"/>
      <c r="H851"/>
      <c r="M851"/>
      <c r="N851"/>
      <c r="O851" s="61"/>
      <c r="P851"/>
    </row>
    <row r="852" spans="2:16" x14ac:dyDescent="0.2">
      <c r="B852"/>
      <c r="C852" s="61"/>
      <c r="D852" s="61"/>
      <c r="G852"/>
      <c r="H852"/>
      <c r="M852"/>
      <c r="N852"/>
      <c r="O852" s="61"/>
      <c r="P852"/>
    </row>
    <row r="853" spans="2:16" x14ac:dyDescent="0.2">
      <c r="B853"/>
      <c r="C853" s="61"/>
      <c r="D853" s="61"/>
      <c r="G853"/>
      <c r="H853"/>
      <c r="I853"/>
      <c r="K853"/>
      <c r="L853"/>
      <c r="M853"/>
      <c r="N853"/>
      <c r="O853" s="61"/>
      <c r="P853"/>
    </row>
    <row r="854" spans="2:16" x14ac:dyDescent="0.2">
      <c r="B854"/>
      <c r="C854" s="61"/>
      <c r="D854" s="61"/>
      <c r="G854"/>
      <c r="H854"/>
      <c r="K854"/>
      <c r="L854"/>
      <c r="M854"/>
      <c r="N854"/>
      <c r="O854" s="61"/>
      <c r="P854"/>
    </row>
    <row r="855" spans="2:16" x14ac:dyDescent="0.2">
      <c r="B855"/>
      <c r="C855" s="61"/>
      <c r="D855" s="61"/>
      <c r="G855"/>
      <c r="H855"/>
      <c r="I855"/>
      <c r="K855"/>
      <c r="L855"/>
      <c r="M855"/>
      <c r="N855"/>
      <c r="O855" s="61"/>
      <c r="P855"/>
    </row>
    <row r="856" spans="2:16" x14ac:dyDescent="0.2">
      <c r="B856"/>
      <c r="C856" s="61"/>
      <c r="D856" s="61"/>
      <c r="G856"/>
      <c r="H856"/>
      <c r="K856"/>
      <c r="L856"/>
      <c r="M856"/>
      <c r="N856"/>
      <c r="O856" s="61"/>
      <c r="P856"/>
    </row>
    <row r="857" spans="2:16" x14ac:dyDescent="0.2">
      <c r="B857"/>
      <c r="C857" s="61"/>
      <c r="D857" s="61"/>
      <c r="G857"/>
      <c r="H857"/>
      <c r="I857"/>
      <c r="K857"/>
      <c r="L857"/>
      <c r="M857"/>
      <c r="N857"/>
      <c r="O857" s="61"/>
      <c r="P857"/>
    </row>
    <row r="858" spans="2:16" x14ac:dyDescent="0.2">
      <c r="B858"/>
      <c r="C858" s="61"/>
      <c r="D858" s="61"/>
      <c r="G858"/>
      <c r="H858"/>
      <c r="I858"/>
      <c r="J858"/>
      <c r="M858"/>
      <c r="O858" s="61"/>
      <c r="P858"/>
    </row>
    <row r="859" spans="2:16" x14ac:dyDescent="0.2">
      <c r="B859"/>
      <c r="C859" s="61"/>
      <c r="D859" s="61"/>
      <c r="G859"/>
      <c r="H859"/>
      <c r="J859"/>
      <c r="M859"/>
      <c r="N859"/>
      <c r="O859" s="61"/>
      <c r="P859"/>
    </row>
    <row r="860" spans="2:16" x14ac:dyDescent="0.2">
      <c r="B860"/>
      <c r="C860" s="61"/>
      <c r="D860" s="61"/>
      <c r="G860"/>
      <c r="H860"/>
      <c r="M860"/>
      <c r="N860"/>
      <c r="O860" s="61"/>
      <c r="P860"/>
    </row>
    <row r="861" spans="2:16" x14ac:dyDescent="0.2">
      <c r="B861"/>
      <c r="C861" s="61"/>
      <c r="D861" s="61"/>
      <c r="G861"/>
      <c r="H861"/>
      <c r="I861"/>
      <c r="K861"/>
      <c r="L861"/>
      <c r="M861"/>
      <c r="N861"/>
      <c r="O861" s="61"/>
      <c r="P861"/>
    </row>
    <row r="862" spans="2:16" x14ac:dyDescent="0.2">
      <c r="B862"/>
      <c r="C862" s="61"/>
      <c r="D862" s="61"/>
      <c r="G862"/>
      <c r="H862"/>
      <c r="I862"/>
      <c r="J862"/>
      <c r="M862"/>
      <c r="N862"/>
      <c r="O862" s="61"/>
      <c r="P862"/>
    </row>
    <row r="863" spans="2:16" x14ac:dyDescent="0.2">
      <c r="B863"/>
      <c r="C863" s="61"/>
      <c r="D863" s="61"/>
      <c r="G863"/>
      <c r="H863"/>
      <c r="I863"/>
      <c r="J863"/>
      <c r="M863"/>
      <c r="O863" s="61"/>
      <c r="P863"/>
    </row>
    <row r="864" spans="2:16" x14ac:dyDescent="0.2">
      <c r="B864"/>
      <c r="C864" s="61"/>
      <c r="D864" s="61"/>
      <c r="G864"/>
      <c r="H864"/>
      <c r="I864"/>
      <c r="J864"/>
      <c r="M864"/>
      <c r="N864"/>
      <c r="O864" s="61"/>
      <c r="P864"/>
    </row>
    <row r="865" spans="2:16" x14ac:dyDescent="0.2">
      <c r="B865"/>
      <c r="C865" s="61"/>
      <c r="D865" s="61"/>
      <c r="G865"/>
      <c r="H865"/>
      <c r="I865"/>
      <c r="J865"/>
      <c r="M865"/>
      <c r="N865"/>
      <c r="O865" s="61"/>
      <c r="P865"/>
    </row>
    <row r="866" spans="2:16" x14ac:dyDescent="0.2">
      <c r="B866"/>
      <c r="C866" s="61"/>
      <c r="D866" s="61"/>
      <c r="G866"/>
      <c r="H866"/>
      <c r="I866"/>
      <c r="J866"/>
      <c r="M866"/>
      <c r="N866"/>
      <c r="O866" s="61"/>
      <c r="P866"/>
    </row>
    <row r="867" spans="2:16" x14ac:dyDescent="0.2">
      <c r="B867"/>
      <c r="C867" s="61"/>
      <c r="D867" s="61"/>
      <c r="G867"/>
      <c r="H867"/>
      <c r="J867"/>
      <c r="M867"/>
      <c r="N867"/>
      <c r="O867" s="61"/>
      <c r="P867"/>
    </row>
    <row r="868" spans="2:16" x14ac:dyDescent="0.2">
      <c r="B868"/>
      <c r="C868" s="61"/>
      <c r="D868" s="61"/>
      <c r="G868"/>
      <c r="H868"/>
      <c r="M868"/>
      <c r="N868"/>
      <c r="O868" s="61"/>
      <c r="P868"/>
    </row>
    <row r="869" spans="2:16" x14ac:dyDescent="0.2">
      <c r="B869"/>
      <c r="C869" s="61"/>
      <c r="D869" s="61"/>
      <c r="G869"/>
      <c r="H869"/>
      <c r="I869"/>
      <c r="K869"/>
      <c r="L869"/>
      <c r="M869"/>
      <c r="N869"/>
      <c r="O869" s="61"/>
      <c r="P869"/>
    </row>
    <row r="870" spans="2:16" x14ac:dyDescent="0.2">
      <c r="B870"/>
      <c r="C870" s="61"/>
      <c r="D870" s="61"/>
      <c r="G870"/>
      <c r="H870"/>
      <c r="J870"/>
      <c r="M870"/>
      <c r="N870"/>
      <c r="O870" s="61"/>
      <c r="P870"/>
    </row>
    <row r="871" spans="2:16" x14ac:dyDescent="0.2">
      <c r="B871"/>
      <c r="C871" s="61"/>
      <c r="D871" s="61"/>
      <c r="G871"/>
      <c r="H871"/>
      <c r="J871"/>
      <c r="M871"/>
      <c r="N871"/>
      <c r="O871" s="61"/>
      <c r="P871"/>
    </row>
    <row r="872" spans="2:16" x14ac:dyDescent="0.2">
      <c r="B872"/>
      <c r="C872" s="61"/>
      <c r="D872" s="61"/>
      <c r="G872"/>
      <c r="H872"/>
      <c r="N872"/>
      <c r="O872" s="61"/>
      <c r="P872"/>
    </row>
    <row r="873" spans="2:16" x14ac:dyDescent="0.2">
      <c r="B873"/>
      <c r="C873" s="61"/>
      <c r="D873" s="61"/>
      <c r="G873"/>
      <c r="H873"/>
      <c r="J873"/>
      <c r="M873"/>
      <c r="N873"/>
      <c r="O873" s="61"/>
      <c r="P873"/>
    </row>
    <row r="874" spans="2:16" x14ac:dyDescent="0.2">
      <c r="B874"/>
      <c r="C874" s="61"/>
      <c r="D874" s="61"/>
      <c r="G874"/>
      <c r="H874"/>
      <c r="J874"/>
      <c r="M874"/>
      <c r="N874"/>
      <c r="O874" s="61"/>
      <c r="P874"/>
    </row>
    <row r="875" spans="2:16" x14ac:dyDescent="0.2">
      <c r="B875"/>
      <c r="C875" s="61"/>
      <c r="D875" s="61"/>
      <c r="G875"/>
      <c r="H875"/>
      <c r="J875"/>
      <c r="M875"/>
      <c r="N875"/>
      <c r="O875" s="61"/>
      <c r="P875"/>
    </row>
    <row r="876" spans="2:16" x14ac:dyDescent="0.2">
      <c r="B876"/>
      <c r="C876" s="61"/>
      <c r="D876" s="61"/>
      <c r="G876"/>
      <c r="H876"/>
      <c r="J876"/>
      <c r="M876"/>
      <c r="N876"/>
      <c r="O876" s="61"/>
      <c r="P876"/>
    </row>
    <row r="877" spans="2:16" x14ac:dyDescent="0.2">
      <c r="B877"/>
      <c r="C877" s="61"/>
      <c r="D877" s="61"/>
      <c r="G877"/>
      <c r="H877"/>
      <c r="I877"/>
      <c r="J877"/>
      <c r="M877"/>
      <c r="N877"/>
      <c r="O877" s="61"/>
      <c r="P877"/>
    </row>
    <row r="878" spans="2:16" x14ac:dyDescent="0.2">
      <c r="B878"/>
      <c r="C878" s="61"/>
      <c r="D878" s="61"/>
      <c r="G878"/>
      <c r="H878"/>
      <c r="I878"/>
      <c r="J878"/>
      <c r="M878"/>
      <c r="N878"/>
      <c r="O878" s="61"/>
      <c r="P878"/>
    </row>
    <row r="879" spans="2:16" x14ac:dyDescent="0.2">
      <c r="B879"/>
      <c r="C879" s="61"/>
      <c r="D879" s="61"/>
      <c r="G879"/>
      <c r="H879"/>
      <c r="I879"/>
      <c r="J879"/>
      <c r="M879"/>
      <c r="N879"/>
      <c r="O879" s="61"/>
      <c r="P879"/>
    </row>
    <row r="880" spans="2:16" x14ac:dyDescent="0.2">
      <c r="B880"/>
      <c r="C880" s="61"/>
      <c r="D880" s="61"/>
      <c r="G880"/>
      <c r="H880"/>
      <c r="M880"/>
      <c r="N880"/>
      <c r="O880" s="61"/>
      <c r="P880"/>
    </row>
    <row r="881" spans="2:16" x14ac:dyDescent="0.2">
      <c r="B881"/>
      <c r="C881" s="61"/>
      <c r="D881" s="61"/>
      <c r="G881"/>
      <c r="H881"/>
      <c r="I881"/>
      <c r="J881"/>
      <c r="M881"/>
      <c r="N881"/>
      <c r="O881" s="61"/>
      <c r="P881"/>
    </row>
    <row r="882" spans="2:16" x14ac:dyDescent="0.2">
      <c r="B882"/>
      <c r="C882" s="61"/>
      <c r="D882" s="61"/>
      <c r="G882"/>
      <c r="H882"/>
      <c r="I882"/>
      <c r="J882"/>
      <c r="M882"/>
      <c r="N882"/>
      <c r="O882" s="61"/>
      <c r="P882"/>
    </row>
    <row r="883" spans="2:16" x14ac:dyDescent="0.2">
      <c r="B883"/>
      <c r="C883" s="61"/>
      <c r="D883" s="61"/>
      <c r="G883"/>
      <c r="H883"/>
      <c r="M883"/>
      <c r="N883"/>
      <c r="O883" s="61"/>
      <c r="P883"/>
    </row>
    <row r="884" spans="2:16" x14ac:dyDescent="0.2">
      <c r="B884"/>
      <c r="C884" s="61"/>
      <c r="D884" s="61"/>
      <c r="G884"/>
      <c r="H884"/>
      <c r="I884"/>
      <c r="J884"/>
      <c r="M884"/>
      <c r="N884"/>
      <c r="O884" s="61"/>
      <c r="P884"/>
    </row>
    <row r="885" spans="2:16" x14ac:dyDescent="0.2">
      <c r="B885"/>
      <c r="C885" s="61"/>
      <c r="D885" s="61"/>
      <c r="G885"/>
      <c r="H885"/>
      <c r="I885"/>
      <c r="J885"/>
      <c r="M885"/>
      <c r="N885"/>
      <c r="O885" s="61"/>
      <c r="P885"/>
    </row>
    <row r="886" spans="2:16" x14ac:dyDescent="0.2">
      <c r="B886"/>
      <c r="C886" s="61"/>
      <c r="D886" s="61"/>
      <c r="G886"/>
      <c r="H886"/>
      <c r="N886"/>
      <c r="O886" s="61"/>
      <c r="P886"/>
    </row>
    <row r="887" spans="2:16" x14ac:dyDescent="0.2">
      <c r="B887"/>
      <c r="C887" s="61"/>
      <c r="D887" s="61"/>
      <c r="G887"/>
      <c r="H887"/>
      <c r="I887"/>
      <c r="J887"/>
      <c r="M887"/>
      <c r="N887"/>
      <c r="O887" s="61"/>
      <c r="P887"/>
    </row>
    <row r="888" spans="2:16" x14ac:dyDescent="0.2">
      <c r="B888"/>
      <c r="C888" s="61"/>
      <c r="D888" s="61"/>
      <c r="G888"/>
      <c r="H888"/>
      <c r="I888"/>
      <c r="J888"/>
      <c r="M888"/>
      <c r="N888"/>
      <c r="O888" s="61"/>
      <c r="P888"/>
    </row>
    <row r="889" spans="2:16" x14ac:dyDescent="0.2">
      <c r="B889"/>
      <c r="C889" s="61"/>
      <c r="D889" s="61"/>
      <c r="G889"/>
      <c r="H889"/>
      <c r="M889"/>
      <c r="N889"/>
      <c r="O889" s="61"/>
      <c r="P889"/>
    </row>
    <row r="890" spans="2:16" x14ac:dyDescent="0.2">
      <c r="B890"/>
      <c r="C890" s="61"/>
      <c r="D890" s="61"/>
      <c r="G890"/>
      <c r="H890"/>
      <c r="J890"/>
      <c r="K890"/>
      <c r="L890"/>
      <c r="M890"/>
      <c r="N890"/>
      <c r="O890" s="61"/>
      <c r="P890"/>
    </row>
    <row r="891" spans="2:16" x14ac:dyDescent="0.2">
      <c r="B891"/>
      <c r="C891" s="61"/>
      <c r="D891" s="61"/>
      <c r="G891"/>
      <c r="H891"/>
      <c r="J891"/>
      <c r="M891"/>
      <c r="N891"/>
      <c r="O891" s="61"/>
      <c r="P891"/>
    </row>
    <row r="892" spans="2:16" x14ac:dyDescent="0.2">
      <c r="B892"/>
      <c r="C892" s="61"/>
      <c r="D892" s="61"/>
      <c r="G892"/>
      <c r="H892"/>
      <c r="J892"/>
      <c r="M892"/>
      <c r="N892"/>
      <c r="O892" s="61"/>
      <c r="P892"/>
    </row>
    <row r="893" spans="2:16" x14ac:dyDescent="0.2">
      <c r="B893"/>
      <c r="C893" s="61"/>
      <c r="D893" s="61"/>
      <c r="G893"/>
      <c r="H893"/>
      <c r="J893"/>
      <c r="M893"/>
      <c r="N893"/>
      <c r="O893" s="61"/>
      <c r="P893"/>
    </row>
    <row r="894" spans="2:16" x14ac:dyDescent="0.2">
      <c r="B894"/>
      <c r="C894" s="61"/>
      <c r="D894" s="61"/>
      <c r="G894"/>
      <c r="H894"/>
      <c r="I894"/>
      <c r="J894"/>
      <c r="M894"/>
      <c r="N894"/>
      <c r="O894" s="61"/>
      <c r="P894"/>
    </row>
    <row r="895" spans="2:16" x14ac:dyDescent="0.2">
      <c r="B895"/>
      <c r="C895" s="61"/>
      <c r="D895" s="61"/>
      <c r="G895"/>
      <c r="H895"/>
      <c r="I895"/>
      <c r="J895"/>
      <c r="M895"/>
      <c r="N895"/>
      <c r="O895" s="61"/>
      <c r="P895"/>
    </row>
    <row r="896" spans="2:16" x14ac:dyDescent="0.2">
      <c r="B896"/>
      <c r="C896" s="61"/>
      <c r="D896" s="61"/>
      <c r="G896"/>
      <c r="H896"/>
      <c r="I896"/>
      <c r="J896"/>
      <c r="M896"/>
      <c r="N896"/>
      <c r="O896" s="61"/>
      <c r="P896"/>
    </row>
    <row r="897" spans="2:16" x14ac:dyDescent="0.2">
      <c r="B897"/>
      <c r="C897" s="61"/>
      <c r="D897" s="61"/>
      <c r="G897"/>
      <c r="H897"/>
      <c r="I897"/>
      <c r="J897"/>
      <c r="M897"/>
      <c r="N897"/>
      <c r="O897" s="61"/>
      <c r="P897"/>
    </row>
    <row r="898" spans="2:16" x14ac:dyDescent="0.2">
      <c r="B898"/>
      <c r="C898" s="61"/>
      <c r="D898" s="61"/>
      <c r="G898"/>
      <c r="H898"/>
      <c r="J898"/>
      <c r="M898"/>
      <c r="N898"/>
      <c r="O898" s="61"/>
      <c r="P898"/>
    </row>
    <row r="899" spans="2:16" x14ac:dyDescent="0.2">
      <c r="B899"/>
      <c r="C899" s="61"/>
      <c r="D899" s="61"/>
      <c r="G899"/>
      <c r="H899"/>
      <c r="J899"/>
      <c r="M899"/>
      <c r="N899"/>
      <c r="O899" s="61"/>
      <c r="P899"/>
    </row>
    <row r="900" spans="2:16" x14ac:dyDescent="0.2">
      <c r="B900"/>
      <c r="C900" s="61"/>
      <c r="D900" s="61"/>
      <c r="G900"/>
      <c r="H900"/>
      <c r="I900"/>
      <c r="J900"/>
      <c r="M900"/>
      <c r="N900"/>
      <c r="O900" s="61"/>
      <c r="P900"/>
    </row>
    <row r="901" spans="2:16" x14ac:dyDescent="0.2">
      <c r="B901"/>
      <c r="C901" s="61"/>
      <c r="D901" s="61"/>
      <c r="G901"/>
      <c r="H901"/>
      <c r="I901"/>
      <c r="J901"/>
      <c r="M901"/>
      <c r="N901"/>
      <c r="O901" s="61"/>
      <c r="P901"/>
    </row>
    <row r="902" spans="2:16" x14ac:dyDescent="0.2">
      <c r="B902"/>
      <c r="C902" s="61"/>
      <c r="D902" s="61"/>
      <c r="G902"/>
      <c r="H902"/>
      <c r="J902"/>
      <c r="M902"/>
      <c r="N902"/>
      <c r="O902" s="61"/>
      <c r="P902"/>
    </row>
    <row r="903" spans="2:16" x14ac:dyDescent="0.2">
      <c r="B903"/>
      <c r="C903" s="61"/>
      <c r="D903" s="61"/>
      <c r="G903"/>
      <c r="H903"/>
      <c r="K903"/>
      <c r="L903"/>
      <c r="M903"/>
      <c r="N903"/>
      <c r="O903" s="61"/>
      <c r="P903"/>
    </row>
    <row r="904" spans="2:16" x14ac:dyDescent="0.2">
      <c r="B904"/>
      <c r="C904" s="61"/>
      <c r="D904" s="61"/>
      <c r="G904"/>
      <c r="H904"/>
      <c r="I904"/>
      <c r="J904"/>
      <c r="M904"/>
      <c r="N904"/>
      <c r="O904" s="61"/>
      <c r="P904"/>
    </row>
    <row r="905" spans="2:16" x14ac:dyDescent="0.2">
      <c r="B905"/>
      <c r="C905" s="61"/>
      <c r="D905" s="61"/>
      <c r="G905"/>
      <c r="H905"/>
      <c r="I905"/>
      <c r="J905"/>
      <c r="M905"/>
      <c r="N905"/>
      <c r="O905" s="61"/>
      <c r="P905"/>
    </row>
    <row r="906" spans="2:16" x14ac:dyDescent="0.2">
      <c r="B906"/>
      <c r="C906" s="61"/>
      <c r="D906" s="61"/>
      <c r="G906"/>
      <c r="H906"/>
      <c r="J906"/>
      <c r="M906"/>
      <c r="N906"/>
      <c r="O906" s="61"/>
      <c r="P906"/>
    </row>
    <row r="907" spans="2:16" x14ac:dyDescent="0.2">
      <c r="B907"/>
      <c r="C907" s="61"/>
      <c r="D907" s="61"/>
      <c r="G907"/>
      <c r="H907"/>
      <c r="I907"/>
      <c r="J907"/>
      <c r="M907"/>
      <c r="N907"/>
      <c r="O907" s="61"/>
      <c r="P907"/>
    </row>
    <row r="908" spans="2:16" x14ac:dyDescent="0.2">
      <c r="B908"/>
      <c r="C908" s="61"/>
      <c r="D908" s="61"/>
      <c r="G908"/>
      <c r="H908"/>
      <c r="J908"/>
      <c r="M908"/>
      <c r="N908"/>
      <c r="O908" s="61"/>
      <c r="P908"/>
    </row>
    <row r="909" spans="2:16" x14ac:dyDescent="0.2">
      <c r="B909"/>
      <c r="C909" s="61"/>
      <c r="D909" s="61"/>
      <c r="G909"/>
      <c r="H909"/>
      <c r="I909"/>
      <c r="J909"/>
      <c r="M909"/>
      <c r="N909"/>
      <c r="O909" s="61"/>
      <c r="P909"/>
    </row>
    <row r="910" spans="2:16" x14ac:dyDescent="0.2">
      <c r="B910"/>
      <c r="C910" s="61"/>
      <c r="D910" s="61"/>
      <c r="G910"/>
      <c r="H910"/>
      <c r="I910"/>
      <c r="J910"/>
      <c r="M910"/>
      <c r="N910"/>
      <c r="O910" s="61"/>
      <c r="P910"/>
    </row>
    <row r="911" spans="2:16" x14ac:dyDescent="0.2">
      <c r="B911"/>
      <c r="C911" s="61"/>
      <c r="D911" s="61"/>
      <c r="G911"/>
      <c r="H911"/>
      <c r="I911"/>
      <c r="K911"/>
      <c r="L911"/>
      <c r="M911"/>
      <c r="N911"/>
      <c r="O911" s="61"/>
      <c r="P911"/>
    </row>
    <row r="912" spans="2:16" x14ac:dyDescent="0.2">
      <c r="B912"/>
      <c r="C912" s="61"/>
      <c r="D912" s="61"/>
      <c r="G912"/>
      <c r="H912"/>
      <c r="I912"/>
      <c r="K912"/>
      <c r="L912"/>
      <c r="M912"/>
      <c r="N912"/>
      <c r="O912" s="61"/>
      <c r="P912"/>
    </row>
    <row r="913" spans="2:16" x14ac:dyDescent="0.2">
      <c r="B913"/>
      <c r="C913" s="61"/>
      <c r="D913" s="61"/>
      <c r="G913"/>
      <c r="H913"/>
      <c r="M913"/>
      <c r="N913"/>
      <c r="O913" s="61"/>
      <c r="P913"/>
    </row>
    <row r="914" spans="2:16" x14ac:dyDescent="0.2">
      <c r="B914"/>
      <c r="C914" s="61"/>
      <c r="D914" s="61"/>
      <c r="G914"/>
      <c r="H914"/>
      <c r="I914"/>
      <c r="K914"/>
      <c r="L914"/>
      <c r="M914"/>
      <c r="N914"/>
      <c r="O914" s="61"/>
      <c r="P914"/>
    </row>
    <row r="915" spans="2:16" x14ac:dyDescent="0.2">
      <c r="B915"/>
      <c r="C915" s="61"/>
      <c r="D915" s="61"/>
      <c r="G915"/>
      <c r="H915"/>
      <c r="I915"/>
      <c r="J915"/>
      <c r="M915"/>
      <c r="N915"/>
      <c r="O915" s="61"/>
      <c r="P915"/>
    </row>
    <row r="916" spans="2:16" x14ac:dyDescent="0.2">
      <c r="B916"/>
      <c r="C916" s="61"/>
      <c r="D916" s="61"/>
      <c r="G916"/>
      <c r="H916"/>
      <c r="I916"/>
      <c r="J916"/>
      <c r="M916"/>
      <c r="N916"/>
      <c r="O916" s="61"/>
      <c r="P916"/>
    </row>
    <row r="917" spans="2:16" x14ac:dyDescent="0.2">
      <c r="B917"/>
      <c r="C917" s="61"/>
      <c r="D917" s="61"/>
      <c r="G917"/>
      <c r="H917"/>
      <c r="I917"/>
      <c r="J917"/>
      <c r="M917"/>
      <c r="N917"/>
      <c r="O917" s="61"/>
      <c r="P917"/>
    </row>
    <row r="918" spans="2:16" x14ac:dyDescent="0.2">
      <c r="B918"/>
      <c r="C918" s="61"/>
      <c r="D918" s="61"/>
      <c r="G918"/>
      <c r="H918"/>
      <c r="I918"/>
      <c r="J918"/>
      <c r="M918"/>
      <c r="N918"/>
      <c r="O918" s="61"/>
      <c r="P918"/>
    </row>
    <row r="919" spans="2:16" x14ac:dyDescent="0.2">
      <c r="B919"/>
      <c r="C919" s="61"/>
      <c r="D919" s="61"/>
      <c r="G919"/>
      <c r="H919"/>
      <c r="I919"/>
      <c r="K919"/>
      <c r="L919"/>
      <c r="M919"/>
      <c r="N919"/>
      <c r="O919" s="61"/>
      <c r="P919"/>
    </row>
    <row r="920" spans="2:16" x14ac:dyDescent="0.2">
      <c r="B920"/>
      <c r="C920" s="61"/>
      <c r="D920" s="61"/>
      <c r="G920"/>
      <c r="H920"/>
      <c r="I920"/>
      <c r="J920"/>
      <c r="M920"/>
      <c r="O920" s="61"/>
      <c r="P920"/>
    </row>
    <row r="921" spans="2:16" x14ac:dyDescent="0.2">
      <c r="B921"/>
      <c r="C921" s="61"/>
      <c r="D921" s="61"/>
      <c r="G921"/>
      <c r="H921"/>
      <c r="I921"/>
      <c r="J921"/>
      <c r="M921"/>
      <c r="N921"/>
      <c r="O921" s="61"/>
      <c r="P921"/>
    </row>
    <row r="922" spans="2:16" x14ac:dyDescent="0.2">
      <c r="B922"/>
      <c r="C922" s="61"/>
      <c r="D922" s="61"/>
      <c r="G922"/>
      <c r="H922"/>
      <c r="I922"/>
      <c r="J922"/>
      <c r="M922"/>
      <c r="N922"/>
      <c r="O922" s="61"/>
      <c r="P922"/>
    </row>
    <row r="923" spans="2:16" x14ac:dyDescent="0.2">
      <c r="B923"/>
      <c r="C923" s="61"/>
      <c r="D923" s="61"/>
      <c r="G923"/>
      <c r="H923"/>
      <c r="M923"/>
      <c r="N923"/>
      <c r="O923" s="61"/>
      <c r="P923"/>
    </row>
    <row r="924" spans="2:16" x14ac:dyDescent="0.2">
      <c r="B924"/>
      <c r="C924" s="61"/>
      <c r="D924" s="61"/>
      <c r="G924"/>
      <c r="H924"/>
      <c r="J924"/>
      <c r="M924"/>
      <c r="N924"/>
      <c r="O924" s="61"/>
      <c r="P924"/>
    </row>
    <row r="925" spans="2:16" x14ac:dyDescent="0.2">
      <c r="B925"/>
      <c r="C925" s="61"/>
      <c r="D925" s="61"/>
      <c r="G925"/>
      <c r="H925"/>
      <c r="I925"/>
      <c r="J925"/>
      <c r="M925"/>
      <c r="N925"/>
      <c r="O925" s="61"/>
      <c r="P925"/>
    </row>
    <row r="926" spans="2:16" x14ac:dyDescent="0.2">
      <c r="B926"/>
      <c r="C926" s="61"/>
      <c r="D926" s="61"/>
      <c r="G926"/>
      <c r="H926"/>
      <c r="M926"/>
      <c r="N926"/>
      <c r="O926" s="61"/>
      <c r="P926"/>
    </row>
    <row r="927" spans="2:16" x14ac:dyDescent="0.2">
      <c r="B927"/>
      <c r="C927" s="61"/>
      <c r="D927" s="61"/>
      <c r="G927"/>
      <c r="H927"/>
      <c r="J927"/>
      <c r="M927"/>
      <c r="N927"/>
      <c r="O927" s="61"/>
      <c r="P927"/>
    </row>
    <row r="928" spans="2:16" x14ac:dyDescent="0.2">
      <c r="B928"/>
      <c r="C928" s="61"/>
      <c r="D928" s="61"/>
      <c r="G928"/>
      <c r="H928"/>
      <c r="J928"/>
      <c r="M928"/>
      <c r="N928"/>
      <c r="O928" s="61"/>
      <c r="P928"/>
    </row>
    <row r="929" spans="2:16" x14ac:dyDescent="0.2">
      <c r="B929"/>
      <c r="C929" s="61"/>
      <c r="D929" s="61"/>
      <c r="G929"/>
      <c r="H929"/>
      <c r="I929"/>
      <c r="J929"/>
      <c r="M929"/>
      <c r="N929"/>
      <c r="O929" s="61"/>
      <c r="P929"/>
    </row>
    <row r="930" spans="2:16" x14ac:dyDescent="0.2">
      <c r="B930"/>
      <c r="C930" s="61"/>
      <c r="D930" s="61"/>
      <c r="G930"/>
      <c r="H930"/>
      <c r="I930"/>
      <c r="J930"/>
      <c r="M930"/>
      <c r="N930"/>
      <c r="O930" s="61"/>
      <c r="P930"/>
    </row>
    <row r="931" spans="2:16" x14ac:dyDescent="0.2">
      <c r="B931"/>
      <c r="C931" s="61"/>
      <c r="D931" s="61"/>
      <c r="G931"/>
      <c r="H931"/>
      <c r="I931"/>
      <c r="J931"/>
      <c r="M931"/>
      <c r="N931"/>
      <c r="O931" s="61"/>
      <c r="P931"/>
    </row>
    <row r="932" spans="2:16" x14ac:dyDescent="0.2">
      <c r="B932"/>
      <c r="C932" s="61"/>
      <c r="D932" s="61"/>
      <c r="G932"/>
      <c r="H932"/>
      <c r="I932"/>
      <c r="J932"/>
      <c r="M932"/>
      <c r="N932"/>
      <c r="O932" s="61"/>
      <c r="P932"/>
    </row>
    <row r="933" spans="2:16" x14ac:dyDescent="0.2">
      <c r="B933"/>
      <c r="C933" s="61"/>
      <c r="D933" s="61"/>
      <c r="G933"/>
      <c r="H933"/>
      <c r="J933"/>
      <c r="M933"/>
      <c r="N933"/>
      <c r="O933" s="61"/>
      <c r="P933"/>
    </row>
    <row r="934" spans="2:16" x14ac:dyDescent="0.2">
      <c r="B934"/>
      <c r="C934" s="61"/>
      <c r="D934" s="61"/>
      <c r="G934"/>
      <c r="H934"/>
      <c r="I934"/>
      <c r="J934"/>
      <c r="M934"/>
      <c r="N934"/>
      <c r="O934" s="61"/>
      <c r="P934"/>
    </row>
    <row r="935" spans="2:16" x14ac:dyDescent="0.2">
      <c r="B935"/>
      <c r="C935" s="61"/>
      <c r="D935" s="61"/>
      <c r="G935"/>
      <c r="H935"/>
      <c r="I935"/>
      <c r="J935"/>
      <c r="M935"/>
      <c r="N935"/>
      <c r="O935" s="61"/>
      <c r="P935"/>
    </row>
    <row r="936" spans="2:16" x14ac:dyDescent="0.2">
      <c r="B936"/>
      <c r="C936" s="61"/>
      <c r="D936" s="61"/>
      <c r="G936"/>
      <c r="H936"/>
      <c r="I936"/>
      <c r="J936"/>
      <c r="M936"/>
      <c r="N936"/>
      <c r="O936" s="61"/>
      <c r="P936"/>
    </row>
    <row r="937" spans="2:16" x14ac:dyDescent="0.2">
      <c r="B937"/>
      <c r="C937" s="61"/>
      <c r="D937" s="61"/>
      <c r="G937"/>
      <c r="H937"/>
      <c r="J937"/>
      <c r="M937"/>
      <c r="N937"/>
      <c r="O937" s="61"/>
      <c r="P937"/>
    </row>
    <row r="938" spans="2:16" x14ac:dyDescent="0.2">
      <c r="B938"/>
      <c r="C938" s="61"/>
      <c r="D938" s="61"/>
      <c r="G938"/>
      <c r="H938"/>
      <c r="I938"/>
      <c r="J938"/>
      <c r="M938"/>
      <c r="N938"/>
      <c r="O938" s="61"/>
      <c r="P938"/>
    </row>
    <row r="939" spans="2:16" x14ac:dyDescent="0.2">
      <c r="B939"/>
      <c r="C939" s="61"/>
      <c r="D939" s="61"/>
      <c r="G939"/>
      <c r="H939"/>
      <c r="I939"/>
      <c r="J939"/>
      <c r="M939"/>
      <c r="N939"/>
      <c r="O939" s="61"/>
      <c r="P939"/>
    </row>
    <row r="940" spans="2:16" x14ac:dyDescent="0.2">
      <c r="B940"/>
      <c r="C940" s="61"/>
      <c r="D940" s="61"/>
      <c r="G940"/>
      <c r="H940"/>
      <c r="M940"/>
      <c r="N940"/>
      <c r="O940" s="61"/>
      <c r="P940"/>
    </row>
    <row r="941" spans="2:16" x14ac:dyDescent="0.2">
      <c r="B941"/>
      <c r="C941" s="61"/>
      <c r="D941" s="61"/>
      <c r="G941"/>
      <c r="H941"/>
      <c r="I941"/>
      <c r="J941"/>
      <c r="M941"/>
      <c r="N941"/>
      <c r="O941" s="61"/>
      <c r="P941"/>
    </row>
    <row r="942" spans="2:16" x14ac:dyDescent="0.2">
      <c r="B942"/>
      <c r="C942" s="61"/>
      <c r="D942" s="61"/>
      <c r="G942"/>
      <c r="H942"/>
      <c r="I942"/>
      <c r="J942"/>
      <c r="M942"/>
      <c r="N942"/>
      <c r="O942" s="61"/>
      <c r="P942"/>
    </row>
    <row r="943" spans="2:16" x14ac:dyDescent="0.2">
      <c r="B943"/>
      <c r="C943" s="61"/>
      <c r="D943" s="61"/>
      <c r="G943"/>
      <c r="H943"/>
      <c r="I943"/>
      <c r="J943"/>
      <c r="K943"/>
      <c r="L943"/>
      <c r="M943"/>
      <c r="N943"/>
      <c r="O943" s="61"/>
      <c r="P943"/>
    </row>
    <row r="944" spans="2:16" x14ac:dyDescent="0.2">
      <c r="B944"/>
      <c r="C944" s="61"/>
      <c r="D944" s="61"/>
      <c r="G944"/>
      <c r="H944"/>
      <c r="I944"/>
      <c r="J944"/>
      <c r="M944"/>
      <c r="N944"/>
      <c r="O944" s="61"/>
      <c r="P944"/>
    </row>
    <row r="945" spans="2:16" x14ac:dyDescent="0.2">
      <c r="B945"/>
      <c r="C945" s="61"/>
      <c r="D945" s="61"/>
      <c r="G945"/>
      <c r="H945"/>
      <c r="I945"/>
      <c r="J945"/>
      <c r="M945"/>
      <c r="N945"/>
      <c r="O945" s="61"/>
      <c r="P945"/>
    </row>
    <row r="946" spans="2:16" x14ac:dyDescent="0.2">
      <c r="B946"/>
      <c r="C946" s="61"/>
      <c r="D946" s="61"/>
      <c r="G946"/>
      <c r="H946"/>
      <c r="I946"/>
      <c r="J946"/>
      <c r="M946"/>
      <c r="N946"/>
      <c r="O946" s="61"/>
      <c r="P946"/>
    </row>
    <row r="947" spans="2:16" x14ac:dyDescent="0.2">
      <c r="B947"/>
      <c r="C947" s="61"/>
      <c r="D947" s="61"/>
      <c r="G947"/>
      <c r="H947"/>
      <c r="J947"/>
      <c r="M947"/>
      <c r="N947"/>
      <c r="O947" s="61"/>
      <c r="P947"/>
    </row>
    <row r="948" spans="2:16" x14ac:dyDescent="0.2">
      <c r="B948"/>
      <c r="C948" s="61"/>
      <c r="D948" s="61"/>
      <c r="G948"/>
      <c r="H948"/>
      <c r="I948"/>
      <c r="J948"/>
      <c r="M948"/>
      <c r="N948"/>
      <c r="O948" s="61"/>
      <c r="P948"/>
    </row>
    <row r="949" spans="2:16" x14ac:dyDescent="0.2">
      <c r="B949"/>
      <c r="C949" s="61"/>
      <c r="D949" s="61"/>
      <c r="G949"/>
      <c r="H949"/>
      <c r="I949"/>
      <c r="K949"/>
      <c r="L949"/>
      <c r="M949"/>
      <c r="N949"/>
      <c r="O949" s="61"/>
      <c r="P949"/>
    </row>
    <row r="950" spans="2:16" x14ac:dyDescent="0.2">
      <c r="B950"/>
      <c r="C950" s="61"/>
      <c r="D950" s="61"/>
      <c r="G950"/>
      <c r="H950"/>
      <c r="M950"/>
      <c r="N950"/>
      <c r="O950" s="61"/>
      <c r="P950"/>
    </row>
    <row r="951" spans="2:16" x14ac:dyDescent="0.2">
      <c r="B951"/>
      <c r="C951" s="61"/>
      <c r="D951" s="61"/>
      <c r="G951"/>
      <c r="H951"/>
      <c r="I951"/>
      <c r="J951"/>
      <c r="M951"/>
      <c r="N951"/>
      <c r="O951" s="61"/>
      <c r="P951"/>
    </row>
    <row r="952" spans="2:16" x14ac:dyDescent="0.2">
      <c r="B952"/>
      <c r="C952" s="61"/>
      <c r="D952" s="61"/>
      <c r="G952"/>
      <c r="H952"/>
      <c r="J952"/>
      <c r="M952"/>
      <c r="N952"/>
      <c r="O952" s="61"/>
      <c r="P952"/>
    </row>
    <row r="953" spans="2:16" x14ac:dyDescent="0.2">
      <c r="B953"/>
      <c r="C953" s="61"/>
      <c r="D953" s="61"/>
      <c r="G953"/>
      <c r="H953"/>
      <c r="J953"/>
      <c r="M953"/>
      <c r="N953"/>
      <c r="O953" s="61"/>
      <c r="P953"/>
    </row>
    <row r="954" spans="2:16" x14ac:dyDescent="0.2">
      <c r="B954"/>
      <c r="C954" s="61"/>
      <c r="D954" s="61"/>
      <c r="G954"/>
      <c r="H954"/>
      <c r="J954"/>
      <c r="M954"/>
      <c r="N954"/>
      <c r="O954" s="61"/>
      <c r="P954"/>
    </row>
    <row r="955" spans="2:16" x14ac:dyDescent="0.2">
      <c r="B955"/>
      <c r="C955" s="61"/>
      <c r="D955" s="61"/>
      <c r="G955"/>
      <c r="H955"/>
      <c r="J955"/>
      <c r="M955"/>
      <c r="N955"/>
      <c r="O955" s="61"/>
      <c r="P955"/>
    </row>
    <row r="956" spans="2:16" x14ac:dyDescent="0.2">
      <c r="B956"/>
      <c r="C956" s="61"/>
      <c r="D956" s="61"/>
      <c r="G956"/>
      <c r="H956"/>
      <c r="I956"/>
      <c r="J956"/>
      <c r="M956"/>
      <c r="N956"/>
      <c r="O956" s="61"/>
      <c r="P956"/>
    </row>
    <row r="957" spans="2:16" x14ac:dyDescent="0.2">
      <c r="B957"/>
      <c r="C957" s="61"/>
      <c r="D957" s="61"/>
      <c r="G957"/>
      <c r="H957"/>
      <c r="I957"/>
      <c r="J957"/>
      <c r="M957"/>
      <c r="N957"/>
      <c r="O957" s="61"/>
      <c r="P957"/>
    </row>
    <row r="958" spans="2:16" x14ac:dyDescent="0.2">
      <c r="B958"/>
      <c r="C958" s="61"/>
      <c r="D958" s="61"/>
      <c r="G958"/>
      <c r="H958"/>
      <c r="I958"/>
      <c r="K958"/>
      <c r="L958"/>
      <c r="M958"/>
      <c r="N958"/>
      <c r="O958" s="61"/>
      <c r="P958"/>
    </row>
    <row r="959" spans="2:16" x14ac:dyDescent="0.2">
      <c r="B959"/>
      <c r="C959" s="61"/>
      <c r="D959" s="61"/>
      <c r="G959"/>
      <c r="H959"/>
      <c r="I959"/>
      <c r="K959"/>
      <c r="L959"/>
      <c r="M959"/>
      <c r="N959"/>
      <c r="O959" s="61"/>
      <c r="P959"/>
    </row>
    <row r="960" spans="2:16" x14ac:dyDescent="0.2">
      <c r="B960"/>
      <c r="C960" s="61"/>
      <c r="D960" s="61"/>
      <c r="G960"/>
      <c r="H960"/>
      <c r="I960"/>
      <c r="J960"/>
      <c r="M960"/>
      <c r="N960"/>
      <c r="O960" s="61"/>
      <c r="P960"/>
    </row>
    <row r="961" spans="2:16" x14ac:dyDescent="0.2">
      <c r="B961"/>
      <c r="C961" s="61"/>
      <c r="D961" s="61"/>
      <c r="G961"/>
      <c r="H961"/>
      <c r="I961"/>
      <c r="J961"/>
      <c r="M961"/>
      <c r="N961"/>
      <c r="O961" s="61"/>
      <c r="P961"/>
    </row>
    <row r="962" spans="2:16" x14ac:dyDescent="0.2">
      <c r="B962"/>
      <c r="C962" s="61"/>
      <c r="D962" s="61"/>
      <c r="G962"/>
      <c r="H962"/>
      <c r="I962"/>
      <c r="J962"/>
      <c r="M962"/>
      <c r="N962"/>
      <c r="O962" s="61"/>
      <c r="P962"/>
    </row>
    <row r="963" spans="2:16" x14ac:dyDescent="0.2">
      <c r="B963"/>
      <c r="C963" s="61"/>
      <c r="D963" s="61"/>
      <c r="G963"/>
      <c r="H963"/>
      <c r="M963"/>
      <c r="N963"/>
      <c r="O963" s="61"/>
      <c r="P963"/>
    </row>
    <row r="964" spans="2:16" x14ac:dyDescent="0.2">
      <c r="B964"/>
      <c r="C964" s="61"/>
      <c r="D964" s="61"/>
      <c r="G964"/>
      <c r="H964"/>
      <c r="M964"/>
      <c r="N964"/>
      <c r="O964" s="61"/>
      <c r="P964"/>
    </row>
    <row r="965" spans="2:16" x14ac:dyDescent="0.2">
      <c r="B965"/>
      <c r="C965" s="61"/>
      <c r="D965" s="61"/>
      <c r="G965"/>
      <c r="H965"/>
      <c r="I965"/>
      <c r="J965"/>
      <c r="M965"/>
      <c r="N965"/>
      <c r="O965" s="61"/>
      <c r="P965"/>
    </row>
    <row r="966" spans="2:16" x14ac:dyDescent="0.2">
      <c r="B966"/>
      <c r="C966" s="61"/>
      <c r="D966" s="61"/>
      <c r="G966"/>
      <c r="H966"/>
      <c r="J966"/>
      <c r="M966"/>
      <c r="N966"/>
      <c r="O966" s="61"/>
      <c r="P966"/>
    </row>
    <row r="967" spans="2:16" x14ac:dyDescent="0.2">
      <c r="B967"/>
      <c r="C967" s="61"/>
      <c r="D967" s="61"/>
      <c r="G967"/>
      <c r="H967"/>
      <c r="I967"/>
      <c r="J967"/>
      <c r="M967"/>
      <c r="N967"/>
      <c r="O967" s="61"/>
      <c r="P967"/>
    </row>
    <row r="968" spans="2:16" x14ac:dyDescent="0.2">
      <c r="B968"/>
      <c r="C968" s="61"/>
      <c r="D968" s="61"/>
      <c r="G968"/>
      <c r="H968"/>
      <c r="J968"/>
      <c r="M968"/>
      <c r="N968"/>
      <c r="O968" s="61"/>
      <c r="P968"/>
    </row>
    <row r="969" spans="2:16" x14ac:dyDescent="0.2">
      <c r="B969"/>
      <c r="C969" s="61"/>
      <c r="D969" s="61"/>
      <c r="G969"/>
      <c r="H969"/>
      <c r="J969"/>
      <c r="M969"/>
      <c r="N969"/>
      <c r="O969" s="61"/>
      <c r="P969"/>
    </row>
    <row r="970" spans="2:16" x14ac:dyDescent="0.2">
      <c r="B970"/>
      <c r="C970" s="61"/>
      <c r="D970" s="61"/>
      <c r="G970"/>
      <c r="H970"/>
      <c r="J970"/>
      <c r="M970"/>
      <c r="N970"/>
      <c r="O970" s="61"/>
      <c r="P970"/>
    </row>
    <row r="971" spans="2:16" x14ac:dyDescent="0.2">
      <c r="B971"/>
      <c r="C971" s="61"/>
      <c r="D971" s="61"/>
      <c r="G971"/>
      <c r="H971"/>
      <c r="M971"/>
      <c r="N971"/>
      <c r="O971" s="61"/>
      <c r="P971"/>
    </row>
    <row r="972" spans="2:16" x14ac:dyDescent="0.2">
      <c r="B972"/>
      <c r="C972" s="61"/>
      <c r="D972" s="61"/>
      <c r="G972"/>
      <c r="H972"/>
      <c r="I972"/>
      <c r="J972"/>
      <c r="M972"/>
      <c r="N972"/>
      <c r="O972" s="61"/>
      <c r="P972"/>
    </row>
    <row r="973" spans="2:16" x14ac:dyDescent="0.2">
      <c r="B973"/>
      <c r="C973" s="61"/>
      <c r="D973" s="61"/>
      <c r="G973"/>
      <c r="H973"/>
      <c r="J973"/>
      <c r="M973"/>
      <c r="N973"/>
      <c r="O973" s="61"/>
      <c r="P973"/>
    </row>
    <row r="974" spans="2:16" x14ac:dyDescent="0.2">
      <c r="B974"/>
      <c r="C974" s="61"/>
      <c r="D974" s="61"/>
      <c r="G974"/>
      <c r="H974"/>
      <c r="N974"/>
      <c r="O974" s="61"/>
      <c r="P974"/>
    </row>
    <row r="975" spans="2:16" x14ac:dyDescent="0.2">
      <c r="B975"/>
      <c r="C975" s="61"/>
      <c r="D975" s="61"/>
      <c r="G975"/>
      <c r="H975"/>
      <c r="N975"/>
      <c r="O975" s="61"/>
      <c r="P975"/>
    </row>
    <row r="976" spans="2:16" x14ac:dyDescent="0.2">
      <c r="B976"/>
      <c r="C976" s="61"/>
      <c r="D976" s="61"/>
      <c r="G976"/>
      <c r="H976"/>
      <c r="I976"/>
      <c r="J976"/>
      <c r="M976"/>
      <c r="N976"/>
      <c r="O976" s="61"/>
      <c r="P976"/>
    </row>
    <row r="977" spans="2:16" x14ac:dyDescent="0.2">
      <c r="B977"/>
      <c r="C977" s="61"/>
      <c r="D977" s="61"/>
      <c r="G977"/>
      <c r="H977"/>
      <c r="I977"/>
      <c r="J977"/>
      <c r="M977"/>
      <c r="N977"/>
      <c r="O977" s="61"/>
      <c r="P977"/>
    </row>
    <row r="978" spans="2:16" x14ac:dyDescent="0.2">
      <c r="B978"/>
      <c r="C978" s="61"/>
      <c r="D978" s="61"/>
      <c r="G978"/>
      <c r="H978"/>
      <c r="I978"/>
      <c r="J978"/>
      <c r="M978"/>
      <c r="N978"/>
      <c r="O978" s="61"/>
      <c r="P978"/>
    </row>
    <row r="979" spans="2:16" x14ac:dyDescent="0.2">
      <c r="B979"/>
      <c r="C979" s="61"/>
      <c r="D979" s="61"/>
      <c r="G979"/>
      <c r="H979"/>
      <c r="J979"/>
      <c r="M979"/>
      <c r="N979"/>
      <c r="O979" s="61"/>
      <c r="P979"/>
    </row>
    <row r="980" spans="2:16" x14ac:dyDescent="0.2">
      <c r="B980"/>
      <c r="C980" s="61"/>
      <c r="D980" s="61"/>
      <c r="G980"/>
      <c r="H980"/>
      <c r="J980"/>
      <c r="M980"/>
      <c r="N980"/>
      <c r="O980" s="61"/>
      <c r="P980"/>
    </row>
    <row r="981" spans="2:16" x14ac:dyDescent="0.2">
      <c r="B981"/>
      <c r="C981" s="61"/>
      <c r="D981" s="61"/>
      <c r="G981"/>
      <c r="H981"/>
      <c r="I981"/>
      <c r="J981"/>
      <c r="M981"/>
      <c r="N981"/>
      <c r="O981" s="61"/>
      <c r="P981"/>
    </row>
    <row r="982" spans="2:16" x14ac:dyDescent="0.2">
      <c r="B982"/>
      <c r="C982" s="61"/>
      <c r="D982" s="61"/>
      <c r="G982"/>
      <c r="H982"/>
      <c r="K982"/>
      <c r="L982"/>
      <c r="M982"/>
      <c r="N982"/>
      <c r="O982" s="61"/>
      <c r="P982"/>
    </row>
    <row r="983" spans="2:16" x14ac:dyDescent="0.2">
      <c r="B983"/>
      <c r="C983" s="61"/>
      <c r="D983" s="61"/>
      <c r="G983"/>
      <c r="H983"/>
      <c r="I983"/>
      <c r="J983"/>
      <c r="M983"/>
      <c r="N983"/>
      <c r="O983" s="61"/>
      <c r="P983"/>
    </row>
    <row r="984" spans="2:16" x14ac:dyDescent="0.2">
      <c r="B984"/>
      <c r="C984" s="61"/>
      <c r="D984" s="61"/>
      <c r="G984"/>
      <c r="H984"/>
      <c r="J984"/>
      <c r="M984"/>
      <c r="N984"/>
      <c r="O984" s="61"/>
      <c r="P984"/>
    </row>
    <row r="985" spans="2:16" x14ac:dyDescent="0.2">
      <c r="B985"/>
      <c r="C985" s="61"/>
      <c r="D985" s="61"/>
      <c r="G985"/>
      <c r="H985"/>
      <c r="J985"/>
      <c r="M985"/>
      <c r="N985"/>
      <c r="O985" s="61"/>
      <c r="P985"/>
    </row>
    <row r="986" spans="2:16" x14ac:dyDescent="0.2">
      <c r="B986"/>
      <c r="C986" s="61"/>
      <c r="D986" s="61"/>
      <c r="G986"/>
      <c r="H986"/>
      <c r="I986"/>
      <c r="J986"/>
      <c r="M986"/>
      <c r="N986"/>
      <c r="O986" s="61"/>
      <c r="P986"/>
    </row>
    <row r="987" spans="2:16" x14ac:dyDescent="0.2">
      <c r="B987"/>
      <c r="C987" s="61"/>
      <c r="D987" s="61"/>
      <c r="G987"/>
      <c r="H987"/>
      <c r="I987"/>
      <c r="J987"/>
      <c r="M987"/>
      <c r="N987"/>
      <c r="O987" s="61"/>
      <c r="P987"/>
    </row>
    <row r="988" spans="2:16" x14ac:dyDescent="0.2">
      <c r="B988"/>
      <c r="C988" s="61"/>
      <c r="D988" s="61"/>
      <c r="G988"/>
      <c r="H988"/>
      <c r="I988"/>
      <c r="J988"/>
      <c r="M988"/>
      <c r="N988"/>
      <c r="O988" s="61"/>
      <c r="P988"/>
    </row>
    <row r="989" spans="2:16" x14ac:dyDescent="0.2">
      <c r="B989"/>
      <c r="C989" s="61"/>
      <c r="D989" s="61"/>
      <c r="G989"/>
      <c r="H989"/>
      <c r="I989"/>
      <c r="J989"/>
      <c r="M989"/>
      <c r="N989"/>
      <c r="O989" s="61"/>
      <c r="P989"/>
    </row>
    <row r="990" spans="2:16" x14ac:dyDescent="0.2">
      <c r="B990"/>
      <c r="C990" s="61"/>
      <c r="D990" s="61"/>
      <c r="G990"/>
      <c r="H990"/>
      <c r="M990"/>
      <c r="N990"/>
      <c r="O990" s="61"/>
      <c r="P990"/>
    </row>
    <row r="991" spans="2:16" x14ac:dyDescent="0.2">
      <c r="B991"/>
      <c r="C991" s="61"/>
      <c r="D991" s="61"/>
      <c r="G991"/>
      <c r="H991"/>
      <c r="I991"/>
      <c r="J991"/>
      <c r="M991"/>
      <c r="N991"/>
      <c r="O991" s="61"/>
      <c r="P991"/>
    </row>
    <row r="992" spans="2:16" x14ac:dyDescent="0.2">
      <c r="B992"/>
      <c r="C992" s="61"/>
      <c r="D992" s="61"/>
      <c r="G992"/>
      <c r="H992"/>
      <c r="M992"/>
      <c r="N992"/>
      <c r="O992" s="61"/>
      <c r="P992"/>
    </row>
    <row r="993" spans="2:16" x14ac:dyDescent="0.2">
      <c r="B993"/>
      <c r="C993" s="61"/>
      <c r="D993" s="61"/>
      <c r="G993"/>
      <c r="H993"/>
      <c r="I993"/>
      <c r="J993"/>
      <c r="M993"/>
      <c r="N993"/>
      <c r="O993" s="61"/>
      <c r="P993"/>
    </row>
    <row r="994" spans="2:16" x14ac:dyDescent="0.2">
      <c r="B994"/>
      <c r="C994" s="61"/>
      <c r="D994" s="61"/>
      <c r="G994"/>
      <c r="H994"/>
      <c r="J994"/>
      <c r="M994"/>
      <c r="N994"/>
      <c r="O994" s="61"/>
      <c r="P994"/>
    </row>
    <row r="995" spans="2:16" x14ac:dyDescent="0.2">
      <c r="B995"/>
      <c r="C995" s="61"/>
      <c r="D995" s="61"/>
      <c r="G995"/>
      <c r="H995"/>
      <c r="I995"/>
      <c r="J995"/>
      <c r="M995"/>
      <c r="N995"/>
      <c r="O995" s="61"/>
      <c r="P995"/>
    </row>
    <row r="996" spans="2:16" x14ac:dyDescent="0.2">
      <c r="B996"/>
      <c r="C996" s="61"/>
      <c r="D996" s="61"/>
      <c r="G996"/>
      <c r="H996"/>
      <c r="I996"/>
      <c r="J996"/>
      <c r="M996"/>
      <c r="N996"/>
      <c r="O996" s="61"/>
      <c r="P996"/>
    </row>
    <row r="997" spans="2:16" x14ac:dyDescent="0.2">
      <c r="B997"/>
      <c r="C997" s="61"/>
      <c r="D997" s="61"/>
      <c r="G997"/>
      <c r="H997"/>
      <c r="I997"/>
      <c r="J997"/>
      <c r="M997"/>
      <c r="N997"/>
      <c r="O997" s="61"/>
      <c r="P997"/>
    </row>
    <row r="998" spans="2:16" x14ac:dyDescent="0.2">
      <c r="B998"/>
      <c r="C998" s="61"/>
      <c r="D998" s="61"/>
      <c r="G998"/>
      <c r="H998"/>
      <c r="I998"/>
      <c r="J998"/>
      <c r="M998"/>
      <c r="N998"/>
      <c r="O998" s="61"/>
      <c r="P998"/>
    </row>
    <row r="999" spans="2:16" x14ac:dyDescent="0.2">
      <c r="B999"/>
      <c r="C999" s="61"/>
      <c r="D999" s="61"/>
      <c r="G999"/>
      <c r="H999"/>
      <c r="I999"/>
      <c r="J999"/>
      <c r="M999"/>
      <c r="N999"/>
      <c r="O999" s="61"/>
      <c r="P999"/>
    </row>
    <row r="1000" spans="2:16" x14ac:dyDescent="0.2">
      <c r="B1000"/>
      <c r="C1000" s="61"/>
      <c r="D1000" s="61"/>
      <c r="G1000"/>
      <c r="H1000"/>
      <c r="I1000"/>
      <c r="J1000"/>
      <c r="M1000"/>
      <c r="N1000"/>
      <c r="O1000" s="61"/>
      <c r="P1000"/>
    </row>
    <row r="1001" spans="2:16" x14ac:dyDescent="0.2">
      <c r="B1001"/>
      <c r="C1001" s="61"/>
      <c r="D1001" s="61"/>
      <c r="G1001"/>
      <c r="H1001"/>
      <c r="J1001"/>
      <c r="M1001"/>
      <c r="N1001"/>
      <c r="O1001" s="61"/>
      <c r="P1001"/>
    </row>
    <row r="1002" spans="2:16" x14ac:dyDescent="0.2">
      <c r="B1002"/>
      <c r="C1002" s="61"/>
      <c r="D1002" s="61"/>
      <c r="G1002"/>
      <c r="H1002"/>
      <c r="J1002"/>
      <c r="M1002"/>
      <c r="N1002"/>
      <c r="O1002" s="61"/>
      <c r="P1002"/>
    </row>
    <row r="1003" spans="2:16" x14ac:dyDescent="0.2">
      <c r="B1003"/>
      <c r="C1003" s="61"/>
      <c r="D1003" s="61"/>
      <c r="G1003"/>
      <c r="H1003"/>
      <c r="J1003"/>
      <c r="K1003"/>
      <c r="L1003"/>
      <c r="M1003"/>
      <c r="N1003"/>
      <c r="O1003" s="61"/>
      <c r="P1003"/>
    </row>
    <row r="1004" spans="2:16" x14ac:dyDescent="0.2">
      <c r="B1004"/>
      <c r="C1004" s="61"/>
      <c r="D1004" s="61"/>
      <c r="G1004"/>
      <c r="H1004"/>
      <c r="I1004"/>
      <c r="J1004"/>
      <c r="M1004"/>
      <c r="N1004"/>
      <c r="O1004" s="61"/>
      <c r="P1004"/>
    </row>
    <row r="1005" spans="2:16" x14ac:dyDescent="0.2">
      <c r="B1005"/>
      <c r="C1005" s="61"/>
      <c r="D1005" s="61"/>
      <c r="G1005"/>
      <c r="H1005"/>
      <c r="I1005"/>
      <c r="J1005"/>
      <c r="M1005"/>
      <c r="N1005"/>
      <c r="O1005" s="61"/>
      <c r="P1005"/>
    </row>
    <row r="1006" spans="2:16" x14ac:dyDescent="0.2">
      <c r="B1006"/>
      <c r="C1006" s="61"/>
      <c r="D1006" s="61"/>
      <c r="G1006"/>
      <c r="H1006"/>
      <c r="M1006"/>
      <c r="N1006"/>
      <c r="O1006" s="61"/>
      <c r="P1006"/>
    </row>
    <row r="1007" spans="2:16" x14ac:dyDescent="0.2">
      <c r="B1007"/>
      <c r="C1007" s="61"/>
      <c r="D1007" s="61"/>
      <c r="G1007"/>
      <c r="H1007"/>
      <c r="J1007"/>
      <c r="M1007"/>
      <c r="N1007"/>
      <c r="O1007" s="61"/>
      <c r="P1007"/>
    </row>
    <row r="1008" spans="2:16" x14ac:dyDescent="0.2">
      <c r="B1008"/>
      <c r="C1008" s="61"/>
      <c r="D1008" s="61"/>
      <c r="G1008"/>
      <c r="H1008"/>
      <c r="I1008"/>
      <c r="J1008"/>
      <c r="M1008"/>
      <c r="N1008"/>
      <c r="O1008" s="61"/>
      <c r="P1008"/>
    </row>
    <row r="1009" spans="2:16" x14ac:dyDescent="0.2">
      <c r="B1009"/>
      <c r="C1009" s="61"/>
      <c r="D1009" s="61"/>
      <c r="G1009"/>
      <c r="H1009"/>
      <c r="I1009"/>
      <c r="J1009"/>
      <c r="M1009"/>
      <c r="N1009"/>
      <c r="O1009" s="61"/>
      <c r="P1009"/>
    </row>
    <row r="1010" spans="2:16" x14ac:dyDescent="0.2">
      <c r="B1010"/>
      <c r="C1010" s="61"/>
      <c r="D1010" s="61"/>
      <c r="G1010"/>
      <c r="H1010"/>
      <c r="I1010"/>
      <c r="J1010"/>
      <c r="M1010"/>
      <c r="N1010"/>
      <c r="O1010" s="61"/>
      <c r="P1010"/>
    </row>
    <row r="1011" spans="2:16" x14ac:dyDescent="0.2">
      <c r="B1011"/>
      <c r="C1011" s="61"/>
      <c r="D1011" s="61"/>
      <c r="G1011"/>
      <c r="H1011"/>
      <c r="I1011"/>
      <c r="J1011"/>
      <c r="M1011"/>
      <c r="N1011"/>
      <c r="O1011" s="61"/>
      <c r="P1011"/>
    </row>
    <row r="1012" spans="2:16" x14ac:dyDescent="0.2">
      <c r="B1012"/>
      <c r="C1012" s="61"/>
      <c r="D1012" s="61"/>
      <c r="G1012"/>
      <c r="H1012"/>
      <c r="M1012"/>
      <c r="N1012"/>
      <c r="O1012" s="61"/>
      <c r="P1012"/>
    </row>
    <row r="1013" spans="2:16" x14ac:dyDescent="0.2">
      <c r="B1013"/>
      <c r="C1013" s="61"/>
      <c r="D1013" s="61"/>
      <c r="G1013"/>
      <c r="H1013"/>
      <c r="I1013"/>
      <c r="J1013"/>
      <c r="M1013"/>
      <c r="N1013"/>
      <c r="O1013" s="61"/>
      <c r="P1013"/>
    </row>
    <row r="1014" spans="2:16" x14ac:dyDescent="0.2">
      <c r="B1014"/>
      <c r="C1014" s="61"/>
      <c r="D1014" s="61"/>
      <c r="G1014"/>
      <c r="H1014"/>
      <c r="K1014"/>
      <c r="L1014"/>
      <c r="N1014"/>
      <c r="O1014" s="61"/>
      <c r="P1014"/>
    </row>
    <row r="1015" spans="2:16" x14ac:dyDescent="0.2">
      <c r="B1015"/>
      <c r="C1015" s="61"/>
      <c r="D1015" s="61"/>
      <c r="G1015"/>
      <c r="H1015"/>
      <c r="I1015"/>
      <c r="J1015"/>
      <c r="M1015"/>
      <c r="N1015"/>
      <c r="O1015" s="61"/>
      <c r="P1015"/>
    </row>
    <row r="1016" spans="2:16" x14ac:dyDescent="0.2">
      <c r="B1016"/>
      <c r="C1016" s="61"/>
      <c r="D1016" s="61"/>
      <c r="G1016"/>
      <c r="H1016"/>
      <c r="I1016"/>
      <c r="J1016"/>
      <c r="M1016"/>
      <c r="N1016"/>
      <c r="O1016" s="61"/>
      <c r="P1016"/>
    </row>
    <row r="1017" spans="2:16" x14ac:dyDescent="0.2">
      <c r="B1017"/>
      <c r="C1017" s="61"/>
      <c r="D1017" s="61"/>
      <c r="G1017"/>
      <c r="H1017"/>
      <c r="J1017"/>
      <c r="M1017"/>
      <c r="N1017"/>
      <c r="O1017" s="61"/>
      <c r="P1017"/>
    </row>
    <row r="1018" spans="2:16" x14ac:dyDescent="0.2">
      <c r="B1018"/>
      <c r="C1018" s="61"/>
      <c r="D1018" s="61"/>
      <c r="G1018"/>
      <c r="H1018"/>
      <c r="I1018"/>
      <c r="J1018"/>
      <c r="M1018"/>
      <c r="N1018"/>
      <c r="O1018" s="61"/>
      <c r="P1018"/>
    </row>
    <row r="1019" spans="2:16" x14ac:dyDescent="0.2">
      <c r="B1019"/>
      <c r="C1019" s="61"/>
      <c r="D1019" s="61"/>
      <c r="G1019"/>
      <c r="H1019"/>
      <c r="I1019"/>
      <c r="J1019"/>
      <c r="M1019"/>
      <c r="N1019"/>
      <c r="O1019" s="61"/>
      <c r="P1019"/>
    </row>
    <row r="1020" spans="2:16" x14ac:dyDescent="0.2">
      <c r="B1020"/>
      <c r="C1020" s="61"/>
      <c r="D1020" s="61"/>
      <c r="G1020"/>
      <c r="H1020"/>
      <c r="I1020"/>
      <c r="J1020"/>
      <c r="M1020"/>
      <c r="N1020"/>
      <c r="O1020" s="61"/>
      <c r="P1020"/>
    </row>
    <row r="1021" spans="2:16" x14ac:dyDescent="0.2">
      <c r="B1021"/>
      <c r="C1021" s="61"/>
      <c r="D1021" s="61"/>
      <c r="G1021"/>
      <c r="H1021"/>
      <c r="J1021"/>
      <c r="M1021"/>
      <c r="N1021"/>
      <c r="O1021" s="61"/>
      <c r="P1021"/>
    </row>
    <row r="1022" spans="2:16" x14ac:dyDescent="0.2">
      <c r="B1022"/>
      <c r="C1022" s="61"/>
      <c r="D1022" s="61"/>
      <c r="G1022"/>
      <c r="H1022"/>
      <c r="I1022"/>
      <c r="J1022"/>
      <c r="M1022"/>
      <c r="N1022"/>
      <c r="O1022" s="61"/>
      <c r="P1022"/>
    </row>
    <row r="1023" spans="2:16" x14ac:dyDescent="0.2">
      <c r="B1023"/>
      <c r="C1023" s="61"/>
      <c r="D1023" s="61"/>
      <c r="G1023"/>
      <c r="H1023"/>
      <c r="J1023"/>
      <c r="M1023"/>
      <c r="N1023"/>
      <c r="O1023" s="61"/>
      <c r="P1023"/>
    </row>
    <row r="1024" spans="2:16" x14ac:dyDescent="0.2">
      <c r="B1024"/>
      <c r="C1024" s="61"/>
      <c r="D1024" s="61"/>
      <c r="G1024"/>
      <c r="H1024"/>
      <c r="J1024"/>
      <c r="M1024"/>
      <c r="N1024"/>
      <c r="O1024" s="61"/>
      <c r="P1024"/>
    </row>
    <row r="1025" spans="2:16" x14ac:dyDescent="0.2">
      <c r="B1025"/>
      <c r="C1025" s="61"/>
      <c r="D1025" s="61"/>
      <c r="G1025"/>
      <c r="H1025"/>
      <c r="M1025"/>
      <c r="N1025"/>
      <c r="O1025" s="61"/>
      <c r="P1025"/>
    </row>
    <row r="1026" spans="2:16" x14ac:dyDescent="0.2">
      <c r="B1026"/>
      <c r="C1026" s="61"/>
      <c r="D1026" s="61"/>
      <c r="G1026"/>
      <c r="H1026"/>
      <c r="I1026"/>
      <c r="J1026"/>
      <c r="M1026"/>
      <c r="N1026"/>
      <c r="O1026" s="61"/>
      <c r="P1026"/>
    </row>
    <row r="1027" spans="2:16" x14ac:dyDescent="0.2">
      <c r="B1027"/>
      <c r="C1027" s="61"/>
      <c r="D1027" s="61"/>
      <c r="G1027"/>
      <c r="H1027"/>
      <c r="I1027"/>
      <c r="J1027"/>
      <c r="M1027"/>
      <c r="N1027"/>
      <c r="O1027" s="61"/>
      <c r="P1027"/>
    </row>
    <row r="1028" spans="2:16" x14ac:dyDescent="0.2">
      <c r="B1028"/>
      <c r="C1028" s="61"/>
      <c r="D1028" s="61"/>
      <c r="G1028"/>
      <c r="H1028"/>
      <c r="I1028"/>
      <c r="J1028"/>
      <c r="M1028"/>
      <c r="N1028"/>
      <c r="O1028" s="61"/>
      <c r="P1028"/>
    </row>
    <row r="1029" spans="2:16" x14ac:dyDescent="0.2">
      <c r="B1029"/>
      <c r="C1029" s="61"/>
      <c r="D1029" s="61"/>
      <c r="G1029"/>
      <c r="H1029"/>
      <c r="I1029"/>
      <c r="K1029"/>
      <c r="L1029"/>
      <c r="M1029"/>
      <c r="N1029"/>
      <c r="O1029" s="61"/>
      <c r="P1029"/>
    </row>
    <row r="1030" spans="2:16" x14ac:dyDescent="0.2">
      <c r="B1030"/>
      <c r="C1030" s="61"/>
      <c r="D1030" s="61"/>
      <c r="G1030"/>
      <c r="H1030"/>
      <c r="J1030"/>
      <c r="M1030"/>
      <c r="N1030"/>
      <c r="O1030" s="61"/>
      <c r="P1030"/>
    </row>
    <row r="1031" spans="2:16" x14ac:dyDescent="0.2">
      <c r="B1031"/>
      <c r="C1031" s="61"/>
      <c r="D1031" s="61"/>
      <c r="G1031"/>
      <c r="H1031"/>
      <c r="I1031"/>
      <c r="J1031"/>
      <c r="K1031"/>
      <c r="L1031"/>
      <c r="M1031"/>
      <c r="N1031"/>
      <c r="O1031" s="61"/>
      <c r="P1031"/>
    </row>
    <row r="1032" spans="2:16" x14ac:dyDescent="0.2">
      <c r="B1032"/>
      <c r="C1032" s="61"/>
      <c r="D1032" s="61"/>
      <c r="G1032"/>
      <c r="H1032"/>
      <c r="I1032"/>
      <c r="J1032"/>
      <c r="M1032"/>
      <c r="N1032"/>
      <c r="O1032" s="61"/>
      <c r="P1032"/>
    </row>
    <row r="1033" spans="2:16" x14ac:dyDescent="0.2">
      <c r="B1033"/>
      <c r="C1033" s="61"/>
      <c r="D1033" s="61"/>
      <c r="G1033"/>
      <c r="H1033"/>
      <c r="I1033"/>
      <c r="J1033"/>
      <c r="M1033"/>
      <c r="N1033"/>
      <c r="O1033" s="61"/>
      <c r="P1033"/>
    </row>
    <row r="1034" spans="2:16" x14ac:dyDescent="0.2">
      <c r="B1034"/>
      <c r="C1034" s="61"/>
      <c r="D1034" s="61"/>
      <c r="G1034"/>
      <c r="H1034"/>
      <c r="K1034"/>
      <c r="L1034"/>
      <c r="M1034"/>
      <c r="N1034"/>
      <c r="O1034" s="61"/>
      <c r="P1034"/>
    </row>
    <row r="1035" spans="2:16" x14ac:dyDescent="0.2">
      <c r="B1035"/>
      <c r="C1035" s="61"/>
      <c r="D1035" s="61"/>
      <c r="G1035"/>
      <c r="H1035"/>
      <c r="I1035"/>
      <c r="J1035"/>
      <c r="M1035"/>
      <c r="N1035"/>
      <c r="O1035" s="61"/>
      <c r="P1035"/>
    </row>
    <row r="1036" spans="2:16" x14ac:dyDescent="0.2">
      <c r="B1036"/>
      <c r="C1036" s="61"/>
      <c r="D1036" s="61"/>
      <c r="G1036"/>
      <c r="H1036"/>
      <c r="I1036"/>
      <c r="J1036"/>
      <c r="M1036"/>
      <c r="N1036"/>
      <c r="O1036" s="61"/>
      <c r="P1036"/>
    </row>
    <row r="1037" spans="2:16" x14ac:dyDescent="0.2">
      <c r="B1037"/>
      <c r="C1037" s="61"/>
      <c r="D1037" s="61"/>
      <c r="G1037"/>
      <c r="H1037"/>
      <c r="I1037"/>
      <c r="K1037"/>
      <c r="L1037"/>
      <c r="M1037"/>
      <c r="N1037"/>
      <c r="O1037" s="61"/>
      <c r="P1037"/>
    </row>
    <row r="1038" spans="2:16" x14ac:dyDescent="0.2">
      <c r="B1038"/>
      <c r="C1038" s="61"/>
      <c r="D1038" s="61"/>
      <c r="G1038"/>
      <c r="H1038"/>
      <c r="I1038"/>
      <c r="K1038"/>
      <c r="L1038"/>
      <c r="M1038"/>
      <c r="N1038"/>
      <c r="O1038" s="61"/>
      <c r="P1038"/>
    </row>
    <row r="1039" spans="2:16" x14ac:dyDescent="0.2">
      <c r="B1039"/>
      <c r="C1039" s="61"/>
      <c r="D1039" s="61"/>
      <c r="G1039"/>
      <c r="H1039"/>
      <c r="I1039"/>
      <c r="J1039"/>
      <c r="M1039"/>
      <c r="O1039" s="61"/>
      <c r="P1039"/>
    </row>
    <row r="1040" spans="2:16" x14ac:dyDescent="0.2">
      <c r="B1040"/>
      <c r="C1040" s="61"/>
      <c r="D1040" s="61"/>
      <c r="G1040"/>
      <c r="H1040"/>
      <c r="I1040"/>
      <c r="K1040"/>
      <c r="L1040"/>
      <c r="M1040"/>
      <c r="N1040"/>
      <c r="O1040" s="61"/>
      <c r="P1040"/>
    </row>
    <row r="1041" spans="2:16" x14ac:dyDescent="0.2">
      <c r="B1041"/>
      <c r="C1041" s="61"/>
      <c r="D1041" s="61"/>
      <c r="G1041"/>
      <c r="H1041"/>
      <c r="I1041"/>
      <c r="K1041"/>
      <c r="L1041"/>
      <c r="M1041"/>
      <c r="N1041"/>
      <c r="O1041" s="61"/>
      <c r="P1041"/>
    </row>
    <row r="1042" spans="2:16" x14ac:dyDescent="0.2">
      <c r="B1042"/>
      <c r="C1042" s="61"/>
      <c r="D1042" s="61"/>
      <c r="G1042"/>
      <c r="H1042"/>
      <c r="I1042"/>
      <c r="J1042"/>
      <c r="M1042"/>
      <c r="N1042"/>
      <c r="O1042" s="61"/>
      <c r="P1042"/>
    </row>
    <row r="1043" spans="2:16" x14ac:dyDescent="0.2">
      <c r="B1043"/>
      <c r="C1043" s="61"/>
      <c r="D1043" s="61"/>
      <c r="G1043"/>
      <c r="H1043"/>
      <c r="I1043"/>
      <c r="K1043"/>
      <c r="L1043"/>
      <c r="M1043"/>
      <c r="N1043"/>
      <c r="O1043" s="61"/>
      <c r="P1043"/>
    </row>
    <row r="1044" spans="2:16" x14ac:dyDescent="0.2">
      <c r="B1044"/>
      <c r="C1044" s="61"/>
      <c r="D1044" s="61"/>
      <c r="H1044"/>
      <c r="K1044"/>
      <c r="L1044"/>
      <c r="M1044"/>
      <c r="N1044"/>
      <c r="O1044" s="61"/>
      <c r="P1044"/>
    </row>
    <row r="1045" spans="2:16" x14ac:dyDescent="0.2">
      <c r="B1045"/>
      <c r="C1045" s="61"/>
      <c r="D1045" s="61"/>
      <c r="G1045"/>
      <c r="H1045"/>
      <c r="I1045"/>
      <c r="J1045"/>
      <c r="M1045"/>
      <c r="O1045" s="61"/>
      <c r="P1045"/>
    </row>
    <row r="1046" spans="2:16" x14ac:dyDescent="0.2">
      <c r="B1046"/>
      <c r="C1046" s="61"/>
      <c r="D1046" s="61"/>
      <c r="G1046"/>
      <c r="H1046"/>
      <c r="M1046"/>
      <c r="N1046"/>
      <c r="O1046" s="61"/>
      <c r="P1046"/>
    </row>
    <row r="1047" spans="2:16" x14ac:dyDescent="0.2">
      <c r="B1047"/>
      <c r="C1047" s="61"/>
      <c r="D1047" s="61"/>
      <c r="G1047"/>
      <c r="H1047"/>
      <c r="K1047"/>
      <c r="L1047"/>
      <c r="M1047"/>
      <c r="N1047"/>
      <c r="O1047" s="61"/>
      <c r="P1047"/>
    </row>
    <row r="1048" spans="2:16" x14ac:dyDescent="0.2">
      <c r="B1048"/>
      <c r="C1048" s="61"/>
      <c r="D1048" s="61"/>
      <c r="G1048"/>
      <c r="H1048"/>
      <c r="I1048"/>
      <c r="J1048"/>
      <c r="M1048"/>
      <c r="N1048"/>
      <c r="O1048" s="61"/>
      <c r="P1048"/>
    </row>
    <row r="1049" spans="2:16" x14ac:dyDescent="0.2">
      <c r="B1049"/>
      <c r="C1049" s="61"/>
      <c r="D1049" s="61"/>
      <c r="G1049"/>
      <c r="H1049"/>
      <c r="I1049"/>
      <c r="J1049"/>
      <c r="M1049"/>
      <c r="N1049"/>
      <c r="O1049" s="61"/>
      <c r="P1049"/>
    </row>
    <row r="1050" spans="2:16" x14ac:dyDescent="0.2">
      <c r="B1050"/>
      <c r="C1050" s="61"/>
      <c r="D1050" s="61"/>
      <c r="G1050"/>
      <c r="H1050"/>
      <c r="M1050"/>
      <c r="N1050"/>
      <c r="O1050" s="61"/>
      <c r="P1050"/>
    </row>
    <row r="1051" spans="2:16" x14ac:dyDescent="0.2">
      <c r="B1051"/>
      <c r="C1051" s="61"/>
      <c r="D1051" s="61"/>
      <c r="G1051"/>
      <c r="H1051"/>
      <c r="J1051"/>
      <c r="M1051"/>
      <c r="N1051"/>
      <c r="O1051" s="61"/>
      <c r="P1051"/>
    </row>
    <row r="1052" spans="2:16" x14ac:dyDescent="0.2">
      <c r="B1052"/>
      <c r="C1052" s="61"/>
      <c r="D1052" s="61"/>
      <c r="G1052"/>
      <c r="H1052"/>
      <c r="I1052"/>
      <c r="J1052"/>
      <c r="M1052"/>
      <c r="N1052"/>
      <c r="O1052" s="61"/>
      <c r="P1052"/>
    </row>
    <row r="1053" spans="2:16" x14ac:dyDescent="0.2">
      <c r="B1053"/>
      <c r="C1053" s="61"/>
      <c r="D1053" s="61"/>
      <c r="G1053"/>
      <c r="H1053"/>
      <c r="I1053"/>
      <c r="J1053"/>
      <c r="M1053"/>
      <c r="N1053"/>
      <c r="O1053" s="61"/>
      <c r="P1053"/>
    </row>
    <row r="1054" spans="2:16" x14ac:dyDescent="0.2">
      <c r="B1054"/>
      <c r="C1054" s="61"/>
      <c r="D1054" s="61"/>
      <c r="G1054"/>
      <c r="H1054"/>
      <c r="N1054"/>
      <c r="O1054" s="61"/>
      <c r="P1054"/>
    </row>
    <row r="1055" spans="2:16" x14ac:dyDescent="0.2">
      <c r="B1055"/>
      <c r="C1055" s="61"/>
      <c r="D1055" s="61"/>
      <c r="G1055"/>
      <c r="H1055"/>
      <c r="N1055"/>
      <c r="O1055" s="61"/>
      <c r="P1055"/>
    </row>
    <row r="1056" spans="2:16" x14ac:dyDescent="0.2">
      <c r="B1056"/>
      <c r="C1056" s="61"/>
      <c r="D1056" s="61"/>
      <c r="G1056"/>
      <c r="H1056"/>
      <c r="O1056" s="61"/>
      <c r="P1056"/>
    </row>
    <row r="1057" spans="2:16" x14ac:dyDescent="0.2">
      <c r="B1057"/>
      <c r="C1057" s="61"/>
      <c r="D1057" s="61"/>
      <c r="G1057"/>
      <c r="H1057"/>
      <c r="I1057"/>
      <c r="J1057"/>
      <c r="M1057"/>
      <c r="N1057"/>
      <c r="O1057" s="61"/>
      <c r="P1057"/>
    </row>
    <row r="1058" spans="2:16" x14ac:dyDescent="0.2">
      <c r="B1058"/>
      <c r="C1058" s="61"/>
      <c r="D1058" s="61"/>
      <c r="G1058"/>
      <c r="H1058"/>
      <c r="M1058"/>
      <c r="N1058"/>
      <c r="O1058" s="61"/>
      <c r="P1058"/>
    </row>
    <row r="1059" spans="2:16" x14ac:dyDescent="0.2">
      <c r="B1059"/>
      <c r="C1059" s="61"/>
      <c r="D1059" s="61"/>
      <c r="G1059"/>
      <c r="H1059"/>
      <c r="I1059"/>
      <c r="J1059"/>
      <c r="M1059"/>
      <c r="N1059"/>
      <c r="O1059" s="61"/>
      <c r="P1059"/>
    </row>
    <row r="1060" spans="2:16" x14ac:dyDescent="0.2">
      <c r="B1060"/>
      <c r="C1060" s="61"/>
      <c r="D1060" s="61"/>
      <c r="G1060"/>
      <c r="H1060"/>
      <c r="I1060"/>
      <c r="J1060"/>
      <c r="M1060"/>
      <c r="O1060" s="61"/>
      <c r="P1060"/>
    </row>
    <row r="1061" spans="2:16" x14ac:dyDescent="0.2">
      <c r="B1061"/>
      <c r="C1061" s="61"/>
      <c r="D1061" s="61"/>
      <c r="G1061"/>
      <c r="H1061"/>
      <c r="J1061"/>
      <c r="M1061"/>
      <c r="N1061"/>
      <c r="O1061" s="61"/>
      <c r="P1061"/>
    </row>
    <row r="1062" spans="2:16" x14ac:dyDescent="0.2">
      <c r="B1062"/>
      <c r="C1062" s="61"/>
      <c r="D1062" s="61"/>
      <c r="G1062"/>
      <c r="H1062"/>
      <c r="I1062"/>
      <c r="J1062"/>
      <c r="M1062"/>
      <c r="N1062"/>
      <c r="O1062" s="61"/>
      <c r="P1062"/>
    </row>
    <row r="1063" spans="2:16" x14ac:dyDescent="0.2">
      <c r="B1063"/>
      <c r="C1063" s="61"/>
      <c r="D1063" s="61"/>
      <c r="G1063"/>
      <c r="H1063"/>
      <c r="I1063"/>
      <c r="J1063"/>
      <c r="M1063"/>
      <c r="N1063"/>
      <c r="O1063" s="61"/>
      <c r="P1063"/>
    </row>
    <row r="1064" spans="2:16" x14ac:dyDescent="0.2">
      <c r="B1064"/>
      <c r="C1064" s="61"/>
      <c r="D1064" s="61"/>
      <c r="G1064"/>
      <c r="H1064"/>
      <c r="J1064"/>
      <c r="M1064"/>
      <c r="N1064"/>
      <c r="O1064" s="61"/>
      <c r="P1064"/>
    </row>
    <row r="1065" spans="2:16" x14ac:dyDescent="0.2">
      <c r="B1065"/>
      <c r="C1065" s="61"/>
      <c r="D1065" s="61"/>
      <c r="G1065"/>
      <c r="H1065"/>
      <c r="J1065"/>
      <c r="M1065"/>
      <c r="N1065"/>
      <c r="O1065" s="61"/>
      <c r="P1065"/>
    </row>
    <row r="1066" spans="2:16" x14ac:dyDescent="0.2">
      <c r="B1066"/>
      <c r="C1066" s="61"/>
      <c r="D1066" s="61"/>
      <c r="G1066"/>
      <c r="H1066"/>
      <c r="M1066"/>
      <c r="N1066"/>
      <c r="O1066" s="61"/>
      <c r="P1066"/>
    </row>
    <row r="1067" spans="2:16" x14ac:dyDescent="0.2">
      <c r="B1067"/>
      <c r="C1067" s="61"/>
      <c r="D1067" s="61"/>
      <c r="G1067"/>
      <c r="H1067"/>
      <c r="I1067"/>
      <c r="J1067"/>
      <c r="M1067"/>
      <c r="N1067"/>
      <c r="O1067" s="61"/>
      <c r="P1067"/>
    </row>
    <row r="1068" spans="2:16" x14ac:dyDescent="0.2">
      <c r="B1068"/>
      <c r="C1068" s="61"/>
      <c r="D1068" s="61"/>
      <c r="G1068"/>
      <c r="H1068"/>
      <c r="M1068"/>
      <c r="N1068"/>
      <c r="O1068" s="61"/>
      <c r="P1068"/>
    </row>
    <row r="1069" spans="2:16" x14ac:dyDescent="0.2">
      <c r="B1069"/>
      <c r="C1069" s="61"/>
      <c r="D1069" s="61"/>
      <c r="G1069"/>
      <c r="H1069"/>
      <c r="I1069"/>
      <c r="J1069"/>
      <c r="M1069"/>
      <c r="N1069"/>
      <c r="O1069" s="61"/>
      <c r="P1069"/>
    </row>
    <row r="1070" spans="2:16" x14ac:dyDescent="0.2">
      <c r="B1070"/>
      <c r="C1070" s="61"/>
      <c r="D1070" s="61"/>
      <c r="G1070"/>
      <c r="H1070"/>
      <c r="N1070"/>
      <c r="O1070" s="61"/>
      <c r="P1070"/>
    </row>
    <row r="1071" spans="2:16" x14ac:dyDescent="0.2">
      <c r="B1071"/>
      <c r="C1071" s="61"/>
      <c r="D1071" s="61"/>
      <c r="G1071"/>
      <c r="H1071"/>
      <c r="I1071"/>
      <c r="J1071"/>
      <c r="M1071"/>
      <c r="N1071"/>
      <c r="O1071" s="61"/>
      <c r="P1071"/>
    </row>
    <row r="1072" spans="2:16" x14ac:dyDescent="0.2">
      <c r="B1072"/>
      <c r="C1072" s="61"/>
      <c r="D1072" s="61"/>
      <c r="G1072"/>
      <c r="H1072"/>
      <c r="I1072"/>
      <c r="J1072"/>
      <c r="M1072"/>
      <c r="N1072"/>
      <c r="O1072" s="61"/>
      <c r="P1072"/>
    </row>
    <row r="1073" spans="2:16" x14ac:dyDescent="0.2">
      <c r="B1073"/>
      <c r="C1073" s="61"/>
      <c r="D1073" s="61"/>
      <c r="G1073"/>
      <c r="H1073"/>
      <c r="I1073"/>
      <c r="J1073"/>
      <c r="M1073"/>
      <c r="N1073"/>
      <c r="O1073" s="61"/>
      <c r="P1073"/>
    </row>
    <row r="1074" spans="2:16" x14ac:dyDescent="0.2">
      <c r="B1074"/>
      <c r="C1074" s="61"/>
      <c r="D1074" s="61"/>
      <c r="G1074"/>
      <c r="H1074"/>
      <c r="I1074"/>
      <c r="J1074"/>
      <c r="M1074"/>
      <c r="N1074"/>
      <c r="O1074" s="61"/>
      <c r="P1074"/>
    </row>
    <row r="1075" spans="2:16" x14ac:dyDescent="0.2">
      <c r="B1075"/>
      <c r="C1075" s="61"/>
      <c r="D1075" s="61"/>
      <c r="G1075"/>
      <c r="H1075"/>
      <c r="I1075"/>
      <c r="K1075"/>
      <c r="L1075"/>
      <c r="M1075"/>
      <c r="N1075"/>
      <c r="O1075" s="61"/>
      <c r="P1075"/>
    </row>
    <row r="1076" spans="2:16" x14ac:dyDescent="0.2">
      <c r="B1076"/>
      <c r="C1076" s="61"/>
      <c r="D1076" s="61"/>
      <c r="G1076"/>
      <c r="H1076"/>
      <c r="I1076"/>
      <c r="K1076"/>
      <c r="L1076"/>
      <c r="M1076"/>
      <c r="N1076"/>
      <c r="O1076" s="61"/>
      <c r="P1076"/>
    </row>
    <row r="1077" spans="2:16" x14ac:dyDescent="0.2">
      <c r="B1077"/>
      <c r="C1077" s="61"/>
      <c r="D1077" s="61"/>
      <c r="G1077"/>
      <c r="H1077"/>
      <c r="I1077"/>
      <c r="K1077"/>
      <c r="L1077"/>
      <c r="M1077"/>
      <c r="N1077"/>
      <c r="O1077" s="61"/>
      <c r="P1077"/>
    </row>
    <row r="1078" spans="2:16" x14ac:dyDescent="0.2">
      <c r="B1078"/>
      <c r="C1078" s="61"/>
      <c r="D1078" s="61"/>
      <c r="G1078"/>
      <c r="H1078"/>
      <c r="I1078"/>
      <c r="M1078"/>
      <c r="N1078"/>
      <c r="O1078" s="61"/>
      <c r="P1078"/>
    </row>
    <row r="1079" spans="2:16" x14ac:dyDescent="0.2">
      <c r="B1079"/>
      <c r="C1079" s="61"/>
      <c r="D1079" s="61"/>
      <c r="G1079"/>
      <c r="H1079"/>
      <c r="J1079"/>
      <c r="M1079"/>
      <c r="N1079"/>
      <c r="O1079" s="61"/>
      <c r="P1079"/>
    </row>
    <row r="1080" spans="2:16" x14ac:dyDescent="0.2">
      <c r="B1080"/>
      <c r="C1080" s="61"/>
      <c r="D1080" s="61"/>
      <c r="G1080"/>
      <c r="H1080"/>
      <c r="J1080"/>
      <c r="M1080"/>
      <c r="N1080"/>
      <c r="O1080" s="61"/>
      <c r="P1080"/>
    </row>
    <row r="1081" spans="2:16" x14ac:dyDescent="0.2">
      <c r="B1081"/>
      <c r="C1081" s="61"/>
      <c r="D1081" s="61"/>
      <c r="G1081"/>
      <c r="H1081"/>
      <c r="N1081"/>
      <c r="O1081" s="61"/>
      <c r="P1081"/>
    </row>
    <row r="1082" spans="2:16" x14ac:dyDescent="0.2">
      <c r="B1082"/>
      <c r="C1082" s="61"/>
      <c r="D1082" s="61"/>
      <c r="G1082"/>
      <c r="H1082"/>
      <c r="I1082"/>
      <c r="J1082"/>
      <c r="M1082"/>
      <c r="N1082"/>
      <c r="O1082" s="61"/>
      <c r="P1082"/>
    </row>
    <row r="1083" spans="2:16" x14ac:dyDescent="0.2">
      <c r="B1083"/>
      <c r="C1083" s="61"/>
      <c r="D1083" s="61"/>
      <c r="G1083"/>
      <c r="H1083"/>
      <c r="K1083"/>
      <c r="L1083"/>
      <c r="M1083"/>
      <c r="N1083"/>
      <c r="O1083" s="61"/>
      <c r="P1083"/>
    </row>
    <row r="1084" spans="2:16" x14ac:dyDescent="0.2">
      <c r="B1084"/>
      <c r="C1084" s="61"/>
      <c r="D1084" s="61"/>
      <c r="G1084"/>
      <c r="H1084"/>
      <c r="I1084"/>
      <c r="J1084"/>
      <c r="M1084"/>
      <c r="N1084"/>
      <c r="O1084" s="61"/>
      <c r="P1084"/>
    </row>
    <row r="1085" spans="2:16" x14ac:dyDescent="0.2">
      <c r="B1085"/>
      <c r="C1085" s="61"/>
      <c r="D1085" s="61"/>
      <c r="G1085"/>
      <c r="H1085"/>
      <c r="I1085"/>
      <c r="J1085"/>
      <c r="M1085"/>
      <c r="O1085" s="61"/>
      <c r="P1085"/>
    </row>
    <row r="1086" spans="2:16" x14ac:dyDescent="0.2">
      <c r="B1086"/>
      <c r="C1086" s="61"/>
      <c r="D1086" s="61"/>
      <c r="G1086"/>
      <c r="H1086"/>
      <c r="I1086"/>
      <c r="K1086"/>
      <c r="L1086"/>
      <c r="M1086"/>
      <c r="N1086"/>
      <c r="O1086" s="61"/>
      <c r="P1086"/>
    </row>
    <row r="1087" spans="2:16" x14ac:dyDescent="0.2">
      <c r="B1087"/>
      <c r="C1087" s="61"/>
      <c r="D1087" s="61"/>
      <c r="G1087"/>
      <c r="H1087"/>
      <c r="I1087"/>
      <c r="J1087"/>
      <c r="M1087"/>
      <c r="N1087"/>
      <c r="O1087" s="61"/>
      <c r="P1087"/>
    </row>
    <row r="1088" spans="2:16" x14ac:dyDescent="0.2">
      <c r="B1088"/>
      <c r="C1088" s="61"/>
      <c r="D1088" s="61"/>
      <c r="G1088"/>
      <c r="H1088"/>
      <c r="J1088"/>
      <c r="M1088"/>
      <c r="N1088"/>
      <c r="O1088" s="61"/>
      <c r="P1088"/>
    </row>
    <row r="1089" spans="2:16" x14ac:dyDescent="0.2">
      <c r="B1089"/>
      <c r="C1089" s="61"/>
      <c r="D1089" s="61"/>
      <c r="G1089"/>
      <c r="H1089"/>
      <c r="I1089"/>
      <c r="J1089"/>
      <c r="M1089"/>
      <c r="N1089"/>
      <c r="O1089" s="61"/>
      <c r="P1089"/>
    </row>
    <row r="1090" spans="2:16" x14ac:dyDescent="0.2">
      <c r="B1090"/>
      <c r="C1090" s="61"/>
      <c r="D1090" s="61"/>
      <c r="G1090"/>
      <c r="H1090"/>
      <c r="M1090"/>
      <c r="N1090"/>
      <c r="O1090" s="61"/>
      <c r="P1090"/>
    </row>
    <row r="1091" spans="2:16" x14ac:dyDescent="0.2">
      <c r="B1091"/>
      <c r="C1091" s="61"/>
      <c r="D1091" s="61"/>
      <c r="G1091"/>
      <c r="H1091"/>
      <c r="M1091"/>
      <c r="N1091"/>
      <c r="O1091" s="61"/>
      <c r="P1091"/>
    </row>
    <row r="1092" spans="2:16" x14ac:dyDescent="0.2">
      <c r="B1092"/>
      <c r="C1092" s="61"/>
      <c r="D1092" s="61"/>
      <c r="G1092"/>
      <c r="H1092"/>
      <c r="M1092"/>
      <c r="N1092"/>
      <c r="O1092" s="61"/>
      <c r="P1092"/>
    </row>
    <row r="1093" spans="2:16" x14ac:dyDescent="0.2">
      <c r="B1093"/>
      <c r="C1093" s="61"/>
      <c r="D1093" s="61"/>
      <c r="G1093"/>
      <c r="H1093"/>
      <c r="J1093"/>
      <c r="M1093"/>
      <c r="N1093"/>
      <c r="O1093" s="61"/>
      <c r="P1093"/>
    </row>
    <row r="1094" spans="2:16" x14ac:dyDescent="0.2">
      <c r="B1094"/>
      <c r="C1094" s="61"/>
      <c r="D1094" s="61"/>
      <c r="G1094"/>
      <c r="H1094"/>
      <c r="J1094"/>
      <c r="M1094"/>
      <c r="N1094"/>
      <c r="O1094" s="61"/>
      <c r="P1094"/>
    </row>
    <row r="1095" spans="2:16" x14ac:dyDescent="0.2">
      <c r="B1095"/>
      <c r="C1095" s="61"/>
      <c r="D1095" s="61"/>
      <c r="G1095"/>
      <c r="H1095"/>
      <c r="J1095"/>
      <c r="M1095"/>
      <c r="N1095"/>
      <c r="O1095" s="61"/>
      <c r="P1095"/>
    </row>
    <row r="1096" spans="2:16" x14ac:dyDescent="0.2">
      <c r="B1096"/>
      <c r="C1096" s="61"/>
      <c r="D1096" s="61"/>
      <c r="G1096"/>
      <c r="H1096"/>
      <c r="I1096"/>
      <c r="J1096"/>
      <c r="M1096"/>
      <c r="N1096"/>
      <c r="O1096" s="61"/>
      <c r="P1096"/>
    </row>
    <row r="1097" spans="2:16" x14ac:dyDescent="0.2">
      <c r="B1097"/>
      <c r="C1097" s="61"/>
      <c r="D1097" s="61"/>
      <c r="G1097"/>
      <c r="H1097"/>
      <c r="J1097"/>
      <c r="M1097"/>
      <c r="N1097"/>
      <c r="O1097" s="61"/>
      <c r="P1097"/>
    </row>
    <row r="1098" spans="2:16" x14ac:dyDescent="0.2">
      <c r="B1098"/>
      <c r="C1098" s="61"/>
      <c r="D1098" s="61"/>
      <c r="G1098"/>
      <c r="H1098"/>
      <c r="I1098"/>
      <c r="M1098"/>
      <c r="N1098"/>
      <c r="O1098" s="61"/>
      <c r="P1098"/>
    </row>
    <row r="1099" spans="2:16" x14ac:dyDescent="0.2">
      <c r="B1099"/>
      <c r="C1099" s="61"/>
      <c r="D1099" s="61"/>
      <c r="G1099"/>
      <c r="H1099"/>
      <c r="O1099" s="61"/>
      <c r="P1099"/>
    </row>
    <row r="1100" spans="2:16" x14ac:dyDescent="0.2">
      <c r="B1100"/>
      <c r="C1100" s="61"/>
      <c r="D1100" s="61"/>
      <c r="G1100"/>
      <c r="H1100"/>
      <c r="J1100"/>
      <c r="M1100"/>
      <c r="N1100"/>
      <c r="O1100" s="61"/>
      <c r="P1100"/>
    </row>
    <row r="1101" spans="2:16" x14ac:dyDescent="0.2">
      <c r="B1101"/>
      <c r="C1101" s="61"/>
      <c r="D1101" s="61"/>
      <c r="G1101"/>
      <c r="H1101"/>
      <c r="M1101"/>
      <c r="N1101"/>
      <c r="O1101" s="61"/>
      <c r="P1101"/>
    </row>
    <row r="1102" spans="2:16" x14ac:dyDescent="0.2">
      <c r="B1102"/>
      <c r="C1102" s="61"/>
      <c r="D1102" s="61"/>
      <c r="G1102"/>
      <c r="H1102"/>
      <c r="J1102"/>
      <c r="M1102"/>
      <c r="N1102"/>
      <c r="O1102" s="61"/>
      <c r="P1102"/>
    </row>
    <row r="1103" spans="2:16" x14ac:dyDescent="0.2">
      <c r="B1103"/>
      <c r="C1103" s="61"/>
      <c r="D1103" s="61"/>
      <c r="G1103"/>
      <c r="H1103"/>
      <c r="I1103"/>
      <c r="J1103"/>
      <c r="M1103"/>
      <c r="N1103"/>
      <c r="O1103" s="61"/>
      <c r="P1103"/>
    </row>
    <row r="1104" spans="2:16" x14ac:dyDescent="0.2">
      <c r="B1104"/>
      <c r="C1104" s="61"/>
      <c r="D1104" s="61"/>
      <c r="G1104"/>
      <c r="H1104"/>
      <c r="I1104"/>
      <c r="K1104"/>
      <c r="L1104"/>
      <c r="M1104"/>
      <c r="N1104"/>
      <c r="O1104" s="61"/>
      <c r="P1104"/>
    </row>
    <row r="1105" spans="2:16" x14ac:dyDescent="0.2">
      <c r="B1105"/>
      <c r="C1105" s="61"/>
      <c r="D1105" s="61"/>
      <c r="G1105"/>
      <c r="H1105"/>
      <c r="J1105"/>
      <c r="M1105"/>
      <c r="N1105"/>
      <c r="O1105" s="61"/>
      <c r="P1105"/>
    </row>
    <row r="1106" spans="2:16" x14ac:dyDescent="0.2">
      <c r="B1106"/>
      <c r="C1106" s="61"/>
      <c r="D1106" s="61"/>
      <c r="G1106"/>
      <c r="H1106"/>
      <c r="K1106"/>
      <c r="L1106"/>
      <c r="M1106"/>
      <c r="N1106"/>
      <c r="O1106" s="61"/>
      <c r="P1106"/>
    </row>
    <row r="1107" spans="2:16" x14ac:dyDescent="0.2">
      <c r="B1107"/>
      <c r="C1107" s="61"/>
      <c r="D1107" s="61"/>
      <c r="G1107"/>
      <c r="H1107"/>
      <c r="J1107"/>
      <c r="M1107"/>
      <c r="N1107"/>
      <c r="O1107" s="61"/>
      <c r="P1107"/>
    </row>
    <row r="1108" spans="2:16" x14ac:dyDescent="0.2">
      <c r="B1108"/>
      <c r="C1108" s="61"/>
      <c r="D1108" s="61"/>
      <c r="G1108"/>
      <c r="H1108"/>
      <c r="J1108"/>
      <c r="M1108"/>
      <c r="N1108"/>
      <c r="O1108" s="61"/>
      <c r="P1108"/>
    </row>
    <row r="1109" spans="2:16" x14ac:dyDescent="0.2">
      <c r="B1109"/>
      <c r="C1109" s="61"/>
      <c r="D1109" s="61"/>
      <c r="G1109"/>
      <c r="H1109"/>
      <c r="N1109"/>
      <c r="O1109" s="61"/>
      <c r="P1109"/>
    </row>
    <row r="1110" spans="2:16" x14ac:dyDescent="0.2">
      <c r="B1110"/>
      <c r="C1110" s="61"/>
      <c r="D1110" s="61"/>
      <c r="G1110"/>
      <c r="H1110"/>
      <c r="I1110"/>
      <c r="M1110"/>
      <c r="N1110"/>
      <c r="O1110" s="61"/>
      <c r="P1110"/>
    </row>
    <row r="1111" spans="2:16" x14ac:dyDescent="0.2">
      <c r="B1111"/>
      <c r="C1111" s="61"/>
      <c r="D1111" s="61"/>
      <c r="G1111"/>
      <c r="H1111"/>
      <c r="J1111"/>
      <c r="M1111"/>
      <c r="N1111"/>
      <c r="O1111" s="61"/>
      <c r="P1111"/>
    </row>
    <row r="1112" spans="2:16" x14ac:dyDescent="0.2">
      <c r="B1112"/>
      <c r="C1112" s="61"/>
      <c r="D1112" s="61"/>
      <c r="G1112"/>
      <c r="H1112"/>
      <c r="I1112"/>
      <c r="J1112"/>
      <c r="M1112"/>
      <c r="N1112"/>
      <c r="O1112" s="61"/>
      <c r="P1112"/>
    </row>
    <row r="1113" spans="2:16" x14ac:dyDescent="0.2">
      <c r="B1113"/>
      <c r="C1113" s="61"/>
      <c r="D1113" s="61"/>
      <c r="G1113"/>
      <c r="H1113"/>
      <c r="I1113"/>
      <c r="J1113"/>
      <c r="M1113"/>
      <c r="N1113"/>
      <c r="O1113" s="61"/>
      <c r="P1113"/>
    </row>
    <row r="1114" spans="2:16" x14ac:dyDescent="0.2">
      <c r="B1114"/>
      <c r="C1114" s="61"/>
      <c r="D1114" s="61"/>
      <c r="G1114"/>
      <c r="H1114"/>
      <c r="I1114"/>
      <c r="K1114"/>
      <c r="L1114"/>
      <c r="M1114"/>
      <c r="N1114"/>
      <c r="O1114" s="61"/>
      <c r="P1114"/>
    </row>
    <row r="1115" spans="2:16" x14ac:dyDescent="0.2">
      <c r="B1115"/>
      <c r="C1115" s="61"/>
      <c r="D1115" s="61"/>
      <c r="G1115"/>
      <c r="H1115"/>
      <c r="M1115"/>
      <c r="N1115"/>
      <c r="O1115" s="61"/>
      <c r="P1115"/>
    </row>
    <row r="1116" spans="2:16" x14ac:dyDescent="0.2">
      <c r="B1116"/>
      <c r="C1116" s="61"/>
      <c r="D1116" s="61"/>
      <c r="G1116"/>
      <c r="H1116"/>
      <c r="I1116"/>
      <c r="M1116"/>
      <c r="N1116"/>
      <c r="O1116" s="61"/>
      <c r="P1116"/>
    </row>
    <row r="1117" spans="2:16" x14ac:dyDescent="0.2">
      <c r="B1117"/>
      <c r="C1117" s="61"/>
      <c r="D1117" s="61"/>
      <c r="G1117"/>
      <c r="H1117"/>
      <c r="K1117"/>
      <c r="L1117"/>
      <c r="M1117"/>
      <c r="N1117"/>
      <c r="O1117" s="61"/>
      <c r="P1117"/>
    </row>
    <row r="1118" spans="2:16" x14ac:dyDescent="0.2">
      <c r="B1118"/>
      <c r="C1118" s="61"/>
      <c r="D1118" s="61"/>
      <c r="G1118"/>
      <c r="H1118"/>
      <c r="M1118"/>
      <c r="N1118"/>
      <c r="O1118" s="61"/>
      <c r="P1118"/>
    </row>
    <row r="1119" spans="2:16" x14ac:dyDescent="0.2">
      <c r="B1119"/>
      <c r="C1119" s="61"/>
      <c r="D1119" s="61"/>
      <c r="G1119"/>
      <c r="H1119"/>
      <c r="M1119"/>
      <c r="N1119"/>
      <c r="O1119" s="61"/>
      <c r="P1119"/>
    </row>
    <row r="1120" spans="2:16" x14ac:dyDescent="0.2">
      <c r="B1120"/>
      <c r="C1120" s="61"/>
      <c r="D1120" s="61"/>
      <c r="G1120"/>
      <c r="H1120"/>
      <c r="I1120"/>
      <c r="M1120"/>
      <c r="N1120"/>
      <c r="O1120" s="61"/>
      <c r="P1120"/>
    </row>
    <row r="1121" spans="2:16" x14ac:dyDescent="0.2">
      <c r="B1121"/>
      <c r="C1121" s="61"/>
      <c r="D1121" s="61"/>
      <c r="G1121"/>
      <c r="H1121"/>
      <c r="I1121"/>
      <c r="J1121"/>
      <c r="M1121"/>
      <c r="N1121"/>
      <c r="O1121" s="61"/>
      <c r="P1121"/>
    </row>
    <row r="1122" spans="2:16" x14ac:dyDescent="0.2">
      <c r="B1122"/>
      <c r="C1122" s="61"/>
      <c r="D1122" s="61"/>
      <c r="G1122"/>
      <c r="H1122"/>
      <c r="M1122"/>
      <c r="N1122"/>
      <c r="O1122" s="61"/>
      <c r="P1122"/>
    </row>
    <row r="1123" spans="2:16" x14ac:dyDescent="0.2">
      <c r="B1123"/>
      <c r="C1123" s="61"/>
      <c r="D1123" s="61"/>
      <c r="G1123"/>
      <c r="H1123"/>
      <c r="M1123"/>
      <c r="N1123"/>
      <c r="O1123" s="61"/>
      <c r="P1123"/>
    </row>
    <row r="1124" spans="2:16" x14ac:dyDescent="0.2">
      <c r="B1124"/>
      <c r="C1124" s="61"/>
      <c r="D1124" s="61"/>
      <c r="G1124"/>
      <c r="H1124"/>
      <c r="I1124"/>
      <c r="J1124"/>
      <c r="M1124"/>
      <c r="N1124"/>
      <c r="O1124" s="61"/>
      <c r="P1124"/>
    </row>
    <row r="1125" spans="2:16" x14ac:dyDescent="0.2">
      <c r="B1125"/>
      <c r="C1125" s="61"/>
      <c r="D1125" s="61"/>
      <c r="G1125"/>
      <c r="H1125"/>
      <c r="K1125"/>
      <c r="L1125"/>
      <c r="M1125"/>
      <c r="N1125"/>
      <c r="O1125" s="61"/>
      <c r="P1125"/>
    </row>
    <row r="1126" spans="2:16" x14ac:dyDescent="0.2">
      <c r="B1126"/>
      <c r="C1126" s="61"/>
      <c r="D1126" s="61"/>
      <c r="G1126"/>
      <c r="H1126"/>
      <c r="J1126"/>
      <c r="M1126"/>
      <c r="N1126"/>
      <c r="O1126" s="61"/>
      <c r="P1126"/>
    </row>
    <row r="1127" spans="2:16" x14ac:dyDescent="0.2">
      <c r="B1127"/>
      <c r="C1127" s="61"/>
      <c r="D1127" s="61"/>
      <c r="G1127"/>
      <c r="H1127"/>
      <c r="I1127"/>
      <c r="J1127"/>
      <c r="M1127"/>
      <c r="N1127"/>
      <c r="O1127" s="61"/>
      <c r="P1127"/>
    </row>
    <row r="1128" spans="2:16" x14ac:dyDescent="0.2">
      <c r="B1128"/>
      <c r="C1128" s="61"/>
      <c r="D1128" s="61"/>
      <c r="G1128"/>
      <c r="H1128"/>
      <c r="I1128"/>
      <c r="K1128"/>
      <c r="M1128"/>
      <c r="N1128"/>
      <c r="O1128" s="61"/>
      <c r="P1128"/>
    </row>
    <row r="1129" spans="2:16" x14ac:dyDescent="0.2">
      <c r="B1129"/>
      <c r="C1129" s="61"/>
      <c r="D1129" s="61"/>
      <c r="G1129"/>
      <c r="H1129"/>
      <c r="I1129"/>
      <c r="J1129"/>
      <c r="M1129"/>
      <c r="N1129"/>
      <c r="O1129" s="61"/>
      <c r="P1129"/>
    </row>
    <row r="1130" spans="2:16" x14ac:dyDescent="0.2">
      <c r="B1130"/>
      <c r="C1130" s="61"/>
      <c r="D1130" s="61"/>
      <c r="G1130"/>
      <c r="H1130"/>
      <c r="I1130"/>
      <c r="J1130"/>
      <c r="M1130"/>
      <c r="N1130"/>
      <c r="O1130" s="61"/>
      <c r="P1130"/>
    </row>
    <row r="1131" spans="2:16" x14ac:dyDescent="0.2">
      <c r="B1131"/>
      <c r="C1131" s="61"/>
      <c r="D1131" s="61"/>
      <c r="G1131"/>
      <c r="H1131"/>
      <c r="M1131"/>
      <c r="N1131"/>
      <c r="O1131" s="61"/>
      <c r="P1131"/>
    </row>
    <row r="1132" spans="2:16" x14ac:dyDescent="0.2">
      <c r="B1132"/>
      <c r="C1132" s="61"/>
      <c r="D1132" s="61"/>
      <c r="G1132"/>
      <c r="H1132"/>
      <c r="I1132"/>
      <c r="J1132"/>
      <c r="M1132"/>
      <c r="N1132"/>
      <c r="O1132" s="61"/>
      <c r="P1132"/>
    </row>
    <row r="1133" spans="2:16" x14ac:dyDescent="0.2">
      <c r="B1133"/>
      <c r="C1133" s="61"/>
      <c r="D1133" s="61"/>
      <c r="G1133"/>
      <c r="H1133"/>
      <c r="I1133"/>
      <c r="J1133"/>
      <c r="M1133"/>
      <c r="N1133"/>
      <c r="O1133" s="61"/>
      <c r="P1133"/>
    </row>
    <row r="1134" spans="2:16" x14ac:dyDescent="0.2">
      <c r="B1134"/>
      <c r="C1134" s="61"/>
      <c r="D1134" s="61"/>
      <c r="G1134"/>
      <c r="H1134"/>
      <c r="J1134"/>
      <c r="M1134"/>
      <c r="N1134"/>
      <c r="O1134" s="61"/>
      <c r="P1134"/>
    </row>
    <row r="1135" spans="2:16" x14ac:dyDescent="0.2">
      <c r="B1135"/>
      <c r="C1135" s="61"/>
      <c r="D1135" s="61"/>
      <c r="G1135"/>
      <c r="H1135"/>
      <c r="I1135"/>
      <c r="J1135"/>
      <c r="M1135"/>
      <c r="O1135" s="61"/>
      <c r="P1135"/>
    </row>
    <row r="1136" spans="2:16" x14ac:dyDescent="0.2">
      <c r="B1136"/>
      <c r="C1136" s="61"/>
      <c r="D1136" s="61"/>
      <c r="G1136"/>
      <c r="H1136"/>
      <c r="J1136"/>
      <c r="M1136"/>
      <c r="N1136"/>
      <c r="O1136" s="61"/>
      <c r="P1136"/>
    </row>
    <row r="1137" spans="2:16" x14ac:dyDescent="0.2">
      <c r="B1137"/>
      <c r="C1137" s="61"/>
      <c r="D1137" s="61"/>
      <c r="G1137"/>
      <c r="H1137"/>
      <c r="J1137"/>
      <c r="M1137"/>
      <c r="N1137"/>
      <c r="O1137" s="61"/>
      <c r="P1137"/>
    </row>
    <row r="1138" spans="2:16" x14ac:dyDescent="0.2">
      <c r="B1138"/>
      <c r="C1138" s="61"/>
      <c r="D1138" s="61"/>
      <c r="G1138"/>
      <c r="H1138"/>
      <c r="K1138"/>
      <c r="L1138"/>
      <c r="M1138"/>
      <c r="N1138"/>
      <c r="O1138" s="61"/>
      <c r="P1138"/>
    </row>
    <row r="1139" spans="2:16" x14ac:dyDescent="0.2">
      <c r="B1139"/>
      <c r="C1139" s="61"/>
      <c r="D1139" s="61"/>
      <c r="G1139"/>
      <c r="H1139"/>
      <c r="J1139"/>
      <c r="M1139"/>
      <c r="N1139"/>
      <c r="O1139" s="61"/>
      <c r="P1139"/>
    </row>
    <row r="1140" spans="2:16" x14ac:dyDescent="0.2">
      <c r="B1140"/>
      <c r="C1140" s="61"/>
      <c r="D1140" s="61"/>
      <c r="G1140"/>
      <c r="H1140"/>
      <c r="J1140"/>
      <c r="M1140"/>
      <c r="N1140"/>
      <c r="O1140" s="61"/>
      <c r="P1140"/>
    </row>
    <row r="1141" spans="2:16" x14ac:dyDescent="0.2">
      <c r="B1141"/>
      <c r="C1141" s="61"/>
      <c r="D1141" s="61"/>
      <c r="G1141"/>
      <c r="H1141"/>
      <c r="I1141"/>
      <c r="J1141"/>
      <c r="M1141"/>
      <c r="N1141"/>
      <c r="O1141" s="61"/>
      <c r="P1141"/>
    </row>
    <row r="1142" spans="2:16" x14ac:dyDescent="0.2">
      <c r="B1142"/>
      <c r="C1142" s="61"/>
      <c r="D1142" s="61"/>
      <c r="G1142"/>
      <c r="H1142"/>
      <c r="I1142"/>
      <c r="J1142"/>
      <c r="M1142"/>
      <c r="N1142"/>
      <c r="O1142" s="61"/>
      <c r="P1142"/>
    </row>
    <row r="1143" spans="2:16" x14ac:dyDescent="0.2">
      <c r="B1143"/>
      <c r="C1143" s="61"/>
      <c r="D1143" s="61"/>
      <c r="G1143"/>
      <c r="H1143"/>
      <c r="I1143"/>
      <c r="J1143"/>
      <c r="M1143"/>
      <c r="N1143"/>
      <c r="O1143" s="61"/>
      <c r="P1143"/>
    </row>
    <row r="1144" spans="2:16" x14ac:dyDescent="0.2">
      <c r="B1144"/>
      <c r="C1144" s="61"/>
      <c r="D1144" s="61"/>
      <c r="G1144"/>
      <c r="H1144"/>
      <c r="I1144"/>
      <c r="J1144"/>
      <c r="M1144"/>
      <c r="N1144"/>
      <c r="O1144" s="61"/>
      <c r="P1144"/>
    </row>
    <row r="1145" spans="2:16" x14ac:dyDescent="0.2">
      <c r="B1145"/>
      <c r="C1145" s="61"/>
      <c r="D1145" s="61"/>
      <c r="G1145"/>
      <c r="H1145"/>
      <c r="J1145"/>
      <c r="M1145"/>
      <c r="N1145"/>
      <c r="O1145" s="61"/>
      <c r="P1145"/>
    </row>
    <row r="1146" spans="2:16" x14ac:dyDescent="0.2">
      <c r="B1146"/>
      <c r="C1146" s="61"/>
      <c r="D1146" s="61"/>
      <c r="G1146"/>
      <c r="H1146"/>
      <c r="I1146"/>
      <c r="J1146"/>
      <c r="M1146"/>
      <c r="N1146"/>
      <c r="O1146" s="61"/>
      <c r="P1146"/>
    </row>
    <row r="1147" spans="2:16" x14ac:dyDescent="0.2">
      <c r="B1147"/>
      <c r="C1147" s="61"/>
      <c r="D1147" s="61"/>
      <c r="G1147"/>
      <c r="H1147"/>
      <c r="I1147"/>
      <c r="J1147"/>
      <c r="M1147"/>
      <c r="O1147" s="61"/>
      <c r="P1147"/>
    </row>
    <row r="1148" spans="2:16" x14ac:dyDescent="0.2">
      <c r="B1148"/>
      <c r="C1148" s="61"/>
      <c r="D1148" s="61"/>
      <c r="G1148"/>
      <c r="H1148"/>
      <c r="J1148"/>
      <c r="M1148"/>
      <c r="N1148"/>
      <c r="O1148" s="61"/>
      <c r="P1148"/>
    </row>
    <row r="1149" spans="2:16" x14ac:dyDescent="0.2">
      <c r="B1149"/>
      <c r="C1149" s="61"/>
      <c r="D1149" s="61"/>
      <c r="G1149"/>
      <c r="H1149"/>
      <c r="I1149"/>
      <c r="J1149"/>
      <c r="M1149"/>
      <c r="N1149"/>
      <c r="O1149" s="61"/>
      <c r="P1149"/>
    </row>
    <row r="1150" spans="2:16" x14ac:dyDescent="0.2">
      <c r="B1150"/>
      <c r="C1150" s="61"/>
      <c r="D1150" s="61"/>
      <c r="G1150"/>
      <c r="H1150"/>
      <c r="M1150"/>
      <c r="N1150"/>
      <c r="O1150" s="61"/>
      <c r="P1150"/>
    </row>
    <row r="1151" spans="2:16" x14ac:dyDescent="0.2">
      <c r="B1151"/>
      <c r="C1151" s="61"/>
      <c r="D1151" s="61"/>
      <c r="G1151"/>
      <c r="H1151"/>
      <c r="I1151"/>
      <c r="M1151"/>
      <c r="N1151"/>
      <c r="O1151" s="61"/>
      <c r="P1151"/>
    </row>
    <row r="1152" spans="2:16" x14ac:dyDescent="0.2">
      <c r="B1152"/>
      <c r="C1152" s="61"/>
      <c r="D1152" s="61"/>
      <c r="G1152"/>
      <c r="H1152"/>
      <c r="I1152"/>
      <c r="J1152"/>
      <c r="M1152"/>
      <c r="N1152"/>
      <c r="O1152" s="61"/>
      <c r="P1152"/>
    </row>
    <row r="1153" spans="2:16" x14ac:dyDescent="0.2">
      <c r="B1153"/>
      <c r="C1153" s="61"/>
      <c r="D1153" s="61"/>
      <c r="G1153"/>
      <c r="H1153"/>
      <c r="I1153"/>
      <c r="K1153"/>
      <c r="L1153"/>
      <c r="M1153"/>
      <c r="N1153"/>
      <c r="O1153" s="61"/>
      <c r="P1153"/>
    </row>
    <row r="1154" spans="2:16" x14ac:dyDescent="0.2">
      <c r="B1154"/>
      <c r="C1154" s="61"/>
      <c r="D1154" s="61"/>
      <c r="G1154"/>
      <c r="H1154"/>
      <c r="I1154"/>
      <c r="J1154"/>
      <c r="M1154"/>
      <c r="N1154"/>
      <c r="O1154" s="61"/>
      <c r="P1154"/>
    </row>
    <row r="1155" spans="2:16" x14ac:dyDescent="0.2">
      <c r="B1155"/>
      <c r="C1155" s="61"/>
      <c r="D1155" s="61"/>
      <c r="G1155"/>
      <c r="H1155"/>
      <c r="M1155"/>
      <c r="N1155"/>
      <c r="O1155" s="61"/>
      <c r="P1155"/>
    </row>
    <row r="1156" spans="2:16" x14ac:dyDescent="0.2">
      <c r="B1156"/>
      <c r="C1156" s="61"/>
      <c r="D1156" s="61"/>
      <c r="G1156"/>
      <c r="H1156"/>
      <c r="N1156"/>
      <c r="O1156" s="61"/>
      <c r="P1156"/>
    </row>
    <row r="1157" spans="2:16" x14ac:dyDescent="0.2">
      <c r="B1157"/>
      <c r="C1157" s="61"/>
      <c r="D1157" s="61"/>
      <c r="G1157"/>
      <c r="H1157"/>
      <c r="I1157"/>
      <c r="J1157"/>
      <c r="M1157"/>
      <c r="N1157"/>
      <c r="O1157" s="61"/>
      <c r="P1157"/>
    </row>
    <row r="1158" spans="2:16" x14ac:dyDescent="0.2">
      <c r="B1158"/>
      <c r="C1158" s="61"/>
      <c r="D1158" s="61"/>
      <c r="G1158"/>
      <c r="H1158"/>
      <c r="I1158"/>
      <c r="M1158"/>
      <c r="N1158"/>
      <c r="O1158" s="61"/>
      <c r="P1158"/>
    </row>
    <row r="1159" spans="2:16" x14ac:dyDescent="0.2">
      <c r="B1159"/>
      <c r="C1159" s="61"/>
      <c r="D1159" s="61"/>
      <c r="G1159"/>
      <c r="H1159"/>
      <c r="I1159"/>
      <c r="J1159"/>
      <c r="M1159"/>
      <c r="N1159"/>
      <c r="O1159" s="61"/>
      <c r="P1159"/>
    </row>
    <row r="1160" spans="2:16" x14ac:dyDescent="0.2">
      <c r="B1160"/>
      <c r="C1160" s="61"/>
      <c r="D1160" s="61"/>
      <c r="G1160"/>
      <c r="H1160"/>
      <c r="M1160"/>
      <c r="N1160"/>
      <c r="O1160" s="61"/>
      <c r="P1160"/>
    </row>
    <row r="1161" spans="2:16" x14ac:dyDescent="0.2">
      <c r="B1161"/>
      <c r="C1161" s="61"/>
      <c r="D1161" s="61"/>
      <c r="G1161"/>
      <c r="H1161"/>
      <c r="J1161"/>
      <c r="M1161"/>
      <c r="N1161"/>
      <c r="O1161" s="61"/>
      <c r="P1161"/>
    </row>
    <row r="1162" spans="2:16" x14ac:dyDescent="0.2">
      <c r="B1162"/>
      <c r="C1162" s="61"/>
      <c r="D1162" s="61"/>
      <c r="G1162"/>
      <c r="H1162"/>
      <c r="I1162"/>
      <c r="K1162"/>
      <c r="L1162"/>
      <c r="M1162"/>
      <c r="N1162"/>
      <c r="O1162" s="61"/>
      <c r="P1162"/>
    </row>
    <row r="1163" spans="2:16" x14ac:dyDescent="0.2">
      <c r="B1163"/>
      <c r="C1163" s="61"/>
      <c r="D1163" s="61"/>
      <c r="G1163"/>
      <c r="H1163"/>
      <c r="M1163"/>
      <c r="N1163"/>
      <c r="O1163" s="61"/>
      <c r="P1163"/>
    </row>
    <row r="1164" spans="2:16" x14ac:dyDescent="0.2">
      <c r="B1164"/>
      <c r="C1164" s="61"/>
      <c r="D1164" s="61"/>
      <c r="G1164"/>
      <c r="H1164"/>
      <c r="I1164"/>
      <c r="K1164"/>
      <c r="L1164"/>
      <c r="M1164"/>
      <c r="N1164"/>
      <c r="O1164" s="61"/>
      <c r="P1164"/>
    </row>
    <row r="1165" spans="2:16" x14ac:dyDescent="0.2">
      <c r="B1165"/>
      <c r="C1165" s="61"/>
      <c r="D1165" s="61"/>
      <c r="G1165"/>
      <c r="H1165"/>
      <c r="I1165"/>
      <c r="K1165"/>
      <c r="L1165"/>
      <c r="M1165"/>
      <c r="N1165"/>
      <c r="O1165" s="61"/>
      <c r="P1165"/>
    </row>
    <row r="1166" spans="2:16" x14ac:dyDescent="0.2">
      <c r="B1166"/>
      <c r="C1166" s="61"/>
      <c r="D1166" s="61"/>
      <c r="G1166"/>
      <c r="H1166"/>
      <c r="I1166"/>
      <c r="M1166"/>
      <c r="N1166"/>
      <c r="O1166" s="61"/>
      <c r="P1166"/>
    </row>
    <row r="1167" spans="2:16" x14ac:dyDescent="0.2">
      <c r="B1167"/>
      <c r="C1167" s="61"/>
      <c r="D1167" s="61"/>
      <c r="G1167"/>
      <c r="H1167"/>
      <c r="I1167"/>
      <c r="K1167"/>
      <c r="L1167"/>
      <c r="M1167"/>
      <c r="N1167"/>
      <c r="O1167" s="61"/>
      <c r="P1167"/>
    </row>
    <row r="1168" spans="2:16" x14ac:dyDescent="0.2">
      <c r="B1168"/>
      <c r="C1168" s="61"/>
      <c r="D1168" s="61"/>
      <c r="G1168"/>
      <c r="H1168"/>
      <c r="I1168"/>
      <c r="J1168"/>
      <c r="M1168"/>
      <c r="N1168"/>
      <c r="O1168" s="61"/>
      <c r="P1168"/>
    </row>
    <row r="1169" spans="2:16" x14ac:dyDescent="0.2">
      <c r="B1169"/>
      <c r="C1169" s="61"/>
      <c r="D1169" s="61"/>
      <c r="G1169"/>
      <c r="H1169"/>
      <c r="I1169"/>
      <c r="J1169"/>
      <c r="M1169"/>
      <c r="N1169"/>
      <c r="O1169" s="61"/>
      <c r="P1169"/>
    </row>
    <row r="1170" spans="2:16" x14ac:dyDescent="0.2">
      <c r="B1170"/>
      <c r="C1170" s="61"/>
      <c r="D1170" s="61"/>
      <c r="G1170"/>
      <c r="H1170"/>
      <c r="I1170"/>
      <c r="J1170"/>
      <c r="M1170"/>
      <c r="N1170"/>
      <c r="O1170" s="61"/>
      <c r="P1170"/>
    </row>
    <row r="1171" spans="2:16" x14ac:dyDescent="0.2">
      <c r="B1171"/>
      <c r="C1171" s="61"/>
      <c r="D1171" s="61"/>
      <c r="G1171"/>
      <c r="H1171"/>
      <c r="I1171"/>
      <c r="J1171"/>
      <c r="M1171"/>
      <c r="N1171"/>
      <c r="O1171" s="61"/>
      <c r="P1171"/>
    </row>
    <row r="1172" spans="2:16" x14ac:dyDescent="0.2">
      <c r="B1172"/>
      <c r="C1172" s="61"/>
      <c r="D1172" s="61"/>
      <c r="G1172"/>
      <c r="H1172"/>
      <c r="I1172"/>
      <c r="J1172"/>
      <c r="M1172"/>
      <c r="N1172"/>
      <c r="O1172" s="61"/>
      <c r="P1172"/>
    </row>
    <row r="1173" spans="2:16" x14ac:dyDescent="0.2">
      <c r="B1173"/>
      <c r="C1173" s="61"/>
      <c r="D1173" s="61"/>
      <c r="G1173"/>
      <c r="H1173"/>
      <c r="K1173"/>
      <c r="L1173"/>
      <c r="M1173"/>
      <c r="N1173"/>
      <c r="O1173" s="61"/>
      <c r="P1173"/>
    </row>
    <row r="1174" spans="2:16" x14ac:dyDescent="0.2">
      <c r="B1174"/>
      <c r="C1174" s="61"/>
      <c r="D1174" s="61"/>
      <c r="G1174"/>
      <c r="H1174"/>
      <c r="J1174"/>
      <c r="M1174"/>
      <c r="N1174"/>
      <c r="O1174" s="61"/>
      <c r="P1174"/>
    </row>
    <row r="1175" spans="2:16" x14ac:dyDescent="0.2">
      <c r="B1175"/>
      <c r="C1175" s="61"/>
      <c r="D1175" s="61"/>
      <c r="G1175"/>
      <c r="H1175"/>
      <c r="I1175"/>
      <c r="J1175"/>
      <c r="M1175"/>
      <c r="N1175"/>
      <c r="O1175" s="61"/>
      <c r="P1175"/>
    </row>
    <row r="1176" spans="2:16" x14ac:dyDescent="0.2">
      <c r="B1176"/>
      <c r="C1176" s="61"/>
      <c r="D1176" s="61"/>
      <c r="G1176"/>
      <c r="H1176"/>
      <c r="I1176"/>
      <c r="J1176"/>
      <c r="M1176"/>
      <c r="N1176"/>
      <c r="O1176" s="61"/>
      <c r="P1176"/>
    </row>
    <row r="1177" spans="2:16" x14ac:dyDescent="0.2">
      <c r="B1177"/>
      <c r="C1177" s="61"/>
      <c r="D1177" s="61"/>
      <c r="G1177"/>
      <c r="H1177"/>
      <c r="I1177"/>
      <c r="J1177"/>
      <c r="M1177"/>
      <c r="N1177"/>
      <c r="O1177" s="61"/>
      <c r="P1177"/>
    </row>
    <row r="1178" spans="2:16" x14ac:dyDescent="0.2">
      <c r="B1178"/>
      <c r="C1178" s="61"/>
      <c r="D1178" s="61"/>
      <c r="G1178"/>
      <c r="H1178"/>
      <c r="I1178"/>
      <c r="J1178"/>
      <c r="M1178"/>
      <c r="N1178"/>
      <c r="O1178" s="61"/>
      <c r="P1178"/>
    </row>
    <row r="1179" spans="2:16" x14ac:dyDescent="0.2">
      <c r="B1179"/>
      <c r="C1179" s="61"/>
      <c r="D1179" s="61"/>
      <c r="G1179"/>
      <c r="H1179"/>
      <c r="K1179"/>
      <c r="L1179"/>
      <c r="M1179"/>
      <c r="N1179"/>
      <c r="O1179" s="61"/>
      <c r="P1179"/>
    </row>
    <row r="1180" spans="2:16" x14ac:dyDescent="0.2">
      <c r="B1180"/>
      <c r="C1180" s="61"/>
      <c r="D1180" s="61"/>
      <c r="G1180"/>
      <c r="H1180"/>
      <c r="I1180"/>
      <c r="J1180"/>
      <c r="M1180"/>
      <c r="O1180" s="61"/>
      <c r="P1180"/>
    </row>
    <row r="1181" spans="2:16" x14ac:dyDescent="0.2">
      <c r="B1181"/>
      <c r="C1181" s="61"/>
      <c r="D1181" s="61"/>
      <c r="G1181"/>
      <c r="H1181"/>
      <c r="K1181"/>
      <c r="L1181"/>
      <c r="M1181"/>
      <c r="N1181"/>
      <c r="O1181" s="61"/>
      <c r="P1181"/>
    </row>
    <row r="1182" spans="2:16" x14ac:dyDescent="0.2">
      <c r="B1182"/>
      <c r="C1182" s="61"/>
      <c r="D1182" s="61"/>
      <c r="G1182"/>
      <c r="H1182"/>
      <c r="I1182"/>
      <c r="J1182"/>
      <c r="M1182"/>
      <c r="N1182"/>
      <c r="O1182" s="61"/>
      <c r="P1182"/>
    </row>
    <row r="1183" spans="2:16" x14ac:dyDescent="0.2">
      <c r="B1183"/>
      <c r="C1183" s="61"/>
      <c r="D1183" s="61"/>
      <c r="G1183"/>
      <c r="H1183"/>
      <c r="J1183"/>
      <c r="M1183"/>
      <c r="N1183"/>
      <c r="O1183" s="61"/>
      <c r="P1183"/>
    </row>
    <row r="1184" spans="2:16" x14ac:dyDescent="0.2">
      <c r="B1184"/>
      <c r="C1184" s="61"/>
      <c r="D1184" s="61"/>
      <c r="G1184"/>
      <c r="H1184"/>
      <c r="K1184"/>
      <c r="L1184"/>
      <c r="M1184"/>
      <c r="N1184"/>
      <c r="O1184" s="61"/>
      <c r="P1184"/>
    </row>
    <row r="1185" spans="2:16" x14ac:dyDescent="0.2">
      <c r="B1185"/>
      <c r="C1185" s="61"/>
      <c r="D1185" s="61"/>
      <c r="G1185"/>
      <c r="H1185"/>
      <c r="M1185"/>
      <c r="N1185"/>
      <c r="O1185" s="61"/>
      <c r="P1185"/>
    </row>
    <row r="1186" spans="2:16" x14ac:dyDescent="0.2">
      <c r="B1186"/>
      <c r="C1186" s="61"/>
      <c r="D1186" s="61"/>
      <c r="G1186"/>
      <c r="H1186"/>
      <c r="I1186"/>
      <c r="J1186"/>
      <c r="M1186"/>
      <c r="N1186"/>
      <c r="O1186" s="61"/>
      <c r="P1186"/>
    </row>
    <row r="1187" spans="2:16" x14ac:dyDescent="0.2">
      <c r="B1187"/>
      <c r="C1187" s="61"/>
      <c r="D1187" s="61"/>
      <c r="G1187"/>
      <c r="H1187"/>
      <c r="J1187"/>
      <c r="M1187"/>
      <c r="N1187"/>
      <c r="O1187" s="61"/>
      <c r="P1187"/>
    </row>
    <row r="1188" spans="2:16" x14ac:dyDescent="0.2">
      <c r="B1188"/>
      <c r="C1188" s="61"/>
      <c r="D1188" s="61"/>
      <c r="G1188"/>
      <c r="H1188"/>
      <c r="J1188"/>
      <c r="M1188"/>
      <c r="N1188"/>
      <c r="O1188" s="61"/>
      <c r="P1188"/>
    </row>
    <row r="1189" spans="2:16" x14ac:dyDescent="0.2">
      <c r="B1189"/>
      <c r="C1189" s="61"/>
      <c r="D1189" s="61"/>
      <c r="G1189"/>
      <c r="H1189"/>
      <c r="I1189"/>
      <c r="M1189"/>
      <c r="N1189"/>
      <c r="O1189" s="61"/>
      <c r="P1189"/>
    </row>
    <row r="1190" spans="2:16" x14ac:dyDescent="0.2">
      <c r="B1190"/>
      <c r="C1190" s="61"/>
      <c r="D1190" s="61"/>
      <c r="G1190"/>
      <c r="H1190"/>
      <c r="I1190"/>
      <c r="J1190"/>
      <c r="M1190"/>
      <c r="N1190"/>
      <c r="O1190" s="61"/>
      <c r="P1190"/>
    </row>
    <row r="1191" spans="2:16" x14ac:dyDescent="0.2">
      <c r="B1191"/>
      <c r="C1191" s="61"/>
      <c r="D1191" s="61"/>
      <c r="G1191"/>
      <c r="H1191"/>
      <c r="J1191"/>
      <c r="M1191"/>
      <c r="N1191"/>
      <c r="O1191" s="61"/>
      <c r="P1191"/>
    </row>
    <row r="1192" spans="2:16" x14ac:dyDescent="0.2">
      <c r="B1192"/>
      <c r="C1192" s="61"/>
      <c r="D1192" s="61"/>
      <c r="G1192"/>
      <c r="H1192"/>
      <c r="I1192"/>
      <c r="K1192"/>
      <c r="L1192"/>
      <c r="M1192"/>
      <c r="N1192"/>
      <c r="O1192" s="61"/>
      <c r="P1192"/>
    </row>
    <row r="1193" spans="2:16" x14ac:dyDescent="0.2">
      <c r="B1193"/>
      <c r="C1193" s="61"/>
      <c r="D1193" s="61"/>
      <c r="G1193"/>
      <c r="H1193"/>
      <c r="I1193"/>
      <c r="J1193"/>
      <c r="M1193"/>
      <c r="N1193"/>
      <c r="O1193" s="61"/>
      <c r="P1193"/>
    </row>
    <row r="1194" spans="2:16" x14ac:dyDescent="0.2">
      <c r="B1194"/>
      <c r="C1194" s="61"/>
      <c r="D1194" s="61"/>
      <c r="G1194"/>
      <c r="H1194"/>
      <c r="I1194"/>
      <c r="J1194"/>
      <c r="M1194"/>
      <c r="N1194"/>
      <c r="O1194" s="61"/>
      <c r="P1194"/>
    </row>
    <row r="1195" spans="2:16" x14ac:dyDescent="0.2">
      <c r="B1195"/>
      <c r="C1195" s="61"/>
      <c r="D1195" s="61"/>
      <c r="G1195"/>
      <c r="H1195"/>
      <c r="M1195"/>
      <c r="N1195"/>
      <c r="O1195" s="61"/>
      <c r="P1195"/>
    </row>
    <row r="1196" spans="2:16" x14ac:dyDescent="0.2">
      <c r="B1196"/>
      <c r="C1196" s="61"/>
      <c r="D1196" s="61"/>
      <c r="G1196"/>
      <c r="H1196"/>
      <c r="I1196"/>
      <c r="J1196"/>
      <c r="M1196"/>
      <c r="N1196"/>
      <c r="O1196" s="61"/>
      <c r="P1196"/>
    </row>
    <row r="1197" spans="2:16" x14ac:dyDescent="0.2">
      <c r="B1197"/>
      <c r="C1197" s="61"/>
      <c r="D1197" s="61"/>
      <c r="G1197"/>
      <c r="H1197"/>
      <c r="I1197"/>
      <c r="J1197"/>
      <c r="M1197"/>
      <c r="N1197"/>
      <c r="O1197" s="61"/>
      <c r="P1197"/>
    </row>
    <row r="1198" spans="2:16" x14ac:dyDescent="0.2">
      <c r="B1198"/>
      <c r="C1198" s="61"/>
      <c r="D1198" s="61"/>
      <c r="G1198"/>
      <c r="H1198"/>
      <c r="I1198"/>
      <c r="J1198"/>
      <c r="M1198"/>
      <c r="N1198"/>
      <c r="O1198" s="61"/>
      <c r="P1198"/>
    </row>
    <row r="1199" spans="2:16" x14ac:dyDescent="0.2">
      <c r="B1199"/>
      <c r="C1199" s="61"/>
      <c r="D1199" s="61"/>
      <c r="G1199"/>
      <c r="H1199"/>
      <c r="J1199"/>
      <c r="M1199"/>
      <c r="N1199"/>
      <c r="O1199" s="61"/>
      <c r="P1199"/>
    </row>
    <row r="1200" spans="2:16" x14ac:dyDescent="0.2">
      <c r="B1200"/>
      <c r="C1200" s="61"/>
      <c r="D1200" s="61"/>
      <c r="G1200"/>
      <c r="H1200"/>
      <c r="I1200"/>
      <c r="J1200"/>
      <c r="M1200"/>
      <c r="N1200"/>
      <c r="O1200" s="61"/>
      <c r="P1200"/>
    </row>
    <row r="1201" spans="2:16" x14ac:dyDescent="0.2">
      <c r="B1201"/>
      <c r="C1201" s="61"/>
      <c r="D1201" s="61"/>
      <c r="G1201"/>
      <c r="H1201"/>
      <c r="J1201"/>
      <c r="M1201"/>
      <c r="N1201"/>
      <c r="O1201" s="61"/>
      <c r="P1201"/>
    </row>
    <row r="1202" spans="2:16" x14ac:dyDescent="0.2">
      <c r="B1202"/>
      <c r="C1202" s="61"/>
      <c r="D1202" s="61"/>
      <c r="G1202"/>
      <c r="H1202"/>
      <c r="M1202"/>
      <c r="N1202"/>
      <c r="O1202" s="61"/>
      <c r="P1202"/>
    </row>
    <row r="1203" spans="2:16" x14ac:dyDescent="0.2">
      <c r="B1203"/>
      <c r="C1203" s="61"/>
      <c r="D1203" s="61"/>
      <c r="G1203"/>
      <c r="H1203"/>
      <c r="J1203"/>
      <c r="M1203"/>
      <c r="N1203"/>
      <c r="O1203" s="61"/>
      <c r="P1203"/>
    </row>
    <row r="1204" spans="2:16" x14ac:dyDescent="0.2">
      <c r="B1204"/>
      <c r="C1204" s="61"/>
      <c r="D1204" s="61"/>
      <c r="G1204"/>
      <c r="H1204"/>
      <c r="I1204"/>
      <c r="J1204"/>
      <c r="M1204"/>
      <c r="N1204"/>
      <c r="O1204" s="61"/>
      <c r="P1204"/>
    </row>
    <row r="1205" spans="2:16" x14ac:dyDescent="0.2">
      <c r="B1205"/>
      <c r="C1205" s="61"/>
      <c r="D1205" s="61"/>
      <c r="G1205"/>
      <c r="H1205"/>
      <c r="I1205"/>
      <c r="J1205"/>
      <c r="M1205"/>
      <c r="N1205"/>
      <c r="O1205" s="61"/>
      <c r="P1205"/>
    </row>
    <row r="1206" spans="2:16" x14ac:dyDescent="0.2">
      <c r="B1206"/>
      <c r="C1206" s="61"/>
      <c r="D1206" s="61"/>
      <c r="G1206"/>
      <c r="H1206"/>
      <c r="I1206"/>
      <c r="M1206"/>
      <c r="N1206"/>
      <c r="O1206" s="61"/>
      <c r="P1206"/>
    </row>
    <row r="1207" spans="2:16" x14ac:dyDescent="0.2">
      <c r="B1207"/>
      <c r="C1207" s="61"/>
      <c r="D1207" s="61"/>
      <c r="G1207"/>
      <c r="H1207"/>
      <c r="I1207"/>
      <c r="N1207"/>
      <c r="O1207" s="61"/>
      <c r="P1207"/>
    </row>
    <row r="1208" spans="2:16" x14ac:dyDescent="0.2">
      <c r="B1208"/>
      <c r="C1208" s="61"/>
      <c r="D1208" s="61"/>
      <c r="G1208"/>
      <c r="H1208"/>
      <c r="I1208"/>
      <c r="J1208"/>
      <c r="M1208"/>
      <c r="N1208"/>
      <c r="O1208" s="61"/>
      <c r="P1208"/>
    </row>
    <row r="1209" spans="2:16" x14ac:dyDescent="0.2">
      <c r="B1209"/>
      <c r="C1209" s="61"/>
      <c r="D1209" s="61"/>
      <c r="G1209"/>
      <c r="H1209"/>
      <c r="I1209"/>
      <c r="J1209"/>
      <c r="M1209"/>
      <c r="N1209"/>
      <c r="O1209" s="61"/>
      <c r="P1209"/>
    </row>
    <row r="1210" spans="2:16" x14ac:dyDescent="0.2">
      <c r="B1210"/>
      <c r="C1210" s="61"/>
      <c r="D1210" s="61"/>
      <c r="G1210"/>
      <c r="H1210"/>
      <c r="M1210"/>
      <c r="N1210"/>
      <c r="O1210" s="61"/>
      <c r="P1210"/>
    </row>
    <row r="1211" spans="2:16" x14ac:dyDescent="0.2">
      <c r="B1211"/>
      <c r="C1211" s="61"/>
      <c r="D1211" s="61"/>
      <c r="G1211"/>
      <c r="H1211"/>
      <c r="I1211"/>
      <c r="J1211"/>
      <c r="K1211"/>
      <c r="L1211"/>
      <c r="M1211"/>
      <c r="N1211"/>
      <c r="O1211" s="61"/>
      <c r="P1211"/>
    </row>
    <row r="1212" spans="2:16" x14ac:dyDescent="0.2">
      <c r="B1212"/>
      <c r="C1212" s="61"/>
      <c r="D1212" s="61"/>
      <c r="G1212"/>
      <c r="H1212"/>
      <c r="I1212"/>
      <c r="J1212"/>
      <c r="M1212"/>
      <c r="N1212"/>
      <c r="O1212" s="61"/>
      <c r="P1212"/>
    </row>
    <row r="1213" spans="2:16" x14ac:dyDescent="0.2">
      <c r="B1213"/>
      <c r="C1213" s="61"/>
      <c r="D1213" s="61"/>
      <c r="G1213"/>
      <c r="H1213"/>
      <c r="I1213"/>
      <c r="K1213"/>
      <c r="L1213"/>
      <c r="M1213"/>
      <c r="N1213"/>
      <c r="O1213" s="61"/>
      <c r="P1213"/>
    </row>
    <row r="1214" spans="2:16" x14ac:dyDescent="0.2">
      <c r="B1214"/>
      <c r="C1214" s="61"/>
      <c r="D1214" s="61"/>
      <c r="G1214"/>
      <c r="H1214"/>
      <c r="I1214"/>
      <c r="K1214"/>
      <c r="L1214"/>
      <c r="M1214"/>
      <c r="N1214"/>
      <c r="O1214" s="61"/>
      <c r="P1214"/>
    </row>
    <row r="1215" spans="2:16" x14ac:dyDescent="0.2">
      <c r="B1215"/>
      <c r="C1215" s="61"/>
      <c r="D1215" s="61"/>
      <c r="G1215"/>
      <c r="H1215"/>
      <c r="I1215"/>
      <c r="K1215"/>
      <c r="L1215"/>
      <c r="M1215"/>
      <c r="N1215"/>
      <c r="O1215" s="61"/>
      <c r="P1215"/>
    </row>
    <row r="1216" spans="2:16" x14ac:dyDescent="0.2">
      <c r="B1216"/>
      <c r="C1216" s="61"/>
      <c r="D1216" s="61"/>
      <c r="G1216"/>
      <c r="H1216"/>
      <c r="I1216"/>
      <c r="K1216"/>
      <c r="L1216"/>
      <c r="M1216"/>
      <c r="N1216"/>
      <c r="O1216" s="61"/>
      <c r="P1216"/>
    </row>
    <row r="1217" spans="2:16" x14ac:dyDescent="0.2">
      <c r="B1217"/>
      <c r="C1217" s="61"/>
      <c r="D1217" s="61"/>
      <c r="G1217"/>
      <c r="H1217"/>
      <c r="I1217"/>
      <c r="J1217"/>
      <c r="K1217"/>
      <c r="L1217"/>
      <c r="M1217"/>
      <c r="N1217"/>
      <c r="O1217" s="61"/>
      <c r="P1217"/>
    </row>
    <row r="1218" spans="2:16" x14ac:dyDescent="0.2">
      <c r="B1218"/>
      <c r="C1218" s="61"/>
      <c r="D1218" s="61"/>
      <c r="G1218"/>
      <c r="H1218"/>
      <c r="I1218"/>
      <c r="K1218"/>
      <c r="L1218"/>
      <c r="M1218"/>
      <c r="N1218"/>
      <c r="O1218" s="61"/>
      <c r="P1218"/>
    </row>
    <row r="1219" spans="2:16" x14ac:dyDescent="0.2">
      <c r="B1219"/>
      <c r="C1219" s="61"/>
      <c r="D1219" s="61"/>
      <c r="G1219"/>
      <c r="H1219"/>
      <c r="K1219"/>
      <c r="L1219"/>
      <c r="M1219"/>
      <c r="N1219"/>
      <c r="O1219" s="61"/>
      <c r="P1219"/>
    </row>
    <row r="1220" spans="2:16" x14ac:dyDescent="0.2">
      <c r="B1220"/>
      <c r="C1220" s="61"/>
      <c r="D1220" s="61"/>
      <c r="G1220"/>
      <c r="H1220"/>
      <c r="I1220"/>
      <c r="K1220"/>
      <c r="L1220"/>
      <c r="M1220"/>
      <c r="N1220"/>
      <c r="O1220" s="61"/>
      <c r="P1220"/>
    </row>
    <row r="1221" spans="2:16" x14ac:dyDescent="0.2">
      <c r="B1221"/>
      <c r="C1221" s="61"/>
      <c r="D1221" s="61"/>
      <c r="G1221"/>
      <c r="H1221"/>
      <c r="I1221"/>
      <c r="K1221"/>
      <c r="L1221"/>
      <c r="M1221"/>
      <c r="N1221"/>
      <c r="O1221" s="61"/>
      <c r="P1221"/>
    </row>
    <row r="1222" spans="2:16" x14ac:dyDescent="0.2">
      <c r="B1222"/>
      <c r="C1222" s="61"/>
      <c r="D1222" s="61"/>
      <c r="G1222"/>
      <c r="H1222"/>
      <c r="I1222"/>
      <c r="J1222"/>
      <c r="M1222"/>
      <c r="N1222"/>
      <c r="O1222" s="61"/>
      <c r="P1222"/>
    </row>
    <row r="1223" spans="2:16" x14ac:dyDescent="0.2">
      <c r="B1223"/>
      <c r="C1223" s="61"/>
      <c r="D1223" s="61"/>
      <c r="G1223"/>
      <c r="H1223"/>
      <c r="I1223"/>
      <c r="K1223"/>
      <c r="L1223"/>
      <c r="M1223"/>
      <c r="N1223"/>
      <c r="O1223" s="61"/>
      <c r="P1223"/>
    </row>
    <row r="1224" spans="2:16" x14ac:dyDescent="0.2">
      <c r="B1224"/>
      <c r="C1224" s="61"/>
      <c r="D1224" s="61"/>
      <c r="G1224"/>
      <c r="H1224"/>
      <c r="I1224"/>
      <c r="J1224"/>
      <c r="M1224"/>
      <c r="N1224"/>
      <c r="O1224" s="61"/>
      <c r="P1224"/>
    </row>
    <row r="1225" spans="2:16" x14ac:dyDescent="0.2">
      <c r="B1225"/>
      <c r="C1225" s="61"/>
      <c r="D1225" s="61"/>
      <c r="G1225"/>
      <c r="H1225"/>
      <c r="I1225"/>
      <c r="J1225"/>
      <c r="M1225"/>
      <c r="N1225"/>
      <c r="O1225" s="61"/>
      <c r="P1225"/>
    </row>
    <row r="1226" spans="2:16" x14ac:dyDescent="0.2">
      <c r="B1226"/>
      <c r="C1226" s="61"/>
      <c r="D1226" s="61"/>
      <c r="G1226"/>
      <c r="H1226"/>
      <c r="M1226"/>
      <c r="N1226"/>
      <c r="O1226" s="61"/>
      <c r="P1226"/>
    </row>
    <row r="1227" spans="2:16" x14ac:dyDescent="0.2">
      <c r="B1227"/>
      <c r="C1227" s="61"/>
      <c r="D1227" s="61"/>
      <c r="G1227"/>
      <c r="H1227"/>
      <c r="I1227"/>
      <c r="J1227"/>
      <c r="M1227"/>
      <c r="N1227"/>
      <c r="O1227" s="61"/>
      <c r="P1227"/>
    </row>
    <row r="1228" spans="2:16" x14ac:dyDescent="0.2">
      <c r="B1228"/>
      <c r="C1228" s="61"/>
      <c r="D1228" s="61"/>
      <c r="G1228"/>
      <c r="H1228"/>
      <c r="M1228"/>
      <c r="N1228"/>
      <c r="O1228" s="61"/>
      <c r="P1228"/>
    </row>
    <row r="1229" spans="2:16" x14ac:dyDescent="0.2">
      <c r="B1229"/>
      <c r="C1229" s="61"/>
      <c r="D1229" s="61"/>
      <c r="G1229"/>
      <c r="H1229"/>
      <c r="I1229"/>
      <c r="J1229"/>
      <c r="M1229"/>
      <c r="N1229"/>
      <c r="O1229" s="61"/>
      <c r="P1229"/>
    </row>
    <row r="1230" spans="2:16" x14ac:dyDescent="0.2">
      <c r="B1230"/>
      <c r="C1230" s="61"/>
      <c r="D1230" s="61"/>
      <c r="G1230"/>
      <c r="H1230"/>
      <c r="M1230"/>
      <c r="N1230"/>
      <c r="O1230" s="61"/>
      <c r="P1230"/>
    </row>
    <row r="1231" spans="2:16" x14ac:dyDescent="0.2">
      <c r="B1231"/>
      <c r="C1231" s="61"/>
      <c r="D1231" s="61"/>
      <c r="G1231"/>
      <c r="H1231"/>
      <c r="J1231"/>
      <c r="M1231"/>
      <c r="N1231"/>
      <c r="O1231" s="61"/>
      <c r="P1231"/>
    </row>
    <row r="1232" spans="2:16" x14ac:dyDescent="0.2">
      <c r="B1232"/>
      <c r="C1232" s="61"/>
      <c r="D1232" s="61"/>
      <c r="G1232"/>
      <c r="H1232"/>
      <c r="K1232"/>
      <c r="L1232"/>
      <c r="M1232"/>
      <c r="N1232"/>
      <c r="O1232" s="61"/>
      <c r="P1232"/>
    </row>
    <row r="1233" spans="2:16" x14ac:dyDescent="0.2">
      <c r="B1233"/>
      <c r="C1233" s="61"/>
      <c r="D1233" s="61"/>
      <c r="G1233"/>
      <c r="H1233"/>
      <c r="I1233"/>
      <c r="J1233"/>
      <c r="M1233"/>
      <c r="N1233"/>
      <c r="O1233" s="61"/>
      <c r="P1233"/>
    </row>
    <row r="1234" spans="2:16" x14ac:dyDescent="0.2">
      <c r="B1234"/>
      <c r="C1234" s="61"/>
      <c r="D1234" s="61"/>
      <c r="G1234"/>
      <c r="H1234"/>
      <c r="M1234"/>
      <c r="N1234"/>
      <c r="O1234" s="61"/>
      <c r="P1234"/>
    </row>
    <row r="1235" spans="2:16" x14ac:dyDescent="0.2">
      <c r="B1235"/>
      <c r="C1235" s="61"/>
      <c r="D1235" s="61"/>
      <c r="G1235"/>
      <c r="H1235"/>
      <c r="J1235"/>
      <c r="M1235"/>
      <c r="N1235"/>
      <c r="O1235" s="61"/>
      <c r="P1235"/>
    </row>
    <row r="1236" spans="2:16" x14ac:dyDescent="0.2">
      <c r="B1236"/>
      <c r="C1236" s="61"/>
      <c r="D1236" s="61"/>
      <c r="G1236"/>
      <c r="H1236"/>
      <c r="I1236"/>
      <c r="J1236"/>
      <c r="M1236"/>
      <c r="N1236"/>
      <c r="O1236" s="61"/>
      <c r="P1236"/>
    </row>
    <row r="1237" spans="2:16" x14ac:dyDescent="0.2">
      <c r="B1237"/>
      <c r="C1237" s="61"/>
      <c r="D1237" s="61"/>
      <c r="G1237"/>
      <c r="H1237"/>
      <c r="I1237"/>
      <c r="J1237"/>
      <c r="M1237"/>
      <c r="N1237"/>
      <c r="O1237" s="61"/>
      <c r="P1237"/>
    </row>
    <row r="1238" spans="2:16" x14ac:dyDescent="0.2">
      <c r="B1238"/>
      <c r="C1238" s="61"/>
      <c r="D1238" s="61"/>
      <c r="G1238"/>
      <c r="H1238"/>
      <c r="I1238"/>
      <c r="J1238"/>
      <c r="M1238"/>
      <c r="N1238"/>
      <c r="O1238" s="61"/>
      <c r="P1238"/>
    </row>
    <row r="1239" spans="2:16" x14ac:dyDescent="0.2">
      <c r="B1239"/>
      <c r="C1239" s="61"/>
      <c r="D1239" s="61"/>
      <c r="G1239"/>
      <c r="H1239"/>
      <c r="J1239"/>
      <c r="M1239"/>
      <c r="N1239"/>
      <c r="O1239" s="61"/>
      <c r="P1239"/>
    </row>
    <row r="1240" spans="2:16" x14ac:dyDescent="0.2">
      <c r="B1240"/>
      <c r="C1240" s="61"/>
      <c r="D1240" s="61"/>
      <c r="G1240"/>
      <c r="H1240"/>
      <c r="J1240"/>
      <c r="M1240"/>
      <c r="N1240"/>
      <c r="O1240" s="61"/>
      <c r="P1240"/>
    </row>
    <row r="1241" spans="2:16" x14ac:dyDescent="0.2">
      <c r="B1241"/>
      <c r="C1241" s="61"/>
      <c r="D1241" s="61"/>
      <c r="G1241"/>
      <c r="H1241"/>
      <c r="I1241"/>
      <c r="J1241"/>
      <c r="M1241"/>
      <c r="N1241"/>
      <c r="O1241" s="61"/>
      <c r="P1241"/>
    </row>
    <row r="1242" spans="2:16" x14ac:dyDescent="0.2">
      <c r="B1242"/>
      <c r="C1242" s="61"/>
      <c r="D1242" s="61"/>
      <c r="G1242"/>
      <c r="H1242"/>
      <c r="M1242"/>
      <c r="N1242"/>
      <c r="O1242" s="61"/>
      <c r="P1242"/>
    </row>
    <row r="1243" spans="2:16" x14ac:dyDescent="0.2">
      <c r="B1243"/>
      <c r="C1243" s="61"/>
      <c r="D1243" s="61"/>
      <c r="G1243"/>
      <c r="H1243"/>
      <c r="I1243"/>
      <c r="J1243"/>
      <c r="M1243"/>
      <c r="N1243"/>
      <c r="O1243" s="61"/>
      <c r="P1243"/>
    </row>
    <row r="1244" spans="2:16" x14ac:dyDescent="0.2">
      <c r="B1244"/>
      <c r="C1244" s="61"/>
      <c r="D1244" s="61"/>
      <c r="G1244"/>
      <c r="H1244"/>
      <c r="J1244"/>
      <c r="M1244"/>
      <c r="N1244"/>
      <c r="O1244" s="61"/>
      <c r="P1244"/>
    </row>
    <row r="1245" spans="2:16" x14ac:dyDescent="0.2">
      <c r="B1245"/>
      <c r="C1245" s="61"/>
      <c r="D1245" s="61"/>
      <c r="G1245"/>
      <c r="H1245"/>
      <c r="I1245"/>
      <c r="J1245"/>
      <c r="M1245"/>
      <c r="N1245"/>
      <c r="O1245" s="61"/>
      <c r="P1245"/>
    </row>
    <row r="1246" spans="2:16" x14ac:dyDescent="0.2">
      <c r="B1246"/>
      <c r="C1246" s="61"/>
      <c r="D1246" s="61"/>
      <c r="G1246"/>
      <c r="H1246"/>
      <c r="J1246"/>
      <c r="M1246"/>
      <c r="N1246"/>
      <c r="O1246" s="61"/>
      <c r="P1246"/>
    </row>
    <row r="1247" spans="2:16" x14ac:dyDescent="0.2">
      <c r="B1247"/>
      <c r="C1247" s="61"/>
      <c r="D1247" s="61"/>
      <c r="G1247"/>
      <c r="H1247"/>
      <c r="I1247"/>
      <c r="J1247"/>
      <c r="M1247"/>
      <c r="N1247"/>
      <c r="O1247" s="61"/>
      <c r="P1247"/>
    </row>
    <row r="1248" spans="2:16" x14ac:dyDescent="0.2">
      <c r="B1248"/>
      <c r="C1248" s="61"/>
      <c r="D1248" s="61"/>
      <c r="G1248"/>
      <c r="H1248"/>
      <c r="I1248"/>
      <c r="J1248"/>
      <c r="M1248"/>
      <c r="N1248"/>
      <c r="O1248" s="61"/>
      <c r="P1248"/>
    </row>
    <row r="1249" spans="2:16" x14ac:dyDescent="0.2">
      <c r="B1249"/>
      <c r="C1249" s="61"/>
      <c r="D1249" s="61"/>
      <c r="G1249"/>
      <c r="H1249"/>
      <c r="I1249"/>
      <c r="K1249"/>
      <c r="L1249"/>
      <c r="M1249"/>
      <c r="N1249"/>
      <c r="O1249" s="61"/>
      <c r="P1249"/>
    </row>
    <row r="1250" spans="2:16" x14ac:dyDescent="0.2">
      <c r="B1250"/>
      <c r="C1250" s="61"/>
      <c r="D1250" s="61"/>
      <c r="G1250"/>
      <c r="H1250"/>
      <c r="I1250"/>
      <c r="K1250"/>
      <c r="L1250"/>
      <c r="M1250"/>
      <c r="N1250"/>
      <c r="O1250" s="61"/>
      <c r="P1250"/>
    </row>
    <row r="1251" spans="2:16" x14ac:dyDescent="0.2">
      <c r="B1251"/>
      <c r="C1251" s="61"/>
      <c r="D1251" s="61"/>
      <c r="G1251"/>
      <c r="H1251"/>
      <c r="M1251"/>
      <c r="N1251"/>
      <c r="O1251" s="61"/>
      <c r="P1251"/>
    </row>
    <row r="1252" spans="2:16" x14ac:dyDescent="0.2">
      <c r="B1252"/>
      <c r="C1252" s="61"/>
      <c r="D1252" s="61"/>
      <c r="G1252"/>
      <c r="H1252"/>
      <c r="I1252"/>
      <c r="J1252"/>
      <c r="M1252"/>
      <c r="N1252"/>
      <c r="O1252" s="61"/>
      <c r="P1252"/>
    </row>
    <row r="1253" spans="2:16" x14ac:dyDescent="0.2">
      <c r="B1253"/>
      <c r="C1253" s="61"/>
      <c r="D1253" s="61"/>
      <c r="G1253"/>
      <c r="H1253"/>
      <c r="I1253"/>
      <c r="J1253"/>
      <c r="M1253"/>
      <c r="N1253"/>
      <c r="O1253" s="61"/>
      <c r="P1253"/>
    </row>
    <row r="1254" spans="2:16" x14ac:dyDescent="0.2">
      <c r="B1254"/>
      <c r="C1254" s="61"/>
      <c r="D1254" s="61"/>
      <c r="G1254"/>
      <c r="H1254"/>
      <c r="I1254"/>
      <c r="K1254"/>
      <c r="L1254"/>
      <c r="M1254"/>
      <c r="N1254"/>
      <c r="O1254" s="61"/>
      <c r="P1254"/>
    </row>
    <row r="1255" spans="2:16" x14ac:dyDescent="0.2">
      <c r="B1255"/>
      <c r="C1255" s="61"/>
      <c r="D1255" s="61"/>
      <c r="G1255"/>
      <c r="H1255"/>
      <c r="I1255"/>
      <c r="J1255"/>
      <c r="M1255"/>
      <c r="N1255"/>
      <c r="O1255" s="61"/>
      <c r="P1255"/>
    </row>
    <row r="1256" spans="2:16" x14ac:dyDescent="0.2">
      <c r="B1256"/>
      <c r="C1256" s="61"/>
      <c r="D1256" s="61"/>
      <c r="G1256"/>
      <c r="H1256"/>
      <c r="I1256"/>
      <c r="J1256"/>
      <c r="M1256"/>
      <c r="N1256"/>
      <c r="O1256" s="61"/>
      <c r="P1256"/>
    </row>
    <row r="1257" spans="2:16" x14ac:dyDescent="0.2">
      <c r="B1257"/>
      <c r="C1257" s="61"/>
      <c r="D1257" s="61"/>
      <c r="G1257"/>
      <c r="H1257"/>
      <c r="K1257"/>
      <c r="L1257"/>
      <c r="M1257"/>
      <c r="N1257"/>
      <c r="O1257" s="61"/>
      <c r="P1257"/>
    </row>
    <row r="1258" spans="2:16" x14ac:dyDescent="0.2">
      <c r="B1258"/>
      <c r="C1258" s="61"/>
      <c r="D1258" s="61"/>
      <c r="G1258"/>
      <c r="H1258"/>
      <c r="M1258"/>
      <c r="N1258"/>
      <c r="O1258" s="61"/>
      <c r="P1258"/>
    </row>
    <row r="1259" spans="2:16" x14ac:dyDescent="0.2">
      <c r="B1259"/>
      <c r="C1259" s="61"/>
      <c r="D1259" s="61"/>
      <c r="G1259"/>
      <c r="H1259"/>
      <c r="I1259"/>
      <c r="J1259"/>
      <c r="M1259"/>
      <c r="N1259"/>
      <c r="O1259" s="61"/>
      <c r="P1259"/>
    </row>
    <row r="1260" spans="2:16" x14ac:dyDescent="0.2">
      <c r="B1260"/>
      <c r="C1260" s="61"/>
      <c r="D1260" s="61"/>
      <c r="G1260"/>
      <c r="H1260"/>
      <c r="I1260"/>
      <c r="J1260"/>
      <c r="M1260"/>
      <c r="N1260"/>
      <c r="O1260" s="61"/>
      <c r="P1260"/>
    </row>
    <row r="1261" spans="2:16" x14ac:dyDescent="0.2">
      <c r="B1261"/>
      <c r="C1261" s="61"/>
      <c r="D1261" s="61"/>
      <c r="G1261"/>
      <c r="H1261"/>
      <c r="J1261"/>
      <c r="M1261"/>
      <c r="N1261"/>
      <c r="O1261" s="61"/>
      <c r="P1261"/>
    </row>
    <row r="1262" spans="2:16" x14ac:dyDescent="0.2">
      <c r="B1262"/>
      <c r="C1262" s="61"/>
      <c r="D1262" s="61"/>
      <c r="G1262"/>
      <c r="H1262"/>
      <c r="I1262"/>
      <c r="J1262"/>
      <c r="M1262"/>
      <c r="N1262"/>
      <c r="O1262" s="61"/>
      <c r="P1262"/>
    </row>
    <row r="1263" spans="2:16" x14ac:dyDescent="0.2">
      <c r="B1263"/>
      <c r="C1263" s="61"/>
      <c r="D1263" s="61"/>
      <c r="G1263"/>
      <c r="H1263"/>
      <c r="I1263"/>
      <c r="K1263"/>
      <c r="L1263"/>
      <c r="M1263"/>
      <c r="N1263"/>
      <c r="O1263" s="61"/>
      <c r="P1263"/>
    </row>
    <row r="1264" spans="2:16" x14ac:dyDescent="0.2">
      <c r="B1264"/>
      <c r="C1264" s="61"/>
      <c r="D1264" s="61"/>
      <c r="G1264"/>
      <c r="H1264"/>
      <c r="I1264"/>
      <c r="J1264"/>
      <c r="M1264"/>
      <c r="N1264"/>
      <c r="O1264" s="61"/>
      <c r="P1264"/>
    </row>
    <row r="1265" spans="2:16" x14ac:dyDescent="0.2">
      <c r="B1265"/>
      <c r="C1265" s="61"/>
      <c r="D1265" s="61"/>
      <c r="G1265"/>
      <c r="H1265"/>
      <c r="J1265"/>
      <c r="M1265"/>
      <c r="N1265"/>
      <c r="O1265" s="61"/>
      <c r="P1265"/>
    </row>
    <row r="1266" spans="2:16" x14ac:dyDescent="0.2">
      <c r="B1266"/>
      <c r="C1266" s="61"/>
      <c r="D1266" s="61"/>
      <c r="G1266"/>
      <c r="H1266"/>
      <c r="I1266"/>
      <c r="J1266"/>
      <c r="M1266"/>
      <c r="N1266"/>
      <c r="O1266" s="61"/>
      <c r="P1266"/>
    </row>
    <row r="1267" spans="2:16" x14ac:dyDescent="0.2">
      <c r="B1267"/>
      <c r="C1267" s="61"/>
      <c r="D1267" s="61"/>
      <c r="G1267"/>
      <c r="H1267"/>
      <c r="J1267"/>
      <c r="M1267"/>
      <c r="N1267"/>
      <c r="O1267" s="61"/>
      <c r="P1267"/>
    </row>
    <row r="1268" spans="2:16" x14ac:dyDescent="0.2">
      <c r="B1268"/>
      <c r="C1268" s="61"/>
      <c r="D1268" s="61"/>
      <c r="G1268"/>
      <c r="H1268"/>
      <c r="J1268"/>
      <c r="M1268"/>
      <c r="N1268"/>
      <c r="O1268" s="61"/>
      <c r="P1268"/>
    </row>
    <row r="1269" spans="2:16" x14ac:dyDescent="0.2">
      <c r="B1269"/>
      <c r="C1269" s="61"/>
      <c r="D1269" s="61"/>
      <c r="G1269"/>
      <c r="H1269"/>
      <c r="I1269"/>
      <c r="J1269"/>
      <c r="M1269"/>
      <c r="N1269"/>
      <c r="O1269" s="61"/>
      <c r="P1269"/>
    </row>
    <row r="1270" spans="2:16" x14ac:dyDescent="0.2">
      <c r="B1270"/>
      <c r="C1270" s="61"/>
      <c r="D1270" s="61"/>
      <c r="G1270"/>
      <c r="H1270"/>
      <c r="I1270"/>
      <c r="J1270"/>
      <c r="M1270"/>
      <c r="N1270"/>
      <c r="O1270" s="61"/>
      <c r="P1270"/>
    </row>
    <row r="1271" spans="2:16" x14ac:dyDescent="0.2">
      <c r="B1271"/>
      <c r="C1271" s="61"/>
      <c r="D1271" s="61"/>
      <c r="G1271"/>
      <c r="H1271"/>
      <c r="I1271"/>
      <c r="J1271"/>
      <c r="M1271"/>
      <c r="N1271"/>
      <c r="O1271" s="61"/>
      <c r="P1271"/>
    </row>
    <row r="1272" spans="2:16" x14ac:dyDescent="0.2">
      <c r="B1272"/>
      <c r="C1272" s="61"/>
      <c r="D1272" s="61"/>
      <c r="G1272"/>
      <c r="H1272"/>
      <c r="I1272"/>
      <c r="J1272"/>
      <c r="M1272"/>
      <c r="N1272"/>
      <c r="O1272" s="61"/>
      <c r="P1272"/>
    </row>
    <row r="1273" spans="2:16" x14ac:dyDescent="0.2">
      <c r="B1273"/>
      <c r="C1273" s="61"/>
      <c r="D1273" s="61"/>
      <c r="G1273"/>
      <c r="H1273"/>
      <c r="I1273"/>
      <c r="J1273"/>
      <c r="M1273"/>
      <c r="O1273" s="61"/>
      <c r="P1273"/>
    </row>
    <row r="1274" spans="2:16" x14ac:dyDescent="0.2">
      <c r="B1274"/>
      <c r="C1274" s="61"/>
      <c r="D1274" s="61"/>
      <c r="G1274"/>
      <c r="H1274"/>
      <c r="J1274"/>
      <c r="M1274"/>
      <c r="N1274"/>
      <c r="O1274" s="61"/>
      <c r="P1274"/>
    </row>
    <row r="1275" spans="2:16" x14ac:dyDescent="0.2">
      <c r="B1275"/>
      <c r="C1275" s="61"/>
      <c r="D1275" s="61"/>
      <c r="G1275"/>
      <c r="H1275"/>
      <c r="J1275"/>
      <c r="M1275"/>
      <c r="N1275"/>
      <c r="O1275" s="61"/>
      <c r="P1275"/>
    </row>
    <row r="1276" spans="2:16" x14ac:dyDescent="0.2">
      <c r="B1276"/>
      <c r="C1276" s="61"/>
      <c r="D1276" s="61"/>
      <c r="G1276"/>
      <c r="H1276"/>
      <c r="J1276"/>
      <c r="M1276"/>
      <c r="N1276"/>
      <c r="O1276" s="61"/>
      <c r="P1276"/>
    </row>
    <row r="1277" spans="2:16" x14ac:dyDescent="0.2">
      <c r="B1277"/>
      <c r="C1277" s="61"/>
      <c r="D1277" s="61"/>
      <c r="G1277"/>
      <c r="H1277"/>
      <c r="I1277"/>
      <c r="J1277"/>
      <c r="M1277"/>
      <c r="N1277"/>
      <c r="O1277" s="61"/>
      <c r="P1277"/>
    </row>
    <row r="1278" spans="2:16" x14ac:dyDescent="0.2">
      <c r="B1278"/>
      <c r="C1278" s="61"/>
      <c r="D1278" s="61"/>
      <c r="G1278"/>
      <c r="H1278"/>
      <c r="I1278"/>
      <c r="J1278"/>
      <c r="M1278"/>
      <c r="N1278"/>
      <c r="O1278" s="61"/>
      <c r="P1278"/>
    </row>
    <row r="1279" spans="2:16" x14ac:dyDescent="0.2">
      <c r="B1279"/>
      <c r="C1279" s="61"/>
      <c r="D1279" s="61"/>
      <c r="G1279"/>
      <c r="H1279"/>
      <c r="I1279"/>
      <c r="J1279"/>
      <c r="M1279"/>
      <c r="N1279"/>
      <c r="O1279" s="61"/>
      <c r="P1279"/>
    </row>
    <row r="1280" spans="2:16" x14ac:dyDescent="0.2">
      <c r="B1280"/>
      <c r="C1280" s="61"/>
      <c r="D1280" s="61"/>
      <c r="G1280"/>
      <c r="H1280"/>
      <c r="I1280"/>
      <c r="J1280"/>
      <c r="M1280"/>
      <c r="N1280"/>
      <c r="O1280" s="61"/>
      <c r="P1280"/>
    </row>
    <row r="1281" spans="2:16" x14ac:dyDescent="0.2">
      <c r="B1281"/>
      <c r="C1281" s="61"/>
      <c r="D1281" s="61"/>
      <c r="G1281"/>
      <c r="H1281"/>
      <c r="J1281"/>
      <c r="M1281"/>
      <c r="N1281"/>
      <c r="O1281" s="61"/>
      <c r="P1281"/>
    </row>
    <row r="1282" spans="2:16" x14ac:dyDescent="0.2">
      <c r="B1282"/>
      <c r="C1282" s="61"/>
      <c r="D1282" s="61"/>
      <c r="G1282"/>
      <c r="H1282"/>
      <c r="J1282"/>
      <c r="M1282"/>
      <c r="N1282"/>
      <c r="O1282" s="61"/>
      <c r="P1282"/>
    </row>
    <row r="1283" spans="2:16" x14ac:dyDescent="0.2">
      <c r="B1283"/>
      <c r="C1283" s="61"/>
      <c r="D1283" s="61"/>
      <c r="G1283"/>
      <c r="H1283"/>
      <c r="J1283"/>
      <c r="M1283"/>
      <c r="N1283"/>
      <c r="O1283" s="61"/>
      <c r="P1283"/>
    </row>
    <row r="1284" spans="2:16" x14ac:dyDescent="0.2">
      <c r="B1284"/>
      <c r="C1284" s="61"/>
      <c r="D1284" s="61"/>
      <c r="G1284"/>
      <c r="H1284"/>
      <c r="N1284"/>
      <c r="O1284" s="61"/>
      <c r="P1284"/>
    </row>
    <row r="1285" spans="2:16" x14ac:dyDescent="0.2">
      <c r="B1285"/>
      <c r="C1285" s="61"/>
      <c r="D1285" s="61"/>
      <c r="G1285"/>
      <c r="H1285"/>
      <c r="I1285"/>
      <c r="J1285"/>
      <c r="M1285"/>
      <c r="N1285"/>
      <c r="O1285" s="61"/>
      <c r="P1285"/>
    </row>
    <row r="1286" spans="2:16" x14ac:dyDescent="0.2">
      <c r="B1286"/>
      <c r="C1286" s="61"/>
      <c r="D1286" s="61"/>
      <c r="G1286"/>
      <c r="H1286"/>
      <c r="I1286"/>
      <c r="J1286"/>
      <c r="M1286"/>
      <c r="N1286"/>
      <c r="O1286" s="61"/>
      <c r="P1286"/>
    </row>
    <row r="1287" spans="2:16" x14ac:dyDescent="0.2">
      <c r="B1287"/>
      <c r="C1287" s="61"/>
      <c r="D1287" s="61"/>
      <c r="G1287"/>
      <c r="H1287"/>
      <c r="I1287"/>
      <c r="J1287"/>
      <c r="M1287"/>
      <c r="N1287"/>
      <c r="O1287" s="61"/>
      <c r="P1287"/>
    </row>
    <row r="1288" spans="2:16" x14ac:dyDescent="0.2">
      <c r="B1288"/>
      <c r="C1288" s="61"/>
      <c r="D1288" s="61"/>
      <c r="G1288"/>
      <c r="H1288"/>
      <c r="I1288"/>
      <c r="J1288"/>
      <c r="M1288"/>
      <c r="N1288"/>
      <c r="O1288" s="61"/>
      <c r="P1288"/>
    </row>
    <row r="1289" spans="2:16" x14ac:dyDescent="0.2">
      <c r="B1289"/>
      <c r="C1289" s="61"/>
      <c r="D1289" s="61"/>
      <c r="G1289"/>
      <c r="H1289"/>
      <c r="I1289"/>
      <c r="K1289"/>
      <c r="L1289"/>
      <c r="M1289"/>
      <c r="N1289"/>
      <c r="O1289" s="61"/>
      <c r="P1289"/>
    </row>
    <row r="1290" spans="2:16" x14ac:dyDescent="0.2">
      <c r="B1290"/>
      <c r="C1290" s="61"/>
      <c r="D1290" s="61"/>
      <c r="G1290"/>
      <c r="H1290"/>
      <c r="I1290"/>
      <c r="K1290"/>
      <c r="L1290"/>
      <c r="M1290"/>
      <c r="N1290"/>
      <c r="O1290" s="61"/>
      <c r="P1290"/>
    </row>
    <row r="1291" spans="2:16" x14ac:dyDescent="0.2">
      <c r="B1291"/>
      <c r="C1291" s="61"/>
      <c r="D1291" s="61"/>
      <c r="G1291"/>
      <c r="H1291"/>
      <c r="K1291"/>
      <c r="L1291"/>
      <c r="M1291"/>
      <c r="N1291"/>
      <c r="O1291" s="61"/>
      <c r="P1291"/>
    </row>
    <row r="1292" spans="2:16" x14ac:dyDescent="0.2">
      <c r="B1292"/>
      <c r="C1292" s="61"/>
      <c r="D1292" s="61"/>
      <c r="G1292"/>
      <c r="H1292"/>
      <c r="I1292"/>
      <c r="J1292"/>
      <c r="M1292"/>
      <c r="O1292" s="61"/>
      <c r="P1292"/>
    </row>
    <row r="1293" spans="2:16" x14ac:dyDescent="0.2">
      <c r="B1293"/>
      <c r="C1293" s="61"/>
      <c r="D1293" s="61"/>
      <c r="G1293"/>
      <c r="H1293"/>
      <c r="J1293"/>
      <c r="M1293"/>
      <c r="N1293"/>
      <c r="O1293" s="61"/>
      <c r="P1293"/>
    </row>
    <row r="1294" spans="2:16" x14ac:dyDescent="0.2">
      <c r="B1294"/>
      <c r="C1294" s="61"/>
      <c r="D1294" s="61"/>
      <c r="G1294"/>
      <c r="H1294"/>
      <c r="M1294"/>
      <c r="N1294"/>
      <c r="O1294" s="61"/>
      <c r="P1294"/>
    </row>
    <row r="1295" spans="2:16" x14ac:dyDescent="0.2">
      <c r="B1295"/>
      <c r="C1295" s="61"/>
      <c r="D1295" s="61"/>
      <c r="G1295"/>
      <c r="H1295"/>
      <c r="J1295"/>
      <c r="M1295"/>
      <c r="N1295"/>
      <c r="O1295" s="61"/>
      <c r="P1295"/>
    </row>
    <row r="1296" spans="2:16" x14ac:dyDescent="0.2">
      <c r="B1296"/>
      <c r="C1296" s="61"/>
      <c r="D1296" s="61"/>
      <c r="G1296"/>
      <c r="H1296"/>
      <c r="M1296"/>
      <c r="N1296"/>
      <c r="O1296" s="61"/>
      <c r="P1296"/>
    </row>
    <row r="1297" spans="2:16" x14ac:dyDescent="0.2">
      <c r="B1297"/>
      <c r="C1297" s="61"/>
      <c r="D1297" s="61"/>
      <c r="G1297"/>
      <c r="H1297"/>
      <c r="M1297"/>
      <c r="N1297"/>
      <c r="O1297" s="61"/>
      <c r="P1297"/>
    </row>
    <row r="1298" spans="2:16" x14ac:dyDescent="0.2">
      <c r="B1298"/>
      <c r="C1298" s="61"/>
      <c r="D1298" s="61"/>
      <c r="G1298"/>
      <c r="H1298"/>
      <c r="J1298"/>
      <c r="M1298"/>
      <c r="N1298"/>
      <c r="O1298" s="61"/>
      <c r="P1298"/>
    </row>
    <row r="1299" spans="2:16" x14ac:dyDescent="0.2">
      <c r="B1299"/>
      <c r="C1299" s="61"/>
      <c r="D1299" s="61"/>
      <c r="G1299"/>
      <c r="H1299"/>
      <c r="I1299"/>
      <c r="J1299"/>
      <c r="M1299"/>
      <c r="N1299"/>
      <c r="O1299" s="61"/>
      <c r="P1299"/>
    </row>
    <row r="1300" spans="2:16" x14ac:dyDescent="0.2">
      <c r="B1300"/>
      <c r="C1300" s="61"/>
      <c r="D1300" s="61"/>
      <c r="G1300"/>
      <c r="H1300"/>
      <c r="M1300"/>
      <c r="N1300"/>
      <c r="O1300" s="61"/>
      <c r="P1300"/>
    </row>
    <row r="1301" spans="2:16" x14ac:dyDescent="0.2">
      <c r="B1301"/>
      <c r="C1301" s="61"/>
      <c r="D1301" s="61"/>
      <c r="G1301"/>
      <c r="H1301"/>
      <c r="I1301"/>
      <c r="J1301"/>
      <c r="M1301"/>
      <c r="N1301"/>
      <c r="O1301" s="61"/>
      <c r="P1301"/>
    </row>
    <row r="1302" spans="2:16" x14ac:dyDescent="0.2">
      <c r="B1302"/>
      <c r="C1302" s="61"/>
      <c r="D1302" s="61"/>
      <c r="G1302"/>
      <c r="H1302"/>
      <c r="I1302"/>
      <c r="J1302"/>
      <c r="M1302"/>
      <c r="N1302"/>
      <c r="O1302" s="61"/>
      <c r="P1302"/>
    </row>
    <row r="1303" spans="2:16" x14ac:dyDescent="0.2">
      <c r="B1303"/>
      <c r="C1303" s="61"/>
      <c r="D1303" s="61"/>
      <c r="G1303"/>
      <c r="H1303"/>
      <c r="I1303"/>
      <c r="J1303"/>
      <c r="M1303"/>
      <c r="N1303"/>
      <c r="O1303" s="61"/>
      <c r="P1303"/>
    </row>
    <row r="1304" spans="2:16" x14ac:dyDescent="0.2">
      <c r="B1304"/>
      <c r="C1304" s="61"/>
      <c r="D1304" s="61"/>
      <c r="G1304"/>
      <c r="H1304"/>
      <c r="I1304"/>
      <c r="J1304"/>
      <c r="M1304"/>
      <c r="N1304"/>
      <c r="O1304" s="61"/>
      <c r="P1304"/>
    </row>
    <row r="1305" spans="2:16" x14ac:dyDescent="0.2">
      <c r="B1305"/>
      <c r="C1305" s="61"/>
      <c r="D1305" s="61"/>
      <c r="G1305"/>
      <c r="H1305"/>
      <c r="J1305"/>
      <c r="M1305"/>
      <c r="N1305"/>
      <c r="O1305" s="61"/>
      <c r="P1305"/>
    </row>
    <row r="1306" spans="2:16" x14ac:dyDescent="0.2">
      <c r="B1306"/>
      <c r="C1306" s="61"/>
      <c r="D1306" s="61"/>
      <c r="G1306"/>
      <c r="H1306"/>
      <c r="I1306"/>
      <c r="J1306"/>
      <c r="M1306"/>
      <c r="O1306" s="61"/>
      <c r="P1306"/>
    </row>
    <row r="1307" spans="2:16" x14ac:dyDescent="0.2">
      <c r="B1307"/>
      <c r="C1307" s="61"/>
      <c r="D1307" s="61"/>
      <c r="G1307"/>
      <c r="H1307"/>
      <c r="J1307"/>
      <c r="M1307"/>
      <c r="N1307"/>
      <c r="O1307" s="61"/>
      <c r="P1307"/>
    </row>
    <row r="1308" spans="2:16" x14ac:dyDescent="0.2">
      <c r="B1308"/>
      <c r="C1308" s="61"/>
      <c r="D1308" s="61"/>
      <c r="G1308"/>
      <c r="H1308"/>
      <c r="J1308"/>
      <c r="M1308"/>
      <c r="N1308"/>
      <c r="O1308" s="61"/>
      <c r="P1308"/>
    </row>
    <row r="1309" spans="2:16" x14ac:dyDescent="0.2">
      <c r="B1309"/>
      <c r="C1309" s="61"/>
      <c r="D1309" s="61"/>
      <c r="G1309"/>
      <c r="H1309"/>
      <c r="I1309"/>
      <c r="J1309"/>
      <c r="M1309"/>
      <c r="N1309"/>
      <c r="O1309" s="61"/>
      <c r="P1309"/>
    </row>
    <row r="1310" spans="2:16" x14ac:dyDescent="0.2">
      <c r="B1310"/>
      <c r="C1310" s="61"/>
      <c r="D1310" s="61"/>
      <c r="G1310"/>
      <c r="H1310"/>
      <c r="K1310"/>
      <c r="L1310"/>
      <c r="M1310"/>
      <c r="N1310"/>
      <c r="O1310" s="61"/>
      <c r="P1310"/>
    </row>
    <row r="1311" spans="2:16" x14ac:dyDescent="0.2">
      <c r="B1311"/>
      <c r="C1311" s="61"/>
      <c r="D1311" s="61"/>
      <c r="G1311"/>
      <c r="H1311"/>
      <c r="I1311"/>
      <c r="J1311"/>
      <c r="M1311"/>
      <c r="N1311"/>
      <c r="O1311" s="61"/>
      <c r="P1311"/>
    </row>
    <row r="1312" spans="2:16" x14ac:dyDescent="0.2">
      <c r="B1312"/>
      <c r="C1312" s="61"/>
      <c r="D1312" s="61"/>
      <c r="G1312"/>
      <c r="H1312"/>
      <c r="I1312"/>
      <c r="J1312"/>
      <c r="M1312"/>
      <c r="N1312"/>
      <c r="O1312" s="61"/>
      <c r="P1312"/>
    </row>
    <row r="1313" spans="2:16" x14ac:dyDescent="0.2">
      <c r="B1313"/>
      <c r="C1313" s="61"/>
      <c r="D1313" s="61"/>
      <c r="G1313"/>
      <c r="H1313"/>
      <c r="J1313"/>
      <c r="M1313"/>
      <c r="N1313"/>
      <c r="O1313" s="61"/>
      <c r="P1313"/>
    </row>
    <row r="1314" spans="2:16" x14ac:dyDescent="0.2">
      <c r="B1314"/>
      <c r="C1314" s="61"/>
      <c r="D1314" s="61"/>
      <c r="G1314"/>
      <c r="H1314"/>
      <c r="J1314"/>
      <c r="M1314"/>
      <c r="N1314"/>
      <c r="O1314" s="61"/>
      <c r="P1314"/>
    </row>
    <row r="1315" spans="2:16" x14ac:dyDescent="0.2">
      <c r="B1315"/>
      <c r="C1315" s="61"/>
      <c r="D1315" s="61"/>
      <c r="G1315"/>
      <c r="H1315"/>
      <c r="I1315"/>
      <c r="J1315"/>
      <c r="M1315"/>
      <c r="N1315"/>
      <c r="O1315" s="61"/>
      <c r="P1315"/>
    </row>
    <row r="1316" spans="2:16" x14ac:dyDescent="0.2">
      <c r="B1316"/>
      <c r="C1316" s="61"/>
      <c r="D1316" s="61"/>
      <c r="G1316"/>
      <c r="H1316"/>
      <c r="M1316"/>
      <c r="N1316"/>
      <c r="O1316" s="61"/>
      <c r="P1316"/>
    </row>
    <row r="1317" spans="2:16" x14ac:dyDescent="0.2">
      <c r="B1317"/>
      <c r="C1317" s="61"/>
      <c r="D1317" s="61"/>
      <c r="G1317"/>
      <c r="H1317"/>
      <c r="N1317"/>
      <c r="O1317" s="61"/>
      <c r="P1317"/>
    </row>
    <row r="1318" spans="2:16" x14ac:dyDescent="0.2">
      <c r="B1318"/>
      <c r="C1318" s="61"/>
      <c r="D1318" s="61"/>
      <c r="G1318"/>
      <c r="H1318"/>
      <c r="I1318"/>
      <c r="J1318"/>
      <c r="M1318"/>
      <c r="N1318"/>
      <c r="O1318" s="61"/>
      <c r="P1318"/>
    </row>
    <row r="1319" spans="2:16" x14ac:dyDescent="0.2">
      <c r="B1319"/>
      <c r="C1319" s="61"/>
      <c r="D1319" s="61"/>
      <c r="G1319"/>
      <c r="H1319"/>
      <c r="I1319"/>
      <c r="J1319"/>
      <c r="M1319"/>
      <c r="N1319"/>
      <c r="O1319" s="61"/>
      <c r="P1319"/>
    </row>
    <row r="1320" spans="2:16" x14ac:dyDescent="0.2">
      <c r="B1320"/>
      <c r="C1320" s="61"/>
      <c r="D1320" s="61"/>
      <c r="G1320"/>
      <c r="H1320"/>
      <c r="J1320"/>
      <c r="M1320"/>
      <c r="N1320"/>
      <c r="O1320" s="61"/>
      <c r="P1320"/>
    </row>
    <row r="1321" spans="2:16" x14ac:dyDescent="0.2">
      <c r="B1321"/>
      <c r="C1321" s="61"/>
      <c r="D1321" s="61"/>
      <c r="G1321"/>
      <c r="H1321"/>
      <c r="J1321"/>
      <c r="M1321"/>
      <c r="N1321"/>
      <c r="O1321" s="61"/>
      <c r="P1321"/>
    </row>
    <row r="1322" spans="2:16" x14ac:dyDescent="0.2">
      <c r="B1322"/>
      <c r="C1322" s="61"/>
      <c r="D1322" s="61"/>
      <c r="G1322"/>
      <c r="H1322"/>
      <c r="I1322"/>
      <c r="J1322"/>
      <c r="M1322"/>
      <c r="N1322"/>
      <c r="O1322" s="61"/>
      <c r="P1322"/>
    </row>
    <row r="1323" spans="2:16" x14ac:dyDescent="0.2">
      <c r="B1323"/>
      <c r="C1323" s="61"/>
      <c r="D1323" s="61"/>
      <c r="G1323"/>
      <c r="H1323"/>
      <c r="I1323"/>
      <c r="J1323"/>
      <c r="M1323"/>
      <c r="N1323"/>
      <c r="O1323" s="61"/>
      <c r="P1323"/>
    </row>
    <row r="1324" spans="2:16" x14ac:dyDescent="0.2">
      <c r="B1324"/>
      <c r="C1324" s="61"/>
      <c r="D1324" s="61"/>
      <c r="G1324"/>
      <c r="H1324"/>
      <c r="J1324"/>
      <c r="M1324"/>
      <c r="N1324"/>
      <c r="O1324" s="61"/>
      <c r="P1324"/>
    </row>
    <row r="1325" spans="2:16" x14ac:dyDescent="0.2">
      <c r="B1325"/>
      <c r="C1325" s="61"/>
      <c r="D1325" s="61"/>
      <c r="G1325"/>
      <c r="H1325"/>
      <c r="J1325"/>
      <c r="M1325"/>
      <c r="N1325"/>
      <c r="O1325" s="61"/>
      <c r="P1325"/>
    </row>
    <row r="1326" spans="2:16" x14ac:dyDescent="0.2">
      <c r="B1326"/>
      <c r="C1326" s="61"/>
      <c r="D1326" s="61"/>
      <c r="G1326"/>
      <c r="H1326"/>
      <c r="I1326"/>
      <c r="J1326"/>
      <c r="M1326"/>
      <c r="N1326"/>
      <c r="O1326" s="61"/>
      <c r="P1326"/>
    </row>
    <row r="1327" spans="2:16" x14ac:dyDescent="0.2">
      <c r="B1327"/>
      <c r="C1327" s="61"/>
      <c r="D1327" s="61"/>
      <c r="G1327"/>
      <c r="H1327"/>
      <c r="J1327"/>
      <c r="M1327"/>
      <c r="N1327"/>
      <c r="O1327" s="61"/>
      <c r="P1327"/>
    </row>
    <row r="1328" spans="2:16" x14ac:dyDescent="0.2">
      <c r="B1328"/>
      <c r="C1328" s="61"/>
      <c r="D1328" s="61"/>
      <c r="G1328"/>
      <c r="H1328"/>
      <c r="J1328"/>
      <c r="M1328"/>
      <c r="N1328"/>
      <c r="O1328" s="61"/>
      <c r="P1328"/>
    </row>
    <row r="1329" spans="2:16" x14ac:dyDescent="0.2">
      <c r="B1329"/>
      <c r="C1329" s="61"/>
      <c r="D1329" s="61"/>
      <c r="G1329"/>
      <c r="H1329"/>
      <c r="I1329"/>
      <c r="J1329"/>
      <c r="M1329"/>
      <c r="N1329"/>
      <c r="O1329" s="61"/>
      <c r="P1329"/>
    </row>
    <row r="1330" spans="2:16" x14ac:dyDescent="0.2">
      <c r="B1330"/>
      <c r="C1330" s="61"/>
      <c r="D1330" s="61"/>
      <c r="G1330"/>
      <c r="H1330"/>
      <c r="K1330"/>
      <c r="L1330"/>
      <c r="M1330"/>
      <c r="N1330"/>
      <c r="O1330" s="61"/>
      <c r="P1330"/>
    </row>
    <row r="1331" spans="2:16" x14ac:dyDescent="0.2">
      <c r="B1331"/>
      <c r="C1331" s="61"/>
      <c r="D1331" s="61"/>
      <c r="G1331"/>
      <c r="H1331"/>
      <c r="I1331"/>
      <c r="J1331"/>
      <c r="M1331"/>
      <c r="N1331"/>
      <c r="O1331" s="61"/>
      <c r="P1331"/>
    </row>
    <row r="1332" spans="2:16" x14ac:dyDescent="0.2">
      <c r="B1332"/>
      <c r="C1332" s="61"/>
      <c r="D1332" s="61"/>
      <c r="G1332"/>
      <c r="H1332"/>
      <c r="J1332"/>
      <c r="M1332"/>
      <c r="N1332"/>
      <c r="O1332" s="61"/>
      <c r="P1332"/>
    </row>
    <row r="1333" spans="2:16" x14ac:dyDescent="0.2">
      <c r="B1333"/>
      <c r="C1333" s="61"/>
      <c r="D1333" s="61"/>
      <c r="G1333"/>
      <c r="H1333"/>
      <c r="M1333"/>
      <c r="N1333"/>
      <c r="O1333" s="61"/>
      <c r="P1333"/>
    </row>
    <row r="1334" spans="2:16" x14ac:dyDescent="0.2">
      <c r="B1334"/>
      <c r="C1334" s="61"/>
      <c r="D1334" s="61"/>
      <c r="G1334"/>
      <c r="H1334"/>
      <c r="I1334"/>
      <c r="J1334"/>
      <c r="M1334"/>
      <c r="N1334"/>
      <c r="O1334" s="61"/>
      <c r="P1334"/>
    </row>
    <row r="1335" spans="2:16" x14ac:dyDescent="0.2">
      <c r="B1335"/>
      <c r="C1335" s="61"/>
      <c r="D1335" s="61"/>
      <c r="G1335"/>
      <c r="H1335"/>
      <c r="I1335"/>
      <c r="J1335"/>
      <c r="M1335"/>
      <c r="N1335"/>
      <c r="O1335" s="61"/>
      <c r="P1335"/>
    </row>
    <row r="1336" spans="2:16" x14ac:dyDescent="0.2">
      <c r="B1336"/>
      <c r="C1336" s="61"/>
      <c r="D1336" s="61"/>
      <c r="G1336"/>
      <c r="H1336"/>
      <c r="K1336"/>
      <c r="L1336"/>
      <c r="M1336"/>
      <c r="N1336"/>
      <c r="O1336" s="61"/>
      <c r="P1336"/>
    </row>
    <row r="1337" spans="2:16" x14ac:dyDescent="0.2">
      <c r="B1337"/>
      <c r="C1337" s="61"/>
      <c r="D1337" s="61"/>
      <c r="G1337"/>
      <c r="H1337"/>
      <c r="I1337"/>
      <c r="J1337"/>
      <c r="M1337"/>
      <c r="N1337"/>
      <c r="O1337" s="61"/>
      <c r="P1337"/>
    </row>
    <row r="1338" spans="2:16" x14ac:dyDescent="0.2">
      <c r="B1338"/>
      <c r="C1338" s="61"/>
      <c r="D1338" s="61"/>
      <c r="G1338"/>
      <c r="H1338"/>
      <c r="J1338"/>
      <c r="M1338"/>
      <c r="N1338"/>
      <c r="O1338" s="61"/>
      <c r="P1338"/>
    </row>
    <row r="1339" spans="2:16" x14ac:dyDescent="0.2">
      <c r="B1339"/>
      <c r="C1339" s="61"/>
      <c r="D1339" s="61"/>
      <c r="G1339"/>
      <c r="H1339"/>
      <c r="M1339"/>
      <c r="N1339"/>
      <c r="O1339" s="61"/>
      <c r="P1339"/>
    </row>
    <row r="1340" spans="2:16" x14ac:dyDescent="0.2">
      <c r="B1340"/>
      <c r="C1340" s="61"/>
      <c r="D1340" s="61"/>
      <c r="G1340"/>
      <c r="H1340"/>
      <c r="J1340"/>
      <c r="M1340"/>
      <c r="N1340"/>
      <c r="O1340" s="61"/>
      <c r="P1340"/>
    </row>
    <row r="1341" spans="2:16" x14ac:dyDescent="0.2">
      <c r="B1341"/>
      <c r="C1341" s="61"/>
      <c r="D1341" s="61"/>
      <c r="G1341"/>
      <c r="H1341"/>
      <c r="I1341"/>
      <c r="J1341"/>
      <c r="M1341"/>
      <c r="N1341"/>
      <c r="O1341" s="61"/>
      <c r="P1341"/>
    </row>
    <row r="1342" spans="2:16" x14ac:dyDescent="0.2">
      <c r="B1342"/>
      <c r="C1342" s="61"/>
      <c r="D1342" s="61"/>
      <c r="G1342"/>
      <c r="H1342"/>
      <c r="J1342"/>
      <c r="M1342"/>
      <c r="N1342"/>
      <c r="O1342" s="61"/>
      <c r="P1342"/>
    </row>
    <row r="1343" spans="2:16" x14ac:dyDescent="0.2">
      <c r="B1343"/>
      <c r="C1343" s="61"/>
      <c r="D1343" s="61"/>
      <c r="G1343"/>
      <c r="H1343"/>
      <c r="I1343"/>
      <c r="J1343"/>
      <c r="M1343"/>
      <c r="N1343"/>
      <c r="O1343" s="61"/>
      <c r="P1343"/>
    </row>
    <row r="1344" spans="2:16" x14ac:dyDescent="0.2">
      <c r="B1344"/>
      <c r="C1344" s="61"/>
      <c r="D1344" s="61"/>
      <c r="G1344"/>
      <c r="H1344"/>
      <c r="I1344"/>
      <c r="K1344"/>
      <c r="L1344"/>
      <c r="M1344"/>
      <c r="N1344"/>
      <c r="O1344" s="61"/>
      <c r="P1344"/>
    </row>
    <row r="1345" spans="2:16" x14ac:dyDescent="0.2">
      <c r="B1345"/>
      <c r="C1345" s="61"/>
      <c r="D1345" s="61"/>
      <c r="G1345"/>
      <c r="H1345"/>
      <c r="I1345"/>
      <c r="J1345"/>
      <c r="M1345"/>
      <c r="N1345"/>
      <c r="O1345" s="61"/>
      <c r="P1345"/>
    </row>
    <row r="1346" spans="2:16" x14ac:dyDescent="0.2">
      <c r="B1346"/>
      <c r="C1346" s="61"/>
      <c r="D1346" s="61"/>
      <c r="G1346"/>
      <c r="H1346"/>
      <c r="I1346"/>
      <c r="J1346"/>
      <c r="M1346"/>
      <c r="N1346"/>
      <c r="O1346" s="61"/>
      <c r="P1346"/>
    </row>
    <row r="1347" spans="2:16" x14ac:dyDescent="0.2">
      <c r="B1347"/>
      <c r="C1347" s="61"/>
      <c r="D1347" s="61"/>
      <c r="G1347"/>
      <c r="H1347"/>
      <c r="J1347"/>
      <c r="M1347"/>
      <c r="N1347"/>
      <c r="O1347" s="61"/>
      <c r="P1347"/>
    </row>
    <row r="1348" spans="2:16" x14ac:dyDescent="0.2">
      <c r="B1348"/>
      <c r="C1348" s="61"/>
      <c r="D1348" s="61"/>
      <c r="G1348"/>
      <c r="H1348"/>
      <c r="M1348"/>
      <c r="N1348"/>
      <c r="O1348" s="61"/>
      <c r="P1348"/>
    </row>
    <row r="1349" spans="2:16" x14ac:dyDescent="0.2">
      <c r="B1349"/>
      <c r="C1349" s="61"/>
      <c r="D1349" s="61"/>
      <c r="G1349"/>
      <c r="H1349"/>
      <c r="I1349"/>
      <c r="J1349"/>
      <c r="M1349"/>
      <c r="N1349"/>
      <c r="O1349" s="61"/>
      <c r="P1349"/>
    </row>
    <row r="1350" spans="2:16" x14ac:dyDescent="0.2">
      <c r="B1350"/>
      <c r="C1350" s="61"/>
      <c r="D1350" s="61"/>
      <c r="G1350"/>
      <c r="H1350"/>
      <c r="M1350"/>
      <c r="N1350"/>
      <c r="O1350" s="61"/>
      <c r="P1350"/>
    </row>
    <row r="1351" spans="2:16" x14ac:dyDescent="0.2">
      <c r="B1351"/>
      <c r="C1351" s="61"/>
      <c r="D1351" s="61"/>
      <c r="G1351"/>
      <c r="H1351"/>
      <c r="I1351"/>
      <c r="K1351"/>
      <c r="L1351"/>
      <c r="M1351"/>
      <c r="O1351" s="61"/>
      <c r="P1351"/>
    </row>
    <row r="1352" spans="2:16" x14ac:dyDescent="0.2">
      <c r="B1352"/>
      <c r="C1352" s="61"/>
      <c r="D1352" s="61"/>
      <c r="G1352"/>
      <c r="H1352"/>
      <c r="M1352"/>
      <c r="N1352"/>
      <c r="O1352" s="61"/>
      <c r="P1352"/>
    </row>
    <row r="1353" spans="2:16" x14ac:dyDescent="0.2">
      <c r="B1353"/>
      <c r="C1353" s="61"/>
      <c r="D1353" s="61"/>
      <c r="G1353"/>
      <c r="H1353"/>
      <c r="I1353"/>
      <c r="J1353"/>
      <c r="M1353"/>
      <c r="N1353"/>
      <c r="O1353" s="61"/>
      <c r="P1353"/>
    </row>
    <row r="1354" spans="2:16" x14ac:dyDescent="0.2">
      <c r="B1354"/>
      <c r="C1354" s="61"/>
      <c r="D1354" s="61"/>
      <c r="G1354"/>
      <c r="H1354"/>
      <c r="I1354"/>
      <c r="J1354"/>
      <c r="M1354"/>
      <c r="N1354"/>
      <c r="O1354" s="61"/>
      <c r="P1354"/>
    </row>
    <row r="1355" spans="2:16" x14ac:dyDescent="0.2">
      <c r="B1355"/>
      <c r="C1355" s="61"/>
      <c r="D1355" s="61"/>
      <c r="G1355"/>
      <c r="H1355"/>
      <c r="M1355"/>
      <c r="N1355"/>
      <c r="O1355" s="61"/>
      <c r="P1355"/>
    </row>
    <row r="1356" spans="2:16" x14ac:dyDescent="0.2">
      <c r="B1356"/>
      <c r="C1356" s="61"/>
      <c r="D1356" s="61"/>
      <c r="G1356"/>
      <c r="H1356"/>
      <c r="M1356"/>
      <c r="N1356"/>
      <c r="O1356" s="61"/>
      <c r="P1356"/>
    </row>
    <row r="1357" spans="2:16" x14ac:dyDescent="0.2">
      <c r="B1357"/>
      <c r="C1357" s="61"/>
      <c r="D1357" s="61"/>
      <c r="G1357"/>
      <c r="H1357"/>
      <c r="K1357"/>
      <c r="L1357"/>
      <c r="M1357"/>
      <c r="N1357"/>
      <c r="O1357" s="61"/>
      <c r="P1357"/>
    </row>
    <row r="1358" spans="2:16" x14ac:dyDescent="0.2">
      <c r="B1358"/>
      <c r="C1358" s="61"/>
      <c r="D1358" s="61"/>
      <c r="G1358"/>
      <c r="H1358"/>
      <c r="I1358"/>
      <c r="J1358"/>
      <c r="M1358"/>
      <c r="N1358"/>
      <c r="O1358" s="61"/>
      <c r="P1358"/>
    </row>
    <row r="1359" spans="2:16" x14ac:dyDescent="0.2">
      <c r="B1359"/>
      <c r="C1359" s="61"/>
      <c r="D1359" s="61"/>
      <c r="G1359"/>
      <c r="H1359"/>
      <c r="J1359"/>
      <c r="M1359"/>
      <c r="N1359"/>
      <c r="O1359" s="61"/>
      <c r="P1359"/>
    </row>
    <row r="1360" spans="2:16" x14ac:dyDescent="0.2">
      <c r="B1360"/>
      <c r="C1360" s="61"/>
      <c r="D1360" s="61"/>
      <c r="G1360"/>
      <c r="H1360"/>
      <c r="J1360"/>
      <c r="M1360"/>
      <c r="N1360"/>
      <c r="O1360" s="61"/>
      <c r="P1360"/>
    </row>
    <row r="1361" spans="2:16" x14ac:dyDescent="0.2">
      <c r="B1361"/>
      <c r="C1361" s="61"/>
      <c r="D1361" s="61"/>
      <c r="G1361"/>
      <c r="H1361"/>
      <c r="I1361"/>
      <c r="J1361"/>
      <c r="M1361"/>
      <c r="N1361"/>
      <c r="O1361" s="61"/>
      <c r="P1361"/>
    </row>
    <row r="1362" spans="2:16" x14ac:dyDescent="0.2">
      <c r="B1362"/>
      <c r="C1362" s="61"/>
      <c r="D1362" s="61"/>
      <c r="G1362"/>
      <c r="H1362"/>
      <c r="I1362"/>
      <c r="J1362"/>
      <c r="M1362"/>
      <c r="N1362"/>
      <c r="O1362" s="61"/>
      <c r="P1362"/>
    </row>
    <row r="1363" spans="2:16" x14ac:dyDescent="0.2">
      <c r="B1363"/>
      <c r="C1363" s="61"/>
      <c r="D1363" s="61"/>
      <c r="G1363"/>
      <c r="H1363"/>
      <c r="J1363"/>
      <c r="M1363"/>
      <c r="N1363"/>
      <c r="O1363" s="61"/>
      <c r="P1363"/>
    </row>
    <row r="1364" spans="2:16" x14ac:dyDescent="0.2">
      <c r="B1364"/>
      <c r="C1364" s="61"/>
      <c r="D1364" s="61"/>
      <c r="G1364"/>
      <c r="H1364"/>
      <c r="I1364"/>
      <c r="M1364"/>
      <c r="N1364"/>
      <c r="O1364" s="61"/>
      <c r="P1364"/>
    </row>
    <row r="1365" spans="2:16" x14ac:dyDescent="0.2">
      <c r="B1365"/>
      <c r="C1365" s="61"/>
      <c r="D1365" s="61"/>
      <c r="G1365"/>
      <c r="H1365"/>
      <c r="I1365"/>
      <c r="J1365"/>
      <c r="M1365"/>
      <c r="N1365"/>
      <c r="O1365" s="61"/>
      <c r="P1365"/>
    </row>
    <row r="1366" spans="2:16" x14ac:dyDescent="0.2">
      <c r="B1366"/>
      <c r="C1366" s="61"/>
      <c r="D1366" s="61"/>
      <c r="G1366"/>
      <c r="H1366"/>
      <c r="I1366"/>
      <c r="N1366"/>
      <c r="O1366" s="61"/>
      <c r="P1366"/>
    </row>
    <row r="1367" spans="2:16" x14ac:dyDescent="0.2">
      <c r="B1367"/>
      <c r="C1367" s="61"/>
      <c r="D1367" s="61"/>
      <c r="G1367"/>
      <c r="H1367"/>
      <c r="M1367"/>
      <c r="N1367"/>
      <c r="O1367" s="61"/>
      <c r="P1367"/>
    </row>
    <row r="1368" spans="2:16" x14ac:dyDescent="0.2">
      <c r="B1368"/>
      <c r="C1368" s="61"/>
      <c r="D1368" s="61"/>
      <c r="G1368"/>
      <c r="H1368"/>
      <c r="I1368"/>
      <c r="J1368"/>
      <c r="M1368"/>
      <c r="N1368"/>
      <c r="O1368" s="61"/>
      <c r="P1368"/>
    </row>
    <row r="1369" spans="2:16" x14ac:dyDescent="0.2">
      <c r="B1369"/>
      <c r="C1369" s="61"/>
      <c r="D1369" s="61"/>
      <c r="G1369"/>
      <c r="H1369"/>
      <c r="I1369"/>
      <c r="J1369"/>
      <c r="M1369"/>
      <c r="N1369"/>
      <c r="O1369" s="61"/>
      <c r="P1369"/>
    </row>
    <row r="1370" spans="2:16" x14ac:dyDescent="0.2">
      <c r="B1370"/>
      <c r="C1370" s="61"/>
      <c r="D1370" s="61"/>
      <c r="G1370"/>
      <c r="H1370"/>
      <c r="I1370"/>
      <c r="J1370"/>
      <c r="M1370"/>
      <c r="N1370"/>
      <c r="O1370" s="61"/>
      <c r="P1370"/>
    </row>
    <row r="1371" spans="2:16" x14ac:dyDescent="0.2">
      <c r="B1371"/>
      <c r="C1371" s="61"/>
      <c r="D1371" s="61"/>
      <c r="G1371"/>
      <c r="H1371"/>
      <c r="J1371"/>
      <c r="M1371"/>
      <c r="N1371"/>
      <c r="O1371" s="61"/>
      <c r="P1371"/>
    </row>
    <row r="1372" spans="2:16" x14ac:dyDescent="0.2">
      <c r="B1372"/>
      <c r="C1372" s="61"/>
      <c r="D1372" s="61"/>
      <c r="G1372"/>
      <c r="H1372"/>
      <c r="I1372"/>
      <c r="M1372"/>
      <c r="N1372"/>
      <c r="O1372" s="61"/>
      <c r="P1372"/>
    </row>
    <row r="1373" spans="2:16" x14ac:dyDescent="0.2">
      <c r="B1373"/>
      <c r="C1373" s="61"/>
      <c r="D1373" s="61"/>
      <c r="G1373"/>
      <c r="H1373"/>
      <c r="I1373"/>
      <c r="J1373"/>
      <c r="M1373"/>
      <c r="N1373"/>
      <c r="O1373" s="61"/>
      <c r="P1373"/>
    </row>
    <row r="1374" spans="2:16" x14ac:dyDescent="0.2">
      <c r="B1374"/>
      <c r="C1374" s="61"/>
      <c r="D1374" s="61"/>
      <c r="G1374"/>
      <c r="H1374"/>
      <c r="I1374"/>
      <c r="J1374"/>
      <c r="M1374"/>
      <c r="N1374"/>
      <c r="O1374" s="61"/>
      <c r="P1374"/>
    </row>
    <row r="1375" spans="2:16" x14ac:dyDescent="0.2">
      <c r="B1375"/>
      <c r="C1375" s="61"/>
      <c r="D1375" s="61"/>
      <c r="G1375"/>
      <c r="H1375"/>
      <c r="I1375"/>
      <c r="J1375"/>
      <c r="M1375"/>
      <c r="N1375"/>
      <c r="O1375" s="61"/>
      <c r="P1375"/>
    </row>
    <row r="1376" spans="2:16" x14ac:dyDescent="0.2">
      <c r="B1376"/>
      <c r="C1376" s="61"/>
      <c r="D1376" s="61"/>
      <c r="G1376"/>
      <c r="H1376"/>
      <c r="I1376"/>
      <c r="J1376"/>
      <c r="M1376"/>
      <c r="N1376"/>
      <c r="O1376" s="61"/>
      <c r="P1376"/>
    </row>
    <row r="1377" spans="2:16" x14ac:dyDescent="0.2">
      <c r="B1377"/>
      <c r="C1377" s="61"/>
      <c r="D1377" s="61"/>
      <c r="G1377"/>
      <c r="H1377"/>
      <c r="M1377"/>
      <c r="N1377"/>
      <c r="O1377" s="61"/>
      <c r="P1377"/>
    </row>
    <row r="1378" spans="2:16" x14ac:dyDescent="0.2">
      <c r="B1378"/>
      <c r="C1378" s="61"/>
      <c r="D1378" s="61"/>
      <c r="G1378"/>
      <c r="H1378"/>
      <c r="J1378"/>
      <c r="M1378"/>
      <c r="N1378"/>
      <c r="O1378" s="61"/>
      <c r="P1378"/>
    </row>
    <row r="1379" spans="2:16" x14ac:dyDescent="0.2">
      <c r="B1379"/>
      <c r="C1379" s="61"/>
      <c r="D1379" s="61"/>
      <c r="G1379"/>
      <c r="H1379"/>
      <c r="I1379"/>
      <c r="J1379"/>
      <c r="M1379"/>
      <c r="N1379"/>
      <c r="O1379" s="61"/>
      <c r="P1379"/>
    </row>
    <row r="1380" spans="2:16" x14ac:dyDescent="0.2">
      <c r="B1380"/>
      <c r="C1380" s="61"/>
      <c r="D1380" s="61"/>
      <c r="G1380"/>
      <c r="H1380"/>
      <c r="I1380"/>
      <c r="J1380"/>
      <c r="M1380"/>
      <c r="N1380"/>
      <c r="O1380" s="61"/>
      <c r="P1380"/>
    </row>
    <row r="1381" spans="2:16" x14ac:dyDescent="0.2">
      <c r="B1381"/>
      <c r="C1381" s="61"/>
      <c r="D1381" s="61"/>
      <c r="G1381"/>
      <c r="H1381"/>
      <c r="I1381"/>
      <c r="J1381"/>
      <c r="M1381"/>
      <c r="N1381"/>
      <c r="O1381" s="61"/>
      <c r="P1381"/>
    </row>
    <row r="1382" spans="2:16" x14ac:dyDescent="0.2">
      <c r="B1382"/>
      <c r="C1382" s="61"/>
      <c r="D1382" s="61"/>
      <c r="G1382"/>
      <c r="H1382"/>
      <c r="M1382"/>
      <c r="N1382"/>
      <c r="O1382" s="61"/>
      <c r="P1382"/>
    </row>
    <row r="1383" spans="2:16" x14ac:dyDescent="0.2">
      <c r="B1383"/>
      <c r="C1383" s="61"/>
      <c r="D1383" s="61"/>
      <c r="G1383"/>
      <c r="H1383"/>
      <c r="M1383"/>
      <c r="N1383"/>
      <c r="O1383" s="61"/>
      <c r="P1383"/>
    </row>
    <row r="1384" spans="2:16" x14ac:dyDescent="0.2">
      <c r="B1384"/>
      <c r="C1384" s="61"/>
      <c r="D1384" s="61"/>
      <c r="G1384"/>
      <c r="H1384"/>
      <c r="K1384"/>
      <c r="L1384"/>
      <c r="M1384"/>
      <c r="N1384"/>
      <c r="O1384" s="61"/>
      <c r="P1384"/>
    </row>
    <row r="1385" spans="2:16" x14ac:dyDescent="0.2">
      <c r="B1385"/>
      <c r="C1385" s="61"/>
      <c r="D1385" s="61"/>
      <c r="G1385"/>
      <c r="H1385"/>
      <c r="M1385"/>
      <c r="N1385"/>
      <c r="O1385" s="61"/>
      <c r="P1385"/>
    </row>
    <row r="1386" spans="2:16" x14ac:dyDescent="0.2">
      <c r="B1386"/>
      <c r="C1386" s="61"/>
      <c r="D1386" s="61"/>
      <c r="G1386"/>
      <c r="H1386"/>
      <c r="J1386"/>
      <c r="M1386"/>
      <c r="N1386"/>
      <c r="O1386" s="61"/>
      <c r="P1386"/>
    </row>
    <row r="1387" spans="2:16" x14ac:dyDescent="0.2">
      <c r="B1387"/>
      <c r="C1387" s="61"/>
      <c r="D1387" s="61"/>
      <c r="G1387"/>
      <c r="H1387"/>
      <c r="I1387"/>
      <c r="J1387"/>
      <c r="M1387"/>
      <c r="N1387"/>
      <c r="O1387" s="61"/>
      <c r="P1387"/>
    </row>
    <row r="1388" spans="2:16" x14ac:dyDescent="0.2">
      <c r="B1388"/>
      <c r="C1388" s="61"/>
      <c r="D1388" s="61"/>
      <c r="G1388"/>
      <c r="H1388"/>
      <c r="M1388"/>
      <c r="N1388"/>
      <c r="O1388" s="61"/>
      <c r="P1388"/>
    </row>
    <row r="1389" spans="2:16" x14ac:dyDescent="0.2">
      <c r="B1389"/>
      <c r="C1389" s="61"/>
      <c r="D1389" s="61"/>
      <c r="G1389"/>
      <c r="H1389"/>
      <c r="J1389"/>
      <c r="M1389"/>
      <c r="N1389"/>
      <c r="O1389" s="61"/>
      <c r="P1389"/>
    </row>
    <row r="1390" spans="2:16" x14ac:dyDescent="0.2">
      <c r="B1390"/>
      <c r="C1390" s="61"/>
      <c r="D1390" s="61"/>
      <c r="G1390"/>
      <c r="H1390"/>
      <c r="I1390"/>
      <c r="K1390"/>
      <c r="L1390"/>
      <c r="M1390"/>
      <c r="N1390"/>
      <c r="O1390" s="61"/>
      <c r="P1390"/>
    </row>
    <row r="1391" spans="2:16" x14ac:dyDescent="0.2">
      <c r="B1391"/>
      <c r="C1391" s="61"/>
      <c r="D1391" s="61"/>
      <c r="G1391"/>
      <c r="H1391"/>
      <c r="I1391"/>
      <c r="J1391"/>
      <c r="M1391"/>
      <c r="N1391"/>
      <c r="O1391" s="61"/>
      <c r="P1391"/>
    </row>
    <row r="1392" spans="2:16" x14ac:dyDescent="0.2">
      <c r="B1392"/>
      <c r="C1392" s="61"/>
      <c r="D1392" s="61"/>
      <c r="G1392"/>
      <c r="H1392"/>
      <c r="I1392"/>
      <c r="J1392"/>
      <c r="M1392"/>
      <c r="N1392"/>
      <c r="O1392" s="61"/>
      <c r="P1392"/>
    </row>
    <row r="1393" spans="2:16" x14ac:dyDescent="0.2">
      <c r="B1393"/>
      <c r="C1393" s="61"/>
      <c r="D1393" s="61"/>
      <c r="G1393"/>
      <c r="H1393"/>
      <c r="I1393"/>
      <c r="J1393"/>
      <c r="M1393"/>
      <c r="N1393"/>
      <c r="O1393" s="61"/>
      <c r="P1393"/>
    </row>
    <row r="1394" spans="2:16" x14ac:dyDescent="0.2">
      <c r="B1394"/>
      <c r="C1394" s="61"/>
      <c r="D1394" s="61"/>
      <c r="G1394"/>
      <c r="H1394"/>
      <c r="I1394"/>
      <c r="J1394"/>
      <c r="M1394"/>
      <c r="N1394"/>
      <c r="O1394" s="61"/>
      <c r="P1394"/>
    </row>
    <row r="1395" spans="2:16" x14ac:dyDescent="0.2">
      <c r="B1395"/>
      <c r="C1395" s="61"/>
      <c r="D1395" s="61"/>
      <c r="G1395"/>
      <c r="H1395"/>
      <c r="J1395"/>
      <c r="M1395"/>
      <c r="N1395"/>
      <c r="O1395" s="61"/>
      <c r="P1395"/>
    </row>
    <row r="1396" spans="2:16" x14ac:dyDescent="0.2">
      <c r="B1396"/>
      <c r="C1396" s="61"/>
      <c r="D1396" s="61"/>
      <c r="G1396"/>
      <c r="H1396"/>
      <c r="I1396"/>
      <c r="J1396"/>
      <c r="M1396"/>
      <c r="N1396"/>
      <c r="O1396" s="61"/>
      <c r="P1396"/>
    </row>
    <row r="1397" spans="2:16" x14ac:dyDescent="0.2">
      <c r="B1397"/>
      <c r="C1397" s="61"/>
      <c r="D1397" s="61"/>
      <c r="G1397"/>
      <c r="H1397"/>
      <c r="I1397"/>
      <c r="J1397"/>
      <c r="M1397"/>
      <c r="O1397" s="61"/>
      <c r="P1397"/>
    </row>
    <row r="1398" spans="2:16" x14ac:dyDescent="0.2">
      <c r="B1398"/>
      <c r="C1398" s="61"/>
      <c r="D1398" s="61"/>
      <c r="G1398"/>
      <c r="H1398"/>
      <c r="K1398"/>
      <c r="L1398"/>
      <c r="M1398"/>
      <c r="N1398"/>
      <c r="O1398" s="61"/>
      <c r="P1398"/>
    </row>
    <row r="1399" spans="2:16" x14ac:dyDescent="0.2">
      <c r="B1399"/>
      <c r="C1399" s="61"/>
      <c r="D1399" s="61"/>
      <c r="G1399"/>
      <c r="H1399"/>
      <c r="I1399"/>
      <c r="K1399"/>
      <c r="L1399"/>
      <c r="M1399"/>
      <c r="N1399"/>
      <c r="O1399" s="61"/>
      <c r="P1399"/>
    </row>
    <row r="1400" spans="2:16" x14ac:dyDescent="0.2">
      <c r="B1400"/>
      <c r="C1400" s="61"/>
      <c r="D1400" s="61"/>
      <c r="G1400"/>
      <c r="H1400"/>
      <c r="M1400"/>
      <c r="N1400"/>
      <c r="O1400" s="61"/>
      <c r="P1400"/>
    </row>
    <row r="1401" spans="2:16" x14ac:dyDescent="0.2">
      <c r="B1401"/>
      <c r="C1401" s="61"/>
      <c r="D1401" s="61"/>
      <c r="G1401"/>
      <c r="H1401"/>
      <c r="I1401"/>
      <c r="J1401"/>
      <c r="K1401"/>
      <c r="L1401"/>
      <c r="M1401"/>
      <c r="N1401"/>
      <c r="O1401" s="61"/>
      <c r="P1401"/>
    </row>
    <row r="1402" spans="2:16" x14ac:dyDescent="0.2">
      <c r="B1402"/>
      <c r="C1402" s="61"/>
      <c r="D1402" s="61"/>
      <c r="G1402"/>
      <c r="H1402"/>
      <c r="I1402"/>
      <c r="K1402"/>
      <c r="L1402"/>
      <c r="N1402"/>
      <c r="O1402" s="61"/>
      <c r="P1402"/>
    </row>
    <row r="1403" spans="2:16" x14ac:dyDescent="0.2">
      <c r="B1403"/>
      <c r="C1403" s="61"/>
      <c r="D1403" s="61"/>
      <c r="G1403"/>
      <c r="H1403"/>
      <c r="I1403"/>
      <c r="K1403"/>
      <c r="L1403"/>
      <c r="M1403"/>
      <c r="N1403"/>
      <c r="O1403" s="61"/>
      <c r="P1403"/>
    </row>
    <row r="1404" spans="2:16" x14ac:dyDescent="0.2">
      <c r="B1404"/>
      <c r="C1404" s="61"/>
      <c r="D1404" s="61"/>
      <c r="G1404"/>
      <c r="H1404"/>
      <c r="K1404"/>
      <c r="L1404"/>
      <c r="M1404"/>
      <c r="N1404"/>
      <c r="O1404" s="61"/>
      <c r="P1404"/>
    </row>
    <row r="1405" spans="2:16" x14ac:dyDescent="0.2">
      <c r="B1405"/>
      <c r="C1405" s="61"/>
      <c r="D1405" s="61"/>
      <c r="G1405"/>
      <c r="H1405"/>
      <c r="I1405"/>
      <c r="J1405"/>
      <c r="K1405"/>
      <c r="L1405"/>
      <c r="M1405"/>
      <c r="N1405"/>
      <c r="O1405" s="61"/>
      <c r="P1405"/>
    </row>
    <row r="1406" spans="2:16" x14ac:dyDescent="0.2">
      <c r="B1406"/>
      <c r="C1406" s="61"/>
      <c r="D1406" s="61"/>
      <c r="G1406"/>
      <c r="H1406"/>
      <c r="K1406"/>
      <c r="M1406"/>
      <c r="N1406"/>
      <c r="O1406" s="61"/>
      <c r="P1406"/>
    </row>
    <row r="1407" spans="2:16" x14ac:dyDescent="0.2">
      <c r="B1407"/>
      <c r="C1407" s="61"/>
      <c r="D1407" s="61"/>
      <c r="G1407"/>
      <c r="H1407"/>
      <c r="J1407"/>
      <c r="M1407"/>
      <c r="O1407" s="61"/>
      <c r="P1407"/>
    </row>
    <row r="1408" spans="2:16" x14ac:dyDescent="0.2">
      <c r="B1408"/>
      <c r="C1408" s="61"/>
      <c r="D1408" s="61"/>
      <c r="G1408"/>
      <c r="H1408"/>
      <c r="M1408"/>
      <c r="N1408"/>
      <c r="O1408" s="61"/>
      <c r="P1408"/>
    </row>
    <row r="1409" spans="2:16" x14ac:dyDescent="0.2">
      <c r="B1409"/>
      <c r="C1409" s="61"/>
      <c r="D1409" s="61"/>
      <c r="G1409"/>
      <c r="H1409"/>
      <c r="I1409"/>
      <c r="K1409"/>
      <c r="L1409"/>
      <c r="M1409"/>
      <c r="N1409"/>
      <c r="O1409" s="61"/>
      <c r="P1409"/>
    </row>
    <row r="1410" spans="2:16" x14ac:dyDescent="0.2">
      <c r="B1410"/>
      <c r="C1410" s="61"/>
      <c r="D1410" s="61"/>
      <c r="G1410"/>
      <c r="H1410"/>
      <c r="K1410"/>
      <c r="L1410"/>
      <c r="M1410"/>
      <c r="N1410"/>
      <c r="O1410" s="61"/>
      <c r="P1410"/>
    </row>
    <row r="1411" spans="2:16" x14ac:dyDescent="0.2">
      <c r="B1411"/>
      <c r="C1411" s="61"/>
      <c r="D1411" s="61"/>
      <c r="G1411"/>
      <c r="H1411"/>
      <c r="I1411"/>
      <c r="J1411"/>
      <c r="M1411"/>
      <c r="N1411"/>
      <c r="O1411" s="61"/>
      <c r="P1411"/>
    </row>
    <row r="1412" spans="2:16" x14ac:dyDescent="0.2">
      <c r="B1412"/>
      <c r="C1412" s="61"/>
      <c r="D1412" s="61"/>
      <c r="G1412"/>
      <c r="H1412"/>
      <c r="I1412"/>
      <c r="M1412"/>
      <c r="N1412"/>
      <c r="O1412" s="61"/>
      <c r="P1412"/>
    </row>
    <row r="1413" spans="2:16" x14ac:dyDescent="0.2">
      <c r="B1413"/>
      <c r="C1413" s="61"/>
      <c r="D1413" s="61"/>
      <c r="G1413"/>
      <c r="H1413"/>
      <c r="I1413"/>
      <c r="J1413"/>
      <c r="M1413"/>
      <c r="O1413" s="61"/>
      <c r="P1413"/>
    </row>
    <row r="1414" spans="2:16" x14ac:dyDescent="0.2">
      <c r="B1414"/>
      <c r="C1414" s="61"/>
      <c r="D1414" s="61"/>
      <c r="G1414"/>
      <c r="H1414"/>
      <c r="J1414"/>
      <c r="M1414"/>
      <c r="N1414"/>
      <c r="O1414" s="61"/>
      <c r="P1414"/>
    </row>
    <row r="1415" spans="2:16" x14ac:dyDescent="0.2">
      <c r="B1415"/>
      <c r="C1415" s="61"/>
      <c r="D1415" s="61"/>
      <c r="G1415"/>
      <c r="H1415"/>
      <c r="M1415"/>
      <c r="N1415"/>
      <c r="O1415" s="61"/>
      <c r="P1415"/>
    </row>
    <row r="1416" spans="2:16" x14ac:dyDescent="0.2">
      <c r="B1416"/>
      <c r="C1416" s="61"/>
      <c r="D1416" s="61"/>
      <c r="G1416"/>
      <c r="H1416"/>
      <c r="M1416"/>
      <c r="N1416"/>
      <c r="O1416" s="61"/>
      <c r="P1416"/>
    </row>
    <row r="1417" spans="2:16" x14ac:dyDescent="0.2">
      <c r="B1417"/>
      <c r="C1417" s="61"/>
      <c r="D1417" s="61"/>
      <c r="G1417"/>
      <c r="H1417"/>
      <c r="I1417"/>
      <c r="J1417"/>
      <c r="M1417"/>
      <c r="N1417"/>
      <c r="O1417" s="61"/>
      <c r="P1417"/>
    </row>
    <row r="1418" spans="2:16" x14ac:dyDescent="0.2">
      <c r="B1418"/>
      <c r="C1418" s="61"/>
      <c r="D1418" s="61"/>
      <c r="G1418"/>
      <c r="H1418"/>
      <c r="M1418"/>
      <c r="N1418"/>
      <c r="O1418" s="61"/>
      <c r="P1418"/>
    </row>
    <row r="1419" spans="2:16" x14ac:dyDescent="0.2">
      <c r="B1419"/>
      <c r="C1419" s="61"/>
      <c r="D1419" s="61"/>
      <c r="G1419"/>
      <c r="H1419"/>
      <c r="I1419"/>
      <c r="J1419"/>
      <c r="M1419"/>
      <c r="N1419"/>
      <c r="O1419" s="61"/>
      <c r="P1419"/>
    </row>
    <row r="1420" spans="2:16" x14ac:dyDescent="0.2">
      <c r="B1420"/>
      <c r="C1420" s="61"/>
      <c r="D1420" s="61"/>
      <c r="G1420"/>
      <c r="H1420"/>
      <c r="I1420"/>
      <c r="J1420"/>
      <c r="M1420"/>
      <c r="N1420"/>
      <c r="O1420" s="61"/>
      <c r="P1420"/>
    </row>
    <row r="1421" spans="2:16" x14ac:dyDescent="0.2">
      <c r="B1421"/>
      <c r="C1421" s="61"/>
      <c r="D1421" s="61"/>
      <c r="G1421"/>
      <c r="H1421"/>
      <c r="I1421"/>
      <c r="J1421"/>
      <c r="M1421"/>
      <c r="N1421"/>
      <c r="O1421" s="61"/>
      <c r="P1421"/>
    </row>
    <row r="1422" spans="2:16" x14ac:dyDescent="0.2">
      <c r="B1422"/>
      <c r="C1422" s="61"/>
      <c r="D1422" s="61"/>
      <c r="G1422"/>
      <c r="H1422"/>
      <c r="I1422"/>
      <c r="J1422"/>
      <c r="M1422"/>
      <c r="N1422"/>
      <c r="O1422" s="61"/>
      <c r="P1422"/>
    </row>
    <row r="1423" spans="2:16" x14ac:dyDescent="0.2">
      <c r="B1423"/>
      <c r="C1423" s="61"/>
      <c r="D1423" s="61"/>
      <c r="G1423"/>
      <c r="H1423"/>
      <c r="I1423"/>
      <c r="J1423"/>
      <c r="M1423"/>
      <c r="N1423"/>
      <c r="O1423" s="61"/>
      <c r="P1423"/>
    </row>
    <row r="1424" spans="2:16" x14ac:dyDescent="0.2">
      <c r="B1424"/>
      <c r="C1424" s="61"/>
      <c r="D1424" s="61"/>
      <c r="G1424"/>
      <c r="H1424"/>
      <c r="I1424"/>
      <c r="J1424"/>
      <c r="M1424"/>
      <c r="N1424"/>
      <c r="O1424" s="61"/>
      <c r="P1424"/>
    </row>
    <row r="1425" spans="2:16" x14ac:dyDescent="0.2">
      <c r="B1425"/>
      <c r="C1425" s="61"/>
      <c r="D1425" s="61"/>
      <c r="G1425"/>
      <c r="H1425"/>
      <c r="K1425"/>
      <c r="L1425"/>
      <c r="M1425"/>
      <c r="N1425"/>
      <c r="O1425" s="61"/>
      <c r="P1425"/>
    </row>
    <row r="1426" spans="2:16" x14ac:dyDescent="0.2">
      <c r="B1426"/>
      <c r="C1426" s="61"/>
      <c r="D1426" s="61"/>
      <c r="G1426"/>
      <c r="H1426"/>
      <c r="I1426"/>
      <c r="J1426"/>
      <c r="M1426"/>
      <c r="N1426"/>
      <c r="O1426" s="61"/>
      <c r="P1426"/>
    </row>
    <row r="1427" spans="2:16" x14ac:dyDescent="0.2">
      <c r="B1427"/>
      <c r="C1427" s="61"/>
      <c r="D1427" s="61"/>
      <c r="G1427"/>
      <c r="H1427"/>
      <c r="J1427"/>
      <c r="M1427"/>
      <c r="N1427"/>
      <c r="O1427" s="61"/>
      <c r="P1427"/>
    </row>
    <row r="1428" spans="2:16" x14ac:dyDescent="0.2">
      <c r="B1428"/>
      <c r="C1428" s="61"/>
      <c r="D1428" s="61"/>
      <c r="G1428"/>
      <c r="H1428"/>
      <c r="I1428"/>
      <c r="J1428"/>
      <c r="M1428"/>
      <c r="N1428"/>
      <c r="O1428" s="61"/>
      <c r="P1428"/>
    </row>
    <row r="1429" spans="2:16" x14ac:dyDescent="0.2">
      <c r="B1429"/>
      <c r="C1429" s="61"/>
      <c r="D1429" s="61"/>
      <c r="G1429"/>
      <c r="H1429"/>
      <c r="J1429"/>
      <c r="M1429"/>
      <c r="N1429"/>
      <c r="O1429" s="61"/>
      <c r="P1429"/>
    </row>
    <row r="1430" spans="2:16" x14ac:dyDescent="0.2">
      <c r="B1430"/>
      <c r="C1430" s="61"/>
      <c r="D1430" s="61"/>
      <c r="G1430"/>
      <c r="H1430"/>
      <c r="M1430"/>
      <c r="N1430"/>
      <c r="O1430" s="61"/>
      <c r="P1430"/>
    </row>
    <row r="1431" spans="2:16" x14ac:dyDescent="0.2">
      <c r="B1431"/>
      <c r="C1431" s="61"/>
      <c r="D1431" s="61"/>
      <c r="G1431"/>
      <c r="H1431"/>
      <c r="I1431"/>
      <c r="J1431"/>
      <c r="M1431"/>
      <c r="N1431"/>
      <c r="O1431" s="61"/>
      <c r="P1431"/>
    </row>
    <row r="1432" spans="2:16" x14ac:dyDescent="0.2">
      <c r="B1432"/>
      <c r="C1432" s="61"/>
      <c r="D1432" s="61"/>
      <c r="G1432"/>
      <c r="H1432"/>
      <c r="I1432"/>
      <c r="J1432"/>
      <c r="M1432"/>
      <c r="O1432" s="61"/>
      <c r="P1432"/>
    </row>
    <row r="1433" spans="2:16" x14ac:dyDescent="0.2">
      <c r="B1433"/>
      <c r="C1433" s="61"/>
      <c r="D1433" s="61"/>
      <c r="G1433"/>
      <c r="H1433"/>
      <c r="J1433"/>
      <c r="M1433"/>
      <c r="N1433"/>
      <c r="O1433" s="61"/>
      <c r="P1433"/>
    </row>
    <row r="1434" spans="2:16" x14ac:dyDescent="0.2">
      <c r="B1434"/>
      <c r="C1434" s="61"/>
      <c r="D1434" s="61"/>
      <c r="G1434"/>
      <c r="H1434"/>
      <c r="M1434"/>
      <c r="N1434"/>
      <c r="O1434" s="61"/>
      <c r="P1434"/>
    </row>
    <row r="1435" spans="2:16" x14ac:dyDescent="0.2">
      <c r="B1435"/>
      <c r="C1435" s="61"/>
      <c r="D1435" s="61"/>
      <c r="G1435"/>
      <c r="H1435"/>
      <c r="I1435"/>
      <c r="J1435"/>
      <c r="M1435"/>
      <c r="N1435"/>
      <c r="O1435" s="61"/>
      <c r="P1435"/>
    </row>
    <row r="1436" spans="2:16" x14ac:dyDescent="0.2">
      <c r="B1436"/>
      <c r="C1436" s="61"/>
      <c r="D1436" s="61"/>
      <c r="G1436"/>
      <c r="H1436"/>
      <c r="I1436"/>
      <c r="K1436"/>
      <c r="L1436"/>
      <c r="M1436"/>
      <c r="N1436"/>
      <c r="O1436" s="61"/>
      <c r="P1436"/>
    </row>
    <row r="1437" spans="2:16" x14ac:dyDescent="0.2">
      <c r="B1437"/>
      <c r="C1437" s="61"/>
      <c r="D1437" s="61"/>
      <c r="G1437"/>
      <c r="H1437"/>
      <c r="M1437"/>
      <c r="N1437"/>
      <c r="O1437" s="61"/>
      <c r="P1437"/>
    </row>
    <row r="1438" spans="2:16" x14ac:dyDescent="0.2">
      <c r="B1438"/>
      <c r="C1438" s="61"/>
      <c r="D1438" s="61"/>
      <c r="G1438"/>
      <c r="H1438"/>
      <c r="I1438"/>
      <c r="J1438"/>
      <c r="M1438"/>
      <c r="N1438"/>
      <c r="O1438" s="61"/>
      <c r="P1438"/>
    </row>
    <row r="1439" spans="2:16" x14ac:dyDescent="0.2">
      <c r="B1439"/>
      <c r="C1439" s="61"/>
      <c r="D1439" s="61"/>
      <c r="G1439"/>
      <c r="H1439"/>
      <c r="I1439"/>
      <c r="J1439"/>
      <c r="M1439"/>
      <c r="N1439"/>
      <c r="O1439" s="61"/>
      <c r="P1439"/>
    </row>
    <row r="1440" spans="2:16" x14ac:dyDescent="0.2">
      <c r="B1440"/>
      <c r="C1440" s="61"/>
      <c r="D1440" s="61"/>
      <c r="G1440"/>
      <c r="H1440"/>
      <c r="I1440"/>
      <c r="M1440"/>
      <c r="N1440"/>
      <c r="O1440" s="61"/>
      <c r="P1440"/>
    </row>
    <row r="1441" spans="2:16" x14ac:dyDescent="0.2">
      <c r="B1441"/>
      <c r="C1441" s="61"/>
      <c r="D1441" s="61"/>
      <c r="G1441"/>
      <c r="H1441"/>
      <c r="I1441"/>
      <c r="J1441"/>
      <c r="M1441"/>
      <c r="N1441"/>
      <c r="O1441" s="61"/>
      <c r="P1441"/>
    </row>
    <row r="1442" spans="2:16" x14ac:dyDescent="0.2">
      <c r="B1442"/>
      <c r="C1442" s="61"/>
      <c r="D1442" s="61"/>
      <c r="G1442"/>
      <c r="H1442"/>
      <c r="I1442"/>
      <c r="J1442"/>
      <c r="M1442"/>
      <c r="O1442" s="61"/>
      <c r="P1442"/>
    </row>
    <row r="1443" spans="2:16" x14ac:dyDescent="0.2">
      <c r="B1443"/>
      <c r="C1443" s="61"/>
      <c r="D1443" s="61"/>
      <c r="G1443"/>
      <c r="H1443"/>
      <c r="I1443"/>
      <c r="J1443"/>
      <c r="M1443"/>
      <c r="N1443"/>
      <c r="O1443" s="61"/>
      <c r="P1443"/>
    </row>
    <row r="1444" spans="2:16" x14ac:dyDescent="0.2">
      <c r="B1444"/>
      <c r="C1444" s="61"/>
      <c r="D1444" s="61"/>
      <c r="G1444"/>
      <c r="H1444"/>
      <c r="I1444"/>
      <c r="J1444"/>
      <c r="K1444"/>
      <c r="L1444"/>
      <c r="M1444"/>
      <c r="N1444"/>
      <c r="O1444" s="61"/>
      <c r="P1444"/>
    </row>
    <row r="1445" spans="2:16" x14ac:dyDescent="0.2">
      <c r="B1445"/>
      <c r="C1445" s="61"/>
      <c r="D1445" s="61"/>
      <c r="G1445"/>
      <c r="H1445"/>
      <c r="I1445"/>
      <c r="K1445"/>
      <c r="L1445"/>
      <c r="M1445"/>
      <c r="N1445"/>
      <c r="O1445" s="61"/>
      <c r="P1445"/>
    </row>
    <row r="1446" spans="2:16" x14ac:dyDescent="0.2">
      <c r="B1446"/>
      <c r="C1446" s="61"/>
      <c r="D1446" s="61"/>
      <c r="G1446"/>
      <c r="H1446"/>
      <c r="M1446"/>
      <c r="N1446"/>
      <c r="O1446" s="61"/>
      <c r="P1446"/>
    </row>
    <row r="1447" spans="2:16" x14ac:dyDescent="0.2">
      <c r="B1447"/>
      <c r="C1447" s="61"/>
      <c r="D1447" s="61"/>
      <c r="G1447"/>
      <c r="H1447"/>
      <c r="I1447"/>
      <c r="J1447"/>
      <c r="M1447"/>
      <c r="N1447"/>
      <c r="O1447" s="61"/>
      <c r="P1447"/>
    </row>
    <row r="1448" spans="2:16" x14ac:dyDescent="0.2">
      <c r="B1448"/>
      <c r="C1448" s="61"/>
      <c r="D1448" s="61"/>
      <c r="G1448"/>
      <c r="H1448"/>
      <c r="N1448"/>
      <c r="O1448" s="61"/>
      <c r="P1448"/>
    </row>
    <row r="1449" spans="2:16" x14ac:dyDescent="0.2">
      <c r="B1449"/>
      <c r="C1449" s="61"/>
      <c r="D1449" s="61"/>
      <c r="G1449"/>
      <c r="H1449"/>
      <c r="M1449"/>
      <c r="N1449"/>
      <c r="O1449" s="61"/>
      <c r="P1449"/>
    </row>
    <row r="1450" spans="2:16" x14ac:dyDescent="0.2">
      <c r="B1450"/>
      <c r="C1450" s="61"/>
      <c r="D1450" s="61"/>
      <c r="G1450"/>
      <c r="H1450"/>
      <c r="N1450"/>
      <c r="O1450" s="61"/>
      <c r="P1450"/>
    </row>
    <row r="1451" spans="2:16" x14ac:dyDescent="0.2">
      <c r="B1451"/>
      <c r="C1451" s="61"/>
      <c r="D1451" s="61"/>
      <c r="G1451"/>
      <c r="H1451"/>
      <c r="M1451"/>
      <c r="N1451"/>
      <c r="O1451" s="61"/>
      <c r="P1451"/>
    </row>
    <row r="1452" spans="2:16" x14ac:dyDescent="0.2">
      <c r="B1452"/>
      <c r="C1452" s="61"/>
      <c r="D1452" s="61"/>
      <c r="G1452"/>
      <c r="H1452"/>
      <c r="I1452"/>
      <c r="J1452"/>
      <c r="M1452"/>
      <c r="O1452" s="61"/>
      <c r="P1452"/>
    </row>
    <row r="1453" spans="2:16" x14ac:dyDescent="0.2">
      <c r="B1453"/>
      <c r="C1453" s="61"/>
      <c r="D1453" s="61"/>
      <c r="G1453"/>
      <c r="H1453"/>
      <c r="M1453"/>
      <c r="N1453"/>
      <c r="O1453" s="61"/>
      <c r="P1453"/>
    </row>
    <row r="1454" spans="2:16" x14ac:dyDescent="0.2">
      <c r="B1454"/>
      <c r="C1454" s="61"/>
      <c r="D1454" s="61"/>
      <c r="G1454"/>
      <c r="H1454"/>
      <c r="K1454"/>
      <c r="L1454"/>
      <c r="M1454"/>
      <c r="N1454"/>
      <c r="O1454" s="61"/>
      <c r="P1454"/>
    </row>
    <row r="1455" spans="2:16" x14ac:dyDescent="0.2">
      <c r="B1455"/>
      <c r="C1455" s="61"/>
      <c r="D1455" s="61"/>
      <c r="G1455"/>
      <c r="H1455"/>
      <c r="I1455"/>
      <c r="J1455"/>
      <c r="M1455"/>
      <c r="O1455" s="61"/>
      <c r="P1455"/>
    </row>
    <row r="1456" spans="2:16" x14ac:dyDescent="0.2">
      <c r="B1456"/>
      <c r="C1456" s="61"/>
      <c r="D1456" s="61"/>
      <c r="G1456"/>
      <c r="H1456"/>
      <c r="I1456"/>
      <c r="J1456"/>
      <c r="M1456"/>
      <c r="N1456"/>
      <c r="O1456" s="61"/>
      <c r="P1456"/>
    </row>
    <row r="1457" spans="2:16" x14ac:dyDescent="0.2">
      <c r="B1457"/>
      <c r="C1457" s="61"/>
      <c r="D1457" s="61"/>
      <c r="G1457"/>
      <c r="H1457"/>
      <c r="I1457"/>
      <c r="J1457"/>
      <c r="M1457"/>
      <c r="N1457"/>
      <c r="O1457" s="61"/>
      <c r="P1457"/>
    </row>
    <row r="1458" spans="2:16" x14ac:dyDescent="0.2">
      <c r="B1458"/>
      <c r="C1458" s="61"/>
      <c r="D1458" s="61"/>
      <c r="G1458"/>
      <c r="H1458"/>
      <c r="M1458"/>
      <c r="N1458"/>
      <c r="O1458" s="61"/>
      <c r="P1458"/>
    </row>
    <row r="1459" spans="2:16" x14ac:dyDescent="0.2">
      <c r="B1459"/>
      <c r="C1459" s="61"/>
      <c r="D1459" s="61"/>
      <c r="G1459"/>
      <c r="H1459"/>
      <c r="I1459"/>
      <c r="J1459"/>
      <c r="M1459"/>
      <c r="N1459"/>
      <c r="O1459" s="61"/>
      <c r="P1459"/>
    </row>
    <row r="1460" spans="2:16" x14ac:dyDescent="0.2">
      <c r="B1460"/>
      <c r="C1460" s="61"/>
      <c r="D1460" s="61"/>
      <c r="G1460"/>
      <c r="H1460"/>
      <c r="I1460"/>
      <c r="J1460"/>
      <c r="M1460"/>
      <c r="N1460"/>
      <c r="O1460" s="61"/>
      <c r="P1460"/>
    </row>
    <row r="1461" spans="2:16" x14ac:dyDescent="0.2">
      <c r="B1461"/>
      <c r="C1461" s="61"/>
      <c r="D1461" s="61"/>
      <c r="G1461"/>
      <c r="H1461"/>
      <c r="I1461"/>
      <c r="M1461"/>
      <c r="N1461"/>
      <c r="O1461" s="61"/>
      <c r="P1461"/>
    </row>
    <row r="1462" spans="2:16" x14ac:dyDescent="0.2">
      <c r="B1462"/>
      <c r="C1462" s="61"/>
      <c r="D1462" s="61"/>
      <c r="G1462"/>
      <c r="H1462"/>
      <c r="M1462"/>
      <c r="N1462"/>
      <c r="O1462" s="61"/>
      <c r="P1462"/>
    </row>
    <row r="1463" spans="2:16" x14ac:dyDescent="0.2">
      <c r="B1463"/>
      <c r="C1463" s="61"/>
      <c r="D1463" s="61"/>
      <c r="G1463"/>
      <c r="H1463"/>
      <c r="N1463"/>
      <c r="O1463" s="61"/>
      <c r="P1463"/>
    </row>
    <row r="1464" spans="2:16" x14ac:dyDescent="0.2">
      <c r="B1464"/>
      <c r="C1464" s="61"/>
      <c r="D1464" s="61"/>
      <c r="G1464"/>
      <c r="H1464"/>
      <c r="I1464"/>
      <c r="J1464"/>
      <c r="M1464"/>
      <c r="N1464"/>
      <c r="O1464" s="61"/>
      <c r="P1464"/>
    </row>
    <row r="1465" spans="2:16" x14ac:dyDescent="0.2">
      <c r="B1465"/>
      <c r="C1465" s="61"/>
      <c r="D1465" s="61"/>
      <c r="G1465"/>
      <c r="H1465"/>
      <c r="J1465"/>
      <c r="M1465"/>
      <c r="N1465"/>
      <c r="O1465" s="61"/>
      <c r="P1465"/>
    </row>
    <row r="1466" spans="2:16" x14ac:dyDescent="0.2">
      <c r="B1466"/>
      <c r="C1466" s="61"/>
      <c r="D1466" s="61"/>
      <c r="G1466"/>
      <c r="H1466"/>
      <c r="I1466"/>
      <c r="J1466"/>
      <c r="M1466"/>
      <c r="N1466"/>
      <c r="O1466" s="61"/>
      <c r="P1466"/>
    </row>
    <row r="1467" spans="2:16" x14ac:dyDescent="0.2">
      <c r="B1467"/>
      <c r="C1467" s="61"/>
      <c r="D1467" s="61"/>
      <c r="G1467"/>
      <c r="H1467"/>
      <c r="I1467"/>
      <c r="K1467"/>
      <c r="L1467"/>
      <c r="M1467"/>
      <c r="N1467"/>
      <c r="O1467" s="61"/>
      <c r="P1467"/>
    </row>
    <row r="1468" spans="2:16" x14ac:dyDescent="0.2">
      <c r="B1468"/>
      <c r="C1468" s="61"/>
      <c r="D1468" s="61"/>
      <c r="G1468"/>
      <c r="H1468"/>
      <c r="I1468"/>
      <c r="J1468"/>
      <c r="M1468"/>
      <c r="N1468"/>
      <c r="O1468" s="61"/>
      <c r="P1468"/>
    </row>
    <row r="1469" spans="2:16" x14ac:dyDescent="0.2">
      <c r="B1469"/>
      <c r="C1469" s="61"/>
      <c r="D1469" s="61"/>
      <c r="G1469"/>
      <c r="H1469"/>
      <c r="M1469"/>
      <c r="N1469"/>
      <c r="O1469" s="61"/>
      <c r="P1469"/>
    </row>
    <row r="1470" spans="2:16" x14ac:dyDescent="0.2">
      <c r="B1470"/>
      <c r="C1470" s="61"/>
      <c r="D1470" s="61"/>
      <c r="G1470"/>
      <c r="H1470"/>
      <c r="I1470"/>
      <c r="J1470"/>
      <c r="M1470"/>
      <c r="N1470"/>
      <c r="O1470" s="61"/>
      <c r="P1470"/>
    </row>
    <row r="1471" spans="2:16" x14ac:dyDescent="0.2">
      <c r="B1471"/>
      <c r="C1471" s="61"/>
      <c r="D1471" s="61"/>
      <c r="G1471"/>
      <c r="H1471"/>
      <c r="I1471"/>
      <c r="J1471"/>
      <c r="M1471"/>
      <c r="O1471" s="61"/>
      <c r="P1471"/>
    </row>
    <row r="1472" spans="2:16" x14ac:dyDescent="0.2">
      <c r="B1472"/>
      <c r="C1472" s="61"/>
      <c r="D1472" s="61"/>
      <c r="G1472"/>
      <c r="H1472"/>
      <c r="M1472"/>
      <c r="N1472"/>
      <c r="O1472" s="61"/>
      <c r="P1472"/>
    </row>
    <row r="1473" spans="2:16" x14ac:dyDescent="0.2">
      <c r="B1473"/>
      <c r="C1473" s="61"/>
      <c r="D1473" s="61"/>
      <c r="G1473"/>
      <c r="H1473"/>
      <c r="I1473"/>
      <c r="K1473"/>
      <c r="L1473"/>
      <c r="M1473"/>
      <c r="N1473"/>
      <c r="O1473" s="61"/>
      <c r="P1473"/>
    </row>
    <row r="1474" spans="2:16" x14ac:dyDescent="0.2">
      <c r="B1474"/>
      <c r="C1474" s="61"/>
      <c r="D1474" s="61"/>
      <c r="G1474"/>
      <c r="H1474"/>
      <c r="I1474"/>
      <c r="J1474"/>
      <c r="M1474"/>
      <c r="O1474" s="61"/>
      <c r="P1474"/>
    </row>
    <row r="1475" spans="2:16" x14ac:dyDescent="0.2">
      <c r="B1475"/>
      <c r="C1475" s="61"/>
      <c r="D1475" s="61"/>
      <c r="G1475"/>
      <c r="H1475"/>
      <c r="M1475"/>
      <c r="N1475"/>
      <c r="O1475" s="61"/>
      <c r="P1475"/>
    </row>
    <row r="1476" spans="2:16" x14ac:dyDescent="0.2">
      <c r="B1476"/>
      <c r="C1476" s="61"/>
      <c r="D1476" s="61"/>
      <c r="G1476"/>
      <c r="H1476"/>
      <c r="I1476"/>
      <c r="J1476"/>
      <c r="M1476"/>
      <c r="N1476"/>
      <c r="O1476" s="61"/>
      <c r="P1476"/>
    </row>
    <row r="1477" spans="2:16" x14ac:dyDescent="0.2">
      <c r="B1477"/>
      <c r="C1477" s="61"/>
      <c r="D1477" s="61"/>
      <c r="G1477"/>
      <c r="H1477"/>
      <c r="I1477"/>
      <c r="J1477"/>
      <c r="M1477"/>
      <c r="N1477"/>
      <c r="O1477" s="61"/>
      <c r="P1477"/>
    </row>
    <row r="1478" spans="2:16" x14ac:dyDescent="0.2">
      <c r="B1478"/>
      <c r="C1478" s="61"/>
      <c r="D1478" s="61"/>
      <c r="G1478"/>
      <c r="H1478"/>
      <c r="J1478"/>
      <c r="M1478"/>
      <c r="N1478"/>
      <c r="O1478" s="61"/>
      <c r="P1478"/>
    </row>
    <row r="1479" spans="2:16" x14ac:dyDescent="0.2">
      <c r="B1479"/>
      <c r="C1479" s="61"/>
      <c r="D1479" s="61"/>
      <c r="G1479"/>
      <c r="H1479"/>
      <c r="J1479"/>
      <c r="M1479"/>
      <c r="N1479"/>
      <c r="O1479" s="61"/>
      <c r="P1479"/>
    </row>
    <row r="1480" spans="2:16" x14ac:dyDescent="0.2">
      <c r="B1480"/>
      <c r="C1480" s="61"/>
      <c r="D1480" s="61"/>
      <c r="G1480"/>
      <c r="H1480"/>
      <c r="M1480"/>
      <c r="N1480"/>
      <c r="O1480" s="61"/>
      <c r="P1480"/>
    </row>
    <row r="1481" spans="2:16" x14ac:dyDescent="0.2">
      <c r="B1481"/>
      <c r="C1481" s="61"/>
      <c r="D1481" s="61"/>
      <c r="G1481"/>
      <c r="H1481"/>
      <c r="I1481"/>
      <c r="J1481"/>
      <c r="M1481"/>
      <c r="N1481"/>
      <c r="O1481" s="61"/>
      <c r="P1481"/>
    </row>
    <row r="1482" spans="2:16" x14ac:dyDescent="0.2">
      <c r="B1482"/>
      <c r="C1482" s="61"/>
      <c r="D1482" s="61"/>
      <c r="G1482"/>
      <c r="H1482"/>
      <c r="K1482"/>
      <c r="L1482"/>
      <c r="M1482"/>
      <c r="N1482"/>
      <c r="O1482" s="61"/>
      <c r="P1482"/>
    </row>
    <row r="1483" spans="2:16" x14ac:dyDescent="0.2">
      <c r="B1483"/>
      <c r="C1483" s="61"/>
      <c r="D1483" s="61"/>
      <c r="G1483"/>
      <c r="H1483"/>
      <c r="N1483"/>
      <c r="O1483" s="61"/>
      <c r="P1483"/>
    </row>
    <row r="1484" spans="2:16" x14ac:dyDescent="0.2">
      <c r="B1484"/>
      <c r="C1484" s="61"/>
      <c r="D1484" s="61"/>
      <c r="G1484"/>
      <c r="H1484"/>
      <c r="M1484"/>
      <c r="N1484"/>
      <c r="O1484" s="61"/>
      <c r="P1484"/>
    </row>
    <row r="1485" spans="2:16" x14ac:dyDescent="0.2">
      <c r="B1485"/>
      <c r="C1485" s="61"/>
      <c r="D1485" s="61"/>
      <c r="G1485"/>
      <c r="H1485"/>
      <c r="M1485"/>
      <c r="N1485"/>
      <c r="O1485" s="61"/>
      <c r="P1485"/>
    </row>
    <row r="1486" spans="2:16" x14ac:dyDescent="0.2">
      <c r="B1486"/>
      <c r="C1486" s="61"/>
      <c r="D1486" s="61"/>
      <c r="G1486"/>
      <c r="H1486"/>
      <c r="I1486"/>
      <c r="J1486"/>
      <c r="K1486"/>
      <c r="L1486"/>
      <c r="M1486"/>
      <c r="N1486"/>
      <c r="O1486" s="61"/>
      <c r="P1486"/>
    </row>
    <row r="1487" spans="2:16" x14ac:dyDescent="0.2">
      <c r="B1487"/>
      <c r="C1487" s="61"/>
      <c r="D1487" s="61"/>
      <c r="G1487"/>
      <c r="H1487"/>
      <c r="J1487"/>
      <c r="M1487"/>
      <c r="N1487"/>
      <c r="O1487" s="61"/>
      <c r="P1487"/>
    </row>
    <row r="1488" spans="2:16" x14ac:dyDescent="0.2">
      <c r="B1488"/>
      <c r="C1488" s="61"/>
      <c r="D1488" s="61"/>
      <c r="G1488"/>
      <c r="H1488"/>
      <c r="J1488"/>
      <c r="M1488"/>
      <c r="N1488"/>
      <c r="O1488" s="61"/>
      <c r="P1488"/>
    </row>
    <row r="1489" spans="2:16" x14ac:dyDescent="0.2">
      <c r="B1489"/>
      <c r="C1489" s="61"/>
      <c r="D1489" s="61"/>
      <c r="G1489"/>
      <c r="H1489"/>
      <c r="O1489" s="61"/>
      <c r="P1489"/>
    </row>
    <row r="1490" spans="2:16" x14ac:dyDescent="0.2">
      <c r="B1490"/>
      <c r="C1490" s="61"/>
      <c r="D1490" s="61"/>
      <c r="G1490"/>
      <c r="H1490"/>
      <c r="I1490"/>
      <c r="J1490"/>
      <c r="M1490"/>
      <c r="N1490"/>
      <c r="O1490" s="61"/>
      <c r="P1490"/>
    </row>
    <row r="1491" spans="2:16" x14ac:dyDescent="0.2">
      <c r="B1491"/>
      <c r="C1491" s="61"/>
      <c r="D1491" s="61"/>
      <c r="G1491"/>
      <c r="H1491"/>
      <c r="M1491"/>
      <c r="N1491"/>
      <c r="O1491" s="61"/>
      <c r="P1491"/>
    </row>
    <row r="1492" spans="2:16" x14ac:dyDescent="0.2">
      <c r="B1492"/>
      <c r="C1492" s="61"/>
      <c r="D1492" s="61"/>
      <c r="G1492"/>
      <c r="H1492"/>
      <c r="M1492"/>
      <c r="N1492"/>
      <c r="O1492" s="61"/>
      <c r="P1492"/>
    </row>
    <row r="1493" spans="2:16" x14ac:dyDescent="0.2">
      <c r="B1493"/>
      <c r="C1493" s="61"/>
      <c r="D1493" s="61"/>
      <c r="G1493"/>
      <c r="H1493"/>
      <c r="I1493"/>
      <c r="K1493"/>
      <c r="L1493"/>
      <c r="N1493"/>
      <c r="O1493" s="61"/>
      <c r="P1493"/>
    </row>
    <row r="1494" spans="2:16" x14ac:dyDescent="0.2">
      <c r="B1494"/>
      <c r="C1494" s="61"/>
      <c r="D1494" s="61"/>
      <c r="G1494"/>
      <c r="H1494"/>
      <c r="I1494"/>
      <c r="J1494"/>
      <c r="M1494"/>
      <c r="N1494"/>
      <c r="O1494" s="61"/>
      <c r="P1494"/>
    </row>
    <row r="1495" spans="2:16" x14ac:dyDescent="0.2">
      <c r="B1495"/>
      <c r="C1495" s="61"/>
      <c r="D1495" s="61"/>
      <c r="G1495"/>
      <c r="H1495"/>
      <c r="I1495"/>
      <c r="J1495"/>
      <c r="M1495"/>
      <c r="N1495"/>
      <c r="O1495" s="61"/>
      <c r="P1495"/>
    </row>
    <row r="1496" spans="2:16" x14ac:dyDescent="0.2">
      <c r="B1496"/>
      <c r="C1496" s="61"/>
      <c r="D1496" s="61"/>
      <c r="G1496"/>
      <c r="H1496"/>
      <c r="I1496"/>
      <c r="J1496"/>
      <c r="M1496"/>
      <c r="N1496"/>
      <c r="O1496" s="61"/>
      <c r="P1496"/>
    </row>
    <row r="1497" spans="2:16" x14ac:dyDescent="0.2">
      <c r="B1497"/>
      <c r="C1497" s="61"/>
      <c r="D1497" s="61"/>
      <c r="G1497"/>
      <c r="H1497"/>
      <c r="I1497"/>
      <c r="J1497"/>
      <c r="M1497"/>
      <c r="N1497"/>
      <c r="O1497" s="61"/>
      <c r="P1497"/>
    </row>
    <row r="1498" spans="2:16" x14ac:dyDescent="0.2">
      <c r="B1498"/>
      <c r="C1498" s="61"/>
      <c r="D1498" s="61"/>
      <c r="G1498"/>
      <c r="H1498"/>
      <c r="I1498"/>
      <c r="J1498"/>
      <c r="M1498"/>
      <c r="N1498"/>
      <c r="O1498" s="61"/>
      <c r="P1498"/>
    </row>
    <row r="1499" spans="2:16" x14ac:dyDescent="0.2">
      <c r="B1499"/>
      <c r="C1499" s="61"/>
      <c r="D1499" s="61"/>
      <c r="G1499"/>
      <c r="H1499"/>
      <c r="I1499"/>
      <c r="J1499"/>
      <c r="M1499"/>
      <c r="N1499"/>
      <c r="O1499" s="61"/>
      <c r="P1499"/>
    </row>
    <row r="1500" spans="2:16" x14ac:dyDescent="0.2">
      <c r="B1500"/>
      <c r="C1500" s="61"/>
      <c r="D1500" s="61"/>
      <c r="G1500"/>
      <c r="H1500"/>
      <c r="J1500"/>
      <c r="M1500"/>
      <c r="N1500"/>
      <c r="O1500" s="61"/>
      <c r="P1500"/>
    </row>
    <row r="1501" spans="2:16" x14ac:dyDescent="0.2">
      <c r="B1501"/>
      <c r="C1501" s="61"/>
      <c r="D1501" s="61"/>
      <c r="G1501"/>
      <c r="H1501"/>
      <c r="M1501"/>
      <c r="N1501"/>
      <c r="O1501" s="61"/>
      <c r="P1501"/>
    </row>
    <row r="1502" spans="2:16" x14ac:dyDescent="0.2">
      <c r="B1502"/>
      <c r="C1502" s="61"/>
      <c r="D1502" s="61"/>
      <c r="G1502"/>
      <c r="H1502"/>
      <c r="I1502"/>
      <c r="J1502"/>
      <c r="M1502"/>
      <c r="N1502"/>
      <c r="O1502" s="61"/>
      <c r="P1502"/>
    </row>
    <row r="1503" spans="2:16" x14ac:dyDescent="0.2">
      <c r="B1503"/>
      <c r="C1503" s="61"/>
      <c r="D1503" s="61"/>
      <c r="G1503"/>
      <c r="H1503"/>
      <c r="I1503"/>
      <c r="O1503" s="61"/>
      <c r="P1503"/>
    </row>
    <row r="1504" spans="2:16" x14ac:dyDescent="0.2">
      <c r="B1504"/>
      <c r="C1504" s="61"/>
      <c r="D1504" s="61"/>
      <c r="G1504"/>
      <c r="H1504"/>
      <c r="I1504"/>
      <c r="J1504"/>
      <c r="M1504"/>
      <c r="N1504"/>
      <c r="O1504" s="61"/>
      <c r="P1504"/>
    </row>
    <row r="1505" spans="2:16" x14ac:dyDescent="0.2">
      <c r="B1505"/>
      <c r="C1505" s="61"/>
      <c r="D1505" s="61"/>
      <c r="G1505"/>
      <c r="H1505"/>
      <c r="I1505"/>
      <c r="J1505"/>
      <c r="M1505"/>
      <c r="N1505"/>
      <c r="O1505" s="61"/>
      <c r="P1505"/>
    </row>
    <row r="1506" spans="2:16" x14ac:dyDescent="0.2">
      <c r="B1506"/>
      <c r="C1506" s="61"/>
      <c r="D1506" s="61"/>
      <c r="G1506"/>
      <c r="H1506"/>
      <c r="I1506"/>
      <c r="J1506"/>
      <c r="M1506"/>
      <c r="N1506"/>
      <c r="O1506" s="61"/>
      <c r="P1506"/>
    </row>
    <row r="1507" spans="2:16" x14ac:dyDescent="0.2">
      <c r="B1507"/>
      <c r="C1507" s="61"/>
      <c r="D1507" s="61"/>
      <c r="G1507"/>
      <c r="H1507"/>
      <c r="I1507"/>
      <c r="J1507"/>
      <c r="M1507"/>
      <c r="N1507"/>
      <c r="O1507" s="61"/>
      <c r="P1507"/>
    </row>
    <row r="1508" spans="2:16" x14ac:dyDescent="0.2">
      <c r="B1508"/>
      <c r="C1508" s="61"/>
      <c r="D1508" s="61"/>
      <c r="G1508"/>
      <c r="H1508"/>
      <c r="I1508"/>
      <c r="J1508"/>
      <c r="M1508"/>
      <c r="N1508"/>
      <c r="O1508" s="61"/>
      <c r="P1508"/>
    </row>
    <row r="1509" spans="2:16" x14ac:dyDescent="0.2">
      <c r="B1509"/>
      <c r="C1509" s="61"/>
      <c r="D1509" s="61"/>
      <c r="G1509"/>
      <c r="H1509"/>
      <c r="J1509"/>
      <c r="M1509"/>
      <c r="N1509"/>
      <c r="O1509" s="61"/>
      <c r="P1509"/>
    </row>
    <row r="1510" spans="2:16" x14ac:dyDescent="0.2">
      <c r="B1510"/>
      <c r="C1510" s="61"/>
      <c r="D1510" s="61"/>
      <c r="G1510"/>
      <c r="H1510"/>
      <c r="N1510"/>
      <c r="O1510" s="61"/>
      <c r="P1510"/>
    </row>
    <row r="1511" spans="2:16" x14ac:dyDescent="0.2">
      <c r="B1511"/>
      <c r="C1511" s="61"/>
      <c r="D1511" s="61"/>
      <c r="G1511"/>
      <c r="H1511"/>
      <c r="M1511"/>
      <c r="N1511"/>
      <c r="O1511" s="61"/>
      <c r="P1511"/>
    </row>
    <row r="1512" spans="2:16" x14ac:dyDescent="0.2">
      <c r="B1512"/>
      <c r="C1512" s="61"/>
      <c r="D1512" s="61"/>
      <c r="G1512"/>
      <c r="H1512"/>
      <c r="I1512"/>
      <c r="J1512"/>
      <c r="K1512"/>
      <c r="L1512"/>
      <c r="M1512"/>
      <c r="N1512"/>
      <c r="O1512" s="61"/>
      <c r="P1512"/>
    </row>
    <row r="1513" spans="2:16" x14ac:dyDescent="0.2">
      <c r="B1513"/>
      <c r="C1513" s="61"/>
      <c r="D1513" s="61"/>
      <c r="G1513"/>
      <c r="H1513"/>
      <c r="I1513"/>
      <c r="J1513"/>
      <c r="M1513"/>
      <c r="N1513"/>
      <c r="O1513" s="61"/>
      <c r="P1513"/>
    </row>
    <row r="1514" spans="2:16" x14ac:dyDescent="0.2">
      <c r="B1514"/>
      <c r="C1514" s="61"/>
      <c r="D1514" s="61"/>
      <c r="G1514"/>
      <c r="H1514"/>
      <c r="K1514"/>
      <c r="L1514"/>
      <c r="M1514"/>
      <c r="N1514"/>
      <c r="O1514" s="61"/>
      <c r="P1514"/>
    </row>
    <row r="1515" spans="2:16" x14ac:dyDescent="0.2">
      <c r="B1515"/>
      <c r="C1515" s="61"/>
      <c r="D1515" s="61"/>
      <c r="G1515"/>
      <c r="H1515"/>
      <c r="M1515"/>
      <c r="N1515"/>
      <c r="O1515" s="61"/>
      <c r="P1515"/>
    </row>
    <row r="1516" spans="2:16" x14ac:dyDescent="0.2">
      <c r="B1516"/>
      <c r="C1516" s="61"/>
      <c r="D1516" s="61"/>
      <c r="G1516"/>
      <c r="H1516"/>
      <c r="I1516"/>
      <c r="K1516"/>
      <c r="L1516"/>
      <c r="M1516"/>
      <c r="N1516"/>
      <c r="O1516" s="61"/>
      <c r="P1516"/>
    </row>
    <row r="1517" spans="2:16" x14ac:dyDescent="0.2">
      <c r="B1517"/>
      <c r="C1517" s="61"/>
      <c r="D1517" s="61"/>
      <c r="G1517"/>
      <c r="H1517"/>
      <c r="I1517"/>
      <c r="J1517"/>
      <c r="K1517"/>
      <c r="L1517"/>
      <c r="M1517"/>
      <c r="N1517"/>
      <c r="O1517" s="61"/>
      <c r="P1517"/>
    </row>
    <row r="1518" spans="2:16" x14ac:dyDescent="0.2">
      <c r="B1518"/>
      <c r="C1518" s="61"/>
      <c r="D1518" s="61"/>
      <c r="G1518"/>
      <c r="H1518"/>
      <c r="I1518"/>
      <c r="K1518"/>
      <c r="L1518"/>
      <c r="M1518"/>
      <c r="N1518"/>
      <c r="O1518" s="61"/>
      <c r="P1518"/>
    </row>
    <row r="1519" spans="2:16" x14ac:dyDescent="0.2">
      <c r="B1519"/>
      <c r="C1519" s="61"/>
      <c r="D1519" s="61"/>
      <c r="G1519"/>
      <c r="H1519"/>
      <c r="M1519"/>
      <c r="N1519"/>
      <c r="O1519" s="61"/>
      <c r="P1519"/>
    </row>
    <row r="1520" spans="2:16" x14ac:dyDescent="0.2">
      <c r="B1520"/>
      <c r="C1520" s="61"/>
      <c r="D1520" s="61"/>
      <c r="G1520"/>
      <c r="H1520"/>
      <c r="I1520"/>
      <c r="K1520"/>
      <c r="L1520"/>
      <c r="M1520"/>
      <c r="N1520"/>
      <c r="O1520" s="61"/>
      <c r="P1520"/>
    </row>
    <row r="1521" spans="2:16" x14ac:dyDescent="0.2">
      <c r="B1521"/>
      <c r="C1521" s="61"/>
      <c r="D1521" s="61"/>
      <c r="G1521"/>
      <c r="H1521"/>
      <c r="I1521"/>
      <c r="M1521"/>
      <c r="N1521"/>
      <c r="O1521" s="61"/>
      <c r="P1521"/>
    </row>
    <row r="1522" spans="2:16" x14ac:dyDescent="0.2">
      <c r="B1522"/>
      <c r="C1522" s="61"/>
      <c r="D1522" s="61"/>
      <c r="G1522"/>
      <c r="H1522"/>
      <c r="I1522"/>
      <c r="J1522"/>
      <c r="M1522"/>
      <c r="N1522"/>
      <c r="O1522" s="61"/>
      <c r="P1522"/>
    </row>
    <row r="1523" spans="2:16" x14ac:dyDescent="0.2">
      <c r="B1523"/>
      <c r="C1523" s="61"/>
      <c r="D1523" s="61"/>
      <c r="G1523"/>
      <c r="H1523"/>
      <c r="K1523"/>
      <c r="L1523"/>
      <c r="M1523"/>
      <c r="N1523"/>
      <c r="O1523" s="61"/>
      <c r="P1523"/>
    </row>
    <row r="1524" spans="2:16" x14ac:dyDescent="0.2">
      <c r="B1524"/>
      <c r="C1524" s="61"/>
      <c r="D1524" s="61"/>
      <c r="G1524"/>
      <c r="H1524"/>
      <c r="I1524"/>
      <c r="J1524"/>
      <c r="M1524"/>
      <c r="N1524"/>
      <c r="O1524" s="61"/>
      <c r="P1524"/>
    </row>
    <row r="1525" spans="2:16" x14ac:dyDescent="0.2">
      <c r="B1525"/>
      <c r="C1525" s="61"/>
      <c r="D1525" s="61"/>
      <c r="G1525"/>
      <c r="H1525"/>
      <c r="I1525"/>
      <c r="J1525"/>
      <c r="M1525"/>
      <c r="N1525"/>
      <c r="O1525" s="61"/>
      <c r="P1525"/>
    </row>
    <row r="1526" spans="2:16" x14ac:dyDescent="0.2">
      <c r="B1526"/>
      <c r="C1526" s="61"/>
      <c r="D1526" s="61"/>
      <c r="G1526"/>
      <c r="H1526"/>
      <c r="I1526"/>
      <c r="J1526"/>
      <c r="M1526"/>
      <c r="N1526"/>
      <c r="O1526" s="61"/>
      <c r="P1526"/>
    </row>
    <row r="1527" spans="2:16" x14ac:dyDescent="0.2">
      <c r="B1527"/>
      <c r="C1527" s="61"/>
      <c r="D1527" s="61"/>
      <c r="G1527"/>
      <c r="H1527"/>
      <c r="I1527"/>
      <c r="J1527"/>
      <c r="M1527"/>
      <c r="N1527"/>
      <c r="O1527" s="61"/>
      <c r="P1527"/>
    </row>
    <row r="1528" spans="2:16" x14ac:dyDescent="0.2">
      <c r="B1528"/>
      <c r="C1528" s="61"/>
      <c r="D1528" s="61"/>
      <c r="G1528"/>
      <c r="H1528"/>
      <c r="I1528"/>
      <c r="J1528"/>
      <c r="M1528"/>
      <c r="N1528"/>
      <c r="O1528" s="61"/>
      <c r="P1528"/>
    </row>
    <row r="1529" spans="2:16" x14ac:dyDescent="0.2">
      <c r="B1529"/>
      <c r="C1529" s="61"/>
      <c r="D1529" s="61"/>
      <c r="G1529"/>
      <c r="H1529"/>
      <c r="J1529"/>
      <c r="M1529"/>
      <c r="N1529"/>
      <c r="O1529" s="61"/>
      <c r="P1529"/>
    </row>
    <row r="1530" spans="2:16" x14ac:dyDescent="0.2">
      <c r="B1530"/>
      <c r="C1530" s="61"/>
      <c r="D1530" s="61"/>
      <c r="G1530"/>
      <c r="H1530"/>
      <c r="J1530"/>
      <c r="M1530"/>
      <c r="N1530"/>
      <c r="O1530" s="61"/>
      <c r="P1530"/>
    </row>
    <row r="1531" spans="2:16" x14ac:dyDescent="0.2">
      <c r="B1531"/>
      <c r="C1531" s="61"/>
      <c r="D1531" s="61"/>
      <c r="G1531"/>
      <c r="H1531"/>
      <c r="I1531"/>
      <c r="J1531"/>
      <c r="M1531"/>
      <c r="N1531"/>
      <c r="O1531" s="61"/>
      <c r="P1531"/>
    </row>
    <row r="1532" spans="2:16" x14ac:dyDescent="0.2">
      <c r="B1532"/>
      <c r="C1532" s="61"/>
      <c r="D1532" s="61"/>
      <c r="G1532"/>
      <c r="H1532"/>
      <c r="I1532"/>
      <c r="J1532"/>
      <c r="M1532"/>
      <c r="N1532"/>
      <c r="O1532" s="61"/>
      <c r="P1532"/>
    </row>
    <row r="1533" spans="2:16" x14ac:dyDescent="0.2">
      <c r="B1533"/>
      <c r="C1533" s="61"/>
      <c r="D1533" s="61"/>
      <c r="G1533"/>
      <c r="H1533"/>
      <c r="I1533"/>
      <c r="J1533"/>
      <c r="M1533"/>
      <c r="N1533"/>
      <c r="O1533" s="61"/>
      <c r="P1533"/>
    </row>
    <row r="1534" spans="2:16" x14ac:dyDescent="0.2">
      <c r="B1534"/>
      <c r="C1534" s="61"/>
      <c r="D1534" s="61"/>
      <c r="G1534"/>
      <c r="H1534"/>
      <c r="J1534"/>
      <c r="M1534"/>
      <c r="N1534"/>
      <c r="O1534" s="61"/>
      <c r="P1534"/>
    </row>
    <row r="1535" spans="2:16" x14ac:dyDescent="0.2">
      <c r="B1535"/>
      <c r="C1535" s="61"/>
      <c r="D1535" s="61"/>
      <c r="G1535"/>
      <c r="H1535"/>
      <c r="J1535"/>
      <c r="M1535"/>
      <c r="N1535"/>
      <c r="O1535" s="61"/>
      <c r="P1535"/>
    </row>
    <row r="1536" spans="2:16" x14ac:dyDescent="0.2">
      <c r="B1536"/>
      <c r="C1536" s="61"/>
      <c r="D1536" s="61"/>
      <c r="G1536"/>
      <c r="H1536"/>
      <c r="I1536"/>
      <c r="J1536"/>
      <c r="M1536"/>
      <c r="N1536"/>
      <c r="O1536" s="61"/>
      <c r="P1536"/>
    </row>
    <row r="1537" spans="2:16" x14ac:dyDescent="0.2">
      <c r="B1537"/>
      <c r="C1537" s="61"/>
      <c r="D1537" s="61"/>
      <c r="G1537"/>
      <c r="H1537"/>
      <c r="K1537"/>
      <c r="L1537"/>
      <c r="M1537"/>
      <c r="N1537"/>
      <c r="O1537" s="61"/>
      <c r="P1537"/>
    </row>
    <row r="1538" spans="2:16" x14ac:dyDescent="0.2">
      <c r="B1538"/>
      <c r="C1538" s="61"/>
      <c r="D1538" s="61"/>
      <c r="G1538"/>
      <c r="H1538"/>
      <c r="I1538"/>
      <c r="J1538"/>
      <c r="M1538"/>
      <c r="N1538"/>
      <c r="O1538" s="61"/>
      <c r="P1538"/>
    </row>
    <row r="1539" spans="2:16" x14ac:dyDescent="0.2">
      <c r="B1539"/>
      <c r="C1539" s="61"/>
      <c r="D1539" s="61"/>
      <c r="G1539"/>
      <c r="H1539"/>
      <c r="M1539"/>
      <c r="N1539"/>
      <c r="O1539" s="61"/>
      <c r="P1539"/>
    </row>
    <row r="1540" spans="2:16" x14ac:dyDescent="0.2">
      <c r="B1540"/>
      <c r="C1540" s="61"/>
      <c r="D1540" s="61"/>
      <c r="G1540"/>
      <c r="H1540"/>
      <c r="I1540"/>
      <c r="J1540"/>
      <c r="M1540"/>
      <c r="N1540"/>
      <c r="O1540" s="61"/>
      <c r="P1540"/>
    </row>
    <row r="1541" spans="2:16" x14ac:dyDescent="0.2">
      <c r="B1541"/>
      <c r="C1541" s="61"/>
      <c r="D1541" s="61"/>
      <c r="G1541"/>
      <c r="H1541"/>
      <c r="I1541"/>
      <c r="K1541"/>
      <c r="L1541"/>
      <c r="M1541"/>
      <c r="N1541"/>
      <c r="O1541" s="61"/>
      <c r="P1541"/>
    </row>
    <row r="1542" spans="2:16" x14ac:dyDescent="0.2">
      <c r="B1542"/>
      <c r="C1542" s="61"/>
      <c r="D1542" s="61"/>
      <c r="G1542"/>
      <c r="H1542"/>
      <c r="I1542"/>
      <c r="J1542"/>
      <c r="M1542"/>
      <c r="N1542"/>
      <c r="O1542" s="61"/>
      <c r="P1542"/>
    </row>
    <row r="1543" spans="2:16" x14ac:dyDescent="0.2">
      <c r="B1543"/>
      <c r="C1543" s="61"/>
      <c r="D1543" s="61"/>
      <c r="G1543"/>
      <c r="H1543"/>
      <c r="I1543"/>
      <c r="K1543"/>
      <c r="L1543"/>
      <c r="M1543"/>
      <c r="N1543"/>
      <c r="O1543" s="61"/>
      <c r="P1543"/>
    </row>
    <row r="1544" spans="2:16" x14ac:dyDescent="0.2">
      <c r="B1544"/>
      <c r="C1544" s="61"/>
      <c r="D1544" s="61"/>
      <c r="G1544"/>
      <c r="H1544"/>
      <c r="K1544"/>
      <c r="L1544"/>
      <c r="M1544"/>
      <c r="N1544"/>
      <c r="O1544" s="61"/>
      <c r="P1544"/>
    </row>
    <row r="1545" spans="2:16" x14ac:dyDescent="0.2">
      <c r="B1545"/>
      <c r="C1545" s="61"/>
      <c r="D1545" s="61"/>
      <c r="G1545"/>
      <c r="H1545"/>
      <c r="K1545"/>
      <c r="L1545"/>
      <c r="M1545"/>
      <c r="N1545"/>
      <c r="O1545" s="61"/>
      <c r="P1545"/>
    </row>
    <row r="1546" spans="2:16" x14ac:dyDescent="0.2">
      <c r="B1546"/>
      <c r="C1546" s="61"/>
      <c r="D1546" s="61"/>
      <c r="G1546"/>
      <c r="H1546"/>
      <c r="I1546"/>
      <c r="K1546"/>
      <c r="L1546"/>
      <c r="M1546"/>
      <c r="N1546"/>
      <c r="O1546" s="61"/>
      <c r="P1546"/>
    </row>
    <row r="1547" spans="2:16" x14ac:dyDescent="0.2">
      <c r="B1547"/>
      <c r="C1547" s="61"/>
      <c r="D1547" s="61"/>
      <c r="G1547"/>
      <c r="H1547"/>
      <c r="I1547"/>
      <c r="K1547"/>
      <c r="L1547"/>
      <c r="M1547"/>
      <c r="N1547"/>
      <c r="O1547" s="61"/>
      <c r="P1547"/>
    </row>
    <row r="1548" spans="2:16" x14ac:dyDescent="0.2">
      <c r="B1548"/>
      <c r="C1548" s="61"/>
      <c r="D1548" s="61"/>
      <c r="G1548"/>
      <c r="H1548"/>
      <c r="I1548"/>
      <c r="J1548"/>
      <c r="M1548"/>
      <c r="N1548"/>
      <c r="O1548" s="61"/>
      <c r="P1548"/>
    </row>
    <row r="1549" spans="2:16" x14ac:dyDescent="0.2">
      <c r="B1549"/>
      <c r="C1549" s="61"/>
      <c r="D1549" s="61"/>
      <c r="G1549"/>
      <c r="H1549"/>
      <c r="J1549"/>
      <c r="M1549"/>
      <c r="N1549"/>
      <c r="O1549" s="61"/>
      <c r="P1549"/>
    </row>
    <row r="1550" spans="2:16" x14ac:dyDescent="0.2">
      <c r="B1550"/>
      <c r="C1550" s="61"/>
      <c r="D1550" s="61"/>
      <c r="G1550"/>
      <c r="H1550"/>
      <c r="I1550"/>
      <c r="J1550"/>
      <c r="M1550"/>
      <c r="O1550" s="61"/>
      <c r="P1550"/>
    </row>
    <row r="1551" spans="2:16" x14ac:dyDescent="0.2">
      <c r="B1551"/>
      <c r="C1551" s="61"/>
      <c r="D1551" s="61"/>
      <c r="G1551"/>
      <c r="H1551"/>
      <c r="I1551"/>
      <c r="J1551"/>
      <c r="M1551"/>
      <c r="N1551"/>
      <c r="O1551" s="61"/>
      <c r="P1551"/>
    </row>
    <row r="1552" spans="2:16" x14ac:dyDescent="0.2">
      <c r="B1552"/>
      <c r="C1552" s="61"/>
      <c r="D1552" s="61"/>
      <c r="G1552"/>
      <c r="H1552"/>
      <c r="I1552"/>
      <c r="J1552"/>
      <c r="M1552"/>
      <c r="O1552" s="61"/>
      <c r="P1552"/>
    </row>
    <row r="1553" spans="2:16" x14ac:dyDescent="0.2">
      <c r="B1553"/>
      <c r="C1553" s="61"/>
      <c r="D1553" s="61"/>
      <c r="G1553"/>
      <c r="H1553"/>
      <c r="J1553"/>
      <c r="M1553"/>
      <c r="N1553"/>
      <c r="O1553" s="61"/>
      <c r="P1553"/>
    </row>
    <row r="1554" spans="2:16" x14ac:dyDescent="0.2">
      <c r="B1554"/>
      <c r="C1554" s="61"/>
      <c r="D1554" s="61"/>
      <c r="G1554"/>
      <c r="H1554"/>
      <c r="I1554"/>
      <c r="J1554"/>
      <c r="M1554"/>
      <c r="N1554"/>
      <c r="O1554" s="61"/>
      <c r="P1554"/>
    </row>
    <row r="1555" spans="2:16" x14ac:dyDescent="0.2">
      <c r="B1555"/>
      <c r="C1555" s="61"/>
      <c r="D1555" s="61"/>
      <c r="G1555"/>
      <c r="H1555"/>
      <c r="J1555"/>
      <c r="M1555"/>
      <c r="N1555"/>
      <c r="O1555" s="61"/>
      <c r="P1555"/>
    </row>
    <row r="1556" spans="2:16" x14ac:dyDescent="0.2">
      <c r="B1556"/>
      <c r="C1556" s="61"/>
      <c r="D1556" s="61"/>
      <c r="G1556"/>
      <c r="H1556"/>
      <c r="J1556"/>
      <c r="M1556"/>
      <c r="N1556"/>
      <c r="O1556" s="61"/>
      <c r="P1556"/>
    </row>
    <row r="1557" spans="2:16" x14ac:dyDescent="0.2">
      <c r="B1557"/>
      <c r="C1557" s="61"/>
      <c r="D1557" s="61"/>
      <c r="G1557"/>
      <c r="H1557"/>
      <c r="J1557"/>
      <c r="M1557"/>
      <c r="N1557"/>
      <c r="O1557" s="61"/>
      <c r="P1557"/>
    </row>
    <row r="1558" spans="2:16" x14ac:dyDescent="0.2">
      <c r="B1558"/>
      <c r="C1558" s="61"/>
      <c r="D1558" s="61"/>
      <c r="G1558"/>
      <c r="H1558"/>
      <c r="I1558"/>
      <c r="J1558"/>
      <c r="M1558"/>
      <c r="N1558"/>
      <c r="O1558" s="61"/>
      <c r="P1558"/>
    </row>
    <row r="1559" spans="2:16" x14ac:dyDescent="0.2">
      <c r="B1559"/>
      <c r="C1559" s="61"/>
      <c r="D1559" s="61"/>
      <c r="G1559"/>
      <c r="H1559"/>
      <c r="M1559"/>
      <c r="N1559"/>
      <c r="O1559" s="61"/>
      <c r="P1559"/>
    </row>
    <row r="1560" spans="2:16" x14ac:dyDescent="0.2">
      <c r="B1560"/>
      <c r="C1560" s="61"/>
      <c r="D1560" s="61"/>
      <c r="G1560"/>
      <c r="H1560"/>
      <c r="I1560"/>
      <c r="J1560"/>
      <c r="M1560"/>
      <c r="N1560"/>
      <c r="O1560" s="61"/>
      <c r="P1560"/>
    </row>
    <row r="1561" spans="2:16" x14ac:dyDescent="0.2">
      <c r="B1561"/>
      <c r="C1561" s="61"/>
      <c r="D1561" s="61"/>
      <c r="G1561"/>
      <c r="H1561"/>
      <c r="K1561"/>
      <c r="L1561"/>
      <c r="M1561"/>
      <c r="N1561"/>
      <c r="O1561" s="61"/>
      <c r="P1561"/>
    </row>
    <row r="1562" spans="2:16" x14ac:dyDescent="0.2">
      <c r="B1562"/>
      <c r="C1562" s="61"/>
      <c r="D1562" s="61"/>
      <c r="G1562"/>
      <c r="H1562"/>
      <c r="J1562"/>
      <c r="M1562"/>
      <c r="N1562"/>
      <c r="O1562" s="61"/>
      <c r="P1562"/>
    </row>
    <row r="1563" spans="2:16" x14ac:dyDescent="0.2">
      <c r="B1563"/>
      <c r="C1563" s="61"/>
      <c r="D1563" s="61"/>
      <c r="G1563"/>
      <c r="H1563"/>
      <c r="I1563"/>
      <c r="J1563"/>
      <c r="M1563"/>
      <c r="O1563" s="61"/>
      <c r="P1563"/>
    </row>
    <row r="1564" spans="2:16" x14ac:dyDescent="0.2">
      <c r="B1564"/>
      <c r="C1564" s="61"/>
      <c r="D1564" s="61"/>
      <c r="G1564"/>
      <c r="H1564"/>
      <c r="N1564"/>
      <c r="O1564" s="61"/>
      <c r="P1564"/>
    </row>
    <row r="1565" spans="2:16" x14ac:dyDescent="0.2">
      <c r="B1565"/>
      <c r="C1565" s="61"/>
      <c r="D1565" s="61"/>
      <c r="G1565"/>
      <c r="H1565"/>
      <c r="N1565"/>
      <c r="O1565" s="61"/>
      <c r="P1565"/>
    </row>
    <row r="1566" spans="2:16" x14ac:dyDescent="0.2">
      <c r="B1566"/>
      <c r="C1566" s="61"/>
      <c r="D1566" s="61"/>
      <c r="G1566"/>
      <c r="H1566"/>
      <c r="I1566"/>
      <c r="J1566"/>
      <c r="M1566"/>
      <c r="O1566" s="61"/>
      <c r="P1566"/>
    </row>
    <row r="1567" spans="2:16" x14ac:dyDescent="0.2">
      <c r="B1567"/>
      <c r="C1567" s="61"/>
      <c r="D1567" s="61"/>
      <c r="G1567"/>
      <c r="H1567"/>
      <c r="I1567"/>
      <c r="J1567"/>
      <c r="M1567"/>
      <c r="N1567"/>
      <c r="O1567" s="61"/>
      <c r="P1567"/>
    </row>
    <row r="1568" spans="2:16" x14ac:dyDescent="0.2">
      <c r="B1568"/>
      <c r="C1568" s="61"/>
      <c r="D1568" s="61"/>
      <c r="G1568"/>
      <c r="H1568"/>
      <c r="I1568"/>
      <c r="J1568"/>
      <c r="M1568"/>
      <c r="N1568"/>
      <c r="O1568" s="61"/>
      <c r="P1568"/>
    </row>
    <row r="1569" spans="2:16" x14ac:dyDescent="0.2">
      <c r="B1569"/>
      <c r="C1569" s="61"/>
      <c r="D1569" s="61"/>
      <c r="G1569"/>
      <c r="H1569"/>
      <c r="J1569"/>
      <c r="M1569"/>
      <c r="N1569"/>
      <c r="O1569" s="61"/>
      <c r="P1569"/>
    </row>
    <row r="1570" spans="2:16" x14ac:dyDescent="0.2">
      <c r="B1570"/>
      <c r="C1570" s="61"/>
      <c r="D1570" s="61"/>
      <c r="G1570"/>
      <c r="H1570"/>
      <c r="I1570"/>
      <c r="J1570"/>
      <c r="M1570"/>
      <c r="N1570"/>
      <c r="O1570" s="61"/>
      <c r="P1570"/>
    </row>
    <row r="1571" spans="2:16" x14ac:dyDescent="0.2">
      <c r="B1571"/>
      <c r="C1571" s="61"/>
      <c r="D1571" s="61"/>
      <c r="G1571"/>
      <c r="H1571"/>
      <c r="I1571"/>
      <c r="J1571"/>
      <c r="M1571"/>
      <c r="N1571"/>
      <c r="O1571" s="61"/>
      <c r="P1571"/>
    </row>
    <row r="1572" spans="2:16" x14ac:dyDescent="0.2">
      <c r="B1572"/>
      <c r="C1572" s="61"/>
      <c r="D1572" s="61"/>
      <c r="G1572"/>
      <c r="H1572"/>
      <c r="J1572"/>
      <c r="M1572"/>
      <c r="N1572"/>
      <c r="O1572" s="61"/>
      <c r="P1572"/>
    </row>
    <row r="1573" spans="2:16" x14ac:dyDescent="0.2">
      <c r="B1573"/>
      <c r="C1573" s="61"/>
      <c r="D1573" s="61"/>
      <c r="G1573"/>
      <c r="H1573"/>
      <c r="J1573"/>
      <c r="M1573"/>
      <c r="N1573"/>
      <c r="O1573" s="61"/>
      <c r="P1573"/>
    </row>
    <row r="1574" spans="2:16" x14ac:dyDescent="0.2">
      <c r="B1574"/>
      <c r="C1574" s="61"/>
      <c r="D1574" s="61"/>
      <c r="G1574"/>
      <c r="H1574"/>
      <c r="J1574"/>
      <c r="M1574"/>
      <c r="N1574"/>
      <c r="O1574" s="61"/>
      <c r="P1574"/>
    </row>
    <row r="1575" spans="2:16" x14ac:dyDescent="0.2">
      <c r="B1575"/>
      <c r="C1575" s="61"/>
      <c r="D1575" s="61"/>
      <c r="G1575"/>
      <c r="H1575"/>
      <c r="I1575"/>
      <c r="K1575"/>
      <c r="M1575"/>
      <c r="N1575"/>
      <c r="O1575" s="61"/>
      <c r="P1575"/>
    </row>
    <row r="1576" spans="2:16" x14ac:dyDescent="0.2">
      <c r="B1576"/>
      <c r="C1576" s="61"/>
      <c r="D1576" s="61"/>
      <c r="G1576"/>
      <c r="H1576"/>
      <c r="M1576"/>
      <c r="N1576"/>
      <c r="O1576" s="61"/>
      <c r="P1576"/>
    </row>
    <row r="1577" spans="2:16" x14ac:dyDescent="0.2">
      <c r="B1577"/>
      <c r="C1577" s="61"/>
      <c r="D1577" s="61"/>
      <c r="G1577"/>
      <c r="H1577"/>
      <c r="I1577"/>
      <c r="K1577"/>
      <c r="L1577"/>
      <c r="M1577"/>
      <c r="N1577"/>
      <c r="O1577" s="61"/>
      <c r="P1577"/>
    </row>
    <row r="1578" spans="2:16" x14ac:dyDescent="0.2">
      <c r="B1578"/>
      <c r="C1578" s="61"/>
      <c r="D1578" s="61"/>
      <c r="G1578"/>
      <c r="H1578"/>
      <c r="I1578"/>
      <c r="J1578"/>
      <c r="M1578"/>
      <c r="N1578"/>
      <c r="O1578" s="61"/>
      <c r="P1578"/>
    </row>
    <row r="1579" spans="2:16" x14ac:dyDescent="0.2">
      <c r="B1579"/>
      <c r="C1579" s="61"/>
      <c r="D1579" s="61"/>
      <c r="G1579"/>
      <c r="H1579"/>
      <c r="I1579"/>
      <c r="J1579"/>
      <c r="M1579"/>
      <c r="N1579"/>
      <c r="O1579" s="61"/>
      <c r="P1579"/>
    </row>
    <row r="1580" spans="2:16" x14ac:dyDescent="0.2">
      <c r="B1580"/>
      <c r="C1580" s="61"/>
      <c r="D1580" s="61"/>
      <c r="G1580"/>
      <c r="H1580"/>
      <c r="I1580"/>
      <c r="J1580"/>
      <c r="M1580"/>
      <c r="N1580"/>
      <c r="O1580" s="61"/>
      <c r="P1580"/>
    </row>
    <row r="1581" spans="2:16" x14ac:dyDescent="0.2">
      <c r="B1581"/>
      <c r="C1581" s="61"/>
      <c r="D1581" s="61"/>
      <c r="G1581"/>
      <c r="H1581"/>
      <c r="I1581"/>
      <c r="J1581"/>
      <c r="M1581"/>
      <c r="N1581"/>
      <c r="O1581" s="61"/>
      <c r="P1581"/>
    </row>
    <row r="1582" spans="2:16" x14ac:dyDescent="0.2">
      <c r="B1582"/>
      <c r="C1582" s="61"/>
      <c r="D1582" s="61"/>
      <c r="G1582"/>
      <c r="H1582"/>
      <c r="J1582"/>
      <c r="M1582"/>
      <c r="N1582"/>
      <c r="O1582" s="61"/>
      <c r="P1582"/>
    </row>
    <row r="1583" spans="2:16" x14ac:dyDescent="0.2">
      <c r="B1583"/>
      <c r="C1583" s="61"/>
      <c r="D1583" s="61"/>
      <c r="G1583"/>
      <c r="H1583"/>
      <c r="I1583"/>
      <c r="J1583"/>
      <c r="M1583"/>
      <c r="N1583"/>
      <c r="O1583" s="61"/>
      <c r="P1583"/>
    </row>
    <row r="1584" spans="2:16" x14ac:dyDescent="0.2">
      <c r="B1584"/>
      <c r="C1584" s="61"/>
      <c r="D1584" s="61"/>
      <c r="G1584"/>
      <c r="H1584"/>
      <c r="J1584"/>
      <c r="M1584"/>
      <c r="N1584"/>
      <c r="O1584" s="61"/>
      <c r="P1584"/>
    </row>
    <row r="1585" spans="2:16" x14ac:dyDescent="0.2">
      <c r="B1585"/>
      <c r="C1585" s="61"/>
      <c r="D1585" s="61"/>
      <c r="G1585"/>
      <c r="H1585"/>
      <c r="I1585"/>
      <c r="K1585"/>
      <c r="L1585"/>
      <c r="M1585"/>
      <c r="N1585"/>
      <c r="O1585" s="61"/>
      <c r="P1585"/>
    </row>
    <row r="1586" spans="2:16" x14ac:dyDescent="0.2">
      <c r="B1586"/>
      <c r="C1586" s="61"/>
      <c r="D1586" s="61"/>
      <c r="G1586"/>
      <c r="H1586"/>
      <c r="J1586"/>
      <c r="M1586"/>
      <c r="N1586"/>
      <c r="O1586" s="61"/>
      <c r="P1586"/>
    </row>
    <row r="1587" spans="2:16" x14ac:dyDescent="0.2">
      <c r="B1587"/>
      <c r="C1587" s="61"/>
      <c r="D1587" s="61"/>
      <c r="G1587"/>
      <c r="H1587"/>
      <c r="K1587"/>
      <c r="L1587"/>
      <c r="M1587"/>
      <c r="N1587"/>
      <c r="O1587" s="61"/>
      <c r="P1587"/>
    </row>
    <row r="1588" spans="2:16" x14ac:dyDescent="0.2">
      <c r="B1588"/>
      <c r="C1588" s="61"/>
      <c r="D1588" s="61"/>
      <c r="G1588"/>
      <c r="H1588"/>
      <c r="M1588"/>
      <c r="N1588"/>
      <c r="O1588" s="61"/>
      <c r="P1588"/>
    </row>
    <row r="1589" spans="2:16" x14ac:dyDescent="0.2">
      <c r="B1589"/>
      <c r="C1589" s="61"/>
      <c r="D1589" s="61"/>
      <c r="G1589"/>
      <c r="H1589"/>
      <c r="I1589"/>
      <c r="J1589"/>
      <c r="M1589"/>
      <c r="O1589" s="61"/>
      <c r="P1589"/>
    </row>
    <row r="1590" spans="2:16" x14ac:dyDescent="0.2">
      <c r="B1590"/>
      <c r="C1590" s="61"/>
      <c r="D1590" s="61"/>
      <c r="G1590"/>
      <c r="H1590"/>
      <c r="J1590"/>
      <c r="M1590"/>
      <c r="N1590"/>
      <c r="O1590" s="61"/>
      <c r="P1590"/>
    </row>
    <row r="1591" spans="2:16" x14ac:dyDescent="0.2">
      <c r="B1591"/>
      <c r="C1591" s="61"/>
      <c r="D1591" s="61"/>
      <c r="G1591"/>
      <c r="H1591"/>
      <c r="J1591"/>
      <c r="M1591"/>
      <c r="N1591"/>
      <c r="O1591" s="61"/>
      <c r="P1591"/>
    </row>
    <row r="1592" spans="2:16" x14ac:dyDescent="0.2">
      <c r="B1592"/>
      <c r="C1592" s="61"/>
      <c r="D1592" s="61"/>
      <c r="G1592"/>
      <c r="H1592"/>
      <c r="I1592"/>
      <c r="J1592"/>
      <c r="M1592"/>
      <c r="O1592" s="61"/>
      <c r="P1592"/>
    </row>
    <row r="1593" spans="2:16" x14ac:dyDescent="0.2">
      <c r="B1593"/>
      <c r="C1593" s="61"/>
      <c r="D1593" s="61"/>
      <c r="G1593"/>
      <c r="H1593"/>
      <c r="I1593"/>
      <c r="J1593"/>
      <c r="M1593"/>
      <c r="N1593"/>
      <c r="O1593" s="61"/>
      <c r="P1593"/>
    </row>
    <row r="1594" spans="2:16" x14ac:dyDescent="0.2">
      <c r="B1594"/>
      <c r="C1594" s="61"/>
      <c r="D1594" s="61"/>
      <c r="G1594"/>
      <c r="H1594"/>
      <c r="J1594"/>
      <c r="M1594"/>
      <c r="N1594"/>
      <c r="O1594" s="61"/>
      <c r="P1594"/>
    </row>
    <row r="1595" spans="2:16" x14ac:dyDescent="0.2">
      <c r="B1595"/>
      <c r="C1595" s="61"/>
      <c r="D1595" s="61"/>
      <c r="G1595"/>
      <c r="H1595"/>
      <c r="K1595"/>
      <c r="L1595"/>
      <c r="N1595"/>
      <c r="O1595" s="61"/>
      <c r="P1595"/>
    </row>
    <row r="1596" spans="2:16" x14ac:dyDescent="0.2">
      <c r="B1596"/>
      <c r="C1596" s="61"/>
      <c r="D1596" s="61"/>
      <c r="G1596"/>
      <c r="H1596"/>
      <c r="I1596"/>
      <c r="J1596"/>
      <c r="M1596"/>
      <c r="N1596"/>
      <c r="O1596" s="61"/>
      <c r="P1596"/>
    </row>
    <row r="1597" spans="2:16" x14ac:dyDescent="0.2">
      <c r="B1597"/>
      <c r="C1597" s="61"/>
      <c r="D1597" s="61"/>
      <c r="G1597"/>
      <c r="H1597"/>
      <c r="J1597"/>
      <c r="M1597"/>
      <c r="N1597"/>
      <c r="O1597" s="61"/>
      <c r="P1597"/>
    </row>
    <row r="1598" spans="2:16" x14ac:dyDescent="0.2">
      <c r="B1598"/>
      <c r="C1598" s="61"/>
      <c r="D1598" s="61"/>
      <c r="G1598"/>
      <c r="H1598"/>
      <c r="J1598"/>
      <c r="M1598"/>
      <c r="N1598"/>
      <c r="O1598" s="61"/>
      <c r="P1598"/>
    </row>
    <row r="1599" spans="2:16" x14ac:dyDescent="0.2">
      <c r="B1599"/>
      <c r="C1599" s="61"/>
      <c r="D1599" s="61"/>
      <c r="G1599"/>
      <c r="H1599"/>
      <c r="I1599"/>
      <c r="J1599"/>
      <c r="M1599"/>
      <c r="O1599" s="61"/>
      <c r="P1599"/>
    </row>
    <row r="1600" spans="2:16" x14ac:dyDescent="0.2">
      <c r="B1600"/>
      <c r="C1600" s="61"/>
      <c r="D1600" s="61"/>
      <c r="G1600"/>
      <c r="H1600"/>
      <c r="I1600"/>
      <c r="J1600"/>
      <c r="M1600"/>
      <c r="N1600"/>
      <c r="O1600" s="61"/>
      <c r="P1600"/>
    </row>
    <row r="1601" spans="2:16" x14ac:dyDescent="0.2">
      <c r="B1601"/>
      <c r="C1601" s="61"/>
      <c r="D1601" s="61"/>
      <c r="G1601"/>
      <c r="H1601"/>
      <c r="J1601"/>
      <c r="M1601"/>
      <c r="N1601"/>
      <c r="O1601" s="61"/>
      <c r="P1601"/>
    </row>
    <row r="1602" spans="2:16" x14ac:dyDescent="0.2">
      <c r="B1602"/>
      <c r="C1602" s="61"/>
      <c r="D1602" s="61"/>
      <c r="G1602"/>
      <c r="H1602"/>
      <c r="J1602"/>
      <c r="M1602"/>
      <c r="N1602"/>
      <c r="O1602" s="61"/>
      <c r="P1602"/>
    </row>
    <row r="1603" spans="2:16" x14ac:dyDescent="0.2">
      <c r="B1603"/>
      <c r="C1603" s="61"/>
      <c r="D1603" s="61"/>
      <c r="G1603"/>
      <c r="H1603"/>
      <c r="M1603"/>
      <c r="N1603"/>
      <c r="O1603" s="61"/>
      <c r="P1603"/>
    </row>
    <row r="1604" spans="2:16" x14ac:dyDescent="0.2">
      <c r="B1604"/>
      <c r="C1604" s="61"/>
      <c r="D1604" s="61"/>
      <c r="G1604"/>
      <c r="H1604"/>
      <c r="M1604"/>
      <c r="N1604"/>
      <c r="O1604" s="61"/>
      <c r="P1604"/>
    </row>
    <row r="1605" spans="2:16" x14ac:dyDescent="0.2">
      <c r="B1605"/>
      <c r="C1605" s="61"/>
      <c r="D1605" s="61"/>
      <c r="G1605"/>
      <c r="H1605"/>
      <c r="I1605"/>
      <c r="M1605"/>
      <c r="N1605"/>
      <c r="O1605" s="61"/>
      <c r="P1605"/>
    </row>
    <row r="1606" spans="2:16" x14ac:dyDescent="0.2">
      <c r="B1606"/>
      <c r="C1606" s="61"/>
      <c r="D1606" s="61"/>
      <c r="G1606"/>
      <c r="H1606"/>
      <c r="I1606"/>
      <c r="J1606"/>
      <c r="M1606"/>
      <c r="N1606"/>
      <c r="O1606" s="61"/>
      <c r="P1606"/>
    </row>
    <row r="1607" spans="2:16" x14ac:dyDescent="0.2">
      <c r="B1607"/>
      <c r="C1607" s="61"/>
      <c r="D1607" s="61"/>
      <c r="G1607"/>
      <c r="H1607"/>
      <c r="M1607"/>
      <c r="N1607"/>
      <c r="O1607" s="61"/>
      <c r="P1607"/>
    </row>
    <row r="1608" spans="2:16" x14ac:dyDescent="0.2">
      <c r="B1608"/>
      <c r="C1608" s="61"/>
      <c r="D1608" s="61"/>
      <c r="G1608"/>
      <c r="H1608"/>
      <c r="I1608"/>
      <c r="J1608"/>
      <c r="M1608"/>
      <c r="N1608"/>
      <c r="O1608" s="61"/>
      <c r="P1608"/>
    </row>
    <row r="1609" spans="2:16" x14ac:dyDescent="0.2">
      <c r="B1609"/>
      <c r="C1609" s="61"/>
      <c r="D1609" s="61"/>
      <c r="G1609"/>
      <c r="H1609"/>
      <c r="I1609"/>
      <c r="J1609"/>
      <c r="M1609"/>
      <c r="N1609"/>
      <c r="O1609" s="61"/>
      <c r="P1609"/>
    </row>
    <row r="1610" spans="2:16" x14ac:dyDescent="0.2">
      <c r="B1610"/>
      <c r="C1610" s="61"/>
      <c r="D1610" s="61"/>
      <c r="G1610"/>
      <c r="H1610"/>
      <c r="M1610"/>
      <c r="N1610"/>
      <c r="O1610" s="61"/>
      <c r="P1610"/>
    </row>
    <row r="1611" spans="2:16" x14ac:dyDescent="0.2">
      <c r="B1611"/>
      <c r="C1611" s="61"/>
      <c r="D1611" s="61"/>
      <c r="G1611"/>
      <c r="H1611"/>
      <c r="J1611"/>
      <c r="M1611"/>
      <c r="N1611"/>
      <c r="O1611" s="61"/>
      <c r="P1611"/>
    </row>
    <row r="1612" spans="2:16" x14ac:dyDescent="0.2">
      <c r="B1612"/>
      <c r="C1612" s="61"/>
      <c r="D1612" s="61"/>
      <c r="G1612"/>
      <c r="H1612"/>
      <c r="J1612"/>
      <c r="M1612"/>
      <c r="N1612"/>
      <c r="O1612" s="61"/>
      <c r="P1612"/>
    </row>
    <row r="1613" spans="2:16" x14ac:dyDescent="0.2">
      <c r="B1613"/>
      <c r="C1613" s="61"/>
      <c r="D1613" s="61"/>
      <c r="G1613"/>
      <c r="H1613"/>
      <c r="I1613"/>
      <c r="J1613"/>
      <c r="M1613"/>
      <c r="N1613"/>
      <c r="O1613" s="61"/>
      <c r="P1613"/>
    </row>
    <row r="1614" spans="2:16" x14ac:dyDescent="0.2">
      <c r="B1614"/>
      <c r="C1614" s="61"/>
      <c r="D1614" s="61"/>
      <c r="G1614"/>
      <c r="H1614"/>
      <c r="I1614"/>
      <c r="J1614"/>
      <c r="M1614"/>
      <c r="N1614"/>
      <c r="O1614" s="61"/>
      <c r="P1614"/>
    </row>
    <row r="1615" spans="2:16" x14ac:dyDescent="0.2">
      <c r="B1615"/>
      <c r="C1615" s="61"/>
      <c r="D1615" s="61"/>
      <c r="G1615"/>
      <c r="H1615"/>
      <c r="J1615"/>
      <c r="M1615"/>
      <c r="N1615"/>
      <c r="O1615" s="61"/>
      <c r="P1615"/>
    </row>
    <row r="1616" spans="2:16" x14ac:dyDescent="0.2">
      <c r="B1616"/>
      <c r="C1616" s="61"/>
      <c r="D1616" s="61"/>
      <c r="G1616"/>
      <c r="H1616"/>
      <c r="I1616"/>
      <c r="J1616"/>
      <c r="M1616"/>
      <c r="N1616"/>
      <c r="O1616" s="61"/>
      <c r="P1616"/>
    </row>
    <row r="1617" spans="2:16" x14ac:dyDescent="0.2">
      <c r="B1617"/>
      <c r="C1617" s="61"/>
      <c r="D1617" s="61"/>
      <c r="G1617"/>
      <c r="H1617"/>
      <c r="I1617"/>
      <c r="J1617"/>
      <c r="M1617"/>
      <c r="N1617"/>
      <c r="O1617" s="61"/>
      <c r="P1617"/>
    </row>
    <row r="1618" spans="2:16" x14ac:dyDescent="0.2">
      <c r="B1618"/>
      <c r="C1618" s="61"/>
      <c r="D1618" s="61"/>
      <c r="G1618"/>
      <c r="H1618"/>
      <c r="I1618"/>
      <c r="J1618"/>
      <c r="M1618"/>
      <c r="N1618"/>
      <c r="O1618" s="61"/>
      <c r="P1618"/>
    </row>
    <row r="1619" spans="2:16" x14ac:dyDescent="0.2">
      <c r="B1619"/>
      <c r="C1619" s="61"/>
      <c r="D1619" s="61"/>
      <c r="G1619"/>
      <c r="H1619"/>
      <c r="M1619"/>
      <c r="N1619"/>
      <c r="O1619" s="61"/>
      <c r="P1619"/>
    </row>
    <row r="1620" spans="2:16" x14ac:dyDescent="0.2">
      <c r="B1620"/>
      <c r="C1620" s="61"/>
      <c r="D1620" s="61"/>
      <c r="G1620"/>
      <c r="H1620"/>
      <c r="J1620"/>
      <c r="M1620"/>
      <c r="N1620"/>
      <c r="O1620" s="61"/>
      <c r="P1620"/>
    </row>
    <row r="1621" spans="2:16" x14ac:dyDescent="0.2">
      <c r="B1621"/>
      <c r="C1621" s="61"/>
      <c r="D1621" s="61"/>
      <c r="G1621"/>
      <c r="H1621"/>
      <c r="I1621"/>
      <c r="J1621"/>
      <c r="M1621"/>
      <c r="N1621"/>
      <c r="O1621" s="61"/>
      <c r="P1621"/>
    </row>
    <row r="1622" spans="2:16" x14ac:dyDescent="0.2">
      <c r="B1622"/>
      <c r="C1622" s="61"/>
      <c r="D1622" s="61"/>
      <c r="G1622"/>
      <c r="H1622"/>
      <c r="M1622"/>
      <c r="N1622"/>
      <c r="O1622" s="61"/>
      <c r="P1622"/>
    </row>
    <row r="1623" spans="2:16" x14ac:dyDescent="0.2">
      <c r="B1623"/>
      <c r="C1623" s="61"/>
      <c r="D1623" s="61"/>
      <c r="G1623"/>
      <c r="H1623"/>
      <c r="I1623"/>
      <c r="J1623"/>
      <c r="M1623"/>
      <c r="N1623"/>
      <c r="O1623" s="61"/>
      <c r="P1623"/>
    </row>
    <row r="1624" spans="2:16" x14ac:dyDescent="0.2">
      <c r="B1624"/>
      <c r="C1624" s="61"/>
      <c r="D1624" s="61"/>
      <c r="G1624"/>
      <c r="H1624"/>
      <c r="I1624"/>
      <c r="J1624"/>
      <c r="M1624"/>
      <c r="N1624"/>
      <c r="O1624" s="61"/>
      <c r="P1624"/>
    </row>
    <row r="1625" spans="2:16" x14ac:dyDescent="0.2">
      <c r="B1625"/>
      <c r="C1625" s="61"/>
      <c r="D1625" s="61"/>
      <c r="G1625"/>
      <c r="H1625"/>
      <c r="I1625"/>
      <c r="J1625"/>
      <c r="M1625"/>
      <c r="N1625"/>
      <c r="O1625" s="61"/>
      <c r="P1625"/>
    </row>
    <row r="1626" spans="2:16" x14ac:dyDescent="0.2">
      <c r="B1626"/>
      <c r="C1626" s="61"/>
      <c r="D1626" s="61"/>
      <c r="G1626"/>
      <c r="H1626"/>
      <c r="I1626"/>
      <c r="J1626"/>
      <c r="M1626"/>
      <c r="N1626"/>
      <c r="O1626" s="61"/>
      <c r="P1626"/>
    </row>
    <row r="1627" spans="2:16" x14ac:dyDescent="0.2">
      <c r="B1627"/>
      <c r="C1627" s="61"/>
      <c r="D1627" s="61"/>
      <c r="G1627"/>
      <c r="H1627"/>
      <c r="I1627"/>
      <c r="J1627"/>
      <c r="M1627"/>
      <c r="N1627"/>
      <c r="O1627" s="61"/>
      <c r="P1627"/>
    </row>
    <row r="1628" spans="2:16" x14ac:dyDescent="0.2">
      <c r="B1628"/>
      <c r="C1628" s="61"/>
      <c r="D1628" s="61"/>
      <c r="G1628"/>
      <c r="H1628"/>
      <c r="I1628"/>
      <c r="J1628"/>
      <c r="M1628"/>
      <c r="N1628"/>
      <c r="O1628" s="61"/>
      <c r="P1628"/>
    </row>
    <row r="1629" spans="2:16" x14ac:dyDescent="0.2">
      <c r="B1629"/>
      <c r="C1629" s="61"/>
      <c r="D1629" s="61"/>
      <c r="G1629"/>
      <c r="H1629"/>
      <c r="I1629"/>
      <c r="J1629"/>
      <c r="M1629"/>
      <c r="N1629"/>
      <c r="O1629" s="61"/>
      <c r="P1629"/>
    </row>
    <row r="1630" spans="2:16" x14ac:dyDescent="0.2">
      <c r="B1630"/>
      <c r="C1630" s="61"/>
      <c r="D1630" s="61"/>
      <c r="G1630"/>
      <c r="H1630"/>
      <c r="I1630"/>
      <c r="J1630"/>
      <c r="M1630"/>
      <c r="N1630"/>
      <c r="O1630" s="61"/>
      <c r="P1630"/>
    </row>
    <row r="1631" spans="2:16" x14ac:dyDescent="0.2">
      <c r="B1631"/>
      <c r="C1631" s="61"/>
      <c r="D1631" s="61"/>
      <c r="G1631"/>
      <c r="H1631"/>
      <c r="I1631"/>
      <c r="J1631"/>
      <c r="M1631"/>
      <c r="N1631"/>
      <c r="O1631" s="61"/>
      <c r="P1631"/>
    </row>
    <row r="1632" spans="2:16" x14ac:dyDescent="0.2">
      <c r="B1632"/>
      <c r="C1632" s="61"/>
      <c r="D1632" s="61"/>
      <c r="G1632"/>
      <c r="H1632"/>
      <c r="I1632"/>
      <c r="J1632"/>
      <c r="K1632"/>
      <c r="L1632"/>
      <c r="M1632"/>
      <c r="N1632"/>
      <c r="O1632" s="61"/>
      <c r="P1632"/>
    </row>
    <row r="1633" spans="2:16" x14ac:dyDescent="0.2">
      <c r="B1633"/>
      <c r="C1633" s="61"/>
      <c r="D1633" s="61"/>
      <c r="G1633"/>
      <c r="H1633"/>
      <c r="J1633"/>
      <c r="M1633"/>
      <c r="N1633"/>
      <c r="O1633" s="61"/>
      <c r="P1633"/>
    </row>
    <row r="1634" spans="2:16" x14ac:dyDescent="0.2">
      <c r="B1634"/>
      <c r="C1634" s="61"/>
      <c r="D1634" s="61"/>
      <c r="G1634"/>
      <c r="H1634"/>
      <c r="I1634"/>
      <c r="J1634"/>
      <c r="M1634"/>
      <c r="N1634"/>
      <c r="O1634" s="61"/>
      <c r="P1634"/>
    </row>
    <row r="1635" spans="2:16" x14ac:dyDescent="0.2">
      <c r="B1635"/>
      <c r="C1635" s="61"/>
      <c r="D1635" s="61"/>
      <c r="G1635"/>
      <c r="H1635"/>
      <c r="I1635"/>
      <c r="J1635"/>
      <c r="M1635"/>
      <c r="N1635"/>
      <c r="O1635" s="61"/>
      <c r="P1635"/>
    </row>
    <row r="1636" spans="2:16" x14ac:dyDescent="0.2">
      <c r="B1636"/>
      <c r="C1636" s="61"/>
      <c r="D1636" s="61"/>
      <c r="G1636"/>
      <c r="H1636"/>
      <c r="I1636"/>
      <c r="K1636"/>
      <c r="L1636"/>
      <c r="M1636"/>
      <c r="N1636"/>
      <c r="O1636" s="61"/>
      <c r="P1636"/>
    </row>
    <row r="1637" spans="2:16" x14ac:dyDescent="0.2">
      <c r="B1637"/>
      <c r="C1637" s="61"/>
      <c r="D1637" s="61"/>
      <c r="G1637"/>
      <c r="H1637"/>
      <c r="I1637"/>
      <c r="K1637"/>
      <c r="L1637"/>
      <c r="M1637"/>
      <c r="N1637"/>
      <c r="O1637" s="61"/>
      <c r="P1637"/>
    </row>
    <row r="1638" spans="2:16" x14ac:dyDescent="0.2">
      <c r="B1638"/>
      <c r="C1638" s="61"/>
      <c r="D1638" s="61"/>
      <c r="G1638"/>
      <c r="H1638"/>
      <c r="I1638"/>
      <c r="K1638"/>
      <c r="L1638"/>
      <c r="M1638"/>
      <c r="N1638"/>
      <c r="O1638" s="61"/>
      <c r="P1638"/>
    </row>
    <row r="1639" spans="2:16" x14ac:dyDescent="0.2">
      <c r="B1639"/>
      <c r="C1639" s="61"/>
      <c r="D1639" s="61"/>
      <c r="G1639"/>
      <c r="H1639"/>
      <c r="I1639"/>
      <c r="M1639"/>
      <c r="N1639"/>
      <c r="O1639" s="61"/>
      <c r="P1639"/>
    </row>
    <row r="1640" spans="2:16" x14ac:dyDescent="0.2">
      <c r="B1640"/>
      <c r="C1640" s="61"/>
      <c r="D1640" s="61"/>
      <c r="G1640"/>
      <c r="H1640"/>
      <c r="I1640"/>
      <c r="K1640"/>
      <c r="L1640"/>
      <c r="M1640"/>
      <c r="N1640"/>
      <c r="O1640" s="61"/>
      <c r="P1640"/>
    </row>
    <row r="1641" spans="2:16" x14ac:dyDescent="0.2">
      <c r="B1641"/>
      <c r="C1641" s="61"/>
      <c r="D1641" s="61"/>
      <c r="G1641"/>
      <c r="H1641"/>
      <c r="I1641"/>
      <c r="M1641"/>
      <c r="N1641"/>
      <c r="O1641" s="61"/>
      <c r="P1641"/>
    </row>
    <row r="1642" spans="2:16" x14ac:dyDescent="0.2">
      <c r="B1642"/>
      <c r="C1642" s="61"/>
      <c r="D1642" s="61"/>
      <c r="G1642"/>
      <c r="H1642"/>
      <c r="I1642"/>
      <c r="K1642"/>
      <c r="L1642"/>
      <c r="M1642"/>
      <c r="N1642"/>
      <c r="O1642" s="61"/>
      <c r="P1642"/>
    </row>
    <row r="1643" spans="2:16" x14ac:dyDescent="0.2">
      <c r="B1643"/>
      <c r="C1643" s="61"/>
      <c r="D1643" s="61"/>
      <c r="G1643"/>
      <c r="H1643"/>
      <c r="J1643"/>
      <c r="M1643"/>
      <c r="N1643"/>
      <c r="O1643" s="61"/>
      <c r="P1643"/>
    </row>
    <row r="1644" spans="2:16" x14ac:dyDescent="0.2">
      <c r="B1644"/>
      <c r="C1644" s="61"/>
      <c r="D1644" s="61"/>
      <c r="G1644"/>
      <c r="H1644"/>
      <c r="J1644"/>
      <c r="M1644"/>
      <c r="N1644"/>
      <c r="O1644" s="61"/>
      <c r="P1644"/>
    </row>
    <row r="1645" spans="2:16" x14ac:dyDescent="0.2">
      <c r="B1645"/>
      <c r="C1645" s="61"/>
      <c r="D1645" s="61"/>
      <c r="G1645"/>
      <c r="H1645"/>
      <c r="M1645"/>
      <c r="N1645"/>
      <c r="O1645" s="61"/>
      <c r="P1645"/>
    </row>
    <row r="1646" spans="2:16" x14ac:dyDescent="0.2">
      <c r="B1646"/>
      <c r="C1646" s="61"/>
      <c r="D1646" s="61"/>
      <c r="G1646"/>
      <c r="H1646"/>
      <c r="I1646"/>
      <c r="J1646"/>
      <c r="M1646"/>
      <c r="N1646"/>
      <c r="O1646" s="61"/>
      <c r="P1646"/>
    </row>
    <row r="1647" spans="2:16" x14ac:dyDescent="0.2">
      <c r="B1647"/>
      <c r="C1647" s="61"/>
      <c r="D1647" s="61"/>
      <c r="G1647"/>
      <c r="H1647"/>
      <c r="I1647"/>
      <c r="J1647"/>
      <c r="M1647"/>
      <c r="N1647"/>
      <c r="O1647" s="61"/>
      <c r="P1647"/>
    </row>
    <row r="1648" spans="2:16" x14ac:dyDescent="0.2">
      <c r="B1648"/>
      <c r="C1648" s="61"/>
      <c r="D1648" s="61"/>
      <c r="G1648"/>
      <c r="H1648"/>
      <c r="J1648"/>
      <c r="M1648"/>
      <c r="N1648"/>
      <c r="O1648" s="61"/>
      <c r="P1648"/>
    </row>
    <row r="1649" spans="2:16" x14ac:dyDescent="0.2">
      <c r="B1649"/>
      <c r="C1649" s="61"/>
      <c r="D1649" s="61"/>
      <c r="G1649"/>
      <c r="H1649"/>
      <c r="J1649"/>
      <c r="M1649"/>
      <c r="N1649"/>
      <c r="O1649" s="61"/>
      <c r="P1649"/>
    </row>
    <row r="1650" spans="2:16" x14ac:dyDescent="0.2">
      <c r="B1650"/>
      <c r="C1650" s="61"/>
      <c r="D1650" s="61"/>
      <c r="G1650"/>
      <c r="H1650"/>
      <c r="I1650"/>
      <c r="J1650"/>
      <c r="M1650"/>
      <c r="N1650"/>
      <c r="O1650" s="61"/>
      <c r="P1650"/>
    </row>
    <row r="1651" spans="2:16" x14ac:dyDescent="0.2">
      <c r="B1651"/>
      <c r="C1651" s="61"/>
      <c r="D1651" s="61"/>
      <c r="G1651"/>
      <c r="H1651"/>
      <c r="I1651"/>
      <c r="J1651"/>
      <c r="M1651"/>
      <c r="O1651" s="61"/>
      <c r="P1651"/>
    </row>
    <row r="1652" spans="2:16" x14ac:dyDescent="0.2">
      <c r="B1652"/>
      <c r="C1652" s="61"/>
      <c r="D1652" s="61"/>
      <c r="G1652"/>
      <c r="H1652"/>
      <c r="I1652"/>
      <c r="J1652"/>
      <c r="M1652"/>
      <c r="N1652"/>
      <c r="O1652" s="61"/>
      <c r="P1652"/>
    </row>
    <row r="1653" spans="2:16" x14ac:dyDescent="0.2">
      <c r="B1653"/>
      <c r="C1653" s="61"/>
      <c r="D1653" s="61"/>
      <c r="G1653"/>
      <c r="H1653"/>
      <c r="I1653"/>
      <c r="J1653"/>
      <c r="M1653"/>
      <c r="O1653" s="61"/>
      <c r="P1653"/>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c r="B1"/>
      <c r="C1"/>
      <c r="D1"/>
      <c r="E1"/>
      <c r="F1"/>
    </row>
    <row r="2" spans="1:6" x14ac:dyDescent="0.2">
      <c r="A2"/>
      <c r="B2"/>
      <c r="C2"/>
      <c r="D2"/>
      <c r="E2"/>
      <c r="F2"/>
    </row>
    <row r="3" spans="1:6" x14ac:dyDescent="0.2">
      <c r="A3"/>
      <c r="B3"/>
      <c r="C3"/>
      <c r="D3"/>
      <c r="E3"/>
      <c r="F3"/>
    </row>
    <row r="4" spans="1:6" x14ac:dyDescent="0.2">
      <c r="A4"/>
      <c r="B4"/>
      <c r="C4"/>
      <c r="D4"/>
      <c r="E4"/>
      <c r="F4"/>
    </row>
    <row r="5" spans="1:6" x14ac:dyDescent="0.2">
      <c r="A5"/>
      <c r="B5"/>
      <c r="C5"/>
      <c r="D5"/>
      <c r="E5"/>
      <c r="F5"/>
    </row>
    <row r="6" spans="1:6" x14ac:dyDescent="0.2">
      <c r="A6"/>
      <c r="B6"/>
      <c r="C6"/>
      <c r="D6"/>
      <c r="E6"/>
      <c r="F6"/>
    </row>
    <row r="7" spans="1:6" x14ac:dyDescent="0.2">
      <c r="A7"/>
      <c r="B7"/>
      <c r="C7"/>
      <c r="D7"/>
      <c r="E7"/>
      <c r="F7"/>
    </row>
    <row r="8" spans="1:6" x14ac:dyDescent="0.2">
      <c r="A8"/>
      <c r="B8"/>
      <c r="C8"/>
      <c r="D8"/>
      <c r="E8"/>
      <c r="F8"/>
    </row>
    <row r="9" spans="1:6" x14ac:dyDescent="0.2">
      <c r="A9"/>
      <c r="B9"/>
      <c r="C9"/>
      <c r="D9"/>
      <c r="E9"/>
      <c r="F9"/>
    </row>
  </sheetData>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c r="B1"/>
      <c r="C1"/>
      <c r="D1"/>
      <c r="E1"/>
      <c r="F1"/>
      <c r="G1"/>
      <c r="H1"/>
      <c r="I1"/>
      <c r="J1" s="61"/>
      <c r="K1"/>
      <c r="L1" s="61"/>
      <c r="M1"/>
      <c r="N1"/>
      <c r="O1"/>
      <c r="P1"/>
      <c r="Q1"/>
    </row>
    <row r="2" spans="1:17" x14ac:dyDescent="0.2">
      <c r="A2"/>
      <c r="B2"/>
      <c r="C2"/>
      <c r="D2"/>
      <c r="E2"/>
      <c r="F2"/>
      <c r="G2"/>
      <c r="J2" s="61"/>
      <c r="K2"/>
      <c r="L2" s="61"/>
      <c r="M2"/>
      <c r="N2"/>
      <c r="O2"/>
      <c r="P2"/>
      <c r="Q2"/>
    </row>
    <row r="3" spans="1:17" x14ac:dyDescent="0.2">
      <c r="A3"/>
      <c r="B3"/>
      <c r="C3"/>
      <c r="D3"/>
      <c r="E3"/>
      <c r="F3"/>
      <c r="G3"/>
      <c r="J3" s="61"/>
      <c r="K3"/>
      <c r="L3" s="61"/>
      <c r="M3"/>
      <c r="N3"/>
      <c r="O3"/>
      <c r="P3"/>
      <c r="Q3"/>
    </row>
    <row r="4" spans="1:17" x14ac:dyDescent="0.2">
      <c r="A4"/>
      <c r="B4"/>
      <c r="C4"/>
      <c r="D4"/>
      <c r="E4"/>
      <c r="F4"/>
      <c r="G4"/>
      <c r="J4" s="61"/>
      <c r="K4"/>
      <c r="L4" s="61"/>
      <c r="N4"/>
      <c r="O4"/>
      <c r="P4"/>
      <c r="Q4"/>
    </row>
    <row r="5" spans="1:17" x14ac:dyDescent="0.2">
      <c r="A5"/>
      <c r="B5"/>
      <c r="C5"/>
      <c r="D5"/>
      <c r="E5"/>
      <c r="G5"/>
      <c r="J5" s="61"/>
      <c r="K5"/>
      <c r="L5" s="61"/>
      <c r="M5"/>
      <c r="N5"/>
      <c r="O5"/>
      <c r="P5"/>
      <c r="Q5"/>
    </row>
    <row r="6" spans="1:17" x14ac:dyDescent="0.2">
      <c r="A6"/>
      <c r="B6"/>
      <c r="C6"/>
      <c r="D6"/>
      <c r="E6"/>
      <c r="F6"/>
      <c r="G6"/>
      <c r="J6" s="61"/>
      <c r="K6"/>
      <c r="L6" s="61"/>
      <c r="M6"/>
      <c r="N6"/>
      <c r="O6"/>
      <c r="P6"/>
      <c r="Q6"/>
    </row>
    <row r="7" spans="1:17" x14ac:dyDescent="0.2">
      <c r="A7"/>
      <c r="B7"/>
      <c r="C7"/>
      <c r="D7"/>
      <c r="E7"/>
      <c r="F7"/>
      <c r="G7"/>
      <c r="J7" s="61"/>
      <c r="K7"/>
      <c r="L7" s="61"/>
      <c r="M7"/>
      <c r="N7"/>
      <c r="O7"/>
      <c r="P7"/>
      <c r="Q7"/>
    </row>
    <row r="8" spans="1:17" x14ac:dyDescent="0.2">
      <c r="A8"/>
      <c r="B8"/>
      <c r="C8"/>
      <c r="D8"/>
      <c r="E8"/>
      <c r="F8"/>
      <c r="G8"/>
      <c r="J8" s="61"/>
      <c r="K8"/>
      <c r="L8" s="61"/>
      <c r="M8"/>
      <c r="N8"/>
      <c r="O8"/>
      <c r="P8"/>
      <c r="Q8"/>
    </row>
    <row r="9" spans="1:17" x14ac:dyDescent="0.2">
      <c r="A9"/>
      <c r="B9"/>
      <c r="C9"/>
      <c r="D9"/>
      <c r="E9"/>
      <c r="F9"/>
      <c r="G9"/>
      <c r="J9" s="61"/>
      <c r="K9"/>
      <c r="L9" s="61"/>
      <c r="N9"/>
      <c r="O9"/>
      <c r="P9"/>
      <c r="Q9"/>
    </row>
    <row r="10" spans="1:17" x14ac:dyDescent="0.2">
      <c r="A10"/>
      <c r="B10"/>
      <c r="C10"/>
      <c r="D10"/>
      <c r="E10"/>
      <c r="G10"/>
      <c r="J10" s="61"/>
      <c r="K10"/>
      <c r="L10" s="61"/>
      <c r="M10"/>
      <c r="N10"/>
      <c r="O10"/>
      <c r="P10"/>
      <c r="Q10"/>
    </row>
    <row r="11" spans="1:17" x14ac:dyDescent="0.2">
      <c r="A11"/>
      <c r="B11"/>
      <c r="C11"/>
      <c r="D11"/>
      <c r="E11"/>
      <c r="F11"/>
      <c r="G11"/>
      <c r="J11" s="61"/>
      <c r="K11"/>
      <c r="L11" s="61"/>
      <c r="N11"/>
      <c r="O11"/>
      <c r="P11"/>
      <c r="Q11"/>
    </row>
    <row r="12" spans="1:17" x14ac:dyDescent="0.2">
      <c r="A12"/>
      <c r="B12"/>
      <c r="C12"/>
      <c r="D12"/>
      <c r="E12"/>
      <c r="F12"/>
      <c r="G12"/>
      <c r="J12" s="61"/>
      <c r="K12"/>
      <c r="L12" s="61"/>
      <c r="N12"/>
      <c r="O12"/>
      <c r="P12"/>
      <c r="Q12"/>
    </row>
    <row r="13" spans="1:17" x14ac:dyDescent="0.2">
      <c r="A13"/>
      <c r="B13"/>
      <c r="C13"/>
      <c r="D13"/>
      <c r="E13"/>
      <c r="F13"/>
      <c r="G13"/>
      <c r="J13" s="61"/>
      <c r="K13"/>
      <c r="L13" s="61"/>
      <c r="N13"/>
      <c r="O13"/>
      <c r="P13"/>
      <c r="Q13"/>
    </row>
    <row r="14" spans="1:17" x14ac:dyDescent="0.2">
      <c r="A14"/>
      <c r="B14"/>
      <c r="C14"/>
      <c r="D14"/>
      <c r="E14"/>
      <c r="G14"/>
      <c r="J14" s="61"/>
      <c r="K14"/>
      <c r="L14" s="61"/>
      <c r="N14"/>
      <c r="O14"/>
      <c r="Q14"/>
    </row>
    <row r="15" spans="1:17" x14ac:dyDescent="0.2">
      <c r="A15"/>
      <c r="B15"/>
      <c r="C15"/>
      <c r="D15"/>
      <c r="E15"/>
      <c r="G15"/>
      <c r="J15" s="61"/>
      <c r="K15"/>
      <c r="L15" s="61"/>
      <c r="M15"/>
      <c r="N15"/>
      <c r="O15"/>
      <c r="P15"/>
      <c r="Q15"/>
    </row>
    <row r="16" spans="1:17" x14ac:dyDescent="0.2">
      <c r="A16"/>
      <c r="B16"/>
      <c r="C16"/>
      <c r="D16"/>
      <c r="E16"/>
      <c r="F16"/>
      <c r="G16"/>
      <c r="J16" s="61"/>
      <c r="K16"/>
      <c r="L16" s="61"/>
      <c r="N16"/>
      <c r="O16"/>
      <c r="P16"/>
      <c r="Q16"/>
    </row>
    <row r="17" spans="1:17" x14ac:dyDescent="0.2">
      <c r="A17"/>
      <c r="B17"/>
      <c r="C17"/>
      <c r="D17"/>
      <c r="E17"/>
      <c r="G17"/>
      <c r="J17" s="61"/>
      <c r="K17"/>
      <c r="L17" s="61"/>
      <c r="M17"/>
      <c r="N17"/>
      <c r="O17"/>
      <c r="P17"/>
      <c r="Q17"/>
    </row>
    <row r="18" spans="1:17" x14ac:dyDescent="0.2">
      <c r="A18"/>
      <c r="B18"/>
      <c r="C18"/>
      <c r="D18"/>
      <c r="E18"/>
      <c r="F18"/>
      <c r="G18"/>
      <c r="J18" s="61"/>
      <c r="K18"/>
      <c r="L18" s="61"/>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F26"/>
      <c r="G26"/>
      <c r="J26" s="61"/>
      <c r="K26"/>
      <c r="L26" s="61"/>
      <c r="M26"/>
      <c r="N26"/>
      <c r="O26"/>
      <c r="P26"/>
      <c r="Q26"/>
    </row>
    <row r="27" spans="1:17" x14ac:dyDescent="0.2">
      <c r="A27"/>
      <c r="B27"/>
      <c r="C27"/>
      <c r="D27"/>
      <c r="E27"/>
      <c r="F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F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F31"/>
      <c r="G31"/>
      <c r="J31" s="61"/>
      <c r="K31"/>
      <c r="L31" s="61"/>
      <c r="N31"/>
      <c r="O31"/>
      <c r="P31"/>
      <c r="Q31"/>
    </row>
    <row r="32" spans="1:17" x14ac:dyDescent="0.2">
      <c r="A32"/>
      <c r="B32"/>
      <c r="C32"/>
      <c r="D32"/>
      <c r="E32"/>
      <c r="G32"/>
      <c r="J32" s="61"/>
      <c r="K32"/>
      <c r="L32" s="61"/>
      <c r="M32"/>
      <c r="N32"/>
      <c r="O32"/>
      <c r="P32"/>
      <c r="Q32"/>
    </row>
    <row r="33" spans="1:17" x14ac:dyDescent="0.2">
      <c r="A33"/>
      <c r="B33"/>
      <c r="C33"/>
      <c r="D33"/>
      <c r="E33"/>
      <c r="F33"/>
      <c r="G33"/>
      <c r="J33" s="61"/>
      <c r="K33"/>
      <c r="L33" s="61"/>
      <c r="N33"/>
      <c r="O33"/>
      <c r="P33"/>
      <c r="Q33"/>
    </row>
    <row r="34" spans="1:17" x14ac:dyDescent="0.2">
      <c r="A34"/>
      <c r="B34"/>
      <c r="C34"/>
      <c r="D34"/>
      <c r="E34"/>
      <c r="G34"/>
      <c r="J34" s="61"/>
      <c r="K34"/>
      <c r="L34" s="61"/>
      <c r="N34"/>
      <c r="O34"/>
      <c r="P34"/>
      <c r="Q34"/>
    </row>
    <row r="35" spans="1:17" x14ac:dyDescent="0.2">
      <c r="A35"/>
      <c r="B35"/>
      <c r="C35"/>
      <c r="D35"/>
      <c r="E35"/>
      <c r="F35"/>
      <c r="G35"/>
      <c r="J35" s="61"/>
      <c r="K35"/>
      <c r="L35" s="61"/>
      <c r="M35"/>
      <c r="N35"/>
      <c r="O35"/>
      <c r="P35"/>
      <c r="Q35"/>
    </row>
    <row r="36" spans="1:17" x14ac:dyDescent="0.2">
      <c r="A36"/>
      <c r="B36"/>
      <c r="C36"/>
      <c r="D36"/>
      <c r="E36"/>
      <c r="F36"/>
      <c r="G36"/>
      <c r="J36" s="61"/>
      <c r="K36"/>
      <c r="L36" s="61"/>
      <c r="M36"/>
      <c r="N36"/>
      <c r="O36"/>
      <c r="P36"/>
      <c r="Q36"/>
    </row>
    <row r="37" spans="1:17" x14ac:dyDescent="0.2">
      <c r="A37"/>
      <c r="B37"/>
      <c r="C37"/>
      <c r="D37"/>
      <c r="E37"/>
      <c r="F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F39"/>
      <c r="G39"/>
      <c r="J39" s="61"/>
      <c r="K39"/>
      <c r="L39" s="61"/>
      <c r="N39"/>
      <c r="O39"/>
      <c r="P39"/>
      <c r="Q39"/>
    </row>
    <row r="40" spans="1:17" x14ac:dyDescent="0.2">
      <c r="A40"/>
      <c r="B40"/>
      <c r="C40"/>
      <c r="D40"/>
      <c r="E40"/>
      <c r="F40"/>
      <c r="G40"/>
      <c r="J40" s="61"/>
      <c r="K40"/>
      <c r="L40" s="61"/>
      <c r="N40"/>
      <c r="O40"/>
      <c r="P40"/>
      <c r="Q40"/>
    </row>
    <row r="41" spans="1:17" x14ac:dyDescent="0.2">
      <c r="A41"/>
      <c r="B41"/>
      <c r="C41"/>
      <c r="D41"/>
      <c r="E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G45"/>
      <c r="J45" s="61"/>
      <c r="K45"/>
      <c r="L45" s="61"/>
      <c r="M45"/>
      <c r="N45"/>
      <c r="O45"/>
      <c r="P45"/>
      <c r="Q45"/>
    </row>
    <row r="46" spans="1:17" x14ac:dyDescent="0.2">
      <c r="A46"/>
      <c r="B46"/>
      <c r="C46"/>
      <c r="D46"/>
      <c r="E46"/>
      <c r="G46"/>
      <c r="J46" s="61"/>
      <c r="K46"/>
      <c r="L46" s="61"/>
      <c r="M46"/>
      <c r="N46"/>
      <c r="O46"/>
      <c r="P46"/>
      <c r="Q46"/>
    </row>
    <row r="47" spans="1:17" x14ac:dyDescent="0.2">
      <c r="A47"/>
      <c r="B47"/>
      <c r="C47"/>
      <c r="D47"/>
      <c r="E47"/>
      <c r="G47"/>
      <c r="J47" s="61"/>
      <c r="K47"/>
      <c r="L47" s="61"/>
      <c r="M47"/>
      <c r="N47"/>
      <c r="O47"/>
      <c r="P47"/>
      <c r="Q47"/>
    </row>
    <row r="48" spans="1:17" x14ac:dyDescent="0.2">
      <c r="A48"/>
      <c r="B48"/>
      <c r="C48"/>
      <c r="D48"/>
      <c r="E48"/>
      <c r="G48"/>
      <c r="J48" s="61"/>
      <c r="K48"/>
      <c r="L48" s="61"/>
      <c r="M48"/>
      <c r="N48"/>
      <c r="O48"/>
      <c r="P48"/>
      <c r="Q48"/>
    </row>
    <row r="49" spans="1:17" x14ac:dyDescent="0.2">
      <c r="A49"/>
      <c r="B49"/>
      <c r="C49"/>
      <c r="D49"/>
      <c r="E49"/>
      <c r="F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F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G53"/>
      <c r="J53" s="61"/>
      <c r="K53"/>
      <c r="L53" s="61"/>
      <c r="M53"/>
      <c r="N53"/>
      <c r="O53"/>
      <c r="P53"/>
      <c r="Q53"/>
    </row>
    <row r="54" spans="1:17" x14ac:dyDescent="0.2">
      <c r="A54"/>
      <c r="B54"/>
      <c r="C54"/>
      <c r="D54"/>
      <c r="E54"/>
      <c r="F54"/>
      <c r="G54"/>
      <c r="J54" s="61"/>
      <c r="K54"/>
      <c r="L54" s="61"/>
      <c r="M54"/>
      <c r="N54"/>
      <c r="O54"/>
      <c r="P54"/>
      <c r="Q54"/>
    </row>
    <row r="55" spans="1:17" x14ac:dyDescent="0.2">
      <c r="A55"/>
      <c r="B55"/>
      <c r="C55"/>
      <c r="D55"/>
      <c r="E55"/>
      <c r="G55"/>
      <c r="J55" s="61"/>
      <c r="K55"/>
      <c r="L55" s="61"/>
      <c r="M55"/>
      <c r="N55"/>
      <c r="O55"/>
      <c r="P55"/>
      <c r="Q55"/>
    </row>
    <row r="56" spans="1:17" x14ac:dyDescent="0.2">
      <c r="A56"/>
      <c r="B56"/>
      <c r="C56"/>
      <c r="D56"/>
      <c r="E56"/>
      <c r="F56"/>
      <c r="G56"/>
      <c r="J56" s="61"/>
      <c r="K56"/>
      <c r="L56" s="61"/>
      <c r="M56"/>
      <c r="N56"/>
      <c r="O56"/>
      <c r="P56"/>
      <c r="Q56"/>
    </row>
    <row r="57" spans="1:17" x14ac:dyDescent="0.2">
      <c r="A57"/>
      <c r="B57"/>
      <c r="C57"/>
      <c r="D57"/>
      <c r="E57"/>
      <c r="F57"/>
      <c r="G57"/>
      <c r="J57" s="61"/>
      <c r="K57"/>
      <c r="L57" s="61"/>
      <c r="M57"/>
      <c r="N57"/>
      <c r="O57"/>
      <c r="P57"/>
      <c r="Q57"/>
    </row>
    <row r="58" spans="1:17" x14ac:dyDescent="0.2">
      <c r="A58"/>
      <c r="B58"/>
      <c r="C58"/>
      <c r="D58"/>
      <c r="E58"/>
      <c r="F58"/>
      <c r="G58"/>
      <c r="J58" s="61"/>
      <c r="K58"/>
      <c r="L58" s="61"/>
      <c r="M58"/>
      <c r="N58"/>
      <c r="O58"/>
      <c r="P58"/>
      <c r="Q58"/>
    </row>
    <row r="59" spans="1:17" x14ac:dyDescent="0.2">
      <c r="A59"/>
      <c r="B59"/>
      <c r="C59"/>
      <c r="D59"/>
      <c r="E59"/>
      <c r="F59"/>
      <c r="G59"/>
      <c r="J59" s="61"/>
      <c r="K59"/>
      <c r="L59" s="61"/>
      <c r="M59"/>
      <c r="N59"/>
      <c r="O59"/>
      <c r="P59"/>
      <c r="Q59"/>
    </row>
    <row r="60" spans="1:17" x14ac:dyDescent="0.2">
      <c r="A60"/>
      <c r="B60"/>
      <c r="C60"/>
      <c r="D60"/>
      <c r="E60"/>
      <c r="F60"/>
      <c r="G60"/>
      <c r="J60" s="61"/>
      <c r="K60"/>
      <c r="L60" s="61"/>
      <c r="M60"/>
      <c r="N60"/>
      <c r="O60"/>
      <c r="P60"/>
      <c r="Q60"/>
    </row>
    <row r="61" spans="1:17" x14ac:dyDescent="0.2">
      <c r="A61"/>
      <c r="B61"/>
      <c r="C61"/>
      <c r="D61"/>
      <c r="E61"/>
      <c r="G61"/>
      <c r="J61" s="61"/>
      <c r="K61"/>
      <c r="L61" s="61"/>
      <c r="M61"/>
      <c r="N61"/>
      <c r="O61"/>
      <c r="P61"/>
      <c r="Q61"/>
    </row>
    <row r="62" spans="1:17" x14ac:dyDescent="0.2">
      <c r="A62"/>
      <c r="B62"/>
      <c r="C62"/>
      <c r="D62"/>
      <c r="E62"/>
      <c r="F62"/>
      <c r="G62"/>
      <c r="J62" s="61"/>
      <c r="K62"/>
      <c r="L62" s="61"/>
      <c r="M62"/>
      <c r="N62"/>
      <c r="O62"/>
      <c r="P62"/>
      <c r="Q62"/>
    </row>
    <row r="63" spans="1:17" x14ac:dyDescent="0.2">
      <c r="A63"/>
      <c r="B63"/>
      <c r="C63"/>
      <c r="D63"/>
      <c r="E63"/>
      <c r="G63"/>
      <c r="J63" s="61"/>
      <c r="K63"/>
      <c r="L63" s="61"/>
      <c r="M63"/>
      <c r="N63"/>
      <c r="O63"/>
      <c r="P63"/>
      <c r="Q63"/>
    </row>
    <row r="64" spans="1:17" x14ac:dyDescent="0.2">
      <c r="A64"/>
      <c r="B64"/>
      <c r="C64"/>
      <c r="D64"/>
      <c r="E64"/>
      <c r="F64"/>
      <c r="G64"/>
      <c r="J64" s="61"/>
      <c r="K64"/>
      <c r="L64" s="61"/>
      <c r="M64"/>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P66"/>
      <c r="Q66"/>
    </row>
    <row r="67" spans="1:17" x14ac:dyDescent="0.2">
      <c r="A67"/>
      <c r="B67"/>
      <c r="C67"/>
      <c r="D67"/>
      <c r="E67"/>
      <c r="G67"/>
      <c r="J67" s="61"/>
      <c r="K67"/>
      <c r="L67" s="61"/>
      <c r="M67"/>
      <c r="N67"/>
      <c r="O67"/>
      <c r="P67"/>
      <c r="Q67"/>
    </row>
    <row r="68" spans="1:17" x14ac:dyDescent="0.2">
      <c r="A68"/>
      <c r="B68"/>
      <c r="C68"/>
      <c r="D68"/>
      <c r="E68"/>
      <c r="F68"/>
      <c r="G68"/>
      <c r="J68" s="61"/>
      <c r="K68"/>
      <c r="L68" s="61"/>
      <c r="M68"/>
      <c r="N68"/>
      <c r="O68"/>
      <c r="P68"/>
      <c r="Q68"/>
    </row>
    <row r="69" spans="1:17" x14ac:dyDescent="0.2">
      <c r="A69"/>
      <c r="B69"/>
      <c r="C69"/>
      <c r="D69"/>
      <c r="E69"/>
      <c r="G69"/>
      <c r="J69" s="61"/>
      <c r="K69"/>
      <c r="L69" s="61"/>
      <c r="N69"/>
      <c r="O69"/>
      <c r="Q69"/>
    </row>
    <row r="70" spans="1:17" x14ac:dyDescent="0.2">
      <c r="A70"/>
      <c r="B70"/>
      <c r="C70"/>
      <c r="D70"/>
      <c r="E70"/>
      <c r="F70"/>
      <c r="G70"/>
      <c r="J70" s="61"/>
      <c r="K70"/>
      <c r="L70" s="61"/>
      <c r="M70"/>
      <c r="N70"/>
      <c r="O70"/>
      <c r="Q70"/>
    </row>
    <row r="71" spans="1:17" x14ac:dyDescent="0.2">
      <c r="A71"/>
      <c r="B71"/>
      <c r="C71"/>
      <c r="D71"/>
      <c r="E71"/>
      <c r="G71"/>
      <c r="J71" s="61"/>
      <c r="K71"/>
      <c r="L71" s="61"/>
      <c r="M71"/>
      <c r="N71"/>
      <c r="O71"/>
      <c r="P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D16" sqref="D16"/>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4662</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4663</v>
      </c>
      <c r="B4" s="1"/>
      <c r="C4" s="44"/>
      <c r="D4" s="44"/>
      <c r="E4" s="44"/>
      <c r="F4" s="44"/>
      <c r="G4" s="44"/>
      <c r="H4" s="44"/>
      <c r="I4" s="44"/>
      <c r="J4" s="44"/>
      <c r="K4" s="44"/>
      <c r="L4" s="44"/>
      <c r="M4" s="44"/>
      <c r="N4" s="44"/>
      <c r="O4" s="44"/>
      <c r="P4" s="44"/>
    </row>
    <row r="5" spans="1:16" x14ac:dyDescent="0.2">
      <c r="A5" s="79" t="s">
        <v>38</v>
      </c>
      <c r="B5" s="80">
        <f>Main!D3</f>
        <v>0</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4664</v>
      </c>
      <c r="J6" s="77">
        <f>Temperature</f>
        <v>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cm="1">
        <f t="array" ref="C11">_xlfn.XLOOKUP(
  TEXT(Temperature, "0"),
  DaqbookOffsets[#Headers],
  _xlfn.XLOOKUP(C10, DaqbookOffsets[Point], DaqbookOffsets[]),
  "No match",
  1
  )</f>
        <v>0.1</v>
      </c>
      <c r="D11" s="143" cm="1">
        <f t="array" ref="D11">_xlfn.XLOOKUP(
  TEXT(Temperature, "0"),
  DaqbookOffsets[#Headers],
  _xlfn.XLOOKUP(D10, DaqbookOffsets[Point], DaqbookOffsets[]),
  "No match",
  1
  )</f>
        <v>-0.2</v>
      </c>
      <c r="E11" s="143" cm="1">
        <f t="array" ref="E11">_xlfn.XLOOKUP(
  TEXT(Temperature, "0"),
  DaqbookOffsets[#Headers],
  _xlfn.XLOOKUP(E10, DaqbookOffsets[Point], DaqbookOffsets[]),
  "No match",
  1
  )</f>
        <v>-0.1</v>
      </c>
      <c r="F11" s="143" cm="1">
        <f t="array" ref="F11">_xlfn.XLOOKUP(
  TEXT(Temperature, "0"),
  DaqbookOffsets[#Headers],
  _xlfn.XLOOKUP(F10, DaqbookOffsets[Point], DaqbookOffsets[]),
  "No match",
  1
  )</f>
        <v>0</v>
      </c>
      <c r="G11" s="143" cm="1">
        <f t="array" ref="G11">_xlfn.XLOOKUP(
  TEXT(Temperature, "0"),
  DaqbookOffsets[#Headers],
  _xlfn.XLOOKUP(G10, DaqbookOffsets[Point], DaqbookOffsets[]),
  "No match",
  1
  )</f>
        <v>0</v>
      </c>
      <c r="H11" s="143" cm="1">
        <f t="array" ref="H11">_xlfn.XLOOKUP(
  TEXT(Temperature, "0"),
  DaqbookOffsets[#Headers],
  _xlfn.XLOOKUP(H10, DaqbookOffsets[Point], DaqbookOffsets[]),
  "No match",
  1
  )</f>
        <v>0</v>
      </c>
      <c r="I11" s="143" cm="1">
        <f t="array" ref="I11">_xlfn.XLOOKUP(
  TEXT(Temperature, "0"),
  DaqbookOffsets[#Headers],
  _xlfn.XLOOKUP(I10, DaqbookOffsets[Point], DaqbookOffsets[]),
  "No match",
  1
  )</f>
        <v>-0.2</v>
      </c>
      <c r="J11" s="143" cm="1">
        <f t="array" ref="J11">_xlfn.XLOOKUP(
  TEXT(Temperature, "0"),
  DaqbookOffsets[#Headers],
  _xlfn.XLOOKUP(J10, DaqbookOffsets[Point], DaqbookOffsets[]),
  "No match",
  1
  )</f>
        <v>0</v>
      </c>
      <c r="K11" s="143" cm="1">
        <f t="array" ref="K11">_xlfn.XLOOKUP(
  TEXT(Temperature, "0"),
  DaqbookOffsets[#Headers],
  _xlfn.XLOOKUP(K10, DaqbookOffsets[Point], DaqbookOffsets[]),
  "No match",
  1
  )</f>
        <v>-0.1</v>
      </c>
      <c r="L11" s="143" cm="1">
        <f t="array" ref="L11">_xlfn.XLOOKUP(
  TEXT(Temperature, "0"),
  DaqbookOffsets[#Headers],
  _xlfn.XLOOKUP(L10, DaqbookOffsets[Point], DaqbookOffsets[]),
  "No match",
  1
  )</f>
        <v>-0.1</v>
      </c>
      <c r="M11" s="143" cm="1">
        <f t="array" ref="M11">_xlfn.XLOOKUP(
  TEXT(Temperature, "0"),
  DaqbookOffsets[#Headers],
  _xlfn.XLOOKUP(M10, DaqbookOffsets[Point], DaqbookOffsets[]),
  "No match",
  1
  )</f>
        <v>-0.1</v>
      </c>
      <c r="N11" s="143" cm="1">
        <f t="array" ref="N11">_xlfn.XLOOKUP(
  TEXT(Temperature, "0"),
  DaqbookOffsets[#Headers],
  _xlfn.XLOOKUP(N10, DaqbookOffsets[Point], DaqbookOffsets[]),
  "No match",
  1
  )</f>
        <v>-0.2</v>
      </c>
      <c r="O11" s="143" cm="1">
        <f t="array" ref="O11">_xlfn.XLOOKUP(
  TEXT(Temperature, "0"),
  DaqbookOffsets[#Headers],
  _xlfn.XLOOKUP(O10, DaqbookOffsets[Point], DaqbookOffsets[]),
  "No match",
  1
  )</f>
        <v>0</v>
      </c>
      <c r="P11" s="143" cm="1">
        <f t="array" ref="P11">_xlfn.XLOOKUP(
  TEXT(Temperature, "0"),
  DaqbookOffsets[#Headers],
  _xlfn.XLOOKUP(P10, DaqbookOffsets[Point], DaqbookOffsets[]),
  "No match",
  1
  )</f>
        <v>0.1</v>
      </c>
    </row>
    <row r="12" spans="1:16" x14ac:dyDescent="0.2">
      <c r="A12" s="44"/>
      <c r="B12" s="83" t="s">
        <v>42</v>
      </c>
      <c r="C12" s="143"/>
      <c r="D12" s="143"/>
      <c r="E12" s="143"/>
      <c r="F12" s="143"/>
      <c r="G12" s="143"/>
      <c r="H12" s="143"/>
      <c r="I12" s="143"/>
      <c r="J12" s="143"/>
      <c r="K12" s="143"/>
      <c r="L12" s="143"/>
      <c r="M12" s="143"/>
      <c r="N12" s="143"/>
      <c r="O12" s="143"/>
      <c r="P12" s="143"/>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cm="1">
        <f t="array" ref="C17">_xlfn.XLOOKUP(
  TEXT(Temperature, "0"),
  DaqbookOffsets[#Headers],
  _xlfn.XLOOKUP(C16, DaqbookOffsets[Point], DaqbookOffsets[]),
  "No match", 1
)</f>
        <v>-0.1</v>
      </c>
      <c r="D17" s="143" cm="1">
        <f t="array" ref="D17">_xlfn.XLOOKUP(
  TEXT(Temperature, "0"),
  DaqbookOffsets[#Headers],
  _xlfn.XLOOKUP(D16, DaqbookOffsets[Point], DaqbookOffsets[]),
  "No match", 1
)</f>
        <v>-0.2</v>
      </c>
      <c r="E17" s="143" cm="1">
        <f t="array" ref="E17">_xlfn.XLOOKUP(
  TEXT(Temperature, "0"),
  DaqbookOffsets[#Headers],
  _xlfn.XLOOKUP(E16, DaqbookOffsets[Point], DaqbookOffsets[]),
  "No match", 1
)</f>
        <v>0</v>
      </c>
      <c r="F17" s="143" cm="1">
        <f t="array" ref="F17">_xlfn.XLOOKUP(
  TEXT(Temperature, "0"),
  DaqbookOffsets[#Headers],
  _xlfn.XLOOKUP(F16, DaqbookOffsets[Point], DaqbookOffsets[]),
  "No match", 1
)</f>
        <v>0</v>
      </c>
      <c r="G17" s="143" cm="1">
        <f t="array" ref="G17">_xlfn.XLOOKUP(
  TEXT(Temperature, "0"),
  DaqbookOffsets[#Headers],
  _xlfn.XLOOKUP(G16, DaqbookOffsets[Point], DaqbookOffsets[]),
  "No match", 1
)</f>
        <v>-0.1</v>
      </c>
      <c r="H17" s="143" cm="1">
        <f t="array" ref="H17">_xlfn.XLOOKUP(
  TEXT(Temperature, "0"),
  DaqbookOffsets[#Headers],
  _xlfn.XLOOKUP(H16, DaqbookOffsets[Point], DaqbookOffsets[]),
  "No match", 1
)</f>
        <v>-0.1</v>
      </c>
      <c r="I17" s="143" cm="1">
        <f t="array" ref="I17">_xlfn.XLOOKUP(
  TEXT(Temperature, "0"),
  DaqbookOffsets[#Headers],
  _xlfn.XLOOKUP(I16, DaqbookOffsets[Point], DaqbookOffsets[]),
  "No match", 1
)</f>
        <v>-0.1</v>
      </c>
      <c r="J17" s="143" cm="1">
        <f t="array" ref="J17">_xlfn.XLOOKUP(
  TEXT(Temperature, "0"),
  DaqbookOffsets[#Headers],
  _xlfn.XLOOKUP(J16, DaqbookOffsets[Point], DaqbookOffsets[]),
  "No match", 1
)</f>
        <v>-0.2</v>
      </c>
      <c r="K17" s="143" cm="1">
        <f t="array" ref="K17">_xlfn.XLOOKUP(
  TEXT(Temperature, "0"),
  DaqbookOffsets[#Headers],
  _xlfn.XLOOKUP(K16, DaqbookOffsets[Point], DaqbookOffsets[]),
  "No match", 1
)</f>
        <v>-0.3</v>
      </c>
      <c r="L17" s="143" cm="1">
        <f t="array" ref="L17">_xlfn.XLOOKUP(
  TEXT(Temperature, "0"),
  DaqbookOffsets[#Headers],
  _xlfn.XLOOKUP(L16, DaqbookOffsets[Point], DaqbookOffsets[]),
  "No match", 1
)</f>
        <v>-0.1</v>
      </c>
      <c r="M17" s="143" cm="1">
        <f t="array" ref="M17">_xlfn.XLOOKUP(
  TEXT(Temperature, "0"),
  DaqbookOffsets[#Headers],
  _xlfn.XLOOKUP(M16, DaqbookOffsets[Point], DaqbookOffsets[]),
  "No match", 1
)</f>
        <v>-0.2</v>
      </c>
      <c r="N17" s="143" cm="1">
        <f t="array" ref="N17">_xlfn.XLOOKUP(
  TEXT(Temperature, "0"),
  DaqbookOffsets[#Headers],
  _xlfn.XLOOKUP(N16, DaqbookOffsets[Point], DaqbookOffsets[]),
  "No match", 1
)</f>
        <v>-0.1</v>
      </c>
      <c r="O17" s="143" cm="1">
        <f t="array" ref="O17">_xlfn.XLOOKUP(
  TEXT(Temperature, "0"),
  DaqbookOffsets[#Headers],
  _xlfn.XLOOKUP(O16, DaqbookOffsets[Point], DaqbookOffsets[]),
  "No match", 1
)</f>
        <v>0</v>
      </c>
      <c r="P17" s="143" cm="1">
        <f t="array" ref="P17">_xlfn.XLOOKUP(
  TEXT(Temperature, "0"),
  DaqbookOffsets[#Headers],
  _xlfn.XLOOKUP(P16, DaqbookOffsets[Point], DaqbookOffsets[]),
  "No match", 1
)</f>
        <v>0.1</v>
      </c>
    </row>
    <row r="18" spans="1:20" x14ac:dyDescent="0.2">
      <c r="A18" s="44"/>
      <c r="B18" s="83" t="s">
        <v>42</v>
      </c>
      <c r="C18" s="143"/>
      <c r="D18" s="143"/>
      <c r="E18" s="143"/>
      <c r="F18" s="143"/>
      <c r="G18" s="143"/>
      <c r="H18" s="143"/>
      <c r="I18" s="143"/>
      <c r="J18" s="143"/>
      <c r="K18" s="143"/>
      <c r="L18" s="143"/>
      <c r="M18" s="143"/>
      <c r="N18" s="143"/>
      <c r="O18" s="143"/>
      <c r="P18" s="143"/>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cm="1">
        <f t="array" ref="C23">_xlfn.XLOOKUP(
  TEXT(Temperature, "0"),
  DaqbookOffsets[#Headers],
  _xlfn.XLOOKUP(C22, DaqbookOffsets[Point], DaqbookOffsets[]),
  "No match", 1
)</f>
        <v>-0.2</v>
      </c>
      <c r="D23" s="143" cm="1">
        <f t="array" ref="D23">_xlfn.XLOOKUP(
  TEXT(Temperature, "0"),
  DaqbookOffsets[#Headers],
  _xlfn.XLOOKUP(D22, DaqbookOffsets[Point], DaqbookOffsets[]),
  "No match", 1
)</f>
        <v>-0.1</v>
      </c>
      <c r="E23" s="143" cm="1">
        <f t="array" ref="E23">_xlfn.XLOOKUP(
  TEXT(Temperature, "0"),
  DaqbookOffsets[#Headers],
  _xlfn.XLOOKUP(E22, DaqbookOffsets[Point], DaqbookOffsets[]),
  "No match", 1
)</f>
        <v>-0.4</v>
      </c>
      <c r="F23" s="143" cm="1">
        <f t="array" ref="F23">_xlfn.XLOOKUP(
  TEXT(Temperature, "0"),
  DaqbookOffsets[#Headers],
  _xlfn.XLOOKUP(F22, DaqbookOffsets[Point], DaqbookOffsets[]),
  "No match", 1
)</f>
        <v>-0.3</v>
      </c>
      <c r="G23" s="143" cm="1">
        <f t="array" ref="G23">_xlfn.XLOOKUP(
  TEXT(Temperature, "0"),
  DaqbookOffsets[#Headers],
  _xlfn.XLOOKUP(G22, DaqbookOffsets[Point], DaqbookOffsets[]),
  "No match", 1
)</f>
        <v>-0.3</v>
      </c>
      <c r="H23" s="143" cm="1">
        <f t="array" ref="H23">_xlfn.XLOOKUP(
  TEXT(Temperature, "0"),
  DaqbookOffsets[#Headers],
  _xlfn.XLOOKUP(H22, DaqbookOffsets[Point], DaqbookOffsets[]),
  "No match", 1
)</f>
        <v>-0.5</v>
      </c>
      <c r="I23" s="143" cm="1">
        <f t="array" ref="I23">_xlfn.XLOOKUP(
  TEXT(Temperature, "0"),
  DaqbookOffsets[#Headers],
  _xlfn.XLOOKUP(I22, DaqbookOffsets[Point], DaqbookOffsets[]),
  "No match", 1
)</f>
        <v>-0.2</v>
      </c>
      <c r="J23" s="143" cm="1">
        <f t="array" ref="J23">_xlfn.XLOOKUP(
  TEXT(Temperature, "0"),
  DaqbookOffsets[#Headers],
  _xlfn.XLOOKUP(J22, DaqbookOffsets[Point], DaqbookOffsets[]),
  "No match", 1
)</f>
        <v>-0.5</v>
      </c>
      <c r="K23" s="143" cm="1">
        <f t="array" ref="K23">_xlfn.XLOOKUP(
  TEXT(Temperature, "0"),
  DaqbookOffsets[#Headers],
  _xlfn.XLOOKUP(K22, DaqbookOffsets[Point], DaqbookOffsets[]),
  "No match", 1
)</f>
        <v>-0.1</v>
      </c>
      <c r="L23" s="143" cm="1">
        <f t="array" ref="L23">_xlfn.XLOOKUP(
  TEXT(Temperature, "0"),
  DaqbookOffsets[#Headers],
  _xlfn.XLOOKUP(L22, DaqbookOffsets[Point], DaqbookOffsets[]),
  "No match", 1
)</f>
        <v>-0.4</v>
      </c>
      <c r="M23" s="143" cm="1">
        <f t="array" ref="M23">_xlfn.XLOOKUP(
  TEXT(Temperature, "0"),
  DaqbookOffsets[#Headers],
  _xlfn.XLOOKUP(M22, DaqbookOffsets[Point], DaqbookOffsets[]),
  "No match", 1
)</f>
        <v>-0.3</v>
      </c>
      <c r="N23" s="143" cm="1">
        <f t="array" ref="N23">_xlfn.XLOOKUP(
  TEXT(Temperature, "0"),
  DaqbookOffsets[#Headers],
  _xlfn.XLOOKUP(N22, DaqbookOffsets[Point], DaqbookOffsets[]),
  "No match", 1
)</f>
        <v>-0.3</v>
      </c>
      <c r="O23" s="44"/>
      <c r="P23" s="44"/>
    </row>
    <row r="24" spans="1:20" x14ac:dyDescent="0.2">
      <c r="A24" s="44"/>
      <c r="B24" s="83" t="s">
        <v>42</v>
      </c>
      <c r="C24" s="143"/>
      <c r="D24" s="143"/>
      <c r="E24" s="143"/>
      <c r="F24" s="143"/>
      <c r="G24" s="143"/>
      <c r="H24" s="143"/>
      <c r="I24" s="143"/>
      <c r="J24" s="143"/>
      <c r="K24" s="143"/>
      <c r="L24" s="143"/>
      <c r="M24" s="143"/>
      <c r="N24" s="143"/>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2" t="s">
        <v>2498</v>
      </c>
      <c r="I28" s="662"/>
      <c r="J28" s="662"/>
      <c r="K28" s="662"/>
      <c r="L28" s="662"/>
      <c r="M28" s="662"/>
      <c r="N28" s="662"/>
      <c r="O28" s="662"/>
      <c r="P28" s="662"/>
      <c r="Q28" s="662"/>
      <c r="R28" s="662"/>
    </row>
    <row r="29" spans="1:20" x14ac:dyDescent="0.2">
      <c r="A29" s="651" t="s">
        <v>46</v>
      </c>
      <c r="B29" s="652"/>
      <c r="C29" s="65" t="str">
        <f>IF(Main!D48="","",Main!D48)</f>
        <v/>
      </c>
      <c r="D29" s="65" t="str">
        <f>IF(Main!E48="","",Main!E48)</f>
        <v/>
      </c>
      <c r="E29" s="65" t="str">
        <f>IF(Main!F48="","",Main!F48)</f>
        <v/>
      </c>
      <c r="F29" s="65" t="str">
        <f>IF(Main!G48="","",Main!G48)</f>
        <v/>
      </c>
      <c r="G29" s="466"/>
      <c r="H29" s="461" t="s">
        <v>2499</v>
      </c>
      <c r="I29" s="143" t="str">
        <f>IF(Main!N47="","",Main!N47)</f>
        <v>Periodic</v>
      </c>
      <c r="J29" s="670" t="s">
        <v>2500</v>
      </c>
      <c r="K29" s="671"/>
      <c r="L29" s="143" t="str">
        <f>IF(Main!R47="","",Main!R47)</f>
        <v>Air</v>
      </c>
    </row>
    <row r="30" spans="1:20" x14ac:dyDescent="0.2">
      <c r="A30" s="651" t="s">
        <v>47</v>
      </c>
      <c r="B30" s="652"/>
      <c r="C30" s="66" t="str">
        <f>IF(Main!D49="","",Main!D49)</f>
        <v/>
      </c>
      <c r="D30" s="66" t="str">
        <f>IF(Main!E49="","",Main!E49)</f>
        <v/>
      </c>
      <c r="E30" s="66" t="str">
        <f>IF(Main!F49="","",Main!F49)</f>
        <v/>
      </c>
      <c r="F30" s="66" t="str">
        <f>IF(Main!G49="","",Main!G49)</f>
        <v/>
      </c>
      <c r="G30" s="468"/>
      <c r="H30" s="663" t="s">
        <v>2486</v>
      </c>
      <c r="I30" s="663"/>
      <c r="J30" s="672" t="s">
        <v>4256</v>
      </c>
      <c r="K30" s="673"/>
      <c r="L30" s="674"/>
      <c r="M30" s="458"/>
      <c r="O30" s="664" t="s">
        <v>4259</v>
      </c>
      <c r="P30" s="665"/>
      <c r="Q30" s="666"/>
      <c r="T30" s="44"/>
    </row>
    <row r="31" spans="1:20" x14ac:dyDescent="0.2">
      <c r="A31" s="651" t="s">
        <v>48</v>
      </c>
      <c r="B31" s="652"/>
      <c r="C31" s="66" t="str">
        <f>IF(Main!D50="","",Main!D50)</f>
        <v/>
      </c>
      <c r="D31" s="66" t="str">
        <f>IF(Main!E50="","",Main!E50)</f>
        <v/>
      </c>
      <c r="E31" s="66" t="str">
        <f>IF(Main!F50="","",Main!F50)</f>
        <v/>
      </c>
      <c r="F31" s="66" t="str">
        <f>IF(Main!G50="","",Main!G50)</f>
        <v/>
      </c>
      <c r="G31" s="468"/>
      <c r="H31" s="381" t="s">
        <v>2501</v>
      </c>
      <c r="I31" s="402" t="e">
        <f>IF(Main!N49="","",Main!N49)</f>
        <v>#REF!</v>
      </c>
      <c r="J31" s="653" t="s">
        <v>4264</v>
      </c>
      <c r="K31" s="654"/>
      <c r="L31" s="655"/>
      <c r="M31" s="459" t="str">
        <f>IF(Main!S49="","",Main!S49)</f>
        <v/>
      </c>
      <c r="O31" s="667" t="s">
        <v>4266</v>
      </c>
      <c r="P31" s="668"/>
      <c r="Q31" s="669"/>
      <c r="R31" s="82" t="str">
        <f>IF(Main!X49="","",Main!X49)</f>
        <v/>
      </c>
      <c r="T31" s="44"/>
    </row>
    <row r="32" spans="1:20" ht="12.75" customHeight="1" x14ac:dyDescent="0.2">
      <c r="A32" s="651" t="s">
        <v>49</v>
      </c>
      <c r="B32" s="652"/>
      <c r="C32" s="65" t="str">
        <f>IF(Main!D51="","",Main!D51)</f>
        <v/>
      </c>
      <c r="D32" s="65" t="str">
        <f>IF(Main!E51="","",Main!E51)</f>
        <v/>
      </c>
      <c r="E32" s="65" t="str">
        <f>IF(Main!F51="","",Main!F51)</f>
        <v/>
      </c>
      <c r="F32" s="65" t="str">
        <f>IF(Main!G51="","",Main!G51)</f>
        <v/>
      </c>
      <c r="G32" s="466"/>
      <c r="H32" s="381" t="s">
        <v>3072</v>
      </c>
      <c r="I32" s="402" t="e">
        <f>IF(Main!N50="","",Main!N50)</f>
        <v>#REF!</v>
      </c>
      <c r="J32" s="656" t="s">
        <v>2489</v>
      </c>
      <c r="K32" s="657"/>
      <c r="L32" s="658"/>
      <c r="M32" s="441"/>
      <c r="O32" s="656" t="s">
        <v>2489</v>
      </c>
      <c r="P32" s="657"/>
      <c r="Q32" s="658"/>
      <c r="T32" s="44"/>
    </row>
    <row r="33" spans="1:20" ht="12.75" customHeight="1" x14ac:dyDescent="0.2">
      <c r="A33" s="651" t="s">
        <v>2502</v>
      </c>
      <c r="B33" s="652"/>
      <c r="C33" s="65" t="str">
        <f>IF(Main!D52="","",Main!D52)</f>
        <v/>
      </c>
      <c r="D33" s="65" t="str">
        <f>IF(Main!E52="","",Main!E52)</f>
        <v/>
      </c>
      <c r="E33" s="65" t="str">
        <f>IF(Main!F52="","",Main!F52)</f>
        <v/>
      </c>
      <c r="F33" s="65" t="str">
        <f>IF(Main!G52="","",Main!G52)</f>
        <v/>
      </c>
      <c r="G33" s="466"/>
      <c r="H33" s="381" t="s">
        <v>2503</v>
      </c>
      <c r="I33" s="402" t="e">
        <f>IF(Main!N51="","",Main!N51)</f>
        <v>#REF!</v>
      </c>
      <c r="J33" s="659" t="s">
        <v>4265</v>
      </c>
      <c r="K33" s="660"/>
      <c r="L33" s="661"/>
      <c r="M33" s="438" t="str">
        <f>IF(Main!S51="","",Main!S51)</f>
        <v/>
      </c>
      <c r="O33" s="659" t="s">
        <v>4267</v>
      </c>
      <c r="P33" s="660"/>
      <c r="Q33" s="661"/>
      <c r="R33" s="82" t="str">
        <f>IF(Main!X51="","",Main!X51)</f>
        <v/>
      </c>
      <c r="T33" s="44"/>
    </row>
    <row r="34" spans="1:20" ht="12.75" customHeight="1" x14ac:dyDescent="0.2">
      <c r="A34" s="651" t="s">
        <v>50</v>
      </c>
      <c r="B34" s="652"/>
      <c r="C34" s="67" t="str">
        <f>IF(Main!D53="","",Main!D53)</f>
        <v/>
      </c>
      <c r="D34" s="67" t="str">
        <f>IF(Main!E53="","",Main!E53)</f>
        <v/>
      </c>
      <c r="E34" s="67" t="str">
        <f>IF(Main!F53="","",Main!F53)</f>
        <v/>
      </c>
      <c r="F34" s="67" t="str">
        <f>IF(Main!G53="","",Main!G53)</f>
        <v/>
      </c>
      <c r="G34" s="469"/>
      <c r="H34" s="381" t="s">
        <v>2504</v>
      </c>
      <c r="I34" s="380" t="e">
        <f>IF(Main!N52="","",Main!N52)</f>
        <v>#REF!</v>
      </c>
      <c r="J34" s="656" t="s">
        <v>2489</v>
      </c>
      <c r="K34" s="657"/>
      <c r="L34" s="658"/>
      <c r="O34" s="656" t="s">
        <v>2489</v>
      </c>
      <c r="P34" s="657"/>
      <c r="Q34" s="658"/>
      <c r="T34" s="44"/>
    </row>
    <row r="35" spans="1:20" ht="12.75" customHeight="1" x14ac:dyDescent="0.2">
      <c r="A35" s="83"/>
      <c r="B35" s="85" t="s">
        <v>113</v>
      </c>
      <c r="C35" s="96" t="str">
        <f>IF(Main!D54="","",Main!D54)</f>
        <v/>
      </c>
      <c r="D35" s="96" t="str">
        <f>IF(Main!E54="","",Main!E54)</f>
        <v/>
      </c>
      <c r="E35" s="96" t="str">
        <f>IF(Main!F54="","",Main!F54)</f>
        <v/>
      </c>
      <c r="F35" s="96" t="str">
        <f>IF(Main!G54="","",Main!G54)</f>
        <v/>
      </c>
      <c r="G35" s="470"/>
      <c r="H35" s="381" t="s">
        <v>2504</v>
      </c>
      <c r="I35" s="380" t="e">
        <f>IF(Main!N53="","",Main!N53)</f>
        <v>#REF!</v>
      </c>
      <c r="J35" s="645" t="s">
        <v>4268</v>
      </c>
      <c r="K35" s="646"/>
      <c r="L35" s="647"/>
      <c r="M35" s="462" t="str">
        <f>IF(Main!S53="","",Main!S53)</f>
        <v/>
      </c>
      <c r="O35" s="645" t="s">
        <v>4269</v>
      </c>
      <c r="P35" s="646"/>
      <c r="Q35" s="647"/>
      <c r="R35" s="463" t="str">
        <f>IF(Main!X53="","",Main!X53)</f>
        <v/>
      </c>
    </row>
    <row r="36" spans="1:20" ht="13.5" thickBot="1" x14ac:dyDescent="0.25">
      <c r="B36" s="85" t="s">
        <v>2505</v>
      </c>
      <c r="C36" s="65" t="str">
        <f>IF(Main!D56="","",Main!D56)</f>
        <v/>
      </c>
      <c r="D36" s="65" t="str">
        <f>IF(Main!E56="","",Main!E56)</f>
        <v/>
      </c>
      <c r="E36" s="65" t="str">
        <f>IF(Main!F56="","",Main!F56)</f>
        <v/>
      </c>
      <c r="F36" s="65" t="str">
        <f>IF(Main!G56="","",Main!G56)</f>
        <v/>
      </c>
      <c r="G36" s="466"/>
      <c r="H36" s="467"/>
      <c r="J36" s="648"/>
      <c r="K36" s="649"/>
      <c r="L36" s="650"/>
      <c r="M36" s="457"/>
      <c r="O36" s="648"/>
      <c r="P36" s="649"/>
      <c r="Q36" s="650"/>
      <c r="T36" s="44"/>
    </row>
    <row r="37" spans="1:20" ht="13.5" thickBot="1" x14ac:dyDescent="0.25">
      <c r="B37" s="83" t="s">
        <v>2506</v>
      </c>
      <c r="C37" s="65" t="str">
        <f>IF(Main!D57="","",Main!D57)</f>
        <v/>
      </c>
      <c r="D37" s="65" t="str">
        <f>IF(Main!E57="","",Main!E57)</f>
        <v/>
      </c>
      <c r="E37" s="65" t="str">
        <f>IF(Main!F57="","",Main!F57)</f>
        <v/>
      </c>
      <c r="F37" s="65" t="str">
        <f>IF(Main!G57="","",Main!G57)</f>
        <v/>
      </c>
      <c r="G37" s="466"/>
      <c r="H37" s="467"/>
      <c r="J37" s="474" t="s">
        <v>2492</v>
      </c>
      <c r="K37" s="475" t="s">
        <v>26</v>
      </c>
      <c r="L37" s="476" t="s">
        <v>2493</v>
      </c>
      <c r="M37" s="457"/>
      <c r="O37" s="474" t="s">
        <v>2494</v>
      </c>
      <c r="P37" s="475" t="s">
        <v>26</v>
      </c>
      <c r="Q37" s="476" t="s">
        <v>2495</v>
      </c>
    </row>
    <row r="38" spans="1:20" ht="13.5" thickBot="1" x14ac:dyDescent="0.25">
      <c r="B38" s="52" t="s">
        <v>51</v>
      </c>
      <c r="J38" s="471" t="str">
        <f>IF(Main!P56="","",Main!P56)</f>
        <v/>
      </c>
      <c r="K38" s="472" t="str">
        <f>IF(Main!Q56="","",Main!Q56)</f>
        <v/>
      </c>
      <c r="L38" s="473" t="str">
        <f>IF(Main!R56="","",Main!R56)</f>
        <v/>
      </c>
      <c r="O38" s="471" t="str">
        <f>IF(Main!U56="","",Main!U56)</f>
        <v/>
      </c>
      <c r="P38" s="472" t="str">
        <f>IF(Main!V56="","",Main!V56)</f>
        <v/>
      </c>
      <c r="Q38" s="473" t="str">
        <f>IF(Main!W56="","",Main!W56)</f>
        <v/>
      </c>
    </row>
    <row r="39" spans="1:20" x14ac:dyDescent="0.2">
      <c r="B39" s="52" t="s">
        <v>2970</v>
      </c>
      <c r="M39" s="477"/>
    </row>
    <row r="40" spans="1:20" ht="15.75" x14ac:dyDescent="0.25">
      <c r="B40" s="456"/>
      <c r="C40" s="456"/>
      <c r="D40" s="456"/>
      <c r="E40" s="456"/>
      <c r="K40" s="83" t="s">
        <v>3674</v>
      </c>
      <c r="L40" t="str">
        <f>IF(Main!N54="","",Main!N54)</f>
        <v>0°F</v>
      </c>
      <c r="O40" s="83" t="s">
        <v>3676</v>
      </c>
      <c r="P40" t="str">
        <f>IF(Main!N56="","",Main!N56)</f>
        <v>0°F</v>
      </c>
    </row>
    <row r="41" spans="1:20" x14ac:dyDescent="0.2">
      <c r="K41" s="83" t="s">
        <v>3675</v>
      </c>
      <c r="L41" t="str">
        <f>IF(Main!N55="","",Main!N55)</f>
        <v>0°F</v>
      </c>
      <c r="O41" s="83" t="s">
        <v>3677</v>
      </c>
      <c r="P41" t="str">
        <f>IF(Main!N57="","",Main!N57)</f>
        <v>0°F</v>
      </c>
    </row>
    <row r="42" spans="1:20" ht="15.75" x14ac:dyDescent="0.25">
      <c r="C42" s="456"/>
      <c r="D42" s="456"/>
      <c r="E42" s="456"/>
      <c r="F42" s="456"/>
      <c r="G42" s="456"/>
      <c r="H42" s="456"/>
      <c r="I42" s="456"/>
      <c r="J42" s="456"/>
    </row>
    <row r="44" spans="1:20" x14ac:dyDescent="0.2">
      <c r="F44" s="2"/>
      <c r="G44" s="2"/>
    </row>
    <row r="45" spans="1:20" ht="12.75" customHeight="1" x14ac:dyDescent="0.2">
      <c r="F45" s="458"/>
    </row>
    <row r="46" spans="1:20" x14ac:dyDescent="0.2">
      <c r="F46" s="156"/>
    </row>
    <row r="47" spans="1:20" ht="12.75" customHeight="1" x14ac:dyDescent="0.2">
      <c r="F47" s="441"/>
    </row>
    <row r="48" spans="1:20" ht="12.75" customHeight="1" x14ac:dyDescent="0.2">
      <c r="F48" s="457"/>
    </row>
    <row r="50" spans="6:6" ht="15.75" customHeight="1" x14ac:dyDescent="0.2">
      <c r="F50" s="441"/>
    </row>
    <row r="51" spans="6:6" x14ac:dyDescent="0.2">
      <c r="F51" s="457"/>
    </row>
    <row r="52" spans="6:6" x14ac:dyDescent="0.2">
      <c r="F52" s="457"/>
    </row>
    <row r="54" spans="6:6" x14ac:dyDescent="0.2">
      <c r="F54" s="460"/>
    </row>
  </sheetData>
  <sheetProtection algorithmName="SHA-512" hashValue="JrUqVD71kzBBjAJGCZT1Yr5k3RPv9sAVOIFwN2FRy1yM2B9qSVghQs+uIsdMFcQHEa1GzWGglR6OJaPer+0l3Q==" saltValue="Fbisro2U3TCseaJhz2BLf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14" bestFit="1" customWidth="1"/>
    <col min="17" max="17" width="8.28515625" style="76" bestFit="1" customWidth="1"/>
    <col min="18" max="22" width="6" style="76" bestFit="1" customWidth="1"/>
    <col min="23" max="23" width="4.5703125" style="76" customWidth="1"/>
    <col min="24" max="31" width="6" style="76" bestFit="1" customWidth="1"/>
    <col min="32" max="32" width="9.85546875" style="516"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29"/>
      <c r="B1" s="530"/>
      <c r="C1" s="530"/>
      <c r="D1" s="530"/>
      <c r="E1" s="530" t="s">
        <v>97</v>
      </c>
      <c r="F1" s="530"/>
      <c r="G1" s="530"/>
      <c r="H1" s="530"/>
      <c r="I1" s="530"/>
      <c r="J1" s="530"/>
      <c r="K1" s="530"/>
      <c r="L1" s="530"/>
      <c r="M1" s="530"/>
      <c r="N1" s="531"/>
      <c r="O1" s="532"/>
      <c r="P1" s="511" t="s">
        <v>100</v>
      </c>
      <c r="Q1" s="72"/>
      <c r="R1" s="73"/>
      <c r="S1" s="73"/>
      <c r="T1" s="73"/>
      <c r="U1" s="73" t="s">
        <v>98</v>
      </c>
      <c r="V1" s="73"/>
      <c r="W1" s="73"/>
      <c r="X1" s="73"/>
      <c r="Y1" s="73"/>
      <c r="Z1" s="73"/>
      <c r="AA1" s="73"/>
      <c r="AB1" s="73"/>
      <c r="AC1" s="73"/>
      <c r="AD1" s="73"/>
      <c r="AE1" s="74"/>
      <c r="AF1" s="511" t="s">
        <v>100</v>
      </c>
      <c r="AG1" s="72"/>
      <c r="AH1" s="73"/>
      <c r="AI1" s="73"/>
      <c r="AJ1" s="73" t="s">
        <v>99</v>
      </c>
      <c r="AK1" s="73"/>
      <c r="AL1" s="73"/>
      <c r="AM1" s="73"/>
      <c r="AN1" s="73"/>
      <c r="AO1" s="73"/>
      <c r="AP1" s="73"/>
      <c r="AQ1" s="73"/>
      <c r="AR1" s="73"/>
      <c r="AS1" s="74"/>
    </row>
    <row r="2" spans="1:45" s="70" customFormat="1" ht="15" x14ac:dyDescent="0.25">
      <c r="A2" s="506"/>
      <c r="B2" s="506"/>
      <c r="C2" s="506"/>
      <c r="D2" s="506"/>
      <c r="E2" s="506"/>
      <c r="F2" s="506"/>
      <c r="G2" s="506"/>
      <c r="H2" s="506"/>
      <c r="I2" s="506"/>
      <c r="J2" s="506"/>
      <c r="K2" s="172"/>
      <c r="L2" s="61"/>
      <c r="M2" s="61"/>
      <c r="N2" s="61"/>
      <c r="O2" s="62"/>
      <c r="P2" s="512"/>
      <c r="Q2" s="61"/>
      <c r="R2" s="61"/>
      <c r="S2" s="61"/>
      <c r="T2" s="61"/>
      <c r="U2" s="61"/>
      <c r="V2" s="61"/>
      <c r="W2" s="61"/>
      <c r="X2" s="61"/>
      <c r="Y2" s="61"/>
      <c r="Z2" s="61"/>
      <c r="AA2" s="61"/>
      <c r="AB2" s="112"/>
      <c r="AC2" s="112"/>
      <c r="AD2" s="62"/>
      <c r="AE2" s="62"/>
      <c r="AF2" s="515"/>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512"/>
      <c r="Q3" s="61"/>
      <c r="R3" s="61"/>
      <c r="S3" s="61"/>
      <c r="T3" s="61"/>
      <c r="U3" s="61"/>
      <c r="V3" s="61"/>
      <c r="W3" s="61"/>
      <c r="X3" s="61"/>
      <c r="Y3" s="61"/>
      <c r="Z3" s="61"/>
      <c r="AA3" s="61"/>
      <c r="AB3" s="112"/>
      <c r="AC3" s="112"/>
      <c r="AD3" s="69"/>
      <c r="AE3" s="62"/>
      <c r="AF3" s="515"/>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513"/>
      <c r="Q4" s="510"/>
      <c r="R4" s="509"/>
      <c r="S4" s="509"/>
      <c r="T4" s="509"/>
      <c r="U4" s="509"/>
      <c r="V4" s="509"/>
      <c r="W4" s="509"/>
      <c r="X4" s="509"/>
      <c r="Y4" s="509"/>
      <c r="Z4" s="509"/>
      <c r="AA4" s="509"/>
      <c r="AB4" s="63"/>
      <c r="AC4" s="63"/>
      <c r="AD4" s="63"/>
      <c r="AE4" s="63"/>
      <c r="AF4" s="515"/>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512"/>
      <c r="Q5" s="510"/>
      <c r="R5" s="509"/>
      <c r="S5" s="509"/>
      <c r="T5" s="509"/>
      <c r="U5" s="509"/>
      <c r="V5" s="509"/>
      <c r="W5" s="509"/>
      <c r="X5" s="509"/>
      <c r="Y5" s="509"/>
      <c r="Z5" s="509"/>
      <c r="AA5" s="509"/>
      <c r="AB5" s="63"/>
      <c r="AC5" s="63"/>
      <c r="AD5" s="63"/>
      <c r="AE5" s="63"/>
      <c r="AF5" s="515"/>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512"/>
      <c r="Q6" s="510"/>
      <c r="R6" s="509"/>
      <c r="S6" s="509"/>
      <c r="T6" s="509"/>
      <c r="U6" s="509"/>
      <c r="V6" s="509"/>
      <c r="W6" s="509"/>
      <c r="X6" s="509"/>
      <c r="Y6" s="509"/>
      <c r="Z6" s="509"/>
      <c r="AA6" s="509"/>
      <c r="AB6" s="63"/>
      <c r="AC6" s="63"/>
      <c r="AD6" s="63"/>
      <c r="AE6" s="63"/>
      <c r="AF6" s="515"/>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512"/>
      <c r="Q7" s="510"/>
      <c r="R7" s="509"/>
      <c r="S7" s="509"/>
      <c r="T7" s="509"/>
      <c r="U7" s="509"/>
      <c r="V7" s="509"/>
      <c r="W7" s="509"/>
      <c r="X7" s="509"/>
      <c r="Y7" s="509"/>
      <c r="Z7" s="509"/>
      <c r="AA7" s="509"/>
      <c r="AB7" s="63"/>
      <c r="AC7" s="63"/>
      <c r="AD7" s="63"/>
      <c r="AE7" s="63"/>
      <c r="AF7" s="515"/>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512"/>
      <c r="Q8" s="510"/>
      <c r="R8" s="509"/>
      <c r="S8" s="509"/>
      <c r="T8" s="509"/>
      <c r="U8" s="509"/>
      <c r="V8" s="509"/>
      <c r="W8" s="509"/>
      <c r="X8" s="509"/>
      <c r="Y8" s="509"/>
      <c r="Z8" s="509"/>
      <c r="AA8" s="509"/>
      <c r="AB8" s="63"/>
      <c r="AC8" s="63"/>
      <c r="AD8" s="63"/>
      <c r="AE8" s="63"/>
      <c r="AF8" s="515"/>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512"/>
      <c r="Q9" s="510"/>
      <c r="R9" s="509"/>
      <c r="S9" s="509"/>
      <c r="T9" s="509"/>
      <c r="U9" s="509"/>
      <c r="V9" s="509"/>
      <c r="W9" s="509"/>
      <c r="X9" s="509"/>
      <c r="Y9" s="509"/>
      <c r="Z9" s="509"/>
      <c r="AA9" s="509"/>
      <c r="AB9" s="63"/>
      <c r="AC9" s="63"/>
      <c r="AD9" s="63"/>
      <c r="AE9" s="63"/>
      <c r="AF9" s="515"/>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512"/>
      <c r="Q10" s="510"/>
      <c r="R10" s="509"/>
      <c r="S10" s="509"/>
      <c r="T10" s="509"/>
      <c r="U10" s="509"/>
      <c r="V10" s="509"/>
      <c r="W10" s="509"/>
      <c r="X10" s="509"/>
      <c r="Y10" s="509"/>
      <c r="Z10" s="509"/>
      <c r="AA10" s="509"/>
      <c r="AB10" s="63"/>
      <c r="AC10" s="63"/>
      <c r="AD10" s="63"/>
      <c r="AE10" s="63"/>
      <c r="AF10" s="515"/>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512"/>
      <c r="Q11" s="510"/>
      <c r="R11" s="509"/>
      <c r="S11" s="509"/>
      <c r="T11" s="509"/>
      <c r="U11" s="509"/>
      <c r="V11" s="509"/>
      <c r="W11" s="509"/>
      <c r="X11" s="509"/>
      <c r="Y11" s="509"/>
      <c r="Z11" s="509"/>
      <c r="AA11" s="509"/>
      <c r="AB11" s="63"/>
      <c r="AC11" s="63"/>
      <c r="AD11" s="63"/>
      <c r="AE11" s="63"/>
      <c r="AF11" s="515"/>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512"/>
      <c r="Q12" s="510"/>
      <c r="R12" s="509"/>
      <c r="S12" s="509"/>
      <c r="T12" s="509"/>
      <c r="U12" s="509"/>
      <c r="V12" s="509"/>
      <c r="W12" s="509"/>
      <c r="X12" s="509"/>
      <c r="Y12" s="509"/>
      <c r="Z12" s="509"/>
      <c r="AA12" s="509"/>
      <c r="AB12" s="63"/>
      <c r="AC12" s="63"/>
      <c r="AD12" s="63"/>
      <c r="AE12" s="63"/>
      <c r="AF12" s="515"/>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512"/>
      <c r="Q13" s="510"/>
      <c r="R13" s="509"/>
      <c r="S13" s="509"/>
      <c r="T13" s="509"/>
      <c r="U13" s="509"/>
      <c r="V13" s="509"/>
      <c r="W13" s="509"/>
      <c r="X13" s="509"/>
      <c r="Y13" s="509"/>
      <c r="Z13" s="509"/>
      <c r="AA13" s="509"/>
      <c r="AB13" s="63"/>
      <c r="AC13" s="63"/>
      <c r="AD13" s="63"/>
      <c r="AE13" s="63"/>
      <c r="AF13" s="515"/>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512"/>
      <c r="Q14" s="510"/>
      <c r="R14" s="509"/>
      <c r="S14" s="509"/>
      <c r="T14" s="509"/>
      <c r="U14" s="509"/>
      <c r="V14" s="509"/>
      <c r="W14" s="509"/>
      <c r="X14" s="509"/>
      <c r="Y14" s="509"/>
      <c r="Z14" s="509"/>
      <c r="AA14" s="509"/>
      <c r="AB14" s="63"/>
      <c r="AC14" s="63"/>
      <c r="AD14" s="63"/>
      <c r="AE14" s="63"/>
      <c r="AF14" s="515"/>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512"/>
      <c r="Q15" s="510"/>
      <c r="R15" s="509"/>
      <c r="S15" s="509"/>
      <c r="T15" s="509"/>
      <c r="U15" s="509"/>
      <c r="V15" s="509"/>
      <c r="W15" s="509"/>
      <c r="X15" s="509"/>
      <c r="Y15" s="509"/>
      <c r="Z15" s="509"/>
      <c r="AA15" s="509"/>
      <c r="AB15" s="63"/>
      <c r="AC15" s="63"/>
      <c r="AD15" s="63"/>
      <c r="AE15" s="63"/>
      <c r="AF15" s="515"/>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512"/>
      <c r="Q16" s="510"/>
      <c r="R16" s="509"/>
      <c r="S16" s="509"/>
      <c r="T16" s="509"/>
      <c r="U16" s="509"/>
      <c r="V16" s="509"/>
      <c r="W16" s="509"/>
      <c r="X16" s="509"/>
      <c r="Y16" s="509"/>
      <c r="Z16" s="509"/>
      <c r="AA16" s="509"/>
      <c r="AB16" s="63"/>
      <c r="AC16" s="63"/>
      <c r="AD16" s="63"/>
      <c r="AE16" s="63"/>
      <c r="AF16" s="515"/>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512"/>
      <c r="Q17" s="510"/>
      <c r="R17" s="509"/>
      <c r="S17" s="509"/>
      <c r="T17" s="509"/>
      <c r="U17" s="509"/>
      <c r="V17" s="509"/>
      <c r="W17" s="509"/>
      <c r="X17" s="509"/>
      <c r="Y17" s="509"/>
      <c r="Z17" s="509"/>
      <c r="AA17" s="509"/>
      <c r="AB17" s="63"/>
      <c r="AC17" s="63"/>
      <c r="AD17" s="63"/>
      <c r="AE17" s="63"/>
      <c r="AF17" s="515"/>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512"/>
      <c r="Q18" s="510"/>
      <c r="R18" s="509"/>
      <c r="S18" s="509"/>
      <c r="T18" s="509"/>
      <c r="U18" s="509"/>
      <c r="V18" s="509"/>
      <c r="W18" s="509"/>
      <c r="X18" s="509"/>
      <c r="Y18" s="509"/>
      <c r="Z18" s="509"/>
      <c r="AA18" s="509"/>
      <c r="AB18" s="63"/>
      <c r="AC18" s="63"/>
      <c r="AD18" s="63"/>
      <c r="AE18" s="63"/>
      <c r="AF18" s="515"/>
      <c r="AG18" s="112"/>
      <c r="AH18" s="63"/>
      <c r="AI18" s="63"/>
      <c r="AJ18" s="63"/>
      <c r="AK18" s="63"/>
      <c r="AL18" s="63"/>
      <c r="AM18" s="63"/>
      <c r="AN18" s="63"/>
      <c r="AO18" s="63"/>
      <c r="AP18" s="63"/>
      <c r="AQ18" s="63"/>
      <c r="AR18" s="63"/>
      <c r="AS18" s="63"/>
    </row>
    <row r="19" spans="1:45" ht="15" x14ac:dyDescent="0.25">
      <c r="A19" s="507"/>
      <c r="B19" s="508"/>
      <c r="C19" s="508"/>
      <c r="D19" s="508"/>
      <c r="E19" s="508"/>
      <c r="F19" s="508"/>
      <c r="G19" s="508"/>
      <c r="H19" s="508"/>
      <c r="I19" s="508"/>
      <c r="J19" s="508"/>
      <c r="K19" s="508"/>
      <c r="L19" s="508"/>
      <c r="M19" s="508"/>
      <c r="N19" s="509"/>
      <c r="O19" s="112"/>
      <c r="P19" s="512"/>
      <c r="Q19" s="510"/>
      <c r="R19" s="509"/>
      <c r="S19" s="509"/>
      <c r="T19" s="509"/>
      <c r="U19" s="509"/>
      <c r="V19" s="509"/>
      <c r="W19" s="509"/>
      <c r="X19" s="509"/>
      <c r="Y19" s="509"/>
      <c r="Z19" s="509"/>
      <c r="AA19" s="509"/>
      <c r="AB19" s="63"/>
      <c r="AC19" s="63"/>
      <c r="AD19" s="63"/>
      <c r="AE19" s="63"/>
      <c r="AF19" s="515"/>
      <c r="AG19" s="112"/>
      <c r="AH19" s="63"/>
      <c r="AI19" s="63"/>
      <c r="AJ19" s="63"/>
      <c r="AK19" s="63"/>
      <c r="AL19" s="63"/>
      <c r="AM19" s="63"/>
      <c r="AN19" s="63"/>
      <c r="AO19" s="63"/>
      <c r="AP19" s="63"/>
      <c r="AQ19" s="63"/>
      <c r="AR19" s="63"/>
      <c r="AS19" s="63"/>
    </row>
    <row r="20" spans="1:45" ht="15" x14ac:dyDescent="0.25">
      <c r="A20" s="506"/>
      <c r="B20" s="508"/>
      <c r="C20" s="508"/>
      <c r="D20" s="508"/>
      <c r="E20" s="508"/>
      <c r="F20" s="508"/>
      <c r="G20" s="508"/>
      <c r="H20" s="508"/>
      <c r="I20" s="508"/>
      <c r="J20" s="508"/>
      <c r="K20" s="508"/>
      <c r="L20" s="508"/>
      <c r="M20" s="508"/>
      <c r="N20" s="509"/>
      <c r="O20" s="112"/>
      <c r="P20" s="512"/>
      <c r="Q20" s="112"/>
      <c r="R20" s="112"/>
      <c r="S20" s="112"/>
      <c r="T20" s="112"/>
      <c r="U20" s="112"/>
      <c r="V20" s="112"/>
      <c r="W20" s="112"/>
      <c r="X20" s="112"/>
      <c r="Y20" s="112"/>
      <c r="Z20" s="112"/>
      <c r="AA20" s="112"/>
      <c r="AB20" s="63"/>
      <c r="AC20" s="63"/>
      <c r="AD20" s="63"/>
      <c r="AE20" s="63"/>
      <c r="AF20" s="515"/>
      <c r="AG20" s="112"/>
      <c r="AH20" s="63"/>
      <c r="AI20" s="63"/>
      <c r="AJ20" s="63"/>
      <c r="AK20" s="63"/>
      <c r="AL20" s="63"/>
      <c r="AM20" s="63"/>
      <c r="AN20" s="63"/>
      <c r="AO20" s="63"/>
      <c r="AP20" s="63"/>
      <c r="AQ20" s="63"/>
      <c r="AR20" s="63"/>
      <c r="AS20" s="63"/>
    </row>
    <row r="21" spans="1:45" ht="15" x14ac:dyDescent="0.25">
      <c r="A21" s="507"/>
      <c r="B21" s="508"/>
      <c r="C21" s="508"/>
      <c r="D21" s="508"/>
      <c r="E21" s="508"/>
      <c r="F21" s="508"/>
      <c r="G21" s="508"/>
      <c r="H21" s="508"/>
      <c r="I21" s="508"/>
      <c r="J21" s="508"/>
      <c r="K21" s="508"/>
      <c r="L21" s="508"/>
      <c r="M21" s="508"/>
      <c r="N21" s="509"/>
      <c r="O21" s="112"/>
      <c r="P21" s="512"/>
      <c r="Q21" s="112"/>
      <c r="R21" s="112"/>
      <c r="S21" s="112"/>
      <c r="T21" s="112"/>
      <c r="U21" s="112"/>
      <c r="V21" s="112"/>
      <c r="W21" s="112"/>
      <c r="X21" s="112"/>
      <c r="Y21" s="112"/>
      <c r="Z21" s="112"/>
      <c r="AA21" s="112"/>
      <c r="AB21" s="63"/>
      <c r="AC21" s="63"/>
      <c r="AD21" s="63"/>
      <c r="AE21" s="63"/>
      <c r="AF21" s="515"/>
      <c r="AG21" s="112"/>
      <c r="AH21" s="63"/>
      <c r="AI21" s="63"/>
      <c r="AJ21" s="63"/>
      <c r="AK21" s="63"/>
      <c r="AL21" s="63"/>
      <c r="AM21" s="63"/>
      <c r="AN21" s="63"/>
      <c r="AO21" s="63"/>
      <c r="AP21" s="63"/>
      <c r="AQ21" s="63"/>
      <c r="AR21" s="63"/>
      <c r="AS21" s="63"/>
    </row>
    <row r="22" spans="1:45" ht="15" x14ac:dyDescent="0.25">
      <c r="A22" s="506"/>
      <c r="B22" s="508"/>
      <c r="C22" s="508"/>
      <c r="D22" s="508"/>
      <c r="E22" s="508"/>
      <c r="F22" s="508"/>
      <c r="G22" s="508"/>
      <c r="H22" s="508"/>
      <c r="I22" s="508"/>
      <c r="J22" s="508"/>
      <c r="K22" s="508"/>
      <c r="L22" s="508"/>
      <c r="M22" s="508"/>
      <c r="N22" s="509"/>
      <c r="O22" s="112"/>
      <c r="P22" s="512"/>
      <c r="Q22" s="112"/>
      <c r="R22" s="112"/>
      <c r="S22" s="112"/>
      <c r="T22" s="112"/>
      <c r="U22" s="112"/>
      <c r="V22" s="112"/>
      <c r="W22" s="112"/>
      <c r="X22" s="112"/>
      <c r="Y22" s="112"/>
      <c r="Z22" s="112"/>
      <c r="AA22" s="112"/>
      <c r="AB22" s="63"/>
      <c r="AC22" s="63"/>
      <c r="AD22" s="63"/>
      <c r="AE22" s="63"/>
      <c r="AF22" s="515"/>
      <c r="AG22" s="112"/>
      <c r="AH22" s="63"/>
      <c r="AI22" s="63"/>
      <c r="AJ22" s="63"/>
      <c r="AK22" s="63"/>
      <c r="AL22" s="63"/>
      <c r="AM22" s="63"/>
      <c r="AN22" s="63"/>
      <c r="AO22" s="63"/>
      <c r="AP22" s="63"/>
      <c r="AQ22" s="63"/>
      <c r="AR22" s="63"/>
      <c r="AS22" s="63"/>
    </row>
    <row r="23" spans="1:45" ht="15" x14ac:dyDescent="0.25">
      <c r="A23" s="507"/>
      <c r="B23" s="508"/>
      <c r="C23" s="508"/>
      <c r="D23" s="508"/>
      <c r="E23" s="508"/>
      <c r="F23" s="508"/>
      <c r="G23" s="508"/>
      <c r="H23" s="508"/>
      <c r="I23" s="508"/>
      <c r="J23" s="508"/>
      <c r="K23" s="508"/>
      <c r="L23" s="508"/>
      <c r="M23" s="508"/>
      <c r="N23" s="509"/>
      <c r="O23" s="112"/>
      <c r="P23" s="512"/>
      <c r="Q23" s="112"/>
      <c r="R23" s="112"/>
      <c r="S23" s="112"/>
      <c r="T23" s="112"/>
      <c r="U23" s="112"/>
      <c r="V23" s="112"/>
      <c r="W23" s="112"/>
      <c r="X23" s="112"/>
      <c r="Y23" s="112"/>
      <c r="Z23" s="112"/>
      <c r="AA23" s="112"/>
      <c r="AB23" s="63"/>
      <c r="AC23" s="63"/>
      <c r="AD23" s="63"/>
      <c r="AE23" s="63"/>
      <c r="AF23" s="515"/>
      <c r="AG23" s="112"/>
      <c r="AH23" s="63"/>
      <c r="AI23" s="63"/>
      <c r="AJ23" s="63"/>
      <c r="AK23" s="63"/>
      <c r="AL23" s="63"/>
      <c r="AM23" s="63"/>
      <c r="AN23" s="63"/>
      <c r="AO23" s="63"/>
      <c r="AP23" s="63"/>
      <c r="AQ23" s="63"/>
      <c r="AR23" s="63"/>
      <c r="AS23" s="63"/>
    </row>
    <row r="24" spans="1:45" ht="15" x14ac:dyDescent="0.25">
      <c r="A24" s="506"/>
      <c r="B24" s="508"/>
      <c r="C24" s="508"/>
      <c r="D24" s="508"/>
      <c r="E24" s="508"/>
      <c r="F24" s="508"/>
      <c r="G24" s="508"/>
      <c r="H24" s="508"/>
      <c r="I24" s="508"/>
      <c r="J24" s="508"/>
      <c r="K24" s="508"/>
      <c r="L24" s="508"/>
      <c r="M24" s="508"/>
      <c r="N24" s="509"/>
      <c r="O24" s="112"/>
      <c r="P24" s="512"/>
      <c r="Q24" s="112"/>
      <c r="R24" s="112"/>
      <c r="S24" s="112"/>
      <c r="T24" s="112"/>
      <c r="U24" s="112"/>
      <c r="V24" s="112"/>
      <c r="W24" s="112"/>
      <c r="X24" s="112"/>
      <c r="Y24" s="112"/>
      <c r="Z24" s="112"/>
      <c r="AA24" s="112"/>
      <c r="AB24" s="63"/>
      <c r="AC24" s="63"/>
      <c r="AD24" s="63"/>
      <c r="AE24" s="63"/>
      <c r="AF24" s="515"/>
      <c r="AG24" s="112"/>
      <c r="AH24" s="63"/>
      <c r="AI24" s="63"/>
      <c r="AJ24" s="63"/>
      <c r="AK24" s="63"/>
      <c r="AL24" s="63"/>
      <c r="AM24" s="63"/>
      <c r="AN24" s="63"/>
      <c r="AO24" s="63"/>
      <c r="AP24" s="63"/>
      <c r="AQ24" s="63"/>
      <c r="AR24" s="63"/>
      <c r="AS24" s="63"/>
    </row>
    <row r="25" spans="1:45" ht="15" x14ac:dyDescent="0.25">
      <c r="A25" s="507"/>
      <c r="B25" s="508"/>
      <c r="C25" s="508"/>
      <c r="D25" s="508"/>
      <c r="E25" s="508"/>
      <c r="F25" s="508"/>
      <c r="G25" s="508"/>
      <c r="H25" s="508"/>
      <c r="I25" s="508"/>
      <c r="J25" s="508"/>
      <c r="K25" s="508"/>
      <c r="L25" s="508"/>
      <c r="M25" s="508"/>
      <c r="N25" s="509"/>
      <c r="O25" s="112"/>
      <c r="P25" s="512"/>
      <c r="Q25" s="115"/>
      <c r="R25" s="112"/>
      <c r="S25" s="112"/>
      <c r="T25" s="112"/>
      <c r="U25" s="112"/>
      <c r="V25" s="112"/>
      <c r="W25" s="112"/>
      <c r="X25" s="112"/>
      <c r="Y25" s="112"/>
      <c r="Z25" s="112"/>
      <c r="AA25" s="112"/>
      <c r="AB25" s="63"/>
      <c r="AC25" s="63"/>
      <c r="AD25" s="63"/>
      <c r="AE25" s="63"/>
      <c r="AF25" s="515"/>
      <c r="AG25" s="112"/>
      <c r="AH25" s="63"/>
      <c r="AI25" s="63"/>
      <c r="AJ25" s="63"/>
      <c r="AK25" s="63"/>
      <c r="AL25" s="63"/>
      <c r="AM25" s="63"/>
      <c r="AN25" s="63"/>
      <c r="AO25" s="63"/>
      <c r="AP25" s="63"/>
      <c r="AQ25" s="63"/>
      <c r="AR25" s="63"/>
      <c r="AS25" s="63"/>
    </row>
    <row r="26" spans="1:45" ht="15" x14ac:dyDescent="0.25">
      <c r="A26" s="506"/>
      <c r="B26" s="508"/>
      <c r="C26" s="508"/>
      <c r="D26" s="508"/>
      <c r="E26" s="508"/>
      <c r="F26" s="508"/>
      <c r="G26" s="508"/>
      <c r="H26" s="508"/>
      <c r="I26" s="508"/>
      <c r="J26" s="508"/>
      <c r="K26" s="508"/>
      <c r="L26" s="508"/>
      <c r="M26" s="508"/>
      <c r="N26" s="509"/>
      <c r="O26" s="112"/>
      <c r="P26" s="512"/>
      <c r="Q26" s="115"/>
      <c r="R26" s="112"/>
      <c r="S26" s="112"/>
      <c r="T26" s="112"/>
      <c r="U26" s="112"/>
      <c r="V26" s="112"/>
      <c r="W26" s="112"/>
      <c r="X26" s="112"/>
      <c r="Y26" s="112"/>
      <c r="Z26" s="112"/>
      <c r="AA26" s="112"/>
      <c r="AB26" s="63"/>
      <c r="AC26" s="63"/>
      <c r="AD26" s="63"/>
      <c r="AE26" s="63"/>
      <c r="AF26" s="515"/>
      <c r="AG26" s="112"/>
      <c r="AH26" s="63"/>
      <c r="AI26" s="63"/>
      <c r="AJ26" s="63"/>
      <c r="AK26" s="63"/>
      <c r="AL26" s="63"/>
      <c r="AM26" s="63"/>
      <c r="AN26" s="63"/>
      <c r="AO26" s="63"/>
      <c r="AP26" s="63"/>
      <c r="AQ26" s="63"/>
      <c r="AR26" s="63"/>
      <c r="AS26" s="63"/>
    </row>
    <row r="27" spans="1:45" ht="15" x14ac:dyDescent="0.25">
      <c r="A27" s="507"/>
      <c r="B27" s="508"/>
      <c r="C27" s="508"/>
      <c r="D27" s="508"/>
      <c r="E27" s="508"/>
      <c r="F27" s="508"/>
      <c r="G27" s="508"/>
      <c r="H27" s="508"/>
      <c r="I27" s="508"/>
      <c r="J27" s="508"/>
      <c r="K27" s="508"/>
      <c r="L27" s="508"/>
      <c r="M27" s="508"/>
      <c r="N27" s="509"/>
      <c r="O27" s="112"/>
      <c r="P27" s="512"/>
      <c r="Q27" s="112"/>
      <c r="R27" s="112"/>
      <c r="S27" s="112"/>
      <c r="T27" s="112"/>
      <c r="U27" s="112"/>
      <c r="V27" s="112"/>
      <c r="W27" s="112"/>
      <c r="X27" s="112"/>
      <c r="Y27" s="112"/>
      <c r="Z27" s="112"/>
      <c r="AA27" s="112"/>
      <c r="AB27" s="63"/>
      <c r="AC27" s="63"/>
      <c r="AD27" s="63"/>
      <c r="AE27" s="63"/>
      <c r="AF27" s="515"/>
      <c r="AG27" s="115"/>
      <c r="AH27" s="63"/>
      <c r="AI27" s="63"/>
      <c r="AJ27" s="63"/>
      <c r="AK27" s="63"/>
      <c r="AL27" s="63"/>
      <c r="AM27" s="63"/>
      <c r="AN27" s="63"/>
      <c r="AO27" s="63"/>
      <c r="AP27" s="63"/>
      <c r="AQ27" s="63"/>
      <c r="AR27" s="63"/>
      <c r="AS27" s="63"/>
    </row>
    <row r="28" spans="1:45" ht="15" x14ac:dyDescent="0.25">
      <c r="A28" s="506"/>
      <c r="B28" s="508"/>
      <c r="C28" s="508"/>
      <c r="D28" s="508"/>
      <c r="E28" s="508"/>
      <c r="F28" s="508"/>
      <c r="G28" s="508"/>
      <c r="H28" s="508"/>
      <c r="I28" s="508"/>
      <c r="J28" s="508"/>
      <c r="K28" s="508"/>
      <c r="L28" s="508"/>
      <c r="M28" s="508"/>
      <c r="N28" s="509"/>
      <c r="O28" s="112"/>
      <c r="P28" s="512"/>
      <c r="Q28" s="112"/>
      <c r="R28" s="112"/>
      <c r="S28" s="112"/>
      <c r="T28" s="112"/>
      <c r="U28" s="112"/>
      <c r="V28" s="112"/>
      <c r="W28" s="112"/>
      <c r="X28" s="112"/>
      <c r="Y28" s="112"/>
      <c r="Z28" s="112"/>
      <c r="AA28" s="112"/>
      <c r="AB28" s="63"/>
      <c r="AC28" s="63"/>
      <c r="AD28" s="63"/>
      <c r="AE28" s="63"/>
      <c r="AF28" s="515"/>
      <c r="AG28" s="115"/>
      <c r="AH28" s="63"/>
      <c r="AI28" s="63"/>
      <c r="AJ28" s="63"/>
      <c r="AK28" s="63"/>
      <c r="AL28" s="63"/>
      <c r="AM28" s="63"/>
      <c r="AN28" s="63"/>
      <c r="AO28" s="63"/>
      <c r="AP28" s="63"/>
      <c r="AQ28" s="63"/>
      <c r="AR28" s="63"/>
      <c r="AS28" s="63"/>
    </row>
    <row r="29" spans="1:45" ht="15" x14ac:dyDescent="0.25">
      <c r="A29" s="507"/>
      <c r="B29" s="508"/>
      <c r="C29" s="508"/>
      <c r="D29" s="508"/>
      <c r="E29" s="508"/>
      <c r="F29" s="508"/>
      <c r="G29" s="508"/>
      <c r="H29" s="508"/>
      <c r="I29" s="508"/>
      <c r="J29" s="508"/>
      <c r="K29" s="508"/>
      <c r="L29" s="508"/>
      <c r="M29" s="508"/>
      <c r="N29" s="509"/>
      <c r="O29" s="112"/>
      <c r="P29" s="512"/>
      <c r="Q29" s="112"/>
      <c r="R29" s="112"/>
      <c r="S29" s="112"/>
      <c r="T29" s="112"/>
      <c r="U29" s="112"/>
      <c r="V29" s="112"/>
      <c r="W29" s="112"/>
      <c r="X29" s="112"/>
      <c r="Y29" s="112"/>
      <c r="Z29" s="112"/>
      <c r="AA29" s="112"/>
      <c r="AB29" s="63"/>
      <c r="AC29" s="63"/>
      <c r="AD29" s="63"/>
      <c r="AE29" s="63"/>
      <c r="AF29" s="515"/>
      <c r="AG29" s="112"/>
      <c r="AH29" s="63"/>
      <c r="AI29" s="63"/>
      <c r="AJ29" s="63"/>
      <c r="AK29" s="63"/>
      <c r="AL29" s="63"/>
      <c r="AM29" s="63"/>
      <c r="AN29" s="63"/>
      <c r="AO29" s="63"/>
      <c r="AP29" s="63"/>
      <c r="AQ29" s="63"/>
      <c r="AR29" s="63"/>
      <c r="AS29" s="63"/>
    </row>
    <row r="30" spans="1:45" ht="15" x14ac:dyDescent="0.25">
      <c r="A30" s="506"/>
      <c r="B30" s="508"/>
      <c r="C30" s="508"/>
      <c r="D30" s="508"/>
      <c r="E30" s="508"/>
      <c r="F30" s="508"/>
      <c r="G30" s="508"/>
      <c r="H30" s="508"/>
      <c r="I30" s="508"/>
      <c r="J30" s="508"/>
      <c r="K30" s="508"/>
      <c r="L30" s="508"/>
      <c r="M30" s="508"/>
      <c r="N30" s="509"/>
      <c r="O30" s="112"/>
      <c r="P30" s="512"/>
      <c r="Q30" s="112"/>
      <c r="R30" s="112"/>
      <c r="S30" s="112"/>
      <c r="T30" s="112"/>
      <c r="U30" s="112"/>
      <c r="V30" s="112"/>
      <c r="W30" s="112"/>
      <c r="X30" s="112"/>
      <c r="Y30" s="112"/>
      <c r="Z30" s="112"/>
      <c r="AA30" s="112"/>
      <c r="AB30" s="63"/>
      <c r="AC30" s="63"/>
      <c r="AD30" s="63"/>
      <c r="AE30" s="63"/>
      <c r="AF30" s="515"/>
      <c r="AG30" s="112"/>
      <c r="AH30" s="63"/>
      <c r="AI30" s="63"/>
      <c r="AJ30" s="63"/>
      <c r="AK30" s="63"/>
      <c r="AL30" s="63"/>
      <c r="AM30" s="63"/>
      <c r="AN30" s="63"/>
      <c r="AO30" s="63"/>
      <c r="AP30" s="63"/>
      <c r="AQ30" s="63"/>
      <c r="AR30" s="63"/>
      <c r="AS30" s="63"/>
    </row>
    <row r="31" spans="1:45" ht="15" x14ac:dyDescent="0.25">
      <c r="A31" s="507"/>
      <c r="B31" s="508"/>
      <c r="C31" s="508"/>
      <c r="D31" s="508"/>
      <c r="E31" s="508"/>
      <c r="F31" s="508"/>
      <c r="G31" s="508"/>
      <c r="H31" s="508"/>
      <c r="I31" s="508"/>
      <c r="J31" s="508"/>
      <c r="K31" s="508"/>
      <c r="L31" s="508"/>
      <c r="M31" s="508"/>
      <c r="N31" s="509"/>
      <c r="O31" s="112"/>
      <c r="P31" s="512"/>
      <c r="Q31" s="112"/>
      <c r="R31" s="112"/>
      <c r="S31" s="112"/>
      <c r="T31" s="112"/>
      <c r="U31" s="112"/>
      <c r="V31" s="112"/>
      <c r="W31" s="112"/>
      <c r="X31" s="112"/>
      <c r="Y31" s="112"/>
      <c r="Z31" s="112"/>
      <c r="AA31" s="112"/>
      <c r="AB31" s="62"/>
      <c r="AC31" s="62"/>
      <c r="AD31" s="62"/>
      <c r="AE31" s="62"/>
      <c r="AF31" s="515"/>
      <c r="AG31" s="63"/>
      <c r="AH31" s="63"/>
      <c r="AI31" s="63"/>
      <c r="AJ31" s="63"/>
      <c r="AK31" s="63"/>
      <c r="AL31" s="63"/>
      <c r="AM31" s="63"/>
      <c r="AN31" s="63"/>
      <c r="AO31" s="63"/>
      <c r="AP31" s="63"/>
      <c r="AQ31" s="63"/>
      <c r="AR31" s="62"/>
      <c r="AS31" s="62"/>
    </row>
    <row r="32" spans="1:45" ht="15" x14ac:dyDescent="0.25">
      <c r="A32" s="506"/>
      <c r="B32" s="508"/>
      <c r="C32" s="508"/>
      <c r="D32" s="508"/>
      <c r="E32" s="508"/>
      <c r="F32" s="508"/>
      <c r="G32" s="508"/>
      <c r="H32" s="508"/>
      <c r="I32" s="508"/>
      <c r="J32" s="508"/>
      <c r="K32" s="508"/>
      <c r="L32" s="508"/>
      <c r="M32" s="508"/>
      <c r="N32" s="509"/>
      <c r="O32" s="112"/>
      <c r="P32" s="512"/>
      <c r="Q32" s="63"/>
      <c r="R32" s="63"/>
      <c r="S32" s="63"/>
      <c r="T32" s="63"/>
      <c r="U32" s="63"/>
      <c r="V32" s="63"/>
      <c r="W32" s="63"/>
      <c r="X32" s="63"/>
      <c r="Y32" s="63"/>
      <c r="Z32" s="63"/>
      <c r="AA32" s="63"/>
      <c r="AB32" s="62"/>
      <c r="AC32" s="62"/>
      <c r="AD32" s="62"/>
      <c r="AE32" s="62"/>
      <c r="AF32" s="515"/>
      <c r="AG32" s="63"/>
      <c r="AH32" s="63"/>
      <c r="AI32" s="63"/>
      <c r="AJ32" s="63"/>
      <c r="AK32" s="63"/>
      <c r="AL32" s="63"/>
      <c r="AM32" s="63"/>
      <c r="AN32" s="63"/>
      <c r="AO32" s="63"/>
      <c r="AP32" s="63"/>
      <c r="AQ32" s="63"/>
      <c r="AR32" s="62"/>
      <c r="AS32" s="62"/>
    </row>
    <row r="33" spans="1:45" ht="15" x14ac:dyDescent="0.25">
      <c r="A33" s="507"/>
      <c r="B33" s="508"/>
      <c r="C33" s="508"/>
      <c r="D33" s="508"/>
      <c r="E33" s="508"/>
      <c r="F33" s="508"/>
      <c r="G33" s="508"/>
      <c r="H33" s="508"/>
      <c r="I33" s="508"/>
      <c r="J33" s="508"/>
      <c r="K33" s="508"/>
      <c r="L33" s="508"/>
      <c r="M33" s="508"/>
      <c r="N33" s="509"/>
      <c r="O33" s="112"/>
      <c r="P33" s="512"/>
      <c r="Q33" s="63"/>
      <c r="R33" s="63"/>
      <c r="S33" s="63"/>
      <c r="T33" s="63"/>
      <c r="U33" s="63"/>
      <c r="V33" s="63"/>
      <c r="W33" s="63"/>
      <c r="X33" s="63"/>
      <c r="Y33" s="63"/>
      <c r="Z33" s="63"/>
      <c r="AA33" s="63"/>
      <c r="AB33" s="62"/>
      <c r="AC33" s="62"/>
      <c r="AD33" s="62"/>
      <c r="AE33" s="62"/>
      <c r="AF33" s="515"/>
      <c r="AG33" s="63"/>
      <c r="AH33" s="63"/>
      <c r="AI33" s="63"/>
      <c r="AJ33" s="63"/>
      <c r="AK33" s="63"/>
      <c r="AL33" s="63"/>
      <c r="AM33" s="63"/>
      <c r="AN33" s="63"/>
      <c r="AO33" s="63"/>
      <c r="AP33" s="63"/>
      <c r="AQ33" s="63"/>
      <c r="AR33" s="62"/>
      <c r="AS33" s="62"/>
    </row>
    <row r="34" spans="1:45" ht="15" x14ac:dyDescent="0.25">
      <c r="A34" s="506"/>
      <c r="B34" s="508"/>
      <c r="C34" s="508"/>
      <c r="D34" s="508"/>
      <c r="E34" s="508"/>
      <c r="F34" s="508"/>
      <c r="G34" s="508"/>
      <c r="H34" s="508"/>
      <c r="I34" s="508"/>
      <c r="J34" s="508"/>
      <c r="K34" s="508"/>
      <c r="L34" s="508"/>
      <c r="M34" s="508"/>
      <c r="N34" s="509"/>
      <c r="O34" s="112"/>
      <c r="P34" s="512"/>
      <c r="Q34" s="63"/>
      <c r="R34" s="63"/>
      <c r="S34" s="63"/>
      <c r="T34" s="63"/>
      <c r="U34" s="63"/>
      <c r="V34" s="63"/>
      <c r="W34" s="63"/>
      <c r="X34" s="63"/>
      <c r="Y34" s="63"/>
      <c r="Z34" s="63"/>
      <c r="AA34" s="63"/>
      <c r="AB34" s="62"/>
      <c r="AC34" s="62"/>
      <c r="AD34" s="62"/>
      <c r="AE34" s="62"/>
      <c r="AF34" s="515"/>
      <c r="AG34" s="63"/>
      <c r="AH34" s="63"/>
      <c r="AI34" s="63"/>
      <c r="AJ34" s="63"/>
      <c r="AK34" s="63"/>
      <c r="AL34" s="63"/>
      <c r="AM34" s="63"/>
      <c r="AN34" s="63"/>
      <c r="AO34" s="63"/>
      <c r="AP34" s="63"/>
      <c r="AQ34" s="63"/>
      <c r="AR34" s="62"/>
      <c r="AS34" s="62"/>
    </row>
    <row r="35" spans="1:45" ht="15" x14ac:dyDescent="0.25">
      <c r="A35" s="172"/>
      <c r="B35" s="508"/>
      <c r="C35" s="508"/>
      <c r="D35" s="508"/>
      <c r="E35" s="508"/>
      <c r="F35" s="508"/>
      <c r="G35" s="508"/>
      <c r="H35" s="508"/>
      <c r="I35" s="508"/>
      <c r="J35" s="508"/>
      <c r="K35" s="508"/>
      <c r="L35" s="508"/>
      <c r="M35" s="508"/>
      <c r="N35" s="112"/>
      <c r="O35" s="112"/>
      <c r="P35" s="512"/>
      <c r="Q35" s="63"/>
      <c r="R35" s="63"/>
      <c r="S35" s="63"/>
      <c r="T35" s="63"/>
      <c r="U35" s="63"/>
      <c r="V35" s="63"/>
      <c r="W35" s="63"/>
      <c r="X35" s="63"/>
      <c r="Y35" s="63"/>
      <c r="Z35" s="63"/>
      <c r="AA35" s="63"/>
      <c r="AB35" s="62"/>
      <c r="AC35" s="62"/>
      <c r="AD35" s="62"/>
      <c r="AE35" s="62"/>
      <c r="AF35" s="515"/>
      <c r="AG35" s="63"/>
      <c r="AH35" s="63"/>
      <c r="AI35" s="63"/>
      <c r="AJ35" s="63"/>
      <c r="AK35" s="63"/>
      <c r="AL35" s="63"/>
      <c r="AM35" s="63"/>
      <c r="AN35" s="63"/>
      <c r="AO35" s="63"/>
      <c r="AP35" s="63"/>
      <c r="AQ35" s="63"/>
      <c r="AR35" s="62"/>
      <c r="AS35" s="62"/>
    </row>
    <row r="36" spans="1:45" ht="15" x14ac:dyDescent="0.25">
      <c r="A36" s="172"/>
      <c r="B36" s="508"/>
      <c r="C36" s="508"/>
      <c r="D36" s="508"/>
      <c r="E36" s="508"/>
      <c r="F36" s="508"/>
      <c r="G36" s="508"/>
      <c r="H36" s="508"/>
      <c r="I36" s="508"/>
      <c r="J36" s="508"/>
      <c r="K36" s="508"/>
      <c r="L36" s="508"/>
      <c r="M36" s="508"/>
      <c r="N36" s="112"/>
      <c r="O36" s="112"/>
      <c r="P36" s="512"/>
      <c r="Q36" s="63"/>
      <c r="R36" s="63"/>
      <c r="S36" s="63"/>
      <c r="T36" s="63"/>
      <c r="U36" s="63"/>
      <c r="V36" s="63"/>
      <c r="W36" s="63"/>
      <c r="X36" s="63"/>
      <c r="Y36" s="63"/>
      <c r="Z36" s="63"/>
      <c r="AA36" s="63"/>
      <c r="AB36" s="62"/>
      <c r="AC36" s="62"/>
      <c r="AD36" s="62"/>
      <c r="AE36" s="62"/>
      <c r="AF36" s="515"/>
      <c r="AG36" s="63"/>
      <c r="AH36" s="63"/>
      <c r="AI36" s="63"/>
      <c r="AJ36" s="63"/>
      <c r="AK36" s="63"/>
      <c r="AL36" s="63"/>
      <c r="AM36" s="63"/>
      <c r="AN36" s="63"/>
      <c r="AO36" s="63"/>
      <c r="AP36" s="63"/>
      <c r="AQ36" s="63"/>
      <c r="AR36" s="62"/>
      <c r="AS36" s="62"/>
    </row>
    <row r="37" spans="1:45" ht="15" x14ac:dyDescent="0.25">
      <c r="A37" s="172"/>
      <c r="B37" s="508"/>
      <c r="C37" s="508"/>
      <c r="D37" s="508"/>
      <c r="E37" s="508"/>
      <c r="F37" s="508"/>
      <c r="G37" s="508"/>
      <c r="H37" s="508"/>
      <c r="I37" s="508"/>
      <c r="J37" s="508"/>
      <c r="K37" s="508"/>
      <c r="L37" s="508"/>
      <c r="M37" s="508"/>
      <c r="N37" s="112"/>
      <c r="O37" s="112"/>
      <c r="P37" s="512"/>
      <c r="Q37" s="63"/>
      <c r="R37" s="63"/>
      <c r="S37" s="63"/>
      <c r="T37" s="63"/>
      <c r="U37" s="63"/>
      <c r="V37" s="63"/>
      <c r="W37" s="63"/>
      <c r="X37" s="63"/>
      <c r="Y37" s="63"/>
      <c r="Z37" s="63"/>
      <c r="AA37" s="63"/>
      <c r="AB37" s="62"/>
      <c r="AC37" s="62"/>
      <c r="AD37" s="62"/>
      <c r="AE37" s="62"/>
      <c r="AF37" s="515"/>
      <c r="AG37" s="63"/>
      <c r="AH37" s="63"/>
      <c r="AI37" s="63"/>
      <c r="AJ37" s="63"/>
      <c r="AK37" s="63"/>
      <c r="AL37" s="63"/>
      <c r="AM37" s="63"/>
      <c r="AN37" s="63"/>
      <c r="AO37" s="63"/>
      <c r="AP37" s="63"/>
      <c r="AQ37" s="63"/>
      <c r="AR37" s="62"/>
      <c r="AS37" s="62"/>
    </row>
    <row r="38" spans="1:45" ht="15" x14ac:dyDescent="0.25">
      <c r="A38" s="172"/>
      <c r="B38" s="508"/>
      <c r="C38" s="508"/>
      <c r="D38" s="508"/>
      <c r="E38" s="508"/>
      <c r="F38" s="508"/>
      <c r="G38" s="508"/>
      <c r="H38" s="508"/>
      <c r="I38" s="508"/>
      <c r="J38" s="508"/>
      <c r="K38" s="508"/>
      <c r="L38" s="508"/>
      <c r="M38" s="508"/>
      <c r="N38" s="112"/>
      <c r="O38" s="112"/>
      <c r="P38" s="512"/>
      <c r="Q38" s="63"/>
      <c r="R38" s="63"/>
      <c r="S38" s="63"/>
      <c r="T38" s="63"/>
      <c r="U38" s="63"/>
      <c r="V38" s="63"/>
      <c r="W38" s="63"/>
      <c r="X38" s="63"/>
      <c r="Y38" s="63"/>
      <c r="Z38" s="63"/>
      <c r="AA38" s="63"/>
      <c r="AB38" s="62"/>
      <c r="AC38" s="62"/>
      <c r="AD38" s="62"/>
      <c r="AE38" s="62"/>
      <c r="AF38" s="515"/>
      <c r="AG38" s="63"/>
      <c r="AH38" s="63"/>
      <c r="AI38" s="63"/>
      <c r="AJ38" s="63"/>
      <c r="AK38" s="63"/>
      <c r="AL38" s="63"/>
      <c r="AM38" s="63"/>
      <c r="AN38" s="63"/>
      <c r="AO38" s="63"/>
      <c r="AP38" s="63"/>
      <c r="AQ38" s="63"/>
      <c r="AR38" s="62"/>
      <c r="AS38" s="62"/>
    </row>
    <row r="39" spans="1:45" ht="15" x14ac:dyDescent="0.25">
      <c r="A39" s="172"/>
      <c r="B39" s="508"/>
      <c r="C39" s="508"/>
      <c r="D39" s="508"/>
      <c r="E39" s="508"/>
      <c r="F39" s="508"/>
      <c r="G39" s="508"/>
      <c r="H39" s="508"/>
      <c r="I39" s="508"/>
      <c r="J39" s="508"/>
      <c r="K39" s="508"/>
      <c r="L39" s="508"/>
      <c r="M39" s="508"/>
      <c r="N39" s="112"/>
      <c r="O39" s="112"/>
      <c r="P39" s="512"/>
      <c r="Q39" s="63"/>
      <c r="R39" s="63"/>
      <c r="S39" s="63"/>
      <c r="T39" s="63"/>
      <c r="U39" s="63"/>
      <c r="V39" s="63"/>
      <c r="W39" s="63"/>
      <c r="X39" s="63"/>
      <c r="Y39" s="63"/>
      <c r="Z39" s="63"/>
      <c r="AA39" s="63"/>
      <c r="AB39" s="62"/>
      <c r="AC39" s="62"/>
      <c r="AD39" s="62"/>
      <c r="AE39" s="62"/>
      <c r="AF39" s="515"/>
      <c r="AG39" s="63"/>
      <c r="AH39" s="63"/>
      <c r="AI39" s="63"/>
      <c r="AJ39" s="63"/>
      <c r="AK39" s="63"/>
      <c r="AL39" s="63"/>
      <c r="AM39" s="63"/>
      <c r="AN39" s="63"/>
      <c r="AO39" s="63"/>
      <c r="AP39" s="63"/>
      <c r="AQ39" s="63"/>
      <c r="AR39" s="62"/>
      <c r="AS39" s="62"/>
    </row>
    <row r="40" spans="1:45" ht="15" x14ac:dyDescent="0.25">
      <c r="A40" s="173"/>
      <c r="B40" s="508"/>
      <c r="C40" s="508"/>
      <c r="D40" s="508"/>
      <c r="E40" s="508"/>
      <c r="F40" s="508"/>
      <c r="G40" s="508"/>
      <c r="H40" s="508"/>
      <c r="I40" s="508"/>
      <c r="J40" s="508"/>
      <c r="K40" s="508"/>
      <c r="L40" s="508"/>
      <c r="M40" s="508"/>
      <c r="N40" s="112"/>
      <c r="O40" s="112"/>
      <c r="P40" s="512"/>
      <c r="Q40" s="63"/>
      <c r="R40" s="63"/>
      <c r="S40" s="63"/>
      <c r="T40" s="63"/>
      <c r="U40" s="63"/>
      <c r="V40" s="63"/>
      <c r="W40" s="63"/>
      <c r="X40" s="63"/>
      <c r="Y40" s="63"/>
      <c r="Z40" s="63"/>
      <c r="AA40" s="63"/>
      <c r="AB40" s="62"/>
      <c r="AC40" s="62"/>
      <c r="AD40" s="62"/>
      <c r="AE40" s="62"/>
      <c r="AF40" s="515"/>
      <c r="AG40" s="63"/>
      <c r="AH40" s="63"/>
      <c r="AI40" s="63"/>
      <c r="AJ40" s="63"/>
      <c r="AK40" s="63"/>
      <c r="AL40" s="63"/>
      <c r="AM40" s="63"/>
      <c r="AN40" s="63"/>
      <c r="AO40" s="63"/>
      <c r="AP40" s="63"/>
      <c r="AQ40" s="63"/>
      <c r="AR40" s="62"/>
      <c r="AS40" s="62"/>
    </row>
    <row r="41" spans="1:45" ht="15" x14ac:dyDescent="0.25">
      <c r="A41" s="173"/>
      <c r="B41" s="508"/>
      <c r="C41" s="508"/>
      <c r="D41" s="508"/>
      <c r="E41" s="508"/>
      <c r="F41" s="508"/>
      <c r="G41" s="508"/>
      <c r="H41" s="508"/>
      <c r="I41" s="508"/>
      <c r="J41" s="508"/>
      <c r="K41" s="508"/>
      <c r="L41" s="508"/>
      <c r="M41" s="508"/>
      <c r="N41" s="112"/>
      <c r="O41" s="112"/>
      <c r="P41" s="512"/>
      <c r="Q41" s="63"/>
      <c r="R41" s="63"/>
      <c r="S41" s="63"/>
      <c r="T41" s="63"/>
      <c r="U41" s="63"/>
      <c r="V41" s="63"/>
      <c r="W41" s="63"/>
      <c r="X41" s="63"/>
      <c r="Y41" s="63"/>
      <c r="Z41" s="63"/>
      <c r="AA41" s="63"/>
      <c r="AB41" s="62"/>
      <c r="AC41" s="62"/>
      <c r="AD41" s="62"/>
      <c r="AE41" s="62"/>
      <c r="AF41" s="515"/>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512"/>
      <c r="Q42" s="63"/>
      <c r="R42" s="63"/>
      <c r="S42" s="63"/>
      <c r="T42" s="63"/>
      <c r="U42" s="63"/>
      <c r="V42" s="63"/>
      <c r="W42" s="63"/>
      <c r="X42" s="63"/>
      <c r="Y42" s="63"/>
      <c r="Z42" s="63"/>
      <c r="AA42" s="63"/>
      <c r="AB42" s="62"/>
      <c r="AC42" s="62"/>
      <c r="AD42" s="62"/>
      <c r="AE42" s="62"/>
      <c r="AF42" s="515"/>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512"/>
      <c r="Q43" s="63"/>
      <c r="R43" s="63"/>
      <c r="S43" s="63"/>
      <c r="T43" s="63"/>
      <c r="U43" s="63"/>
      <c r="V43" s="63"/>
      <c r="W43" s="63"/>
      <c r="X43" s="63"/>
      <c r="Y43" s="63"/>
      <c r="Z43" s="63"/>
      <c r="AA43" s="63"/>
      <c r="AB43" s="62"/>
      <c r="AC43" s="62"/>
      <c r="AD43" s="62"/>
      <c r="AE43" s="62"/>
      <c r="AF43" s="515"/>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512"/>
      <c r="Q44" s="63"/>
      <c r="R44" s="63"/>
      <c r="S44" s="63"/>
      <c r="T44" s="63"/>
      <c r="U44" s="63"/>
      <c r="V44" s="63"/>
      <c r="W44" s="63"/>
      <c r="X44" s="63"/>
      <c r="Y44" s="63"/>
      <c r="Z44" s="63"/>
      <c r="AA44" s="63"/>
      <c r="AB44" s="62"/>
      <c r="AC44" s="62"/>
      <c r="AD44" s="62"/>
      <c r="AE44" s="62"/>
      <c r="AF44" s="515"/>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512"/>
      <c r="Q45" s="63"/>
      <c r="R45" s="63"/>
      <c r="S45" s="63"/>
      <c r="T45" s="63"/>
      <c r="U45" s="63"/>
      <c r="V45" s="63"/>
      <c r="W45" s="63"/>
      <c r="X45" s="63"/>
      <c r="Y45" s="63"/>
      <c r="Z45" s="63"/>
      <c r="AA45" s="63"/>
      <c r="AB45" s="62"/>
      <c r="AC45" s="62"/>
      <c r="AD45" s="62"/>
      <c r="AE45" s="62"/>
      <c r="AF45" s="515"/>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512"/>
      <c r="Q46" s="63"/>
      <c r="R46" s="63"/>
      <c r="S46" s="63"/>
      <c r="T46" s="63"/>
      <c r="U46" s="63"/>
      <c r="V46" s="63"/>
      <c r="W46" s="63"/>
      <c r="X46" s="63"/>
      <c r="Y46" s="63"/>
      <c r="Z46" s="63"/>
      <c r="AA46" s="63"/>
      <c r="AB46" s="62"/>
      <c r="AC46" s="62"/>
      <c r="AD46" s="62"/>
      <c r="AE46" s="62"/>
      <c r="AF46" s="515"/>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512"/>
      <c r="Q47" s="63"/>
      <c r="R47" s="63"/>
      <c r="S47" s="63"/>
      <c r="T47" s="63"/>
      <c r="U47" s="63"/>
      <c r="V47" s="63"/>
      <c r="W47" s="63"/>
      <c r="X47" s="63"/>
      <c r="Y47" s="63"/>
      <c r="Z47" s="63"/>
      <c r="AA47" s="63"/>
      <c r="AB47" s="62"/>
      <c r="AC47" s="62"/>
      <c r="AD47" s="62"/>
      <c r="AE47" s="62"/>
      <c r="AF47" s="515"/>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512"/>
      <c r="Q48" s="63"/>
      <c r="R48" s="63"/>
      <c r="S48" s="63"/>
      <c r="T48" s="63"/>
      <c r="U48" s="63"/>
      <c r="V48" s="63"/>
      <c r="W48" s="63"/>
      <c r="X48" s="63"/>
      <c r="Y48" s="63"/>
      <c r="Z48" s="63"/>
      <c r="AA48" s="63"/>
      <c r="AB48" s="62"/>
      <c r="AC48" s="62"/>
      <c r="AD48" s="62"/>
      <c r="AE48" s="62"/>
      <c r="AF48" s="515"/>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512"/>
      <c r="Q49" s="63"/>
      <c r="R49" s="63"/>
      <c r="S49" s="63"/>
      <c r="T49" s="63"/>
      <c r="U49" s="63"/>
      <c r="V49" s="63"/>
      <c r="W49" s="63"/>
      <c r="X49" s="63"/>
      <c r="Y49" s="63"/>
      <c r="Z49" s="63"/>
      <c r="AA49" s="63"/>
      <c r="AB49" s="62"/>
      <c r="AC49" s="62"/>
      <c r="AD49" s="62"/>
      <c r="AE49" s="62"/>
      <c r="AF49" s="515"/>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512"/>
      <c r="Q50" s="63"/>
      <c r="R50" s="63"/>
      <c r="S50" s="63"/>
      <c r="T50" s="63"/>
      <c r="U50" s="63"/>
      <c r="V50" s="63"/>
      <c r="W50" s="63"/>
      <c r="X50" s="63"/>
      <c r="Y50" s="63"/>
      <c r="Z50" s="63"/>
      <c r="AA50" s="63"/>
      <c r="AB50" s="62"/>
      <c r="AC50" s="62"/>
      <c r="AD50" s="62"/>
      <c r="AE50" s="62"/>
      <c r="AF50" s="515"/>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512"/>
      <c r="Q51" s="63"/>
      <c r="R51" s="63"/>
      <c r="S51" s="63"/>
      <c r="T51" s="63"/>
      <c r="U51" s="63"/>
      <c r="V51" s="63"/>
      <c r="W51" s="63"/>
      <c r="X51" s="63"/>
      <c r="Y51" s="63"/>
      <c r="Z51" s="63"/>
      <c r="AA51" s="63"/>
      <c r="AB51" s="62"/>
      <c r="AC51" s="62"/>
      <c r="AD51" s="62"/>
      <c r="AE51" s="62"/>
      <c r="AF51" s="515"/>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512"/>
      <c r="Q52" s="63"/>
      <c r="R52" s="63"/>
      <c r="S52" s="63"/>
      <c r="T52" s="63"/>
      <c r="U52" s="63"/>
      <c r="V52" s="63"/>
      <c r="W52" s="63"/>
      <c r="X52" s="63"/>
      <c r="Y52" s="63"/>
      <c r="Z52" s="63"/>
      <c r="AA52" s="63"/>
      <c r="AB52" s="62"/>
      <c r="AC52" s="62"/>
      <c r="AD52" s="62"/>
      <c r="AE52" s="62"/>
      <c r="AF52" s="515"/>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512"/>
      <c r="Q53" s="63"/>
      <c r="R53" s="63"/>
      <c r="S53" s="63"/>
      <c r="T53" s="63"/>
      <c r="U53" s="63"/>
      <c r="V53" s="63"/>
      <c r="W53" s="63"/>
      <c r="X53" s="63"/>
      <c r="Y53" s="63"/>
      <c r="Z53" s="63"/>
      <c r="AA53" s="63"/>
      <c r="AB53" s="62"/>
      <c r="AC53" s="62"/>
      <c r="AD53" s="62"/>
      <c r="AE53" s="62"/>
      <c r="AF53" s="515"/>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512"/>
      <c r="Q54" s="64"/>
      <c r="R54" s="61"/>
      <c r="S54" s="61"/>
      <c r="T54" s="61"/>
      <c r="U54" s="61"/>
      <c r="V54" s="61"/>
      <c r="W54" s="61"/>
      <c r="X54" s="61"/>
      <c r="Y54" s="61"/>
      <c r="Z54" s="61"/>
      <c r="AA54" s="61"/>
      <c r="AB54" s="62"/>
      <c r="AC54" s="62"/>
      <c r="AD54" s="62"/>
      <c r="AE54" s="62"/>
      <c r="AF54" s="515"/>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S+0QkCBC+bZZ+qAy2f3XPF6XuHGpaBexadvYoEHUnNbkCsJK2WwILbbbMGJc3SHiml05sz0XfvFBM38eMRKM0g==" saltValue="2B5jjnp4AlCwe00cTOwtU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5" t="s">
        <v>76</v>
      </c>
      <c r="B1" s="630"/>
      <c r="C1" s="630"/>
      <c r="D1" s="630"/>
      <c r="E1" s="40" t="s">
        <v>187</v>
      </c>
      <c r="G1" s="630" t="s">
        <v>89</v>
      </c>
      <c r="H1" s="630"/>
      <c r="K1" t="s">
        <v>120</v>
      </c>
      <c r="M1" t="s">
        <v>121</v>
      </c>
      <c r="O1" t="s">
        <v>152</v>
      </c>
      <c r="Q1" t="s">
        <v>161</v>
      </c>
      <c r="S1" t="s">
        <v>167</v>
      </c>
      <c r="U1" s="44" t="s">
        <v>201</v>
      </c>
      <c r="W1" s="44" t="s">
        <v>205</v>
      </c>
      <c r="Y1" s="44" t="s">
        <v>262</v>
      </c>
      <c r="AA1" s="44" t="s">
        <v>263</v>
      </c>
      <c r="AC1" s="44" t="s">
        <v>610</v>
      </c>
      <c r="AE1" s="88" t="s">
        <v>2959</v>
      </c>
      <c r="AG1" s="41" t="s">
        <v>2966</v>
      </c>
    </row>
    <row r="2" spans="1:33" x14ac:dyDescent="0.2">
      <c r="A2" s="40" t="s">
        <v>71</v>
      </c>
      <c r="B2" s="40" t="s">
        <v>72</v>
      </c>
      <c r="C2" s="40">
        <v>807408</v>
      </c>
      <c r="D2" s="40" t="s">
        <v>92</v>
      </c>
      <c r="E2" s="40">
        <v>40</v>
      </c>
      <c r="G2" t="s">
        <v>93</v>
      </c>
      <c r="H2" t="s">
        <v>92</v>
      </c>
      <c r="K2" t="s">
        <v>111</v>
      </c>
      <c r="M2" t="s">
        <v>122</v>
      </c>
      <c r="Q2" t="s">
        <v>162</v>
      </c>
      <c r="S2" t="s">
        <v>108</v>
      </c>
      <c r="U2" s="44" t="s">
        <v>202</v>
      </c>
      <c r="W2">
        <f>IF(Main!D32 = 10, 5, IF(Main!D32 = 30, 15, IF(Main!D32 = 40, 20, 0)))</f>
        <v>0</v>
      </c>
      <c r="Y2" t="s">
        <v>237</v>
      </c>
      <c r="AC2" s="44" t="s">
        <v>612</v>
      </c>
      <c r="AE2" s="44" t="s">
        <v>2960</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2456</v>
      </c>
      <c r="Y3" t="s">
        <v>238</v>
      </c>
      <c r="AC3" s="44" t="s">
        <v>611</v>
      </c>
      <c r="AE3" s="44" t="s">
        <v>4183</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203</v>
      </c>
      <c r="Y4" t="s">
        <v>239</v>
      </c>
      <c r="AE4" s="44" t="s">
        <v>2483</v>
      </c>
      <c r="AG4" s="44" t="str">
        <v>Jesse Regehr</v>
      </c>
    </row>
    <row r="5" spans="1:33" x14ac:dyDescent="0.2">
      <c r="A5" s="40" t="s">
        <v>61</v>
      </c>
      <c r="B5" s="40" t="s">
        <v>73</v>
      </c>
      <c r="C5" s="40">
        <v>236720</v>
      </c>
      <c r="D5" s="40" t="s">
        <v>90</v>
      </c>
      <c r="E5" s="40">
        <v>40</v>
      </c>
      <c r="K5" s="95">
        <v>283372</v>
      </c>
      <c r="M5" t="s">
        <v>136</v>
      </c>
      <c r="O5" t="s">
        <v>178</v>
      </c>
      <c r="Q5" t="s">
        <v>164</v>
      </c>
      <c r="U5" s="44" t="s">
        <v>138</v>
      </c>
      <c r="Y5" t="s">
        <v>240</v>
      </c>
      <c r="AG5" s="44" t="str">
        <v>Joey Craig</v>
      </c>
    </row>
    <row r="6" spans="1:33" x14ac:dyDescent="0.2">
      <c r="A6" s="40" t="s">
        <v>74</v>
      </c>
      <c r="B6" s="40" t="s">
        <v>72</v>
      </c>
      <c r="C6" s="40">
        <v>807621</v>
      </c>
      <c r="D6" s="40" t="s">
        <v>90</v>
      </c>
      <c r="E6" s="40">
        <v>40</v>
      </c>
      <c r="K6" t="s">
        <v>142</v>
      </c>
      <c r="O6" t="s">
        <v>134</v>
      </c>
      <c r="Q6" s="44" t="s">
        <v>4180</v>
      </c>
      <c r="U6" s="44" t="s">
        <v>139</v>
      </c>
      <c r="Y6" t="s">
        <v>241</v>
      </c>
      <c r="AG6" s="44" t="str">
        <v>Joey Knutson</v>
      </c>
    </row>
    <row r="7" spans="1:33" x14ac:dyDescent="0.2">
      <c r="A7" s="40" t="s">
        <v>75</v>
      </c>
      <c r="B7" s="40" t="s">
        <v>72</v>
      </c>
      <c r="C7" s="40">
        <v>807409</v>
      </c>
      <c r="D7" s="40" t="s">
        <v>90</v>
      </c>
      <c r="E7" s="40">
        <v>40</v>
      </c>
      <c r="O7" t="s">
        <v>156</v>
      </c>
      <c r="Q7" s="44" t="s">
        <v>4181</v>
      </c>
      <c r="U7" s="44" t="s">
        <v>204</v>
      </c>
      <c r="Y7" t="s">
        <v>242</v>
      </c>
      <c r="AG7" s="44" t="str">
        <v>Kevin Ferrante</v>
      </c>
    </row>
    <row r="8" spans="1:33" x14ac:dyDescent="0.2">
      <c r="A8" s="40" t="s">
        <v>140</v>
      </c>
      <c r="B8" s="97" t="s">
        <v>72</v>
      </c>
      <c r="C8" s="97">
        <v>808005</v>
      </c>
      <c r="D8" s="40" t="s">
        <v>90</v>
      </c>
      <c r="E8" s="40">
        <v>28</v>
      </c>
      <c r="O8" t="s">
        <v>155</v>
      </c>
      <c r="Q8" s="44" t="s">
        <v>4182</v>
      </c>
      <c r="U8" t="str">
        <f>IF(AND(Main!D17&lt;&gt;"",Main!D17&gt;14),"Data_Sheet_15_28","")</f>
        <v/>
      </c>
      <c r="Y8" t="s">
        <v>243</v>
      </c>
      <c r="AE8" s="88" t="s">
        <v>2961</v>
      </c>
      <c r="AG8" s="44" t="str">
        <v>Matt Coleman</v>
      </c>
    </row>
    <row r="9" spans="1:33" x14ac:dyDescent="0.2">
      <c r="A9" s="139" t="s">
        <v>188</v>
      </c>
      <c r="B9" s="84" t="s">
        <v>72</v>
      </c>
      <c r="C9" s="40">
        <v>808173</v>
      </c>
      <c r="D9" s="84" t="s">
        <v>90</v>
      </c>
      <c r="E9" s="40">
        <v>40</v>
      </c>
      <c r="O9" t="s">
        <v>18</v>
      </c>
      <c r="U9" t="str">
        <f>IF(AND(Main!D17&lt;&gt;"",Main!D17&gt;28),"Data_Sheet_29_40","")</f>
        <v/>
      </c>
      <c r="Y9" t="s">
        <v>244</v>
      </c>
      <c r="AE9" s="44" t="s">
        <v>2485</v>
      </c>
      <c r="AG9" s="44" t="str">
        <v>Mike Ragonese</v>
      </c>
    </row>
    <row r="10" spans="1:33" x14ac:dyDescent="0.2">
      <c r="A10" s="40" t="s">
        <v>144</v>
      </c>
      <c r="B10" s="40" t="s">
        <v>72</v>
      </c>
      <c r="C10" s="40">
        <v>807702</v>
      </c>
      <c r="D10" s="40" t="s">
        <v>91</v>
      </c>
      <c r="E10" s="40">
        <v>28</v>
      </c>
      <c r="O10" t="s">
        <v>154</v>
      </c>
      <c r="Y10" t="s">
        <v>246</v>
      </c>
      <c r="AE10" s="44" t="s">
        <v>2962</v>
      </c>
      <c r="AG10" s="44" t="str">
        <v>Nick Nolte</v>
      </c>
    </row>
    <row r="11" spans="1:33" x14ac:dyDescent="0.2">
      <c r="A11" s="40" t="s">
        <v>141</v>
      </c>
      <c r="B11" s="40" t="s">
        <v>72</v>
      </c>
      <c r="C11" s="40">
        <v>808004</v>
      </c>
      <c r="D11" s="40" t="s">
        <v>91</v>
      </c>
      <c r="E11" s="40">
        <v>28</v>
      </c>
      <c r="O11" t="s">
        <v>158</v>
      </c>
      <c r="Y11" s="44" t="s">
        <v>583</v>
      </c>
      <c r="AE11" s="44" t="s">
        <v>164</v>
      </c>
      <c r="AG11" t="str">
        <v>Ryan Byars</v>
      </c>
    </row>
    <row r="12" spans="1:33" x14ac:dyDescent="0.2">
      <c r="O12" t="s">
        <v>157</v>
      </c>
      <c r="Y12" s="44" t="s">
        <v>3959</v>
      </c>
      <c r="AE12" s="44" t="s">
        <v>2963</v>
      </c>
    </row>
    <row r="13" spans="1:33" x14ac:dyDescent="0.2">
      <c r="O13" s="44" t="s">
        <v>4177</v>
      </c>
      <c r="Y13" t="s">
        <v>247</v>
      </c>
      <c r="AE13" s="44" t="s">
        <v>2964</v>
      </c>
    </row>
    <row r="14" spans="1:33" x14ac:dyDescent="0.2">
      <c r="Y14" t="s">
        <v>248</v>
      </c>
      <c r="AE14" s="44" t="s">
        <v>2965</v>
      </c>
    </row>
    <row r="15" spans="1:33" x14ac:dyDescent="0.2">
      <c r="Y15" t="s">
        <v>249</v>
      </c>
      <c r="AE15" s="44" t="s">
        <v>4140</v>
      </c>
    </row>
    <row r="16" spans="1:33" x14ac:dyDescent="0.2">
      <c r="B16" s="47"/>
      <c r="C16" s="47"/>
      <c r="D16" s="47"/>
      <c r="E16" s="47"/>
      <c r="F16" s="47"/>
      <c r="G16" s="47"/>
      <c r="H16" s="47"/>
      <c r="I16" s="47"/>
      <c r="J16" s="47"/>
      <c r="K16" s="47"/>
      <c r="L16" s="47"/>
      <c r="M16" s="47"/>
      <c r="O16" s="47"/>
      <c r="Y16" t="s">
        <v>250</v>
      </c>
    </row>
    <row r="17" spans="25:25" x14ac:dyDescent="0.2">
      <c r="Y17" s="44" t="s">
        <v>645</v>
      </c>
    </row>
    <row r="18" spans="25:25" x14ac:dyDescent="0.2">
      <c r="Y18" t="s">
        <v>251</v>
      </c>
    </row>
    <row r="19" spans="25:25" x14ac:dyDescent="0.2">
      <c r="Y19" t="s">
        <v>252</v>
      </c>
    </row>
    <row r="20" spans="25:25" x14ac:dyDescent="0.2">
      <c r="Y20" t="s">
        <v>253</v>
      </c>
    </row>
    <row r="21" spans="25:25" x14ac:dyDescent="0.2">
      <c r="Y21" t="s">
        <v>254</v>
      </c>
    </row>
    <row r="22" spans="25:25" x14ac:dyDescent="0.2">
      <c r="Y22" t="s">
        <v>255</v>
      </c>
    </row>
    <row r="23" spans="25:25" x14ac:dyDescent="0.2">
      <c r="Y23" s="44" t="s">
        <v>593</v>
      </c>
    </row>
    <row r="24" spans="25:25" x14ac:dyDescent="0.2">
      <c r="Y24" s="44" t="s">
        <v>605</v>
      </c>
    </row>
    <row r="25" spans="25:25" x14ac:dyDescent="0.2">
      <c r="Y25" s="44" t="s">
        <v>2480</v>
      </c>
    </row>
    <row r="26" spans="25:25" x14ac:dyDescent="0.2">
      <c r="Y26" t="s">
        <v>256</v>
      </c>
    </row>
    <row r="27" spans="25:25" x14ac:dyDescent="0.2">
      <c r="Y27" t="s">
        <v>257</v>
      </c>
    </row>
    <row r="28" spans="25:25" x14ac:dyDescent="0.2">
      <c r="Y28" s="44" t="s">
        <v>606</v>
      </c>
    </row>
    <row r="29" spans="25:25" x14ac:dyDescent="0.2">
      <c r="Y29" t="s">
        <v>227</v>
      </c>
    </row>
    <row r="30" spans="25:25" x14ac:dyDescent="0.2">
      <c r="Y30" s="44" t="s">
        <v>684</v>
      </c>
    </row>
    <row r="31" spans="25:25" x14ac:dyDescent="0.2">
      <c r="Y31" t="s">
        <v>229</v>
      </c>
    </row>
    <row r="32" spans="25:25" x14ac:dyDescent="0.2">
      <c r="Y32" t="s">
        <v>232</v>
      </c>
    </row>
    <row r="33" spans="25:25" x14ac:dyDescent="0.2">
      <c r="Y33" t="s">
        <v>235</v>
      </c>
    </row>
    <row r="34" spans="25:25" x14ac:dyDescent="0.2">
      <c r="Y34" t="s">
        <v>236</v>
      </c>
    </row>
    <row r="35" spans="25:25" x14ac:dyDescent="0.2">
      <c r="Y35" s="44" t="s">
        <v>613</v>
      </c>
    </row>
  </sheetData>
  <sheetProtection algorithmName="SHA-512" hashValue="J1vSmHk32HzwIjEvDP5am7/cfZlMTcsklqelhKa5q3d8iSICQxr8zFp+Sp9iexFeNBc4AdA9tZCNo9AePYQrgw==" saltValue="f2l3DHuLsnwd14raq2sWH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4667</v>
      </c>
    </row>
    <row r="2" spans="3:5" x14ac:dyDescent="0.2">
      <c r="C2">
        <f>D2</f>
        <v>1</v>
      </c>
      <c r="D2">
        <v>1</v>
      </c>
      <c r="E2" t="s">
        <v>4177</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Z/2OlU0ePgFcxqa6xDZwnLEYpfosDZ3sTtAyy0FZZk1wwjQ+wop6bdZ0gfuPY1fOSKaqKNdeFCv3HR/GbR8yKA==" saltValue="dKyp/ci3FbZfU1CTTDaLag=="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AO495"/>
  <sheetViews>
    <sheetView workbookViewId="0"/>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41" x14ac:dyDescent="0.2">
      <c r="A1"/>
      <c r="B1"/>
      <c r="C1"/>
      <c r="D1"/>
      <c r="E1"/>
      <c r="F1"/>
      <c r="G1"/>
      <c r="H1"/>
      <c r="I1"/>
      <c r="J1"/>
      <c r="K1"/>
      <c r="L1"/>
      <c r="M1"/>
      <c r="N1"/>
      <c r="O1"/>
      <c r="P1"/>
      <c r="Q1"/>
      <c r="R1"/>
      <c r="S1"/>
      <c r="T1"/>
      <c r="U1"/>
      <c r="V1"/>
      <c r="W1"/>
      <c r="X1"/>
      <c r="Y1"/>
      <c r="Z1"/>
      <c r="AA1"/>
      <c r="AB1"/>
      <c r="AC1"/>
      <c r="AD1"/>
      <c r="AE1"/>
      <c r="AF1"/>
      <c r="AG1"/>
      <c r="AH1"/>
      <c r="AI1"/>
      <c r="AJ1"/>
      <c r="AK1"/>
      <c r="AL1"/>
      <c r="AM1"/>
      <c r="AN1"/>
      <c r="AO1"/>
    </row>
    <row r="2" spans="1:41" x14ac:dyDescent="0.2">
      <c r="A2"/>
      <c r="B2"/>
      <c r="C2"/>
      <c r="D2"/>
      <c r="E2"/>
      <c r="F2"/>
      <c r="G2"/>
      <c r="H2"/>
      <c r="I2"/>
      <c r="J2"/>
      <c r="K2"/>
      <c r="L2"/>
      <c r="M2"/>
      <c r="N2"/>
      <c r="O2"/>
      <c r="P2"/>
      <c r="Q2"/>
      <c r="R2"/>
      <c r="S2"/>
      <c r="T2"/>
      <c r="U2"/>
      <c r="V2"/>
      <c r="W2"/>
      <c r="X2"/>
      <c r="Y2"/>
      <c r="Z2"/>
      <c r="AA2"/>
      <c r="AB2"/>
      <c r="AC2"/>
      <c r="AD2"/>
      <c r="AE2"/>
      <c r="AF2"/>
      <c r="AG2"/>
      <c r="AJ2"/>
      <c r="AK2"/>
      <c r="AL2"/>
      <c r="AM2"/>
    </row>
    <row r="3" spans="1:41"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41"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41"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41" x14ac:dyDescent="0.2">
      <c r="A6"/>
      <c r="B6"/>
      <c r="C6"/>
      <c r="D6"/>
      <c r="E6"/>
      <c r="F6"/>
      <c r="G6"/>
      <c r="H6"/>
      <c r="I6"/>
      <c r="J6"/>
      <c r="K6"/>
      <c r="L6"/>
      <c r="M6"/>
      <c r="N6"/>
      <c r="O6"/>
      <c r="P6"/>
      <c r="Q6"/>
      <c r="R6"/>
      <c r="S6"/>
      <c r="T6"/>
      <c r="U6"/>
      <c r="V6"/>
      <c r="W6"/>
      <c r="X6"/>
      <c r="AC6"/>
      <c r="AD6"/>
      <c r="AE6"/>
      <c r="AF6"/>
      <c r="AG6"/>
      <c r="AH6"/>
      <c r="AI6"/>
      <c r="AJ6"/>
      <c r="AK6"/>
      <c r="AL6"/>
      <c r="AM6"/>
    </row>
    <row r="7" spans="1:41"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41"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41" x14ac:dyDescent="0.2">
      <c r="A9"/>
      <c r="B9"/>
      <c r="C9"/>
      <c r="D9"/>
      <c r="E9"/>
      <c r="F9"/>
      <c r="G9"/>
      <c r="H9"/>
      <c r="I9"/>
      <c r="J9"/>
      <c r="K9"/>
      <c r="L9"/>
      <c r="M9"/>
      <c r="N9"/>
      <c r="O9"/>
      <c r="P9"/>
      <c r="Q9"/>
      <c r="R9"/>
      <c r="S9"/>
      <c r="T9"/>
      <c r="U9"/>
      <c r="V9"/>
      <c r="W9"/>
      <c r="X9"/>
      <c r="Y9"/>
      <c r="Z9"/>
      <c r="AA9"/>
      <c r="AB9"/>
      <c r="AC9"/>
      <c r="AD9"/>
      <c r="AE9"/>
      <c r="AF9"/>
      <c r="AG9"/>
      <c r="AH9"/>
      <c r="AJ9"/>
      <c r="AK9"/>
      <c r="AL9"/>
      <c r="AM9"/>
    </row>
    <row r="10" spans="1:41"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41"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41"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41"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41"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41"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41"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B121"/>
      <c r="C121"/>
      <c r="D121"/>
      <c r="E121"/>
      <c r="F121"/>
      <c r="G121"/>
      <c r="H121"/>
      <c r="I121"/>
      <c r="J121"/>
      <c r="K121"/>
      <c r="L121"/>
      <c r="M121"/>
      <c r="N121"/>
      <c r="O121"/>
      <c r="P121"/>
      <c r="Q121"/>
      <c r="R121"/>
      <c r="T121"/>
      <c r="U121"/>
      <c r="V121"/>
      <c r="W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X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T125"/>
      <c r="U125"/>
      <c r="V125"/>
      <c r="W125"/>
      <c r="X125"/>
      <c r="AC125"/>
      <c r="AD125"/>
      <c r="AE125"/>
      <c r="AF125"/>
      <c r="AG125"/>
      <c r="AH125"/>
      <c r="AI125"/>
      <c r="AJ125"/>
      <c r="AK125"/>
      <c r="AL125"/>
      <c r="AM125"/>
    </row>
    <row r="126" spans="1:39" x14ac:dyDescent="0.2">
      <c r="B126"/>
      <c r="C126"/>
      <c r="D126"/>
      <c r="E126"/>
      <c r="F126"/>
      <c r="G126"/>
      <c r="H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Y127"/>
      <c r="Z127"/>
      <c r="AA127"/>
      <c r="AB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
      <c r="A135"/>
      <c r="B135"/>
      <c r="C135"/>
      <c r="D135"/>
      <c r="E135"/>
      <c r="F135"/>
      <c r="G135"/>
      <c r="H135"/>
      <c r="I135"/>
      <c r="J135"/>
      <c r="K135"/>
      <c r="L135"/>
      <c r="M135"/>
      <c r="N135"/>
      <c r="O135"/>
      <c r="P135"/>
      <c r="Q135"/>
      <c r="R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G148"/>
      <c r="AH148"/>
      <c r="AI148"/>
      <c r="AJ148"/>
      <c r="AK148"/>
      <c r="AL148"/>
      <c r="AM148"/>
    </row>
    <row r="149" spans="1:39" x14ac:dyDescent="0.2">
      <c r="A149"/>
      <c r="B149"/>
      <c r="C149"/>
      <c r="D149"/>
      <c r="E149"/>
      <c r="F149"/>
      <c r="G149"/>
      <c r="H149"/>
      <c r="I149"/>
      <c r="J149"/>
      <c r="K149"/>
      <c r="L149"/>
      <c r="M149"/>
      <c r="N149"/>
      <c r="O149"/>
      <c r="P149"/>
      <c r="Q149"/>
      <c r="R149"/>
      <c r="S149"/>
      <c r="T149"/>
      <c r="U149"/>
      <c r="V149"/>
      <c r="W149"/>
      <c r="X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AC150"/>
      <c r="AD150"/>
      <c r="AE150"/>
      <c r="AF150"/>
      <c r="AM150"/>
    </row>
    <row r="151" spans="1:39"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4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40" x14ac:dyDescent="0.2">
      <c r="A163"/>
      <c r="B163"/>
      <c r="C163"/>
      <c r="D163"/>
      <c r="E163"/>
      <c r="F163"/>
      <c r="G163"/>
      <c r="H163"/>
      <c r="I163"/>
      <c r="J163"/>
      <c r="K163"/>
      <c r="L163"/>
      <c r="M163"/>
      <c r="N163"/>
      <c r="O163"/>
      <c r="P163"/>
      <c r="Q163"/>
      <c r="R163"/>
      <c r="S163"/>
      <c r="T163"/>
      <c r="Y163"/>
      <c r="Z163"/>
      <c r="AA163"/>
      <c r="AB163"/>
      <c r="AC163"/>
      <c r="AD163"/>
      <c r="AE163"/>
      <c r="AF163"/>
      <c r="AG163"/>
      <c r="AH163"/>
      <c r="AI163"/>
      <c r="AJ163"/>
      <c r="AK163"/>
      <c r="AL163"/>
      <c r="AM163"/>
    </row>
    <row r="164" spans="1:40" x14ac:dyDescent="0.2">
      <c r="A164"/>
      <c r="B164"/>
      <c r="C164"/>
      <c r="D164"/>
      <c r="E164"/>
      <c r="F164"/>
      <c r="G164"/>
      <c r="H164"/>
      <c r="I164"/>
      <c r="J164"/>
      <c r="K164"/>
      <c r="L164"/>
      <c r="M164"/>
      <c r="N164"/>
      <c r="O164"/>
      <c r="P164"/>
      <c r="Q164"/>
      <c r="R164"/>
      <c r="S164"/>
      <c r="T164"/>
      <c r="Y164"/>
      <c r="Z164"/>
      <c r="AA164"/>
      <c r="AB164"/>
      <c r="AC164"/>
      <c r="AD164"/>
      <c r="AE164"/>
      <c r="AF164"/>
      <c r="AG164"/>
      <c r="AH164"/>
      <c r="AI164"/>
      <c r="AJ164"/>
      <c r="AK164"/>
      <c r="AL164"/>
      <c r="AM164"/>
    </row>
    <row r="165" spans="1:40" x14ac:dyDescent="0.2">
      <c r="B165"/>
      <c r="C165"/>
      <c r="D165"/>
      <c r="E165"/>
      <c r="F165"/>
      <c r="G165"/>
      <c r="H165"/>
      <c r="I165"/>
      <c r="J165"/>
      <c r="K165"/>
      <c r="L165"/>
      <c r="M165"/>
      <c r="N165"/>
      <c r="O165"/>
      <c r="P165"/>
      <c r="Q165"/>
      <c r="R165"/>
      <c r="S165"/>
      <c r="T165"/>
      <c r="U165"/>
      <c r="V165"/>
      <c r="X165"/>
      <c r="AC165"/>
      <c r="AD165"/>
      <c r="AE165"/>
      <c r="AF165"/>
      <c r="AG165"/>
      <c r="AH165"/>
      <c r="AI165"/>
      <c r="AJ165"/>
      <c r="AK165"/>
      <c r="AL165"/>
      <c r="AM165"/>
    </row>
    <row r="166" spans="1:40" x14ac:dyDescent="0.2">
      <c r="A166"/>
      <c r="B166"/>
      <c r="C166"/>
      <c r="D166"/>
      <c r="E166"/>
      <c r="F166"/>
      <c r="G166"/>
      <c r="H166"/>
      <c r="I166"/>
      <c r="J166"/>
      <c r="K166"/>
      <c r="L166"/>
      <c r="M166"/>
      <c r="N166"/>
      <c r="O166"/>
      <c r="P166"/>
      <c r="Q166"/>
      <c r="R166"/>
      <c r="S166"/>
      <c r="T166"/>
      <c r="U166"/>
      <c r="V166"/>
      <c r="W166"/>
      <c r="X166"/>
      <c r="AC166"/>
      <c r="AD166"/>
      <c r="AE166"/>
      <c r="AF166"/>
      <c r="AG166"/>
      <c r="AH166"/>
      <c r="AI166"/>
      <c r="AJ166"/>
      <c r="AK166"/>
      <c r="AL166"/>
      <c r="AM166"/>
    </row>
    <row r="167" spans="1:40"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0"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40"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I169"/>
      <c r="AJ169"/>
      <c r="AK169"/>
      <c r="AL169"/>
      <c r="AM169"/>
    </row>
    <row r="170" spans="1:40" x14ac:dyDescent="0.2">
      <c r="A170"/>
      <c r="B170"/>
      <c r="C170"/>
      <c r="D170"/>
      <c r="E170"/>
      <c r="F170"/>
      <c r="G170"/>
      <c r="H170"/>
      <c r="I170"/>
      <c r="J170"/>
      <c r="K170"/>
      <c r="L170"/>
      <c r="M170"/>
      <c r="N170"/>
      <c r="O170"/>
      <c r="P170"/>
      <c r="Q170"/>
      <c r="R170"/>
      <c r="S170"/>
      <c r="T170"/>
      <c r="U170"/>
      <c r="V170"/>
      <c r="W170"/>
      <c r="X170"/>
      <c r="AC170"/>
      <c r="AD170"/>
      <c r="AE170"/>
      <c r="AF170"/>
      <c r="AG170"/>
      <c r="AH170"/>
      <c r="AI170"/>
      <c r="AJ170"/>
      <c r="AK170"/>
      <c r="AL170"/>
      <c r="AM170"/>
    </row>
    <row r="171" spans="1:40" x14ac:dyDescent="0.2">
      <c r="A171"/>
      <c r="B171"/>
      <c r="C171"/>
      <c r="D171"/>
      <c r="E171"/>
      <c r="F171"/>
      <c r="G171"/>
      <c r="H171"/>
      <c r="I171"/>
      <c r="J171"/>
      <c r="K171"/>
      <c r="L171"/>
      <c r="M171"/>
      <c r="N171"/>
      <c r="O171"/>
      <c r="P171"/>
      <c r="Q171"/>
      <c r="R171"/>
      <c r="S171"/>
      <c r="T171"/>
      <c r="U171"/>
      <c r="V171"/>
      <c r="W171"/>
      <c r="X171"/>
      <c r="AC171"/>
      <c r="AD171"/>
      <c r="AE171"/>
      <c r="AF171"/>
      <c r="AG171"/>
      <c r="AH171"/>
      <c r="AI171"/>
      <c r="AJ171"/>
      <c r="AK171"/>
      <c r="AL171"/>
      <c r="AM171"/>
    </row>
    <row r="172" spans="1:40" x14ac:dyDescent="0.2">
      <c r="A172"/>
      <c r="B172"/>
      <c r="C172"/>
      <c r="D172"/>
      <c r="E172"/>
      <c r="F172"/>
      <c r="G172"/>
      <c r="H172"/>
      <c r="I172"/>
      <c r="J172"/>
      <c r="K172"/>
      <c r="L172"/>
      <c r="M172"/>
      <c r="N172"/>
      <c r="O172"/>
      <c r="P172"/>
      <c r="Q172"/>
      <c r="R172"/>
      <c r="S172"/>
      <c r="T172"/>
      <c r="U172"/>
      <c r="V172"/>
      <c r="W172"/>
      <c r="X172"/>
      <c r="AC172"/>
      <c r="AD172"/>
      <c r="AE172"/>
      <c r="AF172"/>
      <c r="AL172"/>
      <c r="AM172"/>
    </row>
    <row r="173" spans="1:40"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40"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40"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0"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row>
    <row r="180" spans="1:4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row>
    <row r="181" spans="1:4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row>
    <row r="182" spans="1:4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row>
    <row r="183" spans="1:4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row>
    <row r="184" spans="1:41" x14ac:dyDescent="0.2">
      <c r="A184"/>
      <c r="B184"/>
      <c r="C184"/>
      <c r="D184"/>
      <c r="E184"/>
      <c r="F184"/>
      <c r="G184"/>
      <c r="H184"/>
      <c r="I184"/>
      <c r="J184"/>
      <c r="K184"/>
      <c r="L184"/>
      <c r="M184"/>
      <c r="N184"/>
      <c r="O184"/>
      <c r="P184"/>
      <c r="Q184"/>
      <c r="R184"/>
      <c r="S184"/>
      <c r="T184"/>
      <c r="U184"/>
      <c r="V184"/>
      <c r="W184"/>
      <c r="X184"/>
      <c r="AC184"/>
      <c r="AD184"/>
      <c r="AE184"/>
      <c r="AF184"/>
      <c r="AH184"/>
      <c r="AJ184"/>
      <c r="AK184"/>
      <c r="AL184"/>
      <c r="AM184"/>
    </row>
    <row r="185" spans="1:41"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4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1" x14ac:dyDescent="0.2">
      <c r="A188"/>
      <c r="B188"/>
      <c r="C188"/>
      <c r="D188"/>
      <c r="E188"/>
      <c r="F188"/>
      <c r="G188"/>
      <c r="H188"/>
      <c r="I188"/>
      <c r="J188"/>
      <c r="K188"/>
      <c r="L188"/>
      <c r="M188"/>
      <c r="N188"/>
      <c r="O188"/>
      <c r="P188"/>
      <c r="Q188"/>
      <c r="R188"/>
      <c r="S188"/>
      <c r="T188"/>
      <c r="U188"/>
      <c r="V188"/>
      <c r="W188"/>
      <c r="X188"/>
      <c r="AC188"/>
      <c r="AD188"/>
      <c r="AE188"/>
      <c r="AF188"/>
      <c r="AG188"/>
      <c r="AH188"/>
      <c r="AI188"/>
      <c r="AJ188"/>
      <c r="AK188"/>
      <c r="AL188"/>
      <c r="AM188"/>
    </row>
    <row r="189" spans="1:41" x14ac:dyDescent="0.2">
      <c r="A189"/>
      <c r="B189"/>
      <c r="C189"/>
      <c r="D189"/>
      <c r="E189"/>
      <c r="F189"/>
      <c r="G189"/>
      <c r="H189"/>
      <c r="I189"/>
      <c r="J189"/>
      <c r="K189"/>
      <c r="L189"/>
      <c r="M189"/>
      <c r="N189"/>
      <c r="O189"/>
      <c r="P189"/>
      <c r="Q189"/>
      <c r="R189"/>
      <c r="S189"/>
      <c r="T189"/>
      <c r="U189"/>
      <c r="V189"/>
      <c r="W189"/>
      <c r="X189"/>
      <c r="AC189"/>
      <c r="AD189"/>
      <c r="AE189"/>
      <c r="AF189"/>
      <c r="AG189"/>
      <c r="AH189"/>
      <c r="AI189"/>
      <c r="AJ189"/>
      <c r="AK189"/>
      <c r="AL189"/>
      <c r="AM189"/>
    </row>
    <row r="190" spans="1:41" x14ac:dyDescent="0.2">
      <c r="A190"/>
      <c r="B190"/>
      <c r="C190"/>
      <c r="D190"/>
      <c r="E190"/>
      <c r="F190"/>
      <c r="G190"/>
      <c r="H190"/>
      <c r="I190"/>
      <c r="J190"/>
      <c r="K190"/>
      <c r="L190"/>
      <c r="M190"/>
      <c r="N190"/>
      <c r="O190"/>
      <c r="P190"/>
      <c r="Q190"/>
      <c r="R190"/>
      <c r="S190"/>
      <c r="T190"/>
      <c r="U190"/>
      <c r="V190"/>
      <c r="W190"/>
      <c r="X190"/>
      <c r="AC190"/>
      <c r="AD190"/>
      <c r="AE190"/>
      <c r="AF190"/>
      <c r="AG190"/>
      <c r="AH190"/>
      <c r="AI190"/>
      <c r="AJ190"/>
      <c r="AK190"/>
      <c r="AL190"/>
      <c r="AM190"/>
    </row>
    <row r="191" spans="1:41" x14ac:dyDescent="0.2">
      <c r="A191"/>
      <c r="B191"/>
      <c r="C191"/>
      <c r="D191"/>
      <c r="E191"/>
      <c r="F191"/>
      <c r="G191"/>
      <c r="H191"/>
      <c r="I191"/>
      <c r="J191"/>
      <c r="K191"/>
      <c r="L191"/>
      <c r="M191"/>
      <c r="O191"/>
      <c r="P191"/>
      <c r="Q191"/>
      <c r="R191"/>
      <c r="S191"/>
      <c r="T191"/>
      <c r="U191"/>
      <c r="V191"/>
      <c r="W191"/>
      <c r="X191"/>
      <c r="Y191"/>
      <c r="Z191"/>
      <c r="AA191"/>
      <c r="AB191"/>
      <c r="AC191"/>
      <c r="AD191"/>
      <c r="AE191"/>
      <c r="AF191"/>
      <c r="AG191"/>
      <c r="AH191"/>
      <c r="AI191"/>
      <c r="AJ191"/>
      <c r="AK191"/>
      <c r="AL191"/>
      <c r="AM191"/>
    </row>
    <row r="192" spans="1:4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U194"/>
      <c r="V194"/>
      <c r="W194"/>
      <c r="X194"/>
      <c r="Y194"/>
      <c r="Z194"/>
      <c r="AA194"/>
      <c r="AB194"/>
      <c r="AC194"/>
      <c r="AD194"/>
      <c r="AE194"/>
      <c r="AF194"/>
      <c r="AJ194"/>
      <c r="AK194"/>
      <c r="AL194"/>
      <c r="AM194"/>
    </row>
    <row r="195" spans="1:39"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B202"/>
      <c r="AC202"/>
      <c r="AD202"/>
      <c r="AE202"/>
      <c r="AF202"/>
      <c r="AG202"/>
      <c r="AI202"/>
      <c r="AJ202"/>
      <c r="AK202"/>
      <c r="AL202"/>
      <c r="AM202"/>
    </row>
    <row r="203" spans="1:39" x14ac:dyDescent="0.2">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1:39" x14ac:dyDescent="0.2">
      <c r="A206"/>
      <c r="B206"/>
      <c r="C206"/>
      <c r="D206"/>
      <c r="E206"/>
      <c r="F206"/>
      <c r="G206"/>
      <c r="H206"/>
      <c r="I206"/>
      <c r="J206"/>
      <c r="K206"/>
      <c r="L206"/>
      <c r="M206"/>
      <c r="N206"/>
      <c r="O206"/>
      <c r="P206"/>
      <c r="Q206"/>
      <c r="R206"/>
      <c r="S206"/>
      <c r="T206"/>
      <c r="U206"/>
      <c r="V206"/>
      <c r="W206"/>
      <c r="X206"/>
      <c r="AB206"/>
      <c r="AC206"/>
      <c r="AD206"/>
      <c r="AE206"/>
      <c r="AF206"/>
      <c r="AG206"/>
      <c r="AH206"/>
      <c r="AI206"/>
      <c r="AJ206"/>
      <c r="AK206"/>
      <c r="AL206"/>
      <c r="AM206"/>
    </row>
    <row r="207" spans="1:39" x14ac:dyDescent="0.2">
      <c r="A207"/>
      <c r="B207"/>
      <c r="C207"/>
      <c r="D207"/>
      <c r="E207"/>
      <c r="F207"/>
      <c r="G207"/>
      <c r="H207"/>
      <c r="I207"/>
      <c r="J207"/>
      <c r="K207"/>
      <c r="L207"/>
      <c r="M207"/>
      <c r="N207"/>
      <c r="O207"/>
      <c r="P207"/>
      <c r="Q207"/>
      <c r="R207"/>
      <c r="S207"/>
      <c r="T207"/>
      <c r="U207"/>
      <c r="V207"/>
      <c r="W207"/>
      <c r="X207"/>
      <c r="AB207"/>
      <c r="AC207"/>
      <c r="AD207"/>
      <c r="AE207"/>
      <c r="AF207"/>
      <c r="AG207"/>
      <c r="AH207"/>
      <c r="AI207"/>
      <c r="AJ207"/>
      <c r="AK207"/>
      <c r="AL207"/>
      <c r="AM207"/>
    </row>
    <row r="208" spans="1:39" x14ac:dyDescent="0.2">
      <c r="A208"/>
      <c r="B208"/>
      <c r="C208"/>
      <c r="D208"/>
      <c r="E208"/>
      <c r="F208"/>
      <c r="G208"/>
      <c r="H208"/>
      <c r="I208"/>
      <c r="J208"/>
      <c r="K208"/>
      <c r="L208"/>
      <c r="M208"/>
      <c r="N208"/>
      <c r="O208"/>
      <c r="P208"/>
      <c r="Q208"/>
      <c r="R208"/>
      <c r="S208"/>
      <c r="T208"/>
      <c r="U208"/>
      <c r="V208"/>
      <c r="W208"/>
      <c r="X208"/>
      <c r="AB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S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B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X212"/>
      <c r="AB212"/>
      <c r="AC212"/>
      <c r="AD212"/>
      <c r="AE212"/>
      <c r="AF212"/>
      <c r="AG212"/>
      <c r="AH212"/>
      <c r="AI212"/>
      <c r="AJ212"/>
      <c r="AK212"/>
      <c r="AL212"/>
      <c r="AM212"/>
    </row>
    <row r="213" spans="1:39" x14ac:dyDescent="0.2">
      <c r="A213"/>
      <c r="B213"/>
      <c r="C213"/>
      <c r="D213"/>
      <c r="E213"/>
      <c r="F213"/>
      <c r="G213"/>
      <c r="H213"/>
      <c r="I213"/>
      <c r="J213"/>
      <c r="K213"/>
      <c r="L213"/>
      <c r="M213"/>
      <c r="O213"/>
      <c r="P213"/>
      <c r="Q213"/>
      <c r="R213"/>
      <c r="S213"/>
      <c r="T213"/>
      <c r="Y213"/>
      <c r="Z213"/>
      <c r="AA213"/>
      <c r="AC213"/>
      <c r="AD213"/>
      <c r="AE213"/>
      <c r="AF213"/>
      <c r="AG213"/>
      <c r="AH213"/>
      <c r="AI213"/>
      <c r="AJ213"/>
      <c r="AK213"/>
      <c r="AL213"/>
      <c r="AM213"/>
    </row>
    <row r="214" spans="1:39" x14ac:dyDescent="0.2">
      <c r="A214"/>
      <c r="B214"/>
      <c r="C214"/>
      <c r="D214"/>
      <c r="E214"/>
      <c r="F214"/>
      <c r="G214"/>
      <c r="H214"/>
      <c r="I214"/>
      <c r="J214"/>
      <c r="K214"/>
      <c r="L214"/>
      <c r="M214"/>
      <c r="O214"/>
      <c r="P214"/>
      <c r="Q214"/>
      <c r="R214"/>
      <c r="S214"/>
      <c r="T214"/>
      <c r="Y214"/>
      <c r="Z214"/>
      <c r="AA214"/>
      <c r="AC214"/>
      <c r="AD214"/>
      <c r="AE214"/>
      <c r="AF214"/>
      <c r="AG214"/>
      <c r="AH214"/>
      <c r="AI214"/>
      <c r="AJ214"/>
      <c r="AK214"/>
      <c r="AL214"/>
      <c r="AM214"/>
    </row>
    <row r="215" spans="1:39" x14ac:dyDescent="0.2">
      <c r="A215"/>
      <c r="B215"/>
      <c r="C215"/>
      <c r="D215"/>
      <c r="E215"/>
      <c r="F215"/>
      <c r="G215"/>
      <c r="H215"/>
      <c r="I215"/>
      <c r="J215"/>
      <c r="K215"/>
      <c r="L215"/>
      <c r="M215"/>
      <c r="O215"/>
      <c r="P215"/>
      <c r="Q215"/>
      <c r="R215"/>
      <c r="S215"/>
      <c r="T215"/>
      <c r="Y215"/>
      <c r="Z215"/>
      <c r="AA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T216"/>
      <c r="U216"/>
      <c r="V216"/>
      <c r="W216"/>
      <c r="X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AC217"/>
      <c r="AD217"/>
      <c r="AE217"/>
      <c r="AF217"/>
      <c r="AG217"/>
      <c r="AH217"/>
      <c r="AI217"/>
      <c r="AJ217"/>
      <c r="AK217"/>
      <c r="AL217"/>
      <c r="AM217"/>
    </row>
    <row r="218" spans="1:39" x14ac:dyDescent="0.2">
      <c r="A218"/>
      <c r="B218"/>
      <c r="C218"/>
      <c r="D218"/>
      <c r="E218"/>
      <c r="F218"/>
      <c r="G218"/>
      <c r="H218"/>
      <c r="I218"/>
      <c r="J218"/>
      <c r="K218"/>
      <c r="L218"/>
      <c r="M218"/>
      <c r="N218"/>
      <c r="O218"/>
      <c r="P218"/>
      <c r="Q218"/>
      <c r="R218"/>
      <c r="S218"/>
      <c r="T218"/>
      <c r="U218"/>
      <c r="V218"/>
      <c r="W218"/>
      <c r="X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AC219"/>
      <c r="AD219"/>
      <c r="AE219"/>
      <c r="AF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AA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L225"/>
      <c r="M225"/>
      <c r="N225"/>
      <c r="O225"/>
      <c r="P225"/>
      <c r="Q225"/>
      <c r="R225"/>
      <c r="S225"/>
      <c r="T225"/>
      <c r="U225"/>
      <c r="V225"/>
      <c r="W225"/>
      <c r="X225"/>
      <c r="Y225"/>
      <c r="Z225"/>
      <c r="AA225"/>
      <c r="AB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AC234"/>
      <c r="AD234"/>
      <c r="AE234"/>
      <c r="AF234"/>
      <c r="AG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row>
    <row r="237" spans="1:39"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G245"/>
      <c r="H245"/>
      <c r="I245"/>
      <c r="J245"/>
      <c r="K245"/>
      <c r="L245"/>
      <c r="M245"/>
      <c r="N245"/>
      <c r="O245"/>
      <c r="P245"/>
      <c r="Q245"/>
      <c r="R245"/>
      <c r="S245"/>
      <c r="T245"/>
      <c r="U245"/>
      <c r="V245"/>
      <c r="W245"/>
      <c r="X245"/>
      <c r="Y245"/>
      <c r="Z245"/>
      <c r="AA245"/>
      <c r="AB245"/>
      <c r="AC245"/>
      <c r="AD245"/>
      <c r="AE245"/>
      <c r="AF245"/>
      <c r="AG245"/>
      <c r="AL245"/>
      <c r="AM245"/>
    </row>
    <row r="246" spans="1:39" x14ac:dyDescent="0.2">
      <c r="A246"/>
      <c r="B246"/>
      <c r="C246"/>
      <c r="D246"/>
      <c r="E246"/>
      <c r="F246"/>
      <c r="G246"/>
      <c r="H246"/>
      <c r="I246"/>
      <c r="J246"/>
      <c r="K246"/>
      <c r="L246"/>
      <c r="M246"/>
      <c r="N246"/>
      <c r="O246"/>
      <c r="P246"/>
      <c r="Q246"/>
      <c r="R246"/>
      <c r="S246"/>
      <c r="T246"/>
      <c r="U246"/>
      <c r="V246"/>
      <c r="W246"/>
      <c r="X246"/>
      <c r="AC246"/>
      <c r="AD246"/>
      <c r="AE246"/>
      <c r="AF246"/>
      <c r="AG246"/>
      <c r="AH246"/>
      <c r="AI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X250"/>
      <c r="Y250"/>
      <c r="Z250"/>
      <c r="AA250"/>
      <c r="AB250"/>
      <c r="AC250"/>
      <c r="AD250"/>
      <c r="AE250"/>
      <c r="AF250"/>
      <c r="AG250"/>
      <c r="AH250"/>
      <c r="AI250"/>
      <c r="AJ250"/>
      <c r="AK250"/>
      <c r="AL250"/>
      <c r="AM250"/>
    </row>
    <row r="251" spans="1:39" x14ac:dyDescent="0.2">
      <c r="B251"/>
      <c r="C251"/>
      <c r="D251"/>
      <c r="E251"/>
      <c r="F251"/>
      <c r="G251"/>
      <c r="H251"/>
      <c r="I251"/>
      <c r="J251"/>
      <c r="K251"/>
      <c r="L251"/>
      <c r="M251"/>
      <c r="N251"/>
      <c r="O251"/>
      <c r="P251"/>
      <c r="Q251"/>
      <c r="R251"/>
      <c r="S251"/>
      <c r="T251"/>
      <c r="U251"/>
      <c r="V251"/>
      <c r="W251"/>
      <c r="X251"/>
      <c r="AC251"/>
      <c r="AD251"/>
      <c r="AE251"/>
      <c r="AF251"/>
      <c r="AG251"/>
      <c r="AH251"/>
      <c r="AI251"/>
      <c r="AJ251"/>
      <c r="AK251"/>
      <c r="AL251"/>
      <c r="AM251"/>
    </row>
    <row r="252" spans="1:39" x14ac:dyDescent="0.2">
      <c r="B252"/>
      <c r="C252"/>
      <c r="D252"/>
      <c r="E252"/>
      <c r="F252"/>
      <c r="G252"/>
      <c r="H252"/>
      <c r="I252"/>
      <c r="J252"/>
      <c r="K252"/>
      <c r="L252"/>
      <c r="M252"/>
      <c r="N252"/>
      <c r="O252"/>
      <c r="P252"/>
      <c r="Q252"/>
      <c r="R252"/>
      <c r="S252"/>
      <c r="T252"/>
      <c r="U252"/>
      <c r="V252"/>
      <c r="W252"/>
      <c r="X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J259"/>
      <c r="AK259"/>
      <c r="AL259"/>
      <c r="AM259"/>
    </row>
    <row r="260" spans="1:39" x14ac:dyDescent="0.2">
      <c r="A260"/>
      <c r="B260"/>
      <c r="C260"/>
      <c r="D260"/>
      <c r="E260"/>
      <c r="F260"/>
      <c r="G260"/>
      <c r="H260"/>
      <c r="I260"/>
      <c r="J260"/>
      <c r="K260"/>
      <c r="L260"/>
      <c r="M260"/>
      <c r="N260"/>
      <c r="O260"/>
      <c r="P260"/>
      <c r="Q260"/>
      <c r="R260"/>
      <c r="S260"/>
      <c r="T260"/>
      <c r="U260"/>
      <c r="V260"/>
      <c r="W260"/>
      <c r="X260"/>
      <c r="AC260"/>
      <c r="AD260"/>
      <c r="AE260"/>
      <c r="AF260"/>
      <c r="AG260"/>
      <c r="AH260"/>
      <c r="AI260"/>
      <c r="AJ260"/>
      <c r="AK260"/>
      <c r="AL260"/>
      <c r="AM260"/>
    </row>
    <row r="261" spans="1:39" x14ac:dyDescent="0.2">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row>
    <row r="263" spans="1:39" x14ac:dyDescent="0.2">
      <c r="B263"/>
      <c r="C263"/>
      <c r="D263"/>
      <c r="E263"/>
      <c r="F263"/>
      <c r="G263"/>
      <c r="H263"/>
      <c r="I263"/>
      <c r="J263"/>
      <c r="L263"/>
      <c r="M263"/>
      <c r="N263"/>
      <c r="O263"/>
      <c r="P263"/>
      <c r="Q263"/>
      <c r="R263"/>
      <c r="S263"/>
      <c r="T263"/>
      <c r="U263"/>
      <c r="V263"/>
      <c r="W263"/>
      <c r="X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B266"/>
      <c r="C266"/>
      <c r="D266"/>
      <c r="E266"/>
      <c r="F266"/>
      <c r="G266"/>
      <c r="H266"/>
      <c r="I266"/>
      <c r="J266"/>
      <c r="K266"/>
      <c r="L266"/>
      <c r="M266"/>
      <c r="N266"/>
      <c r="O266"/>
      <c r="P266"/>
      <c r="Q266"/>
      <c r="R266"/>
      <c r="S266"/>
      <c r="T266"/>
      <c r="U266"/>
      <c r="V266"/>
      <c r="W266"/>
      <c r="X266"/>
      <c r="AC266"/>
      <c r="AD266"/>
      <c r="AE266"/>
      <c r="AF266"/>
      <c r="AG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row>
    <row r="273" spans="1:39"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L273"/>
      <c r="AM273"/>
    </row>
    <row r="274" spans="1:39"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39"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39"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L276"/>
      <c r="AM276"/>
    </row>
    <row r="277" spans="1:39"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L277"/>
      <c r="AM277"/>
    </row>
    <row r="278" spans="1:39" x14ac:dyDescent="0.2">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L278"/>
      <c r="AM278"/>
    </row>
    <row r="279" spans="1:39"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L279"/>
      <c r="AM279"/>
    </row>
    <row r="280" spans="1:39" x14ac:dyDescent="0.2">
      <c r="B280"/>
      <c r="C280"/>
      <c r="D280"/>
      <c r="E280"/>
      <c r="F280"/>
      <c r="G280"/>
      <c r="H280"/>
      <c r="I280"/>
      <c r="J280"/>
      <c r="K280"/>
      <c r="L280"/>
      <c r="M280"/>
      <c r="N280"/>
      <c r="O280"/>
      <c r="P280"/>
      <c r="Q280"/>
      <c r="R280"/>
      <c r="S280"/>
      <c r="T280"/>
      <c r="U280"/>
      <c r="V280"/>
      <c r="W280"/>
      <c r="X280"/>
      <c r="AC280"/>
      <c r="AD280"/>
      <c r="AE280"/>
      <c r="AF280"/>
      <c r="AG280"/>
      <c r="AH280"/>
      <c r="AI280"/>
      <c r="AJ280"/>
      <c r="AK280"/>
      <c r="AL280"/>
      <c r="AM280"/>
    </row>
    <row r="281" spans="1:39"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39"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row>
    <row r="283" spans="1:39"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row>
    <row r="284" spans="1:39"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row>
    <row r="285" spans="1:39"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row>
    <row r="286" spans="1:39"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row>
    <row r="287" spans="1:39"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row>
    <row r="288" spans="1:39"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4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41" x14ac:dyDescent="0.2">
      <c r="A290"/>
      <c r="B290"/>
      <c r="C290"/>
      <c r="D290"/>
      <c r="E290"/>
      <c r="G290"/>
      <c r="H290"/>
      <c r="I290"/>
      <c r="J290"/>
      <c r="K290"/>
      <c r="L290"/>
      <c r="M290"/>
      <c r="N290"/>
      <c r="O290"/>
      <c r="P290"/>
      <c r="Q290"/>
      <c r="R290"/>
      <c r="S290"/>
      <c r="T290"/>
      <c r="U290"/>
      <c r="V290"/>
      <c r="W290"/>
      <c r="X290"/>
      <c r="AD290"/>
      <c r="AE290"/>
      <c r="AF290"/>
      <c r="AG290"/>
      <c r="AM290"/>
    </row>
    <row r="291" spans="1:4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row>
    <row r="292" spans="1:4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row>
    <row r="293" spans="1:4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row>
    <row r="294" spans="1:41" x14ac:dyDescent="0.2">
      <c r="A294"/>
      <c r="B294"/>
      <c r="C294"/>
      <c r="D294"/>
      <c r="E294"/>
      <c r="F294"/>
      <c r="G294"/>
      <c r="H294"/>
      <c r="I294"/>
      <c r="J294"/>
      <c r="K294"/>
      <c r="L294"/>
      <c r="M294"/>
      <c r="N294"/>
      <c r="O294"/>
      <c r="P294"/>
      <c r="Q294"/>
      <c r="R294"/>
      <c r="S294"/>
      <c r="T294"/>
      <c r="U294"/>
      <c r="V294"/>
      <c r="W294"/>
      <c r="X294"/>
      <c r="AC294"/>
      <c r="AD294"/>
      <c r="AE294"/>
      <c r="AF294"/>
      <c r="AG294"/>
      <c r="AH294"/>
      <c r="AI294"/>
      <c r="AJ294"/>
      <c r="AK294"/>
      <c r="AL294"/>
      <c r="AM294"/>
    </row>
    <row r="295" spans="1:41" x14ac:dyDescent="0.2">
      <c r="A295"/>
      <c r="B295"/>
      <c r="C295"/>
      <c r="D295"/>
      <c r="E295"/>
      <c r="F295"/>
      <c r="G295"/>
      <c r="H295"/>
      <c r="I295"/>
      <c r="J295"/>
      <c r="K295"/>
      <c r="L295"/>
      <c r="M295"/>
      <c r="N295"/>
      <c r="O295"/>
      <c r="P295"/>
      <c r="Q295"/>
      <c r="R295"/>
      <c r="S295"/>
      <c r="T295"/>
      <c r="U295"/>
      <c r="V295"/>
      <c r="W295"/>
      <c r="X295"/>
      <c r="AC295"/>
      <c r="AD295"/>
      <c r="AE295"/>
      <c r="AF295"/>
      <c r="AG295"/>
      <c r="AH295"/>
      <c r="AI295"/>
      <c r="AJ295"/>
      <c r="AK295"/>
      <c r="AL295"/>
      <c r="AM295"/>
    </row>
    <row r="296" spans="1:4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row>
    <row r="297" spans="1:4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row>
    <row r="298" spans="1:4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O298"/>
    </row>
    <row r="299" spans="1:4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41" x14ac:dyDescent="0.2">
      <c r="A300"/>
      <c r="B300"/>
      <c r="C300"/>
      <c r="D300"/>
      <c r="E300"/>
      <c r="F300"/>
      <c r="G300"/>
      <c r="H300"/>
      <c r="I300"/>
      <c r="J300"/>
      <c r="K300"/>
      <c r="L300"/>
      <c r="M300"/>
      <c r="O300"/>
      <c r="P300"/>
      <c r="Q300"/>
      <c r="R300"/>
      <c r="S300"/>
      <c r="T300"/>
      <c r="U300"/>
      <c r="V300"/>
      <c r="W300"/>
      <c r="X300"/>
      <c r="Y300"/>
      <c r="Z300"/>
      <c r="AA300"/>
      <c r="AB300"/>
      <c r="AC300"/>
      <c r="AD300"/>
      <c r="AE300"/>
      <c r="AF300"/>
      <c r="AG300"/>
      <c r="AH300"/>
      <c r="AI300"/>
      <c r="AJ300"/>
      <c r="AK300"/>
      <c r="AL300"/>
      <c r="AM300"/>
    </row>
    <row r="301" spans="1:41" x14ac:dyDescent="0.2">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row>
    <row r="302" spans="1:41" x14ac:dyDescent="0.2">
      <c r="A302"/>
      <c r="B302"/>
      <c r="C302"/>
      <c r="D302"/>
      <c r="E302"/>
      <c r="F302"/>
      <c r="G302"/>
      <c r="H302"/>
      <c r="I302"/>
      <c r="J302"/>
      <c r="K302"/>
      <c r="L302"/>
      <c r="M302"/>
      <c r="N302"/>
      <c r="O302"/>
      <c r="P302"/>
      <c r="Q302"/>
      <c r="R302"/>
      <c r="S302"/>
      <c r="T302"/>
      <c r="U302"/>
      <c r="V302"/>
      <c r="W302"/>
      <c r="X302"/>
      <c r="AC302"/>
      <c r="AD302"/>
      <c r="AE302"/>
      <c r="AF302"/>
      <c r="AG302"/>
      <c r="AH302"/>
      <c r="AI302"/>
      <c r="AJ302"/>
      <c r="AK302"/>
      <c r="AL302"/>
      <c r="AM302"/>
    </row>
    <row r="303" spans="1:41" x14ac:dyDescent="0.2">
      <c r="A303"/>
      <c r="B303"/>
      <c r="C303"/>
      <c r="D303"/>
      <c r="E303"/>
      <c r="F303"/>
      <c r="G303"/>
      <c r="H303"/>
      <c r="I303"/>
      <c r="J303"/>
      <c r="K303"/>
      <c r="L303"/>
      <c r="M303"/>
      <c r="N303"/>
      <c r="O303"/>
      <c r="P303"/>
      <c r="Q303"/>
      <c r="R303"/>
      <c r="S303"/>
      <c r="T303"/>
      <c r="U303"/>
      <c r="V303"/>
      <c r="W303"/>
      <c r="X303"/>
      <c r="AC303"/>
      <c r="AD303"/>
      <c r="AE303"/>
      <c r="AF303"/>
      <c r="AG303"/>
      <c r="AH303"/>
      <c r="AI303"/>
      <c r="AJ303"/>
      <c r="AK303"/>
      <c r="AL303"/>
      <c r="AM303"/>
    </row>
    <row r="304" spans="1:41"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F313"/>
      <c r="G313"/>
      <c r="H313"/>
      <c r="I313"/>
      <c r="J313"/>
      <c r="K313"/>
      <c r="L313"/>
      <c r="M313"/>
      <c r="N313"/>
      <c r="O313"/>
      <c r="P313"/>
      <c r="Q313"/>
      <c r="R313"/>
      <c r="S313"/>
      <c r="T313"/>
      <c r="U313"/>
      <c r="V313"/>
      <c r="W313"/>
      <c r="X313"/>
      <c r="Y313"/>
      <c r="Z313"/>
      <c r="AA313"/>
      <c r="AC313"/>
      <c r="AD313"/>
      <c r="AE313"/>
      <c r="AF313"/>
      <c r="AG313"/>
      <c r="AH313"/>
      <c r="AI313"/>
      <c r="AJ313"/>
      <c r="AK313"/>
      <c r="AL313"/>
      <c r="AM313"/>
    </row>
    <row r="314" spans="1:39" x14ac:dyDescent="0.2">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AC316"/>
      <c r="AD316"/>
      <c r="AE316"/>
      <c r="AF316"/>
      <c r="AG316"/>
      <c r="AH316"/>
      <c r="AI316"/>
      <c r="AJ316"/>
      <c r="AK316"/>
      <c r="AL316"/>
      <c r="AM316"/>
    </row>
    <row r="317" spans="1:39"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row>
    <row r="321" spans="1:39" x14ac:dyDescent="0.2">
      <c r="A321"/>
      <c r="B321"/>
      <c r="C321"/>
      <c r="D321"/>
      <c r="E321"/>
      <c r="G321"/>
      <c r="H321"/>
      <c r="I321"/>
      <c r="J321"/>
      <c r="K321"/>
      <c r="L321"/>
      <c r="M321"/>
      <c r="N321"/>
      <c r="O321"/>
      <c r="P321"/>
      <c r="Q321"/>
      <c r="R321"/>
      <c r="S321"/>
      <c r="T321"/>
      <c r="U321"/>
      <c r="V321"/>
      <c r="W321"/>
      <c r="X321"/>
      <c r="Y321"/>
      <c r="Z321"/>
      <c r="AA321"/>
      <c r="AB321"/>
      <c r="AD321"/>
      <c r="AE321"/>
      <c r="AF321"/>
      <c r="AG321"/>
      <c r="AH321"/>
      <c r="AI321"/>
      <c r="AJ321"/>
      <c r="AM321"/>
    </row>
    <row r="322" spans="1:39" x14ac:dyDescent="0.2">
      <c r="A322"/>
      <c r="B322"/>
      <c r="C322"/>
      <c r="D322"/>
      <c r="E322"/>
      <c r="F322"/>
      <c r="G322"/>
      <c r="H322"/>
      <c r="I322"/>
      <c r="J322"/>
      <c r="K322"/>
      <c r="L322"/>
      <c r="M322"/>
      <c r="N322"/>
      <c r="O322"/>
      <c r="P322"/>
      <c r="Q322"/>
      <c r="R322"/>
      <c r="S322"/>
      <c r="T322"/>
      <c r="U322"/>
      <c r="V322"/>
      <c r="W322"/>
      <c r="X322"/>
      <c r="AC322"/>
      <c r="AD322"/>
      <c r="AE322"/>
      <c r="AF322"/>
      <c r="AG322"/>
      <c r="AI322"/>
      <c r="AJ322"/>
      <c r="AK322"/>
      <c r="AL322"/>
      <c r="AM322"/>
    </row>
    <row r="323" spans="1:39"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39" x14ac:dyDescent="0.2">
      <c r="A324"/>
      <c r="B324"/>
      <c r="C324"/>
      <c r="D324"/>
      <c r="E324"/>
      <c r="F324"/>
      <c r="G324"/>
      <c r="H324"/>
      <c r="I324"/>
      <c r="J324"/>
      <c r="K324"/>
      <c r="L324"/>
      <c r="M324"/>
      <c r="N324"/>
      <c r="O324"/>
      <c r="P324"/>
      <c r="Q324"/>
      <c r="R324"/>
      <c r="S324"/>
      <c r="T324"/>
      <c r="U324"/>
      <c r="V324"/>
      <c r="W324"/>
      <c r="X324"/>
      <c r="AC324"/>
      <c r="AD324"/>
      <c r="AE324"/>
      <c r="AF324"/>
      <c r="AG324"/>
      <c r="AH324"/>
      <c r="AI324"/>
      <c r="AJ324"/>
      <c r="AK324"/>
      <c r="AL324"/>
      <c r="AM324"/>
    </row>
    <row r="325" spans="1:39" x14ac:dyDescent="0.2">
      <c r="A325"/>
      <c r="B325"/>
      <c r="C325"/>
      <c r="D325"/>
      <c r="E325"/>
      <c r="F325"/>
      <c r="G325"/>
      <c r="H325"/>
      <c r="I325"/>
      <c r="J325"/>
      <c r="K325"/>
      <c r="L325"/>
      <c r="M325"/>
      <c r="N325"/>
      <c r="O325"/>
      <c r="P325"/>
      <c r="Q325"/>
      <c r="R325"/>
      <c r="S325"/>
      <c r="T325"/>
      <c r="U325"/>
      <c r="V325"/>
      <c r="W325"/>
      <c r="X325"/>
      <c r="AC325"/>
      <c r="AD325"/>
      <c r="AE325"/>
      <c r="AF325"/>
      <c r="AG325"/>
      <c r="AH325"/>
      <c r="AI325"/>
      <c r="AJ325"/>
      <c r="AK325"/>
      <c r="AL325"/>
      <c r="AM325"/>
    </row>
    <row r="326" spans="1:39"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row>
    <row r="327" spans="1:39"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row>
    <row r="328" spans="1:39" x14ac:dyDescent="0.2">
      <c r="A328"/>
      <c r="B328"/>
      <c r="C328"/>
      <c r="D328"/>
      <c r="E328"/>
      <c r="F328"/>
      <c r="G328"/>
      <c r="H328"/>
      <c r="I328"/>
      <c r="J328"/>
      <c r="K328"/>
      <c r="L328"/>
      <c r="M328"/>
      <c r="N328"/>
      <c r="O328"/>
      <c r="P328"/>
      <c r="Q328"/>
      <c r="R328"/>
      <c r="S328"/>
      <c r="T328"/>
      <c r="U328"/>
      <c r="V328"/>
      <c r="W328"/>
      <c r="X328"/>
      <c r="AC328"/>
      <c r="AD328"/>
      <c r="AE328"/>
      <c r="AF328"/>
      <c r="AG328"/>
      <c r="AH328"/>
      <c r="AI328"/>
      <c r="AJ328"/>
      <c r="AK328"/>
      <c r="AL328"/>
      <c r="AM328"/>
    </row>
    <row r="329" spans="1:39"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39"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39" x14ac:dyDescent="0.2">
      <c r="A331"/>
      <c r="B331"/>
      <c r="C331"/>
      <c r="D331"/>
      <c r="E331"/>
      <c r="F331"/>
      <c r="G331"/>
      <c r="H331"/>
      <c r="I331"/>
      <c r="J331"/>
      <c r="K331"/>
      <c r="L331"/>
      <c r="M331"/>
      <c r="N331"/>
      <c r="O331"/>
      <c r="P331"/>
      <c r="Q331"/>
      <c r="R331"/>
      <c r="S331"/>
      <c r="T331"/>
      <c r="Y331"/>
      <c r="Z331"/>
      <c r="AA331"/>
      <c r="AB331"/>
      <c r="AC331"/>
      <c r="AD331"/>
      <c r="AE331"/>
      <c r="AF331"/>
      <c r="AG331"/>
      <c r="AH331"/>
      <c r="AI331"/>
      <c r="AJ331"/>
      <c r="AK331"/>
      <c r="AL331"/>
      <c r="AM331"/>
    </row>
    <row r="332" spans="1:39" x14ac:dyDescent="0.2">
      <c r="A332"/>
      <c r="B332"/>
      <c r="C332"/>
      <c r="D332"/>
      <c r="E332"/>
      <c r="F332"/>
      <c r="G332"/>
      <c r="H332"/>
      <c r="I332"/>
      <c r="J332"/>
      <c r="K332"/>
      <c r="L332"/>
      <c r="M332"/>
      <c r="N332"/>
      <c r="O332"/>
      <c r="P332"/>
      <c r="Q332"/>
      <c r="R332"/>
      <c r="S332"/>
      <c r="T332"/>
      <c r="U332"/>
      <c r="V332"/>
      <c r="W332"/>
      <c r="X332"/>
      <c r="AC332"/>
      <c r="AD332"/>
      <c r="AE332"/>
      <c r="AF332"/>
      <c r="AG332"/>
      <c r="AH332"/>
      <c r="AI332"/>
      <c r="AJ332"/>
      <c r="AK332"/>
      <c r="AL332"/>
      <c r="AM332"/>
    </row>
    <row r="333" spans="1:39" x14ac:dyDescent="0.2">
      <c r="A333"/>
      <c r="B333"/>
      <c r="C333"/>
      <c r="D333"/>
      <c r="E333"/>
      <c r="G333"/>
      <c r="H333"/>
      <c r="I333"/>
      <c r="J333"/>
      <c r="K333"/>
      <c r="L333"/>
      <c r="M333"/>
      <c r="N333"/>
      <c r="O333"/>
      <c r="P333"/>
      <c r="Q333"/>
      <c r="R333"/>
      <c r="S333"/>
      <c r="T333"/>
      <c r="U333"/>
      <c r="V333"/>
      <c r="W333"/>
      <c r="X333"/>
      <c r="Y333"/>
      <c r="Z333"/>
      <c r="AA333"/>
      <c r="AB333"/>
      <c r="AD333"/>
      <c r="AE333"/>
      <c r="AF333"/>
      <c r="AG333"/>
      <c r="AM333"/>
    </row>
    <row r="334" spans="1:39"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1:39"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39"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1:39" x14ac:dyDescent="0.2">
      <c r="A337"/>
      <c r="B337"/>
      <c r="C337"/>
      <c r="D337"/>
      <c r="E337"/>
      <c r="F337"/>
      <c r="G337"/>
      <c r="H337"/>
      <c r="I337"/>
      <c r="J337"/>
      <c r="K337"/>
      <c r="L337"/>
      <c r="M337"/>
      <c r="O337"/>
      <c r="P337"/>
      <c r="Q337"/>
      <c r="R337"/>
      <c r="S337"/>
      <c r="T337"/>
      <c r="U337"/>
      <c r="V337"/>
      <c r="W337"/>
      <c r="X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Y340"/>
      <c r="Z340"/>
      <c r="AA340"/>
      <c r="AB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Y342"/>
      <c r="Z342"/>
      <c r="AA342"/>
      <c r="AB342"/>
      <c r="AC342"/>
      <c r="AD342"/>
      <c r="AE342"/>
      <c r="AF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B344"/>
      <c r="C344"/>
      <c r="D344"/>
      <c r="E344"/>
      <c r="F344"/>
      <c r="G344"/>
      <c r="H344"/>
      <c r="I344"/>
      <c r="J344"/>
      <c r="K344"/>
      <c r="L344"/>
      <c r="M344"/>
      <c r="N344"/>
      <c r="O344"/>
      <c r="P344"/>
      <c r="Q344"/>
      <c r="R344"/>
      <c r="S344"/>
      <c r="T344"/>
      <c r="U344"/>
      <c r="V344"/>
      <c r="W344"/>
      <c r="X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Q346"/>
      <c r="R346"/>
      <c r="S346"/>
      <c r="T346"/>
      <c r="U346"/>
      <c r="V346"/>
      <c r="W346"/>
      <c r="X346"/>
      <c r="Y346"/>
      <c r="AC346"/>
      <c r="AD346"/>
      <c r="AE346"/>
      <c r="AF346"/>
      <c r="AG346"/>
      <c r="AH346"/>
      <c r="AI346"/>
      <c r="AJ346"/>
      <c r="AK346"/>
      <c r="AL346"/>
      <c r="AM346"/>
    </row>
    <row r="347" spans="1:39" x14ac:dyDescent="0.2">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row>
    <row r="348" spans="1:39" x14ac:dyDescent="0.2">
      <c r="B348"/>
      <c r="C348"/>
      <c r="D348"/>
      <c r="E348"/>
      <c r="F348"/>
      <c r="G348"/>
      <c r="H348"/>
      <c r="I348"/>
      <c r="J348"/>
      <c r="K348"/>
      <c r="L348"/>
      <c r="M348"/>
      <c r="N348"/>
      <c r="O348"/>
      <c r="P348"/>
      <c r="Q348"/>
      <c r="R348"/>
      <c r="S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4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row>
    <row r="354" spans="1:41" x14ac:dyDescent="0.2">
      <c r="A354"/>
      <c r="B354"/>
      <c r="C354"/>
      <c r="D354"/>
      <c r="E354"/>
      <c r="F354"/>
      <c r="G354"/>
      <c r="H354"/>
      <c r="I354"/>
      <c r="J354"/>
      <c r="K354"/>
      <c r="L354"/>
      <c r="M354"/>
      <c r="N354"/>
      <c r="O354"/>
      <c r="P354"/>
      <c r="Q354"/>
      <c r="R354"/>
      <c r="S354"/>
      <c r="T354"/>
      <c r="U354"/>
      <c r="V354"/>
      <c r="W354"/>
      <c r="X354"/>
      <c r="AC354"/>
      <c r="AD354"/>
      <c r="AE354"/>
      <c r="AF354"/>
      <c r="AG354"/>
      <c r="AH354"/>
      <c r="AI354"/>
      <c r="AJ354"/>
      <c r="AK354"/>
      <c r="AL354"/>
      <c r="AM354"/>
    </row>
    <row r="355" spans="1:4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row>
    <row r="356" spans="1:41" x14ac:dyDescent="0.2">
      <c r="B356"/>
      <c r="C356"/>
      <c r="D356"/>
      <c r="E356"/>
      <c r="F356"/>
      <c r="G356"/>
      <c r="H356"/>
      <c r="I356"/>
      <c r="J356"/>
      <c r="K356"/>
      <c r="L356"/>
      <c r="M356"/>
      <c r="N356"/>
      <c r="O356"/>
      <c r="P356"/>
      <c r="Q356"/>
      <c r="R356"/>
      <c r="S356"/>
      <c r="T356"/>
      <c r="U356"/>
      <c r="V356"/>
      <c r="X356"/>
      <c r="Y356"/>
      <c r="Z356"/>
      <c r="AB356"/>
      <c r="AC356"/>
      <c r="AD356"/>
      <c r="AE356"/>
      <c r="AF356"/>
      <c r="AG356"/>
      <c r="AH356"/>
      <c r="AI356"/>
      <c r="AJ356"/>
      <c r="AK356"/>
      <c r="AL356"/>
      <c r="AM356"/>
    </row>
    <row r="357" spans="1:41" x14ac:dyDescent="0.2">
      <c r="B357"/>
      <c r="C357"/>
      <c r="D357"/>
      <c r="E357"/>
      <c r="F357"/>
      <c r="G357"/>
      <c r="H357"/>
      <c r="I357"/>
      <c r="J357"/>
      <c r="K357"/>
      <c r="L357"/>
      <c r="M357"/>
      <c r="N357"/>
      <c r="O357"/>
      <c r="P357"/>
      <c r="Q357"/>
      <c r="R357"/>
      <c r="S357"/>
      <c r="U357"/>
      <c r="V357"/>
      <c r="W357"/>
      <c r="Y357"/>
      <c r="Z357"/>
      <c r="AA357"/>
      <c r="AC357"/>
      <c r="AD357"/>
      <c r="AE357"/>
      <c r="AF357"/>
      <c r="AG357"/>
      <c r="AH357"/>
      <c r="AI357"/>
      <c r="AJ357"/>
      <c r="AK357"/>
      <c r="AL357"/>
      <c r="AM357"/>
    </row>
    <row r="358" spans="1:4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row>
    <row r="359" spans="1:4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row>
    <row r="360" spans="1:4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row>
    <row r="361" spans="1:4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O361"/>
    </row>
    <row r="362" spans="1:4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1" x14ac:dyDescent="0.2">
      <c r="A364"/>
      <c r="B364"/>
      <c r="C364"/>
      <c r="D364"/>
      <c r="E364"/>
      <c r="F364"/>
      <c r="G364"/>
      <c r="H364"/>
      <c r="I364"/>
      <c r="J364"/>
      <c r="K364"/>
      <c r="L364"/>
      <c r="M364"/>
      <c r="N364"/>
      <c r="O364"/>
      <c r="P364"/>
      <c r="Q364"/>
      <c r="R364"/>
      <c r="S364"/>
      <c r="U364"/>
      <c r="Y364"/>
      <c r="AC364"/>
      <c r="AD364"/>
      <c r="AE364"/>
      <c r="AF364"/>
      <c r="AG364"/>
      <c r="AH364"/>
      <c r="AI364"/>
      <c r="AJ364"/>
      <c r="AK364"/>
      <c r="AL364"/>
      <c r="AM364"/>
    </row>
    <row r="365" spans="1:41" x14ac:dyDescent="0.2">
      <c r="A365"/>
      <c r="B365"/>
      <c r="C365"/>
      <c r="D365"/>
      <c r="E365"/>
      <c r="F365"/>
      <c r="G365"/>
      <c r="H365"/>
      <c r="I365"/>
      <c r="J365"/>
      <c r="K365"/>
      <c r="L365"/>
      <c r="M365"/>
      <c r="N365"/>
      <c r="O365"/>
      <c r="P365"/>
      <c r="Q365"/>
      <c r="R365"/>
      <c r="S365"/>
      <c r="T365"/>
      <c r="U365"/>
      <c r="Y365"/>
      <c r="AC365"/>
      <c r="AD365"/>
      <c r="AE365"/>
      <c r="AF365"/>
      <c r="AG365"/>
      <c r="AH365"/>
      <c r="AI365"/>
      <c r="AJ365"/>
      <c r="AK365"/>
      <c r="AL365"/>
      <c r="AM365"/>
    </row>
    <row r="366" spans="1:41" x14ac:dyDescent="0.2">
      <c r="B366"/>
      <c r="C366"/>
      <c r="D366"/>
      <c r="E366"/>
      <c r="F366"/>
      <c r="G366"/>
      <c r="H366"/>
      <c r="U366"/>
      <c r="Y366"/>
      <c r="AC366"/>
      <c r="AD366"/>
      <c r="AE366"/>
      <c r="AF366"/>
      <c r="AG366"/>
      <c r="AH366"/>
      <c r="AI366"/>
      <c r="AJ366"/>
      <c r="AK366"/>
      <c r="AL366"/>
      <c r="AM366"/>
    </row>
    <row r="367" spans="1:4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row>
    <row r="368" spans="1:4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row>
    <row r="369" spans="1:39"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row>
    <row r="372" spans="1:39"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row>
    <row r="373" spans="1:39" x14ac:dyDescent="0.2">
      <c r="A373"/>
      <c r="B373"/>
      <c r="C373"/>
      <c r="D373"/>
      <c r="E373"/>
      <c r="F373"/>
      <c r="G373"/>
      <c r="H373"/>
      <c r="I373"/>
      <c r="J373"/>
      <c r="K373"/>
      <c r="L373"/>
      <c r="M373"/>
      <c r="N373"/>
      <c r="O373"/>
      <c r="P373"/>
      <c r="U373"/>
      <c r="Y373"/>
      <c r="AC373"/>
      <c r="AD373"/>
      <c r="AE373"/>
      <c r="AF373"/>
      <c r="AG373"/>
      <c r="AH373"/>
      <c r="AI373"/>
      <c r="AJ373"/>
      <c r="AK373"/>
      <c r="AL373"/>
      <c r="AM373"/>
    </row>
    <row r="374" spans="1:39" x14ac:dyDescent="0.2">
      <c r="A374"/>
      <c r="B374"/>
      <c r="C374"/>
      <c r="D374"/>
      <c r="E374"/>
      <c r="F374"/>
      <c r="G374"/>
      <c r="H374"/>
      <c r="I374"/>
      <c r="J374"/>
      <c r="K374"/>
      <c r="L374"/>
      <c r="M374"/>
      <c r="N374"/>
      <c r="O374"/>
      <c r="P374"/>
      <c r="U374"/>
      <c r="Y374"/>
      <c r="AC374"/>
      <c r="AD374"/>
      <c r="AE374"/>
      <c r="AF374"/>
      <c r="AG374"/>
      <c r="AH374"/>
      <c r="AI374"/>
      <c r="AJ374"/>
      <c r="AK374"/>
      <c r="AL374"/>
      <c r="AM374"/>
    </row>
    <row r="375" spans="1:39"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row>
    <row r="376" spans="1:39" x14ac:dyDescent="0.2">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row>
    <row r="377" spans="1:39" x14ac:dyDescent="0.2">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row>
    <row r="378" spans="1:39" x14ac:dyDescent="0.2">
      <c r="B378"/>
      <c r="C378"/>
      <c r="D378"/>
      <c r="E378"/>
      <c r="F378"/>
      <c r="G378"/>
      <c r="H378"/>
      <c r="I378"/>
      <c r="J378"/>
      <c r="K378"/>
      <c r="L378"/>
      <c r="M378"/>
      <c r="N378"/>
      <c r="O378"/>
      <c r="P378"/>
      <c r="Q378"/>
      <c r="R378"/>
      <c r="S378"/>
      <c r="T378"/>
      <c r="U378"/>
      <c r="V378"/>
      <c r="W378"/>
      <c r="X378"/>
      <c r="AC378"/>
      <c r="AD378"/>
      <c r="AE378"/>
      <c r="AF378"/>
      <c r="AG378"/>
      <c r="AH378"/>
      <c r="AI378"/>
      <c r="AJ378"/>
      <c r="AK378"/>
      <c r="AL378"/>
      <c r="AM378"/>
    </row>
    <row r="379" spans="1:39" x14ac:dyDescent="0.2">
      <c r="B379"/>
      <c r="C379"/>
      <c r="D379"/>
      <c r="E379"/>
      <c r="F379"/>
      <c r="G379"/>
      <c r="H379"/>
      <c r="I379"/>
      <c r="J379"/>
      <c r="K379"/>
      <c r="L379"/>
      <c r="M379"/>
      <c r="N379"/>
      <c r="O379"/>
      <c r="P379"/>
      <c r="Q379"/>
      <c r="R379"/>
      <c r="S379"/>
      <c r="T379"/>
      <c r="U379"/>
      <c r="V379"/>
      <c r="W379"/>
      <c r="X379"/>
      <c r="AC379"/>
      <c r="AD379"/>
      <c r="AE379"/>
      <c r="AF379"/>
      <c r="AG379"/>
      <c r="AH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row>
    <row r="385" spans="1:39" x14ac:dyDescent="0.2">
      <c r="B385"/>
      <c r="C385"/>
      <c r="D385"/>
      <c r="E385"/>
      <c r="F385"/>
      <c r="G385"/>
      <c r="H385"/>
      <c r="I385"/>
      <c r="J385"/>
      <c r="K385"/>
      <c r="L385"/>
      <c r="M385"/>
      <c r="N385"/>
      <c r="O385"/>
      <c r="P385"/>
      <c r="Q385"/>
      <c r="R385"/>
      <c r="S385"/>
      <c r="T385"/>
      <c r="U385"/>
      <c r="V385"/>
      <c r="W385"/>
      <c r="X385"/>
      <c r="AC385"/>
      <c r="AD385"/>
      <c r="AE385"/>
      <c r="AF385"/>
      <c r="AH385"/>
      <c r="AI385"/>
      <c r="AJ385"/>
      <c r="AK385"/>
      <c r="AL385"/>
      <c r="AM385"/>
    </row>
    <row r="386" spans="1:39" x14ac:dyDescent="0.2">
      <c r="B386"/>
      <c r="C386"/>
      <c r="D386"/>
      <c r="E386"/>
      <c r="F386"/>
      <c r="G386"/>
      <c r="H386"/>
      <c r="I386"/>
      <c r="J386"/>
      <c r="K386"/>
      <c r="L386"/>
      <c r="M386"/>
      <c r="N386"/>
      <c r="O386"/>
      <c r="P386"/>
      <c r="Q386"/>
      <c r="R386"/>
      <c r="S386"/>
      <c r="T386"/>
      <c r="U386"/>
      <c r="V386"/>
      <c r="W386"/>
      <c r="X386"/>
      <c r="AC386"/>
      <c r="AD386"/>
      <c r="AE386"/>
      <c r="AF386"/>
      <c r="AH386"/>
      <c r="AI386"/>
      <c r="AJ386"/>
      <c r="AK386"/>
      <c r="AL386"/>
      <c r="AM386"/>
    </row>
    <row r="387" spans="1:39"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39" x14ac:dyDescent="0.2">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row>
    <row r="389" spans="1:39"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row>
    <row r="390" spans="1:39" x14ac:dyDescent="0.2">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row>
    <row r="391" spans="1:39" x14ac:dyDescent="0.2">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row>
    <row r="392" spans="1:39" x14ac:dyDescent="0.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row>
    <row r="393" spans="1:39" x14ac:dyDescent="0.2">
      <c r="B393"/>
      <c r="C393"/>
      <c r="D393"/>
      <c r="E393"/>
      <c r="G393"/>
      <c r="H393"/>
      <c r="I393"/>
      <c r="J393"/>
      <c r="K393"/>
      <c r="L393"/>
      <c r="M393"/>
      <c r="N393"/>
      <c r="O393"/>
      <c r="P393"/>
      <c r="Q393"/>
      <c r="R393"/>
      <c r="S393"/>
      <c r="T393"/>
      <c r="U393"/>
      <c r="V393"/>
      <c r="W393"/>
      <c r="X393"/>
      <c r="AC393"/>
      <c r="AD393"/>
      <c r="AE393"/>
      <c r="AF393"/>
      <c r="AG393"/>
      <c r="AM393"/>
    </row>
    <row r="394" spans="1:39"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c r="AM394"/>
    </row>
    <row r="395" spans="1:39" x14ac:dyDescent="0.2">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39" x14ac:dyDescent="0.2">
      <c r="A396"/>
      <c r="B396"/>
      <c r="C396"/>
      <c r="D396"/>
      <c r="E396"/>
      <c r="F396"/>
      <c r="G396"/>
      <c r="H396"/>
      <c r="I396"/>
      <c r="J396"/>
      <c r="K396"/>
      <c r="L396"/>
      <c r="M396"/>
      <c r="N396"/>
      <c r="O396"/>
      <c r="P396"/>
      <c r="Q396"/>
      <c r="R396"/>
      <c r="S396"/>
      <c r="T396"/>
      <c r="U396"/>
      <c r="V396"/>
      <c r="W396"/>
      <c r="X396"/>
      <c r="AC396"/>
      <c r="AD396"/>
      <c r="AE396"/>
      <c r="AF396"/>
      <c r="AG396"/>
      <c r="AH396"/>
      <c r="AI396"/>
      <c r="AJ396"/>
      <c r="AK396"/>
      <c r="AL396"/>
      <c r="AM396"/>
    </row>
    <row r="397" spans="1:39" x14ac:dyDescent="0.2">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39" x14ac:dyDescent="0.2">
      <c r="B398"/>
      <c r="C398"/>
      <c r="D398"/>
      <c r="E398"/>
      <c r="G398"/>
      <c r="H398"/>
      <c r="I398"/>
      <c r="J398"/>
      <c r="K398"/>
      <c r="L398"/>
      <c r="M398"/>
      <c r="N398"/>
      <c r="O398"/>
      <c r="P398"/>
      <c r="Q398"/>
      <c r="R398"/>
      <c r="S398"/>
      <c r="U398"/>
      <c r="V398"/>
      <c r="W398"/>
      <c r="X398"/>
      <c r="Y398"/>
      <c r="Z398"/>
      <c r="AA398"/>
      <c r="AB398"/>
      <c r="AD398"/>
      <c r="AE398"/>
      <c r="AF398"/>
      <c r="AG398"/>
      <c r="AM398"/>
    </row>
    <row r="399" spans="1:39" x14ac:dyDescent="0.2">
      <c r="B399"/>
      <c r="C399"/>
      <c r="D399"/>
      <c r="E399"/>
      <c r="G399"/>
      <c r="H399"/>
      <c r="I399"/>
      <c r="J399"/>
      <c r="K399"/>
      <c r="L399"/>
      <c r="M399"/>
      <c r="N399"/>
      <c r="O399"/>
      <c r="P399"/>
      <c r="Q399"/>
      <c r="R399"/>
      <c r="S399"/>
      <c r="U399"/>
      <c r="V399"/>
      <c r="W399"/>
      <c r="X399"/>
      <c r="Y399"/>
      <c r="Z399"/>
      <c r="AA399"/>
      <c r="AB399"/>
      <c r="AD399"/>
      <c r="AE399"/>
      <c r="AF399"/>
      <c r="AG399"/>
      <c r="AM399"/>
    </row>
    <row r="400" spans="1:39" x14ac:dyDescent="0.2">
      <c r="B400"/>
      <c r="C400"/>
      <c r="D400"/>
      <c r="E400"/>
      <c r="G400"/>
      <c r="H400"/>
      <c r="I400"/>
      <c r="J400"/>
      <c r="K400"/>
      <c r="L400"/>
      <c r="M400"/>
      <c r="N400"/>
      <c r="O400"/>
      <c r="P400"/>
      <c r="Q400"/>
      <c r="R400"/>
      <c r="S400"/>
      <c r="U400"/>
      <c r="V400"/>
      <c r="W400"/>
      <c r="X400"/>
      <c r="Y400"/>
      <c r="Z400"/>
      <c r="AA400"/>
      <c r="AB400"/>
      <c r="AD400"/>
      <c r="AE400"/>
      <c r="AF400"/>
      <c r="AG400"/>
      <c r="AM400"/>
    </row>
    <row r="401" spans="1:39" x14ac:dyDescent="0.2">
      <c r="B401"/>
      <c r="C401"/>
      <c r="D401"/>
      <c r="E401"/>
      <c r="G401"/>
      <c r="H401"/>
      <c r="I401"/>
      <c r="J401"/>
      <c r="K401"/>
      <c r="L401"/>
      <c r="M401"/>
      <c r="N401"/>
      <c r="O401"/>
      <c r="P401"/>
      <c r="Q401"/>
      <c r="R401"/>
      <c r="S401"/>
      <c r="U401"/>
      <c r="V401"/>
      <c r="W401"/>
      <c r="X401"/>
      <c r="Y401"/>
      <c r="Z401"/>
      <c r="AA401"/>
      <c r="AB401"/>
      <c r="AD401"/>
      <c r="AE401"/>
      <c r="AF401"/>
      <c r="AG401"/>
      <c r="AM401"/>
    </row>
    <row r="402" spans="1:39" x14ac:dyDescent="0.2">
      <c r="B402"/>
      <c r="C402"/>
      <c r="D402"/>
      <c r="E402"/>
      <c r="G402"/>
      <c r="H402"/>
      <c r="I402"/>
      <c r="J402"/>
      <c r="K402"/>
      <c r="L402"/>
      <c r="M402"/>
      <c r="N402"/>
      <c r="O402"/>
      <c r="P402"/>
      <c r="Q402"/>
      <c r="R402"/>
      <c r="S402"/>
      <c r="U402"/>
      <c r="V402"/>
      <c r="W402"/>
      <c r="X402"/>
      <c r="Y402"/>
      <c r="Z402"/>
      <c r="AA402"/>
      <c r="AB402"/>
      <c r="AD402"/>
      <c r="AE402"/>
      <c r="AF402"/>
      <c r="AG402"/>
      <c r="AM402"/>
    </row>
    <row r="403" spans="1:39" x14ac:dyDescent="0.2">
      <c r="B403"/>
      <c r="C403"/>
      <c r="D403"/>
      <c r="E403"/>
      <c r="G403"/>
      <c r="H403"/>
      <c r="I403"/>
      <c r="J403"/>
      <c r="K403"/>
      <c r="L403"/>
      <c r="M403"/>
      <c r="N403"/>
      <c r="O403"/>
      <c r="P403"/>
      <c r="Q403"/>
      <c r="R403"/>
      <c r="S403"/>
      <c r="U403"/>
      <c r="V403"/>
      <c r="W403"/>
      <c r="X403"/>
      <c r="Y403"/>
      <c r="Z403"/>
      <c r="AA403"/>
      <c r="AB403"/>
      <c r="AD403"/>
      <c r="AE403"/>
      <c r="AF403"/>
      <c r="AG403"/>
      <c r="AM403"/>
    </row>
    <row r="404" spans="1:39" x14ac:dyDescent="0.2">
      <c r="B404"/>
      <c r="C404"/>
      <c r="D404"/>
      <c r="E404"/>
      <c r="G404"/>
      <c r="H404"/>
      <c r="I404"/>
      <c r="J404"/>
      <c r="K404"/>
      <c r="L404"/>
      <c r="M404"/>
      <c r="N404"/>
      <c r="O404"/>
      <c r="P404"/>
      <c r="Q404"/>
      <c r="R404"/>
      <c r="S404"/>
      <c r="U404"/>
      <c r="V404"/>
      <c r="W404"/>
      <c r="X404"/>
      <c r="Y404"/>
      <c r="Z404"/>
      <c r="AA404"/>
      <c r="AB404"/>
      <c r="AD404"/>
      <c r="AE404"/>
      <c r="AF404"/>
      <c r="AG404"/>
      <c r="AM404"/>
    </row>
    <row r="405" spans="1:39" x14ac:dyDescent="0.2">
      <c r="B405"/>
      <c r="C405"/>
      <c r="D405"/>
      <c r="E405"/>
      <c r="G405"/>
      <c r="H405"/>
      <c r="I405"/>
      <c r="J405"/>
      <c r="K405"/>
      <c r="L405"/>
      <c r="M405"/>
      <c r="N405"/>
      <c r="O405"/>
      <c r="P405"/>
      <c r="Q405"/>
      <c r="R405"/>
      <c r="S405"/>
      <c r="U405"/>
      <c r="V405"/>
      <c r="W405"/>
      <c r="X405"/>
      <c r="Y405"/>
      <c r="Z405"/>
      <c r="AA405"/>
      <c r="AB405"/>
      <c r="AD405"/>
      <c r="AE405"/>
      <c r="AF405"/>
      <c r="AG405"/>
      <c r="AM405"/>
    </row>
    <row r="406" spans="1:39" x14ac:dyDescent="0.2">
      <c r="B406"/>
      <c r="C406"/>
      <c r="D406"/>
      <c r="E406"/>
      <c r="G406"/>
      <c r="H406"/>
      <c r="I406"/>
      <c r="J406"/>
      <c r="K406"/>
      <c r="L406"/>
      <c r="M406"/>
      <c r="N406"/>
      <c r="O406"/>
      <c r="P406"/>
      <c r="Q406"/>
      <c r="R406"/>
      <c r="S406"/>
      <c r="U406"/>
      <c r="V406"/>
      <c r="W406"/>
      <c r="X406"/>
      <c r="Y406"/>
      <c r="Z406"/>
      <c r="AA406"/>
      <c r="AB406"/>
      <c r="AD406"/>
      <c r="AE406"/>
      <c r="AF406"/>
      <c r="AG406"/>
      <c r="AM406"/>
    </row>
    <row r="407" spans="1:39" x14ac:dyDescent="0.2">
      <c r="B407"/>
      <c r="C407"/>
      <c r="D407"/>
      <c r="E407"/>
      <c r="G407"/>
      <c r="H407"/>
      <c r="I407"/>
      <c r="J407"/>
      <c r="K407"/>
      <c r="L407"/>
      <c r="M407"/>
      <c r="N407"/>
      <c r="O407"/>
      <c r="P407"/>
      <c r="Q407"/>
      <c r="R407"/>
      <c r="S407"/>
      <c r="U407"/>
      <c r="V407"/>
      <c r="W407"/>
      <c r="X407"/>
      <c r="Y407"/>
      <c r="Z407"/>
      <c r="AA407"/>
      <c r="AB407"/>
      <c r="AD407"/>
      <c r="AE407"/>
      <c r="AF407"/>
      <c r="AG407"/>
      <c r="AM407"/>
    </row>
    <row r="408" spans="1:39" x14ac:dyDescent="0.2">
      <c r="B408"/>
      <c r="C408"/>
      <c r="D408"/>
      <c r="E408"/>
      <c r="G408"/>
      <c r="H408"/>
      <c r="I408"/>
      <c r="J408"/>
      <c r="K408"/>
      <c r="L408"/>
      <c r="M408"/>
      <c r="N408"/>
      <c r="O408"/>
      <c r="P408"/>
      <c r="Q408"/>
      <c r="R408"/>
      <c r="S408"/>
      <c r="U408"/>
      <c r="V408"/>
      <c r="W408"/>
      <c r="X408"/>
      <c r="Y408"/>
      <c r="Z408"/>
      <c r="AA408"/>
      <c r="AB408"/>
      <c r="AD408"/>
      <c r="AE408"/>
      <c r="AF408"/>
      <c r="AG408"/>
      <c r="AM408"/>
    </row>
    <row r="409" spans="1:39" x14ac:dyDescent="0.2">
      <c r="B409"/>
      <c r="C409"/>
      <c r="D409"/>
      <c r="E409"/>
      <c r="G409"/>
      <c r="H409"/>
      <c r="I409"/>
      <c r="J409"/>
      <c r="K409"/>
      <c r="L409"/>
      <c r="M409"/>
      <c r="N409"/>
      <c r="O409"/>
      <c r="P409"/>
      <c r="Q409"/>
      <c r="R409"/>
      <c r="S409"/>
      <c r="U409"/>
      <c r="V409"/>
      <c r="W409"/>
      <c r="X409"/>
      <c r="Y409"/>
      <c r="Z409"/>
      <c r="AA409"/>
      <c r="AB409"/>
      <c r="AD409"/>
      <c r="AE409"/>
      <c r="AF409"/>
      <c r="AG409"/>
      <c r="AM409"/>
    </row>
    <row r="410" spans="1:39" x14ac:dyDescent="0.2">
      <c r="B410"/>
      <c r="C410"/>
      <c r="D410"/>
      <c r="E410"/>
      <c r="G410"/>
      <c r="H410"/>
      <c r="I410"/>
      <c r="J410"/>
      <c r="K410"/>
      <c r="L410"/>
      <c r="M410"/>
      <c r="N410"/>
      <c r="O410"/>
      <c r="P410"/>
      <c r="Q410"/>
      <c r="R410"/>
      <c r="S410"/>
      <c r="U410"/>
      <c r="V410"/>
      <c r="W410"/>
      <c r="X410"/>
      <c r="Y410"/>
      <c r="Z410"/>
      <c r="AA410"/>
      <c r="AB410"/>
      <c r="AD410"/>
      <c r="AE410"/>
      <c r="AF410"/>
      <c r="AG410"/>
      <c r="AM410"/>
    </row>
    <row r="411" spans="1:39" x14ac:dyDescent="0.2">
      <c r="B411"/>
      <c r="C411"/>
      <c r="D411"/>
      <c r="E411"/>
      <c r="G411"/>
      <c r="H411"/>
      <c r="I411"/>
      <c r="J411"/>
      <c r="K411"/>
      <c r="L411"/>
      <c r="M411"/>
      <c r="N411"/>
      <c r="O411"/>
      <c r="P411"/>
      <c r="Q411"/>
      <c r="R411"/>
      <c r="S411"/>
      <c r="U411"/>
      <c r="V411"/>
      <c r="W411"/>
      <c r="X411"/>
      <c r="Y411"/>
      <c r="Z411"/>
      <c r="AA411"/>
      <c r="AB411"/>
      <c r="AD411"/>
      <c r="AE411"/>
      <c r="AF411"/>
      <c r="AG411"/>
      <c r="AM411"/>
    </row>
    <row r="412" spans="1:39"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row>
    <row r="413" spans="1:39"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row>
    <row r="414" spans="1:39" x14ac:dyDescent="0.2">
      <c r="B414"/>
      <c r="C414"/>
      <c r="D414"/>
      <c r="E414"/>
      <c r="F414"/>
      <c r="G414"/>
      <c r="H414"/>
      <c r="I414"/>
      <c r="J414"/>
      <c r="K414"/>
      <c r="L414"/>
      <c r="M414"/>
      <c r="O414"/>
      <c r="P414"/>
      <c r="Q414"/>
      <c r="R414"/>
      <c r="S414"/>
      <c r="T414"/>
      <c r="U414"/>
      <c r="V414"/>
      <c r="W414"/>
      <c r="Y414"/>
      <c r="AC414"/>
      <c r="AF414"/>
      <c r="AG414"/>
      <c r="AH414"/>
      <c r="AI414"/>
      <c r="AJ414"/>
      <c r="AK414"/>
      <c r="AL414"/>
      <c r="AM414"/>
    </row>
    <row r="415" spans="1:39" x14ac:dyDescent="0.2">
      <c r="A415"/>
      <c r="B415"/>
      <c r="C415"/>
      <c r="D415"/>
      <c r="E415"/>
      <c r="F415"/>
      <c r="G415"/>
      <c r="H415"/>
      <c r="I415"/>
      <c r="J415"/>
      <c r="K415"/>
      <c r="L415"/>
      <c r="M415"/>
      <c r="O415"/>
      <c r="P415"/>
      <c r="Q415"/>
      <c r="R415"/>
      <c r="S415"/>
      <c r="T415"/>
      <c r="U415"/>
      <c r="V415"/>
      <c r="W415"/>
      <c r="X415"/>
      <c r="Y415"/>
      <c r="Z415"/>
      <c r="AA415"/>
      <c r="AB415"/>
      <c r="AC415"/>
      <c r="AD415"/>
      <c r="AE415"/>
      <c r="AF415"/>
      <c r="AG415"/>
      <c r="AH415"/>
      <c r="AI415"/>
      <c r="AJ415"/>
      <c r="AK415"/>
      <c r="AL415"/>
      <c r="AM415"/>
    </row>
    <row r="416" spans="1:39" x14ac:dyDescent="0.2">
      <c r="A416"/>
      <c r="B416"/>
      <c r="C416"/>
      <c r="D416"/>
      <c r="E416"/>
      <c r="F416"/>
      <c r="G416"/>
      <c r="H416"/>
      <c r="I416"/>
      <c r="J416"/>
      <c r="K416"/>
      <c r="L416"/>
      <c r="M416"/>
      <c r="O416"/>
      <c r="P416"/>
      <c r="Q416"/>
      <c r="R416"/>
      <c r="S416"/>
      <c r="T416"/>
      <c r="U416"/>
      <c r="V416"/>
      <c r="W416"/>
      <c r="X416"/>
      <c r="Y416"/>
      <c r="Z416"/>
      <c r="AA416"/>
      <c r="AB416"/>
      <c r="AC416"/>
      <c r="AD416"/>
      <c r="AE416"/>
      <c r="AF416"/>
      <c r="AG416"/>
      <c r="AH416"/>
      <c r="AI416"/>
      <c r="AJ416"/>
      <c r="AK416"/>
      <c r="AL416"/>
      <c r="AM416"/>
    </row>
    <row r="417" spans="1:39" x14ac:dyDescent="0.2">
      <c r="A417"/>
      <c r="B417"/>
      <c r="C417"/>
      <c r="D417"/>
      <c r="E417"/>
      <c r="F417"/>
      <c r="G417"/>
      <c r="H417"/>
      <c r="I417"/>
      <c r="J417"/>
      <c r="K417"/>
      <c r="L417"/>
      <c r="M417"/>
      <c r="O417"/>
      <c r="P417"/>
      <c r="Q417"/>
      <c r="R417"/>
      <c r="S417"/>
      <c r="T417"/>
      <c r="U417"/>
      <c r="V417"/>
      <c r="W417"/>
      <c r="X417"/>
      <c r="Y417"/>
      <c r="Z417"/>
      <c r="AA417"/>
      <c r="AB417"/>
      <c r="AC417"/>
      <c r="AD417"/>
      <c r="AE417"/>
      <c r="AF417"/>
      <c r="AG417"/>
      <c r="AH417"/>
      <c r="AI417"/>
      <c r="AJ417"/>
      <c r="AK417"/>
      <c r="AL417"/>
      <c r="AM417"/>
    </row>
    <row r="418" spans="1:39" x14ac:dyDescent="0.2">
      <c r="B418"/>
      <c r="C418"/>
      <c r="D418"/>
      <c r="E418"/>
      <c r="F418"/>
      <c r="G418"/>
      <c r="H418"/>
      <c r="I418"/>
      <c r="J418"/>
      <c r="K418"/>
      <c r="L418"/>
      <c r="M418"/>
      <c r="O418"/>
      <c r="P418"/>
      <c r="Q418"/>
      <c r="R418"/>
      <c r="S418"/>
      <c r="T418"/>
      <c r="U418"/>
      <c r="V418"/>
      <c r="W418"/>
      <c r="X418"/>
      <c r="Y418"/>
      <c r="Z418"/>
      <c r="AA418"/>
      <c r="AB418"/>
      <c r="AC418"/>
      <c r="AD418"/>
      <c r="AE418"/>
      <c r="AF418"/>
      <c r="AG418"/>
      <c r="AH418"/>
      <c r="AI418"/>
      <c r="AJ418"/>
      <c r="AK418"/>
      <c r="AL418"/>
      <c r="AM418"/>
    </row>
    <row r="419" spans="1:39" x14ac:dyDescent="0.2">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row>
    <row r="420" spans="1:39" x14ac:dyDescent="0.2">
      <c r="B420"/>
      <c r="C420"/>
      <c r="D420"/>
      <c r="E420"/>
      <c r="F420"/>
      <c r="G420"/>
      <c r="H420"/>
      <c r="I420"/>
      <c r="J420"/>
      <c r="K420"/>
      <c r="L420"/>
      <c r="M420"/>
      <c r="O420"/>
      <c r="P420"/>
      <c r="Q420"/>
      <c r="R420"/>
      <c r="S420"/>
      <c r="T420"/>
      <c r="U420"/>
      <c r="V420"/>
      <c r="X420"/>
      <c r="Y420"/>
      <c r="Z420"/>
      <c r="AA420"/>
      <c r="AB420"/>
      <c r="AC420"/>
      <c r="AD420"/>
      <c r="AE420"/>
      <c r="AF420"/>
      <c r="AG420"/>
      <c r="AH420"/>
      <c r="AI420"/>
      <c r="AJ420"/>
      <c r="AK420"/>
      <c r="AL420"/>
      <c r="AM420"/>
    </row>
    <row r="421" spans="1:39" x14ac:dyDescent="0.2">
      <c r="A421"/>
      <c r="B421"/>
      <c r="C421"/>
      <c r="D421"/>
      <c r="E421"/>
      <c r="F421"/>
      <c r="G421"/>
      <c r="H421"/>
      <c r="I421"/>
      <c r="J421"/>
      <c r="K421"/>
      <c r="L421"/>
      <c r="M421"/>
      <c r="O421"/>
      <c r="P421"/>
      <c r="Q421"/>
      <c r="R421"/>
      <c r="S421"/>
      <c r="T421"/>
      <c r="U421"/>
      <c r="V421"/>
      <c r="W421"/>
      <c r="X421"/>
      <c r="Y421"/>
      <c r="Z421"/>
      <c r="AA421"/>
      <c r="AB421"/>
      <c r="AC421"/>
      <c r="AD421"/>
      <c r="AE421"/>
      <c r="AF421"/>
      <c r="AG421"/>
      <c r="AH421"/>
      <c r="AI421"/>
      <c r="AJ421"/>
      <c r="AK421"/>
      <c r="AL421"/>
      <c r="AM421"/>
    </row>
    <row r="422" spans="1:39"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H422"/>
      <c r="AI422"/>
      <c r="AJ422"/>
      <c r="AK422"/>
      <c r="AL422"/>
      <c r="AM422"/>
    </row>
    <row r="423" spans="1:39" x14ac:dyDescent="0.2">
      <c r="B423"/>
      <c r="C423"/>
      <c r="D423"/>
      <c r="E423"/>
      <c r="F423"/>
      <c r="G423"/>
      <c r="H423"/>
      <c r="I423"/>
      <c r="J423"/>
      <c r="K423"/>
      <c r="L423"/>
      <c r="M423"/>
      <c r="O423"/>
      <c r="P423"/>
      <c r="Q423"/>
      <c r="R423"/>
      <c r="S423"/>
      <c r="T423"/>
      <c r="U423"/>
      <c r="V423"/>
      <c r="W423"/>
      <c r="X423"/>
      <c r="Y423"/>
      <c r="Z423"/>
      <c r="AA423"/>
      <c r="AB423"/>
      <c r="AC423"/>
      <c r="AD423"/>
      <c r="AE423"/>
      <c r="AF423"/>
      <c r="AG423"/>
      <c r="AH423"/>
      <c r="AI423"/>
      <c r="AJ423"/>
      <c r="AK423"/>
      <c r="AL423"/>
      <c r="AM423"/>
    </row>
    <row r="424" spans="1:39" x14ac:dyDescent="0.2">
      <c r="B424"/>
      <c r="C424"/>
      <c r="D424"/>
      <c r="E424"/>
      <c r="F424"/>
      <c r="G424"/>
      <c r="H424"/>
      <c r="I424"/>
      <c r="J424"/>
      <c r="K424"/>
      <c r="L424"/>
      <c r="M424"/>
      <c r="O424"/>
      <c r="P424"/>
      <c r="Q424"/>
      <c r="R424"/>
      <c r="S424"/>
      <c r="T424"/>
      <c r="U424"/>
      <c r="V424"/>
      <c r="W424"/>
      <c r="X424"/>
      <c r="Y424"/>
      <c r="Z424"/>
      <c r="AA424"/>
      <c r="AB424"/>
      <c r="AC424"/>
      <c r="AD424"/>
      <c r="AE424"/>
      <c r="AF424"/>
      <c r="AG424"/>
      <c r="AH424"/>
      <c r="AI424"/>
      <c r="AJ424"/>
      <c r="AK424"/>
      <c r="AL424"/>
      <c r="AM424"/>
    </row>
    <row r="425" spans="1:39" x14ac:dyDescent="0.2">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row>
    <row r="426" spans="1:39" x14ac:dyDescent="0.2">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row>
    <row r="427" spans="1:39" x14ac:dyDescent="0.2">
      <c r="B427"/>
      <c r="C427"/>
      <c r="D427"/>
      <c r="E427"/>
      <c r="F427"/>
      <c r="G427"/>
      <c r="U427"/>
      <c r="Y427"/>
      <c r="AC427"/>
      <c r="AD427"/>
      <c r="AE427"/>
      <c r="AF427"/>
      <c r="AG427"/>
      <c r="AH427"/>
      <c r="AI427"/>
      <c r="AJ427"/>
      <c r="AK427"/>
      <c r="AL427"/>
      <c r="AM427"/>
    </row>
    <row r="428" spans="1:39"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row>
    <row r="429" spans="1:39" x14ac:dyDescent="0.2">
      <c r="A429"/>
      <c r="B429"/>
      <c r="C429"/>
      <c r="D429"/>
      <c r="E429"/>
      <c r="F429"/>
      <c r="G429"/>
      <c r="H429"/>
      <c r="I429"/>
      <c r="J429"/>
      <c r="K429"/>
      <c r="L429"/>
      <c r="M429"/>
      <c r="O429"/>
      <c r="P429"/>
      <c r="Q429"/>
      <c r="R429"/>
      <c r="S429"/>
      <c r="T429"/>
      <c r="U429"/>
      <c r="V429"/>
      <c r="W429"/>
      <c r="X429"/>
      <c r="Y429"/>
      <c r="Z429"/>
      <c r="AA429"/>
      <c r="AB429"/>
      <c r="AC429"/>
      <c r="AD429"/>
      <c r="AE429"/>
      <c r="AF429"/>
      <c r="AG429"/>
      <c r="AH429"/>
      <c r="AI429"/>
      <c r="AJ429"/>
      <c r="AK429"/>
      <c r="AL429"/>
      <c r="AM429"/>
    </row>
    <row r="430" spans="1:39" x14ac:dyDescent="0.2">
      <c r="A430"/>
      <c r="B430"/>
      <c r="C430"/>
      <c r="D430"/>
      <c r="E430"/>
      <c r="F430"/>
      <c r="G430"/>
      <c r="H430"/>
      <c r="I430"/>
      <c r="J430"/>
      <c r="K430"/>
      <c r="L430"/>
      <c r="M430"/>
      <c r="O430"/>
      <c r="P430"/>
      <c r="Q430"/>
      <c r="R430"/>
      <c r="S430"/>
      <c r="T430"/>
      <c r="U430"/>
      <c r="V430"/>
      <c r="W430"/>
      <c r="X430"/>
      <c r="Y430"/>
      <c r="Z430"/>
      <c r="AA430"/>
      <c r="AB430"/>
      <c r="AC430"/>
      <c r="AD430"/>
      <c r="AE430"/>
      <c r="AF430"/>
      <c r="AG430"/>
      <c r="AH430"/>
      <c r="AI430"/>
      <c r="AJ430"/>
      <c r="AK430"/>
      <c r="AL430"/>
      <c r="AM430"/>
    </row>
    <row r="431" spans="1:39" x14ac:dyDescent="0.2">
      <c r="A431"/>
      <c r="B431"/>
      <c r="C431"/>
      <c r="D431"/>
      <c r="E431"/>
      <c r="F431"/>
      <c r="G431"/>
      <c r="H431"/>
      <c r="I431"/>
      <c r="J431"/>
      <c r="K431"/>
      <c r="L431"/>
      <c r="M431"/>
      <c r="O431"/>
      <c r="P431"/>
      <c r="Q431"/>
      <c r="R431"/>
      <c r="S431"/>
      <c r="T431"/>
      <c r="U431"/>
      <c r="V431"/>
      <c r="W431"/>
      <c r="X431"/>
      <c r="Y431"/>
      <c r="Z431"/>
      <c r="AA431"/>
      <c r="AB431"/>
      <c r="AC431"/>
      <c r="AD431"/>
      <c r="AE431"/>
      <c r="AF431"/>
      <c r="AG431"/>
      <c r="AH431"/>
      <c r="AI431"/>
      <c r="AJ431"/>
      <c r="AK431"/>
      <c r="AL431"/>
      <c r="AM431"/>
    </row>
    <row r="432" spans="1:39" x14ac:dyDescent="0.2">
      <c r="B432"/>
      <c r="C432"/>
      <c r="D432"/>
      <c r="E432"/>
      <c r="F432"/>
      <c r="G432"/>
      <c r="H432"/>
      <c r="I432"/>
      <c r="J432"/>
      <c r="K432"/>
      <c r="L432"/>
      <c r="M432"/>
      <c r="O432"/>
      <c r="P432"/>
      <c r="Q432"/>
      <c r="R432"/>
      <c r="S432"/>
      <c r="T432"/>
      <c r="U432"/>
      <c r="V432"/>
      <c r="W432"/>
      <c r="X432"/>
      <c r="Y432"/>
      <c r="Z432"/>
      <c r="AA432"/>
      <c r="AB432"/>
      <c r="AC432"/>
      <c r="AD432"/>
      <c r="AE432"/>
      <c r="AF432"/>
      <c r="AG432"/>
      <c r="AH432"/>
      <c r="AI432"/>
      <c r="AJ432"/>
      <c r="AK432"/>
      <c r="AL432"/>
      <c r="AM432"/>
    </row>
    <row r="433" spans="1:39" x14ac:dyDescent="0.2">
      <c r="A433"/>
      <c r="B433"/>
      <c r="C433"/>
      <c r="D433"/>
      <c r="E433"/>
      <c r="F433"/>
      <c r="G433"/>
      <c r="H433"/>
      <c r="I433"/>
      <c r="J433"/>
      <c r="K433"/>
      <c r="L433"/>
      <c r="M433"/>
      <c r="O433"/>
      <c r="P433"/>
      <c r="Q433"/>
      <c r="R433"/>
      <c r="S433"/>
      <c r="T433"/>
      <c r="U433"/>
      <c r="V433"/>
      <c r="W433"/>
      <c r="X433"/>
      <c r="Y433"/>
      <c r="Z433"/>
      <c r="AA433"/>
      <c r="AB433"/>
      <c r="AC433"/>
      <c r="AD433"/>
      <c r="AE433"/>
      <c r="AF433"/>
      <c r="AL433"/>
      <c r="AM433"/>
    </row>
    <row r="434" spans="1:39" x14ac:dyDescent="0.2">
      <c r="A434"/>
      <c r="B434"/>
      <c r="C434"/>
      <c r="D434"/>
      <c r="E434"/>
      <c r="F434"/>
      <c r="G434"/>
      <c r="H434"/>
      <c r="I434"/>
      <c r="J434"/>
      <c r="K434"/>
      <c r="L434"/>
      <c r="M434"/>
      <c r="O434"/>
      <c r="P434"/>
      <c r="Q434"/>
      <c r="R434"/>
      <c r="S434"/>
      <c r="T434"/>
      <c r="U434"/>
      <c r="V434"/>
      <c r="W434"/>
      <c r="X434"/>
      <c r="Y434"/>
      <c r="Z434"/>
      <c r="AA434"/>
      <c r="AB434"/>
      <c r="AC434"/>
      <c r="AD434"/>
      <c r="AE434"/>
      <c r="AF434"/>
      <c r="AG434"/>
      <c r="AH434"/>
      <c r="AI434"/>
      <c r="AJ434"/>
      <c r="AK434"/>
      <c r="AL434"/>
      <c r="AM434"/>
    </row>
    <row r="435" spans="1:39"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row>
    <row r="436" spans="1:39" x14ac:dyDescent="0.2">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row>
    <row r="437" spans="1:39" x14ac:dyDescent="0.2">
      <c r="B437"/>
      <c r="C437"/>
      <c r="D437"/>
      <c r="E437"/>
      <c r="F437"/>
      <c r="G437"/>
      <c r="H437"/>
      <c r="I437"/>
      <c r="J437"/>
      <c r="K437"/>
      <c r="L437"/>
      <c r="M437"/>
      <c r="O437"/>
      <c r="P437"/>
      <c r="Q437"/>
      <c r="R437"/>
      <c r="S437"/>
      <c r="T437"/>
      <c r="U437"/>
      <c r="V437"/>
      <c r="W437"/>
      <c r="X437"/>
      <c r="Y437"/>
      <c r="Z437"/>
      <c r="AA437"/>
      <c r="AB437"/>
      <c r="AC437"/>
      <c r="AD437"/>
      <c r="AE437"/>
      <c r="AF437"/>
      <c r="AL437"/>
      <c r="AM437"/>
    </row>
    <row r="438" spans="1:39" x14ac:dyDescent="0.2">
      <c r="A438"/>
      <c r="B438"/>
      <c r="C438"/>
      <c r="D438"/>
      <c r="E438"/>
      <c r="F438"/>
      <c r="G438"/>
      <c r="H438"/>
      <c r="I438"/>
      <c r="J438"/>
      <c r="K438"/>
      <c r="L438"/>
      <c r="M438"/>
      <c r="O438"/>
      <c r="P438"/>
      <c r="Q438"/>
      <c r="R438"/>
      <c r="T438"/>
      <c r="U438"/>
      <c r="V438"/>
      <c r="W438"/>
      <c r="X438"/>
      <c r="AC438"/>
      <c r="AD438"/>
      <c r="AE438"/>
      <c r="AF438"/>
      <c r="AG438"/>
      <c r="AH438"/>
      <c r="AI438"/>
      <c r="AJ438"/>
      <c r="AK438"/>
      <c r="AL438"/>
      <c r="AM438"/>
    </row>
    <row r="439" spans="1:39" x14ac:dyDescent="0.2">
      <c r="B439"/>
      <c r="C439"/>
      <c r="D439"/>
      <c r="E439"/>
      <c r="F439"/>
      <c r="G439"/>
      <c r="H439"/>
      <c r="I439"/>
      <c r="J439"/>
      <c r="K439"/>
      <c r="L439"/>
      <c r="M439"/>
      <c r="O439"/>
      <c r="P439"/>
      <c r="Q439"/>
      <c r="R439"/>
      <c r="S439"/>
      <c r="T439"/>
      <c r="U439"/>
      <c r="V439"/>
      <c r="W439"/>
      <c r="X439"/>
      <c r="AC439"/>
      <c r="AD439"/>
      <c r="AE439"/>
      <c r="AF439"/>
      <c r="AG439"/>
      <c r="AH439"/>
      <c r="AI439"/>
      <c r="AJ439"/>
      <c r="AK439"/>
      <c r="AL439"/>
      <c r="AM439"/>
    </row>
    <row r="440" spans="1:39" x14ac:dyDescent="0.2">
      <c r="A440"/>
      <c r="B440"/>
      <c r="C440"/>
      <c r="D440"/>
      <c r="E440"/>
      <c r="F440"/>
      <c r="G440"/>
      <c r="H440"/>
      <c r="I440"/>
      <c r="J440"/>
      <c r="K440"/>
      <c r="L440"/>
      <c r="M440"/>
      <c r="O440"/>
      <c r="P440"/>
      <c r="Q440"/>
      <c r="R440"/>
      <c r="S440"/>
      <c r="T440"/>
      <c r="U440"/>
      <c r="V440"/>
      <c r="W440"/>
      <c r="X440"/>
      <c r="AC440"/>
      <c r="AD440"/>
      <c r="AE440"/>
      <c r="AF440"/>
      <c r="AG440"/>
      <c r="AH440"/>
      <c r="AI440"/>
      <c r="AJ440"/>
      <c r="AK440"/>
      <c r="AL440"/>
      <c r="AM440"/>
    </row>
    <row r="441" spans="1:39" x14ac:dyDescent="0.2">
      <c r="A441"/>
      <c r="B441"/>
      <c r="C441"/>
      <c r="D441"/>
      <c r="E441"/>
      <c r="F441"/>
      <c r="G441"/>
      <c r="H441"/>
      <c r="I441"/>
      <c r="J441"/>
      <c r="K441"/>
      <c r="L441"/>
      <c r="M441"/>
      <c r="N441"/>
      <c r="O441"/>
      <c r="P441"/>
      <c r="Q441"/>
      <c r="R441"/>
      <c r="S441"/>
      <c r="T441"/>
      <c r="U441"/>
      <c r="V441"/>
      <c r="W441"/>
      <c r="X441"/>
      <c r="AC441"/>
      <c r="AD441"/>
      <c r="AE441"/>
      <c r="AF441"/>
      <c r="AG441"/>
      <c r="AH441"/>
      <c r="AI441"/>
      <c r="AJ441"/>
      <c r="AK441"/>
      <c r="AL441"/>
      <c r="AM441"/>
    </row>
    <row r="442" spans="1:39" x14ac:dyDescent="0.2">
      <c r="A442"/>
      <c r="B442"/>
      <c r="C442"/>
      <c r="D442"/>
      <c r="E442"/>
      <c r="F442"/>
      <c r="G442"/>
      <c r="H442"/>
      <c r="I442"/>
      <c r="J442"/>
      <c r="K442"/>
      <c r="L442"/>
      <c r="M442"/>
      <c r="O442"/>
      <c r="P442"/>
      <c r="Q442"/>
      <c r="R442"/>
      <c r="S442"/>
      <c r="T442"/>
      <c r="U442"/>
      <c r="V442"/>
      <c r="W442"/>
      <c r="X442"/>
      <c r="AC442"/>
      <c r="AD442"/>
      <c r="AE442"/>
      <c r="AF442"/>
      <c r="AG442"/>
      <c r="AH442"/>
      <c r="AI442"/>
      <c r="AJ442"/>
      <c r="AK442"/>
      <c r="AL442"/>
      <c r="AM442"/>
    </row>
    <row r="443" spans="1:39" x14ac:dyDescent="0.2">
      <c r="A443"/>
      <c r="B443"/>
      <c r="C443"/>
      <c r="D443"/>
      <c r="E443"/>
      <c r="F443"/>
      <c r="G443"/>
      <c r="H443"/>
      <c r="I443"/>
      <c r="J443"/>
      <c r="K443"/>
      <c r="L443"/>
      <c r="M443"/>
      <c r="O443"/>
      <c r="P443"/>
      <c r="Q443"/>
      <c r="R443"/>
      <c r="S443"/>
      <c r="T443"/>
      <c r="U443"/>
      <c r="V443"/>
      <c r="W443"/>
      <c r="X443"/>
      <c r="AC443"/>
      <c r="AD443"/>
      <c r="AE443"/>
      <c r="AF443"/>
      <c r="AG443"/>
      <c r="AH443"/>
      <c r="AI443"/>
      <c r="AJ443"/>
      <c r="AK443"/>
      <c r="AL443"/>
      <c r="AM443"/>
    </row>
    <row r="444" spans="1:39" x14ac:dyDescent="0.2">
      <c r="A444"/>
      <c r="B444"/>
      <c r="C444"/>
      <c r="D444"/>
      <c r="E444"/>
      <c r="F444"/>
      <c r="G444"/>
      <c r="H444"/>
      <c r="I444"/>
      <c r="J444"/>
      <c r="K444"/>
      <c r="L444"/>
      <c r="M444"/>
      <c r="N444"/>
      <c r="O444"/>
      <c r="P444"/>
      <c r="Q444"/>
      <c r="R444"/>
      <c r="S444"/>
      <c r="T444"/>
      <c r="U444"/>
      <c r="V444"/>
      <c r="W444"/>
      <c r="X444"/>
      <c r="AC444"/>
      <c r="AD444"/>
      <c r="AE444"/>
      <c r="AF444"/>
      <c r="AG444"/>
      <c r="AH444"/>
      <c r="AI444"/>
      <c r="AJ444"/>
      <c r="AK444"/>
      <c r="AL444"/>
      <c r="AM444"/>
    </row>
    <row r="445" spans="1:39" x14ac:dyDescent="0.2">
      <c r="B445"/>
      <c r="C445"/>
      <c r="D445"/>
      <c r="E445"/>
      <c r="F445"/>
      <c r="G445"/>
      <c r="H445"/>
      <c r="I445"/>
      <c r="J445"/>
      <c r="K445"/>
      <c r="L445"/>
      <c r="M445"/>
      <c r="O445"/>
      <c r="P445"/>
      <c r="Q445"/>
      <c r="R445"/>
      <c r="S445"/>
      <c r="T445"/>
      <c r="U445"/>
      <c r="V445"/>
      <c r="W445"/>
      <c r="X445"/>
      <c r="AC445"/>
      <c r="AD445"/>
      <c r="AE445"/>
      <c r="AF445"/>
      <c r="AG445"/>
      <c r="AH445"/>
      <c r="AI445"/>
      <c r="AJ445"/>
      <c r="AK445"/>
      <c r="AL445"/>
      <c r="AM445"/>
    </row>
    <row r="446" spans="1:39" x14ac:dyDescent="0.2">
      <c r="A446"/>
      <c r="B446"/>
      <c r="C446"/>
      <c r="D446"/>
      <c r="E446"/>
      <c r="F446"/>
      <c r="G446"/>
      <c r="H446"/>
      <c r="I446"/>
      <c r="J446"/>
      <c r="K446"/>
      <c r="L446"/>
      <c r="M446"/>
      <c r="O446"/>
      <c r="P446"/>
      <c r="Q446"/>
      <c r="R446"/>
      <c r="S446"/>
      <c r="T446"/>
      <c r="U446"/>
      <c r="V446"/>
      <c r="W446"/>
      <c r="X446"/>
      <c r="AC446"/>
      <c r="AD446"/>
      <c r="AE446"/>
      <c r="AF446"/>
      <c r="AG446"/>
      <c r="AH446"/>
      <c r="AI446"/>
      <c r="AJ446"/>
      <c r="AK446"/>
      <c r="AL446"/>
      <c r="AM446"/>
    </row>
    <row r="447" spans="1:39" x14ac:dyDescent="0.2">
      <c r="A447"/>
      <c r="B447"/>
      <c r="C447"/>
      <c r="D447"/>
      <c r="E447"/>
      <c r="F447"/>
      <c r="G447"/>
      <c r="H447"/>
      <c r="I447"/>
      <c r="J447"/>
      <c r="K447"/>
      <c r="L447"/>
      <c r="M447"/>
      <c r="N447"/>
      <c r="O447"/>
      <c r="P447"/>
      <c r="Q447"/>
      <c r="R447"/>
      <c r="S447"/>
      <c r="T447"/>
      <c r="U447"/>
      <c r="V447"/>
      <c r="W447"/>
      <c r="X447"/>
      <c r="AC447"/>
      <c r="AD447"/>
      <c r="AE447"/>
      <c r="AF447"/>
      <c r="AG447"/>
      <c r="AI447"/>
      <c r="AJ447"/>
      <c r="AK447"/>
      <c r="AL447"/>
      <c r="AM447"/>
    </row>
    <row r="448" spans="1:39" x14ac:dyDescent="0.2">
      <c r="A448"/>
      <c r="B448"/>
      <c r="C448"/>
      <c r="D448"/>
      <c r="E448"/>
      <c r="F448"/>
      <c r="G448"/>
      <c r="H448"/>
      <c r="I448"/>
      <c r="J448"/>
      <c r="K448"/>
      <c r="L448"/>
      <c r="M448"/>
      <c r="N448"/>
      <c r="O448"/>
      <c r="P448"/>
      <c r="Q448"/>
      <c r="R448"/>
      <c r="S448"/>
      <c r="T448"/>
      <c r="U448"/>
      <c r="V448"/>
      <c r="W448"/>
      <c r="X448"/>
      <c r="AC448"/>
      <c r="AD448"/>
      <c r="AE448"/>
      <c r="AF448"/>
      <c r="AG448"/>
      <c r="AI448"/>
      <c r="AJ448"/>
      <c r="AK448"/>
      <c r="AL448"/>
      <c r="AM448"/>
    </row>
    <row r="449" spans="1:39" x14ac:dyDescent="0.2">
      <c r="A449"/>
      <c r="B449"/>
      <c r="C449"/>
      <c r="D449"/>
      <c r="E449"/>
      <c r="F449"/>
      <c r="G449"/>
      <c r="H449"/>
      <c r="I449"/>
      <c r="J449"/>
      <c r="K449"/>
      <c r="L449"/>
      <c r="M449"/>
      <c r="N449"/>
      <c r="O449"/>
      <c r="P449"/>
      <c r="Q449"/>
      <c r="R449"/>
      <c r="S449"/>
      <c r="T449"/>
      <c r="U449"/>
      <c r="V449"/>
      <c r="W449"/>
      <c r="X449"/>
      <c r="AC449"/>
      <c r="AD449"/>
      <c r="AE449"/>
      <c r="AF449"/>
      <c r="AG449"/>
      <c r="AH449"/>
      <c r="AI449"/>
      <c r="AJ449"/>
      <c r="AK449"/>
      <c r="AL449"/>
      <c r="AM449"/>
    </row>
    <row r="450" spans="1:39" x14ac:dyDescent="0.2">
      <c r="A450"/>
      <c r="B450"/>
      <c r="C450"/>
      <c r="D450"/>
      <c r="E450"/>
      <c r="F450"/>
      <c r="G450"/>
      <c r="H450"/>
      <c r="I450"/>
      <c r="J450"/>
      <c r="K450"/>
      <c r="L450"/>
      <c r="M450"/>
      <c r="N450"/>
      <c r="O450"/>
      <c r="P450"/>
      <c r="Q450"/>
      <c r="R450"/>
      <c r="S450"/>
      <c r="T450"/>
      <c r="U450"/>
      <c r="V450"/>
      <c r="W450"/>
      <c r="X450"/>
      <c r="AC450"/>
      <c r="AD450"/>
      <c r="AE450"/>
      <c r="AF450"/>
      <c r="AG450"/>
      <c r="AH450"/>
      <c r="AI450"/>
      <c r="AJ450"/>
      <c r="AK450"/>
      <c r="AL450"/>
      <c r="AM450"/>
    </row>
    <row r="451" spans="1:39" x14ac:dyDescent="0.2">
      <c r="B451"/>
      <c r="C451"/>
      <c r="D451"/>
      <c r="E451"/>
      <c r="F451"/>
      <c r="G451"/>
      <c r="H451"/>
      <c r="I451"/>
      <c r="J451"/>
      <c r="K451"/>
      <c r="L451"/>
      <c r="M451"/>
      <c r="N451"/>
      <c r="O451"/>
      <c r="P451"/>
      <c r="Q451"/>
      <c r="R451"/>
      <c r="S451"/>
      <c r="T451"/>
      <c r="U451"/>
      <c r="V451"/>
      <c r="W451"/>
      <c r="X451"/>
      <c r="AC451"/>
      <c r="AD451"/>
      <c r="AE451"/>
      <c r="AF451"/>
      <c r="AG451"/>
      <c r="AH451"/>
      <c r="AI451"/>
      <c r="AJ451"/>
      <c r="AK451"/>
      <c r="AL451"/>
      <c r="AM451"/>
    </row>
    <row r="452" spans="1:39" x14ac:dyDescent="0.2">
      <c r="A452"/>
      <c r="B452"/>
      <c r="C452"/>
      <c r="D452"/>
      <c r="E452"/>
      <c r="F452"/>
      <c r="G452"/>
      <c r="H452"/>
      <c r="I452"/>
      <c r="J452"/>
      <c r="K452"/>
      <c r="L452"/>
      <c r="M452"/>
      <c r="N452"/>
      <c r="O452"/>
      <c r="P452"/>
      <c r="Q452"/>
      <c r="R452"/>
      <c r="S452"/>
      <c r="T452"/>
      <c r="U452"/>
      <c r="V452"/>
      <c r="W452"/>
      <c r="X452"/>
      <c r="AC452"/>
      <c r="AD452"/>
      <c r="AE452"/>
      <c r="AF452"/>
      <c r="AG452"/>
      <c r="AH452"/>
      <c r="AI452"/>
      <c r="AJ452"/>
      <c r="AK452"/>
      <c r="AL452"/>
      <c r="AM452"/>
    </row>
    <row r="453" spans="1:39" x14ac:dyDescent="0.2">
      <c r="A453"/>
      <c r="B453"/>
      <c r="C453"/>
      <c r="D453"/>
      <c r="E453"/>
      <c r="F453"/>
      <c r="G453"/>
      <c r="H453"/>
      <c r="I453"/>
      <c r="J453"/>
      <c r="K453"/>
      <c r="L453"/>
      <c r="M453"/>
      <c r="N453"/>
      <c r="O453"/>
      <c r="P453"/>
      <c r="Q453"/>
      <c r="R453"/>
      <c r="S453"/>
      <c r="T453"/>
      <c r="U453"/>
      <c r="V453"/>
      <c r="W453"/>
      <c r="X453"/>
      <c r="AC453"/>
      <c r="AD453"/>
      <c r="AE453"/>
      <c r="AF453"/>
      <c r="AG453"/>
      <c r="AH453"/>
      <c r="AI453"/>
      <c r="AJ453"/>
      <c r="AK453"/>
      <c r="AL453"/>
      <c r="AM453"/>
    </row>
    <row r="454" spans="1:39" x14ac:dyDescent="0.2">
      <c r="A454"/>
      <c r="B454"/>
      <c r="C454"/>
      <c r="D454"/>
      <c r="E454"/>
      <c r="F454"/>
      <c r="G454"/>
      <c r="H454"/>
      <c r="I454"/>
      <c r="J454"/>
      <c r="K454"/>
      <c r="L454"/>
      <c r="M454"/>
      <c r="N454"/>
      <c r="O454"/>
      <c r="P454"/>
      <c r="Q454"/>
      <c r="R454"/>
      <c r="S454"/>
      <c r="T454"/>
      <c r="U454"/>
      <c r="V454"/>
      <c r="W454"/>
      <c r="X454"/>
      <c r="AC454"/>
      <c r="AD454"/>
      <c r="AE454"/>
      <c r="AF454"/>
      <c r="AG454"/>
      <c r="AH454"/>
      <c r="AI454"/>
      <c r="AJ454"/>
      <c r="AK454"/>
      <c r="AL454"/>
      <c r="AM454"/>
    </row>
    <row r="455" spans="1:39" x14ac:dyDescent="0.2">
      <c r="A455"/>
      <c r="B455"/>
      <c r="C455"/>
      <c r="D455"/>
      <c r="E455"/>
      <c r="F455"/>
      <c r="G455"/>
      <c r="H455"/>
      <c r="I455"/>
      <c r="J455"/>
      <c r="K455"/>
      <c r="L455"/>
      <c r="M455"/>
      <c r="N455"/>
      <c r="O455"/>
      <c r="P455"/>
      <c r="Q455"/>
      <c r="R455"/>
      <c r="S455"/>
      <c r="T455"/>
      <c r="U455"/>
      <c r="V455"/>
      <c r="W455"/>
      <c r="X455"/>
      <c r="AC455"/>
      <c r="AD455"/>
      <c r="AE455"/>
      <c r="AF455"/>
      <c r="AG455"/>
      <c r="AH455"/>
      <c r="AI455"/>
      <c r="AJ455"/>
      <c r="AK455"/>
      <c r="AL455"/>
      <c r="AM455"/>
    </row>
    <row r="456" spans="1:39" x14ac:dyDescent="0.2">
      <c r="A456"/>
      <c r="B456"/>
      <c r="C456"/>
      <c r="D456"/>
      <c r="E456"/>
      <c r="F456"/>
      <c r="G456"/>
      <c r="H456"/>
      <c r="I456"/>
      <c r="J456"/>
      <c r="K456"/>
      <c r="L456"/>
      <c r="M456"/>
      <c r="N456"/>
      <c r="O456"/>
      <c r="P456"/>
      <c r="Q456"/>
      <c r="R456"/>
      <c r="S456"/>
      <c r="T456"/>
      <c r="U456"/>
      <c r="V456"/>
      <c r="W456"/>
      <c r="X456"/>
      <c r="AC456"/>
      <c r="AD456"/>
      <c r="AE456"/>
      <c r="AF456"/>
      <c r="AG456"/>
      <c r="AH456"/>
      <c r="AI456"/>
      <c r="AJ456"/>
      <c r="AK456"/>
      <c r="AL456"/>
      <c r="AM456"/>
    </row>
    <row r="457" spans="1:39" x14ac:dyDescent="0.2">
      <c r="A457"/>
      <c r="B457"/>
      <c r="C457"/>
      <c r="D457"/>
      <c r="E457"/>
      <c r="F457"/>
      <c r="G457"/>
      <c r="H457"/>
      <c r="I457"/>
      <c r="J457"/>
      <c r="K457"/>
      <c r="L457"/>
      <c r="M457"/>
      <c r="N457"/>
      <c r="O457"/>
      <c r="P457"/>
      <c r="Q457"/>
      <c r="R457"/>
      <c r="S457"/>
      <c r="T457"/>
      <c r="U457"/>
      <c r="V457"/>
      <c r="W457"/>
      <c r="X457"/>
      <c r="AC457"/>
      <c r="AD457"/>
      <c r="AE457"/>
      <c r="AF457"/>
      <c r="AG457"/>
      <c r="AH457"/>
      <c r="AI457"/>
      <c r="AJ457"/>
      <c r="AK457"/>
      <c r="AL457"/>
      <c r="AM457"/>
    </row>
    <row r="458" spans="1:39" x14ac:dyDescent="0.2">
      <c r="A458"/>
      <c r="B458"/>
      <c r="C458"/>
      <c r="D458"/>
      <c r="E458"/>
      <c r="F458"/>
      <c r="G458"/>
      <c r="H458"/>
      <c r="I458"/>
      <c r="J458"/>
      <c r="K458"/>
      <c r="L458"/>
      <c r="M458"/>
      <c r="N458"/>
      <c r="O458"/>
      <c r="P458"/>
      <c r="Q458"/>
      <c r="R458"/>
      <c r="S458"/>
      <c r="T458"/>
      <c r="U458"/>
      <c r="V458"/>
      <c r="W458"/>
      <c r="X458"/>
      <c r="AC458"/>
      <c r="AD458"/>
      <c r="AE458"/>
      <c r="AF458"/>
      <c r="AG458"/>
      <c r="AH458"/>
      <c r="AI458"/>
      <c r="AJ458"/>
      <c r="AK458"/>
      <c r="AL458"/>
      <c r="AM458"/>
    </row>
    <row r="459" spans="1:39" x14ac:dyDescent="0.2">
      <c r="A459"/>
      <c r="B459"/>
      <c r="C459"/>
      <c r="D459"/>
      <c r="E459"/>
      <c r="F459"/>
      <c r="G459"/>
      <c r="H459"/>
      <c r="I459"/>
      <c r="J459"/>
      <c r="K459"/>
      <c r="L459"/>
      <c r="M459"/>
      <c r="N459"/>
      <c r="O459"/>
      <c r="P459"/>
      <c r="Q459"/>
      <c r="R459"/>
      <c r="S459"/>
      <c r="T459"/>
      <c r="U459"/>
      <c r="V459"/>
      <c r="W459"/>
      <c r="X459"/>
      <c r="AC459"/>
      <c r="AD459"/>
      <c r="AE459"/>
      <c r="AF459"/>
      <c r="AG459"/>
      <c r="AH459"/>
      <c r="AI459"/>
      <c r="AJ459"/>
      <c r="AK459"/>
      <c r="AL459"/>
      <c r="AM459"/>
    </row>
    <row r="460" spans="1:39" x14ac:dyDescent="0.2">
      <c r="A460"/>
      <c r="B460"/>
      <c r="C460"/>
      <c r="D460"/>
      <c r="E460"/>
      <c r="F460"/>
      <c r="G460"/>
      <c r="H460"/>
      <c r="I460"/>
      <c r="J460"/>
      <c r="K460"/>
      <c r="L460"/>
      <c r="M460"/>
      <c r="O460"/>
      <c r="P460"/>
      <c r="Q460"/>
      <c r="R460"/>
      <c r="S460"/>
      <c r="T460"/>
      <c r="U460"/>
      <c r="V460"/>
      <c r="W460"/>
      <c r="X460"/>
      <c r="AC460"/>
      <c r="AD460"/>
      <c r="AE460"/>
      <c r="AF460"/>
      <c r="AG460"/>
      <c r="AH460"/>
      <c r="AI460"/>
      <c r="AJ460"/>
      <c r="AK460"/>
      <c r="AL460"/>
      <c r="AM460"/>
    </row>
    <row r="461" spans="1:39" x14ac:dyDescent="0.2">
      <c r="A461"/>
      <c r="B461"/>
      <c r="C461"/>
      <c r="D461"/>
      <c r="E461"/>
      <c r="F461"/>
      <c r="G461"/>
      <c r="H461"/>
      <c r="I461"/>
      <c r="J461"/>
      <c r="K461"/>
      <c r="L461"/>
      <c r="M461"/>
      <c r="N461"/>
      <c r="O461"/>
      <c r="P461"/>
      <c r="Q461"/>
      <c r="R461"/>
      <c r="S461"/>
      <c r="T461"/>
      <c r="U461"/>
      <c r="V461"/>
      <c r="W461"/>
      <c r="X461"/>
      <c r="AC461"/>
      <c r="AD461"/>
      <c r="AE461"/>
      <c r="AF461"/>
      <c r="AG461"/>
      <c r="AH461"/>
      <c r="AI461"/>
      <c r="AJ461"/>
      <c r="AK461"/>
      <c r="AL461"/>
      <c r="AM461"/>
    </row>
    <row r="462" spans="1:39" x14ac:dyDescent="0.2">
      <c r="A462"/>
      <c r="B462"/>
      <c r="C462"/>
      <c r="D462"/>
      <c r="E462"/>
      <c r="F462"/>
      <c r="G462"/>
      <c r="H462"/>
      <c r="I462"/>
      <c r="J462"/>
      <c r="K462"/>
      <c r="L462"/>
      <c r="M462"/>
      <c r="N462"/>
      <c r="O462"/>
      <c r="P462"/>
      <c r="Q462"/>
      <c r="R462"/>
      <c r="S462"/>
      <c r="T462"/>
      <c r="U462"/>
      <c r="V462"/>
      <c r="W462"/>
      <c r="X462"/>
      <c r="AC462"/>
      <c r="AD462"/>
      <c r="AE462"/>
      <c r="AF462"/>
      <c r="AG462"/>
      <c r="AH462"/>
      <c r="AI462"/>
      <c r="AJ462"/>
      <c r="AK462"/>
      <c r="AL462"/>
      <c r="AM462"/>
    </row>
    <row r="463" spans="1:39"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row>
    <row r="464" spans="1:39" x14ac:dyDescent="0.2">
      <c r="A464"/>
      <c r="B464"/>
      <c r="C464"/>
      <c r="D464"/>
      <c r="E464"/>
      <c r="F464"/>
      <c r="G464"/>
      <c r="H464"/>
      <c r="I464"/>
      <c r="J464"/>
      <c r="K464"/>
      <c r="L464"/>
      <c r="M464"/>
      <c r="N464"/>
      <c r="O464"/>
      <c r="P464"/>
      <c r="Q464"/>
      <c r="R464"/>
      <c r="S464"/>
      <c r="T464"/>
      <c r="U464"/>
      <c r="V464"/>
      <c r="W464"/>
      <c r="X464"/>
      <c r="AC464"/>
      <c r="AD464"/>
      <c r="AE464"/>
      <c r="AF464"/>
      <c r="AG464"/>
      <c r="AH464"/>
      <c r="AI464"/>
      <c r="AJ464"/>
      <c r="AK464"/>
      <c r="AL464"/>
    </row>
    <row r="465" spans="1:41" x14ac:dyDescent="0.2">
      <c r="B465"/>
      <c r="C465"/>
      <c r="D465"/>
      <c r="E465"/>
      <c r="F465"/>
      <c r="G465"/>
      <c r="H465"/>
      <c r="I465"/>
      <c r="J465"/>
      <c r="K465"/>
      <c r="L465"/>
      <c r="M465"/>
      <c r="N465"/>
      <c r="O465"/>
      <c r="P465"/>
      <c r="Q465"/>
      <c r="R465"/>
      <c r="S465"/>
      <c r="T465"/>
      <c r="U465"/>
      <c r="V465"/>
      <c r="W465"/>
      <c r="X465"/>
      <c r="AC465"/>
      <c r="AD465"/>
      <c r="AE465"/>
      <c r="AF465"/>
      <c r="AG465"/>
      <c r="AH465"/>
      <c r="AJ465"/>
      <c r="AK465"/>
      <c r="AL465"/>
      <c r="AM465"/>
    </row>
    <row r="466" spans="1:41" x14ac:dyDescent="0.2">
      <c r="B466"/>
      <c r="C466"/>
      <c r="D466"/>
      <c r="E466"/>
      <c r="F466"/>
      <c r="G466"/>
      <c r="H466"/>
      <c r="I466"/>
      <c r="J466"/>
      <c r="K466"/>
      <c r="L466"/>
      <c r="M466"/>
      <c r="N466"/>
      <c r="O466"/>
      <c r="P466"/>
      <c r="Q466"/>
      <c r="R466"/>
      <c r="S466"/>
      <c r="T466"/>
      <c r="U466"/>
      <c r="V466"/>
      <c r="W466"/>
      <c r="X466"/>
      <c r="AC466"/>
      <c r="AD466"/>
      <c r="AE466"/>
      <c r="AF466"/>
      <c r="AG466"/>
      <c r="AH466"/>
      <c r="AI466"/>
      <c r="AJ466"/>
      <c r="AK466"/>
      <c r="AL466"/>
      <c r="AM466"/>
    </row>
    <row r="467" spans="1:41" x14ac:dyDescent="0.2">
      <c r="A467"/>
      <c r="B467"/>
      <c r="C467"/>
      <c r="D467"/>
      <c r="E467"/>
      <c r="F467"/>
      <c r="G467"/>
      <c r="H467"/>
      <c r="I467"/>
      <c r="J467"/>
      <c r="K467"/>
      <c r="L467"/>
      <c r="M467"/>
      <c r="N467"/>
      <c r="O467"/>
      <c r="P467"/>
      <c r="Q467"/>
      <c r="R467"/>
      <c r="S467"/>
      <c r="T467"/>
      <c r="U467"/>
      <c r="V467"/>
      <c r="W467"/>
      <c r="X467"/>
      <c r="AC467"/>
      <c r="AD467"/>
      <c r="AE467"/>
      <c r="AF467"/>
      <c r="AG467"/>
      <c r="AH467"/>
      <c r="AI467"/>
      <c r="AJ467"/>
      <c r="AK467"/>
      <c r="AL467"/>
      <c r="AM467"/>
    </row>
    <row r="468" spans="1:41" x14ac:dyDescent="0.2">
      <c r="B468"/>
      <c r="C468"/>
      <c r="D468"/>
      <c r="E468"/>
      <c r="F468"/>
      <c r="G468"/>
      <c r="H468"/>
      <c r="I468"/>
      <c r="J468"/>
      <c r="K468"/>
      <c r="L468"/>
      <c r="M468"/>
      <c r="N468"/>
      <c r="O468"/>
      <c r="P468"/>
      <c r="Q468"/>
      <c r="R468"/>
      <c r="S468"/>
      <c r="AC468"/>
      <c r="AD468"/>
      <c r="AE468"/>
      <c r="AF468"/>
      <c r="AG468"/>
      <c r="AH468"/>
      <c r="AI468"/>
      <c r="AJ468"/>
      <c r="AK468"/>
      <c r="AL468"/>
      <c r="AM468"/>
    </row>
    <row r="469" spans="1:41" x14ac:dyDescent="0.2">
      <c r="B469"/>
      <c r="C469"/>
      <c r="D469"/>
      <c r="E469"/>
      <c r="F469"/>
      <c r="G469"/>
      <c r="H469"/>
      <c r="I469"/>
      <c r="J469"/>
      <c r="K469"/>
      <c r="L469"/>
      <c r="M469"/>
      <c r="N469"/>
      <c r="O469"/>
      <c r="Q469"/>
      <c r="R469"/>
      <c r="S469"/>
      <c r="AC469"/>
      <c r="AD469"/>
      <c r="AE469"/>
      <c r="AF469"/>
      <c r="AG469"/>
      <c r="AH469"/>
      <c r="AI469"/>
      <c r="AJ469"/>
      <c r="AK469"/>
      <c r="AL469"/>
      <c r="AM469"/>
    </row>
    <row r="470" spans="1:41" x14ac:dyDescent="0.2">
      <c r="B470"/>
      <c r="C470"/>
      <c r="D470"/>
      <c r="E470"/>
      <c r="F470"/>
      <c r="G470"/>
      <c r="H470"/>
      <c r="I470"/>
      <c r="J470"/>
      <c r="K470"/>
      <c r="L470"/>
      <c r="M470"/>
      <c r="N470"/>
      <c r="O470"/>
      <c r="Q470"/>
      <c r="R470"/>
      <c r="S470"/>
      <c r="AC470"/>
      <c r="AD470"/>
      <c r="AE470"/>
      <c r="AF470"/>
      <c r="AG470"/>
      <c r="AH470"/>
      <c r="AI470"/>
      <c r="AJ470"/>
      <c r="AK470"/>
      <c r="AL470"/>
      <c r="AM470"/>
    </row>
    <row r="471" spans="1:41" x14ac:dyDescent="0.2">
      <c r="B471"/>
      <c r="C471"/>
      <c r="D471"/>
      <c r="E471"/>
      <c r="F471"/>
      <c r="G471"/>
      <c r="H471"/>
      <c r="I471"/>
      <c r="J471"/>
      <c r="K471"/>
      <c r="L471"/>
      <c r="M471"/>
      <c r="N471"/>
      <c r="O471"/>
      <c r="Q471"/>
      <c r="R471"/>
      <c r="S471"/>
      <c r="AC471"/>
      <c r="AD471"/>
      <c r="AE471"/>
      <c r="AF471"/>
      <c r="AG471"/>
      <c r="AH471"/>
      <c r="AI471"/>
      <c r="AJ471"/>
      <c r="AK471"/>
      <c r="AL471"/>
      <c r="AM471"/>
    </row>
    <row r="472" spans="1:41" x14ac:dyDescent="0.2">
      <c r="B472"/>
      <c r="C472"/>
      <c r="D472"/>
      <c r="E472"/>
      <c r="F472"/>
      <c r="G472"/>
      <c r="H472"/>
      <c r="I472"/>
      <c r="J472"/>
      <c r="K472"/>
      <c r="L472"/>
      <c r="M472"/>
      <c r="N472"/>
      <c r="O472"/>
      <c r="Q472"/>
      <c r="R472"/>
      <c r="S472"/>
      <c r="AC472"/>
      <c r="AD472"/>
      <c r="AE472"/>
      <c r="AF472"/>
      <c r="AG472"/>
      <c r="AH472"/>
      <c r="AI472"/>
      <c r="AJ472"/>
      <c r="AK472"/>
      <c r="AL472"/>
      <c r="AM472"/>
    </row>
    <row r="473" spans="1:41" x14ac:dyDescent="0.2">
      <c r="B473"/>
      <c r="C473"/>
      <c r="D473"/>
      <c r="E473"/>
      <c r="F473"/>
      <c r="G473"/>
      <c r="H473"/>
      <c r="I473"/>
      <c r="J473"/>
      <c r="K473"/>
      <c r="L473"/>
      <c r="M473"/>
      <c r="N473"/>
      <c r="O473"/>
      <c r="Q473"/>
      <c r="R473"/>
      <c r="S473"/>
      <c r="AC473"/>
      <c r="AD473"/>
      <c r="AE473"/>
      <c r="AF473"/>
      <c r="AG473"/>
      <c r="AH473"/>
      <c r="AI473"/>
      <c r="AJ473"/>
      <c r="AK473"/>
      <c r="AL473"/>
      <c r="AM473"/>
    </row>
    <row r="474" spans="1:41" x14ac:dyDescent="0.2">
      <c r="B474"/>
      <c r="C474"/>
      <c r="D474"/>
      <c r="E474"/>
      <c r="F474"/>
      <c r="G474"/>
      <c r="H474"/>
      <c r="I474"/>
      <c r="J474"/>
      <c r="K474"/>
      <c r="L474"/>
      <c r="M474"/>
      <c r="N474"/>
      <c r="O474"/>
      <c r="Q474"/>
      <c r="R474"/>
      <c r="S474"/>
      <c r="AC474"/>
      <c r="AD474"/>
      <c r="AE474"/>
      <c r="AF474"/>
      <c r="AG474"/>
      <c r="AH474"/>
      <c r="AI474"/>
      <c r="AJ474"/>
      <c r="AK474"/>
      <c r="AL474"/>
      <c r="AM474"/>
    </row>
    <row r="475" spans="1:41" x14ac:dyDescent="0.2">
      <c r="B475"/>
      <c r="C475"/>
      <c r="D475"/>
      <c r="E475"/>
      <c r="F475"/>
      <c r="G475"/>
      <c r="H475"/>
      <c r="I475"/>
      <c r="J475"/>
      <c r="K475"/>
      <c r="L475"/>
      <c r="M475"/>
      <c r="N475"/>
      <c r="O475"/>
      <c r="P475"/>
      <c r="Q475"/>
      <c r="R475"/>
      <c r="S475"/>
      <c r="T475"/>
      <c r="U475"/>
      <c r="Y475"/>
      <c r="AC475"/>
      <c r="AD475"/>
      <c r="AE475"/>
      <c r="AF475"/>
      <c r="AG475"/>
      <c r="AH475"/>
      <c r="AI475"/>
      <c r="AJ475"/>
      <c r="AK475"/>
      <c r="AL475"/>
      <c r="AM475"/>
      <c r="AN475"/>
    </row>
    <row r="476" spans="1:41"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1"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row>
    <row r="478" spans="1:41"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1"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O479"/>
    </row>
    <row r="480" spans="1:41" x14ac:dyDescent="0.2">
      <c r="B480"/>
      <c r="C480"/>
      <c r="D480"/>
      <c r="E480"/>
      <c r="F480"/>
      <c r="G480"/>
      <c r="H480"/>
      <c r="I480"/>
      <c r="J480"/>
      <c r="K480"/>
      <c r="L480"/>
      <c r="M480"/>
      <c r="N480"/>
      <c r="O480"/>
      <c r="Q480"/>
      <c r="R480"/>
      <c r="S480"/>
      <c r="AC480"/>
      <c r="AD480"/>
      <c r="AE480"/>
      <c r="AF480"/>
      <c r="AG480"/>
      <c r="AH480"/>
      <c r="AI480"/>
      <c r="AJ480"/>
      <c r="AK480"/>
      <c r="AL480"/>
      <c r="AM480"/>
    </row>
    <row r="481" spans="1:41" x14ac:dyDescent="0.2">
      <c r="B481"/>
      <c r="C481"/>
      <c r="D481"/>
      <c r="E481"/>
      <c r="F481"/>
      <c r="G481"/>
      <c r="H481"/>
      <c r="I481"/>
      <c r="J481"/>
      <c r="K481"/>
      <c r="L481"/>
      <c r="M481"/>
      <c r="N481"/>
      <c r="O481"/>
      <c r="Q481"/>
      <c r="R481"/>
      <c r="S481"/>
      <c r="AC481"/>
      <c r="AD481"/>
      <c r="AE481"/>
      <c r="AF481"/>
      <c r="AG481"/>
      <c r="AH481"/>
      <c r="AI481"/>
      <c r="AJ481"/>
      <c r="AK481"/>
      <c r="AL481"/>
      <c r="AM481"/>
    </row>
    <row r="482" spans="1:41" x14ac:dyDescent="0.2">
      <c r="B482"/>
      <c r="C482"/>
      <c r="D482"/>
      <c r="E482"/>
      <c r="F482"/>
      <c r="G482"/>
      <c r="H482"/>
      <c r="I482"/>
      <c r="J482"/>
      <c r="K482"/>
      <c r="L482"/>
      <c r="M482"/>
      <c r="N482"/>
      <c r="O482"/>
      <c r="Q482"/>
      <c r="R482"/>
      <c r="S482"/>
      <c r="AC482"/>
      <c r="AD482"/>
      <c r="AE482"/>
      <c r="AF482"/>
      <c r="AG482"/>
      <c r="AH482"/>
      <c r="AI482"/>
      <c r="AJ482"/>
      <c r="AK482"/>
      <c r="AL482"/>
      <c r="AM482"/>
    </row>
    <row r="483" spans="1:41" x14ac:dyDescent="0.2">
      <c r="B483"/>
      <c r="C483"/>
      <c r="D483"/>
      <c r="E483"/>
      <c r="F483"/>
      <c r="G483"/>
      <c r="H483"/>
      <c r="I483"/>
      <c r="J483"/>
      <c r="K483"/>
      <c r="L483"/>
      <c r="M483"/>
      <c r="N483"/>
      <c r="O483"/>
      <c r="Q483"/>
      <c r="R483"/>
      <c r="S483"/>
      <c r="AC483"/>
      <c r="AD483"/>
      <c r="AE483"/>
      <c r="AF483"/>
      <c r="AG483"/>
      <c r="AH483"/>
      <c r="AI483"/>
      <c r="AJ483"/>
      <c r="AK483"/>
      <c r="AL483"/>
      <c r="AM483"/>
    </row>
    <row r="484" spans="1:41" x14ac:dyDescent="0.2">
      <c r="B484"/>
      <c r="C484"/>
      <c r="D484"/>
      <c r="E484"/>
      <c r="F484"/>
      <c r="G484"/>
      <c r="H484"/>
      <c r="I484"/>
      <c r="J484"/>
      <c r="K484"/>
      <c r="L484"/>
      <c r="M484"/>
      <c r="N484"/>
      <c r="O484"/>
      <c r="Q484"/>
      <c r="R484"/>
      <c r="S484"/>
      <c r="AC484"/>
      <c r="AD484"/>
      <c r="AE484"/>
      <c r="AF484"/>
      <c r="AG484"/>
      <c r="AH484"/>
      <c r="AI484"/>
      <c r="AJ484"/>
      <c r="AK484"/>
      <c r="AL484"/>
      <c r="AM484"/>
      <c r="AN484"/>
      <c r="AO484"/>
    </row>
    <row r="485" spans="1:41" x14ac:dyDescent="0.2">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row>
    <row r="486" spans="1:41" x14ac:dyDescent="0.2">
      <c r="A486"/>
      <c r="B486"/>
      <c r="C486"/>
      <c r="D486"/>
      <c r="E486"/>
      <c r="F486"/>
      <c r="G486"/>
      <c r="H486"/>
      <c r="I486"/>
      <c r="J486"/>
      <c r="K486"/>
      <c r="L486"/>
      <c r="M486"/>
      <c r="N486"/>
      <c r="O486"/>
      <c r="P486"/>
      <c r="Q486"/>
      <c r="R486"/>
      <c r="S486"/>
      <c r="T486"/>
      <c r="U486"/>
      <c r="V486"/>
      <c r="W486"/>
      <c r="X486"/>
      <c r="AC486"/>
      <c r="AD486"/>
      <c r="AE486"/>
      <c r="AF486"/>
      <c r="AG486"/>
      <c r="AH486"/>
      <c r="AI486"/>
      <c r="AJ486"/>
      <c r="AK486"/>
      <c r="AL486"/>
      <c r="AM486"/>
    </row>
    <row r="487" spans="1:41" x14ac:dyDescent="0.2">
      <c r="A487"/>
      <c r="B487"/>
      <c r="C487"/>
      <c r="D487"/>
      <c r="E487"/>
      <c r="F487"/>
      <c r="G487"/>
      <c r="H487"/>
      <c r="I487"/>
      <c r="J487"/>
      <c r="K487"/>
      <c r="L487"/>
      <c r="M487"/>
      <c r="N487"/>
      <c r="O487"/>
      <c r="P487"/>
      <c r="Q487"/>
      <c r="R487"/>
      <c r="S487"/>
      <c r="T487"/>
      <c r="U487"/>
      <c r="V487"/>
      <c r="W487"/>
      <c r="X487"/>
      <c r="AC487"/>
      <c r="AD487"/>
      <c r="AE487"/>
      <c r="AF487"/>
      <c r="AG487"/>
      <c r="AH487"/>
      <c r="AI487"/>
      <c r="AJ487"/>
      <c r="AK487"/>
      <c r="AL487"/>
      <c r="AM487"/>
    </row>
    <row r="488" spans="1:41" x14ac:dyDescent="0.2">
      <c r="B488"/>
      <c r="C488"/>
      <c r="D488"/>
      <c r="E488"/>
      <c r="F488"/>
      <c r="G488"/>
      <c r="H488"/>
      <c r="I488"/>
      <c r="J488"/>
      <c r="K488"/>
      <c r="L488"/>
      <c r="M488"/>
      <c r="N488"/>
      <c r="O488"/>
      <c r="P488"/>
      <c r="Q488"/>
      <c r="R488"/>
      <c r="S488"/>
      <c r="T488"/>
      <c r="U488"/>
      <c r="V488"/>
      <c r="W488"/>
      <c r="X488"/>
      <c r="AC488"/>
      <c r="AD488"/>
      <c r="AE488"/>
      <c r="AF488"/>
      <c r="AG488"/>
      <c r="AH488"/>
      <c r="AI488"/>
      <c r="AJ488"/>
      <c r="AK488"/>
      <c r="AL488"/>
      <c r="AM488"/>
    </row>
    <row r="489" spans="1:41" x14ac:dyDescent="0.2">
      <c r="B489"/>
      <c r="C489"/>
      <c r="D489"/>
      <c r="E489"/>
      <c r="F489"/>
      <c r="G489"/>
      <c r="H489"/>
      <c r="I489"/>
      <c r="J489"/>
      <c r="K489"/>
      <c r="L489"/>
      <c r="M489"/>
      <c r="N489"/>
      <c r="O489"/>
      <c r="P489"/>
      <c r="Q489"/>
      <c r="R489"/>
      <c r="S489"/>
      <c r="T489"/>
      <c r="U489"/>
      <c r="V489"/>
      <c r="W489"/>
      <c r="X489"/>
      <c r="AC489"/>
      <c r="AD489"/>
      <c r="AE489"/>
      <c r="AF489"/>
      <c r="AG489"/>
      <c r="AH489"/>
      <c r="AI489"/>
      <c r="AJ489"/>
      <c r="AK489"/>
      <c r="AL489"/>
      <c r="AM489"/>
    </row>
    <row r="490" spans="1:41" x14ac:dyDescent="0.2">
      <c r="B490"/>
      <c r="C490"/>
      <c r="D490"/>
      <c r="E490"/>
      <c r="F490"/>
      <c r="G490"/>
      <c r="H490"/>
      <c r="I490"/>
      <c r="J490"/>
      <c r="K490"/>
      <c r="L490"/>
      <c r="M490"/>
      <c r="N490"/>
      <c r="O490"/>
      <c r="P490"/>
      <c r="Q490"/>
      <c r="R490"/>
      <c r="S490"/>
      <c r="T490"/>
      <c r="U490"/>
      <c r="V490"/>
      <c r="W490"/>
      <c r="X490"/>
      <c r="AC490"/>
      <c r="AD490"/>
      <c r="AE490"/>
      <c r="AF490"/>
      <c r="AG490"/>
      <c r="AH490"/>
      <c r="AI490"/>
      <c r="AJ490"/>
      <c r="AK490"/>
      <c r="AL490"/>
      <c r="AM490"/>
    </row>
    <row r="491" spans="1:41" x14ac:dyDescent="0.2">
      <c r="B491"/>
      <c r="C491"/>
      <c r="D491"/>
      <c r="E491"/>
      <c r="F491"/>
      <c r="G491"/>
      <c r="H491"/>
      <c r="I491"/>
      <c r="J491"/>
      <c r="K491"/>
      <c r="L491"/>
      <c r="M491"/>
      <c r="N491"/>
      <c r="O491"/>
      <c r="P491"/>
      <c r="Q491"/>
      <c r="R491"/>
      <c r="S491"/>
      <c r="T491"/>
      <c r="U491"/>
      <c r="V491"/>
      <c r="W491"/>
      <c r="X491"/>
      <c r="AC491"/>
      <c r="AD491"/>
      <c r="AE491"/>
      <c r="AF491"/>
      <c r="AG491"/>
      <c r="AH491"/>
      <c r="AI491"/>
      <c r="AJ491"/>
      <c r="AK491"/>
      <c r="AL491"/>
      <c r="AM491"/>
    </row>
    <row r="492" spans="1:41"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row>
    <row r="493" spans="1:41" x14ac:dyDescent="0.2">
      <c r="A493"/>
      <c r="B493"/>
      <c r="C493"/>
      <c r="D493"/>
      <c r="E493"/>
      <c r="F493"/>
      <c r="G493"/>
      <c r="H493"/>
      <c r="I493"/>
      <c r="J493"/>
      <c r="K493"/>
      <c r="L493"/>
      <c r="M493"/>
      <c r="N493"/>
      <c r="O493"/>
      <c r="P493"/>
      <c r="Q493"/>
      <c r="R493"/>
      <c r="S493"/>
      <c r="T493"/>
      <c r="U493"/>
      <c r="V493"/>
      <c r="W493"/>
      <c r="X493"/>
      <c r="AC493"/>
      <c r="AD493"/>
      <c r="AE493"/>
      <c r="AF493"/>
      <c r="AG493"/>
      <c r="AH493"/>
      <c r="AI493"/>
      <c r="AJ493"/>
      <c r="AK493"/>
      <c r="AL493"/>
      <c r="AM493"/>
    </row>
    <row r="494" spans="1:41" x14ac:dyDescent="0.2">
      <c r="A494"/>
      <c r="B494"/>
      <c r="C494"/>
      <c r="D494"/>
      <c r="E494"/>
      <c r="F494"/>
      <c r="G494"/>
      <c r="H494"/>
      <c r="I494"/>
      <c r="J494"/>
      <c r="K494"/>
      <c r="L494"/>
      <c r="M494"/>
      <c r="N494"/>
      <c r="O494"/>
      <c r="P494"/>
      <c r="Q494"/>
      <c r="R494"/>
      <c r="S494"/>
      <c r="T494"/>
      <c r="U494"/>
      <c r="V494"/>
      <c r="W494"/>
      <c r="X494"/>
      <c r="AC494"/>
      <c r="AD494"/>
      <c r="AE494"/>
      <c r="AF494"/>
      <c r="AG494"/>
      <c r="AH494"/>
      <c r="AI494"/>
      <c r="AJ494"/>
      <c r="AK494"/>
      <c r="AL494"/>
      <c r="AM494"/>
    </row>
    <row r="495" spans="1:41" x14ac:dyDescent="0.2">
      <c r="A495"/>
      <c r="B495"/>
      <c r="C495"/>
      <c r="D495"/>
      <c r="E495"/>
      <c r="F495"/>
      <c r="G495"/>
      <c r="H495"/>
      <c r="I495"/>
      <c r="J495"/>
      <c r="K495"/>
      <c r="L495"/>
      <c r="M495"/>
      <c r="N495"/>
      <c r="O495"/>
      <c r="P495"/>
      <c r="Q495"/>
      <c r="R495"/>
      <c r="S495"/>
      <c r="T495"/>
      <c r="U495"/>
      <c r="V495"/>
      <c r="W495"/>
      <c r="X495"/>
      <c r="AC495"/>
      <c r="AD495"/>
      <c r="AE495"/>
      <c r="AF495"/>
      <c r="AG495"/>
      <c r="AH495"/>
      <c r="AI495"/>
      <c r="AJ495"/>
      <c r="AK495"/>
      <c r="AL495"/>
      <c r="AM49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topLeftCell="AN1" zoomScale="80" zoomScaleNormal="80" workbookViewId="0">
      <selection activeCell="AR30" sqref="AR30"/>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85" t="s">
        <v>4460</v>
      </c>
      <c r="B1" s="486" t="s">
        <v>613</v>
      </c>
      <c r="C1" s="485" t="s">
        <v>551</v>
      </c>
      <c r="D1" s="485" t="s">
        <v>836</v>
      </c>
      <c r="E1" s="485" t="s">
        <v>798</v>
      </c>
      <c r="F1" s="485" t="s">
        <v>799</v>
      </c>
      <c r="G1" s="485" t="s">
        <v>800</v>
      </c>
      <c r="H1" s="485" t="s">
        <v>801</v>
      </c>
      <c r="I1" s="485" t="s">
        <v>802</v>
      </c>
      <c r="J1" s="485" t="s">
        <v>803</v>
      </c>
      <c r="K1" s="485" t="s">
        <v>804</v>
      </c>
      <c r="L1" s="485" t="s">
        <v>805</v>
      </c>
      <c r="M1" s="487" t="s">
        <v>806</v>
      </c>
      <c r="N1" s="485" t="s">
        <v>807</v>
      </c>
      <c r="O1" s="485" t="s">
        <v>182</v>
      </c>
      <c r="P1" s="485" t="s">
        <v>808</v>
      </c>
      <c r="Q1" s="485" t="s">
        <v>809</v>
      </c>
      <c r="R1" s="485" t="s">
        <v>810</v>
      </c>
      <c r="S1" s="485" t="s">
        <v>811</v>
      </c>
      <c r="T1" s="485" t="s">
        <v>812</v>
      </c>
      <c r="U1" s="485" t="s">
        <v>824</v>
      </c>
      <c r="V1" s="485" t="s">
        <v>794</v>
      </c>
      <c r="W1" s="487" t="s">
        <v>813</v>
      </c>
      <c r="X1" s="485" t="s">
        <v>814</v>
      </c>
      <c r="Y1" s="485" t="s">
        <v>795</v>
      </c>
      <c r="Z1" s="485" t="s">
        <v>818</v>
      </c>
      <c r="AA1" s="485" t="s">
        <v>819</v>
      </c>
      <c r="AB1" s="485" t="s">
        <v>825</v>
      </c>
      <c r="AC1" s="485" t="s">
        <v>820</v>
      </c>
      <c r="AD1" s="485" t="s">
        <v>821</v>
      </c>
      <c r="AE1" s="485" t="s">
        <v>610</v>
      </c>
      <c r="AF1" s="485" t="s">
        <v>2507</v>
      </c>
      <c r="AG1" s="485" t="s">
        <v>2508</v>
      </c>
      <c r="AH1" s="485" t="s">
        <v>2618</v>
      </c>
      <c r="AI1" s="485" t="s">
        <v>2509</v>
      </c>
      <c r="AJ1" s="485" t="s">
        <v>2510</v>
      </c>
      <c r="AK1" s="485" t="s">
        <v>822</v>
      </c>
      <c r="AL1" s="485" t="s">
        <v>2431</v>
      </c>
      <c r="AM1" s="488" t="s">
        <v>3440</v>
      </c>
      <c r="AN1" s="488" t="s">
        <v>3547</v>
      </c>
      <c r="AO1" s="488" t="s">
        <v>3548</v>
      </c>
      <c r="AP1" s="485" t="s">
        <v>2958</v>
      </c>
      <c r="AQ1"/>
      <c r="AR1"/>
      <c r="AT1" s="41" t="s">
        <v>613</v>
      </c>
      <c r="AU1" s="41" t="s">
        <v>798</v>
      </c>
      <c r="AV1" s="41" t="s">
        <v>799</v>
      </c>
      <c r="AW1" s="41" t="s">
        <v>800</v>
      </c>
      <c r="AX1" s="41" t="s">
        <v>4461</v>
      </c>
      <c r="AY1" s="41" t="s">
        <v>802</v>
      </c>
      <c r="AZ1" s="41" t="s">
        <v>803</v>
      </c>
      <c r="BA1" s="41" t="s">
        <v>804</v>
      </c>
      <c r="BB1" s="41" t="s">
        <v>805</v>
      </c>
      <c r="BC1" s="41" t="s">
        <v>806</v>
      </c>
      <c r="BD1" s="41" t="s">
        <v>807</v>
      </c>
      <c r="BE1" s="41" t="s">
        <v>182</v>
      </c>
      <c r="BF1" s="41" t="s">
        <v>808</v>
      </c>
      <c r="BG1" s="41" t="s">
        <v>809</v>
      </c>
      <c r="BH1" s="41" t="s">
        <v>810</v>
      </c>
      <c r="BI1" s="41" t="s">
        <v>811</v>
      </c>
      <c r="BJ1" s="41" t="s">
        <v>812</v>
      </c>
      <c r="BK1" s="41" t="s">
        <v>824</v>
      </c>
      <c r="BL1" s="41" t="s">
        <v>794</v>
      </c>
      <c r="BM1" s="41" t="s">
        <v>813</v>
      </c>
      <c r="BN1" s="41" t="s">
        <v>814</v>
      </c>
      <c r="BO1" s="41" t="s">
        <v>795</v>
      </c>
      <c r="BP1" s="41" t="s">
        <v>818</v>
      </c>
      <c r="BQ1" s="41" t="s">
        <v>819</v>
      </c>
      <c r="BR1" s="41" t="s">
        <v>825</v>
      </c>
      <c r="BS1" s="41" t="s">
        <v>820</v>
      </c>
      <c r="BT1" s="41" t="s">
        <v>821</v>
      </c>
      <c r="BU1" s="41" t="s">
        <v>610</v>
      </c>
      <c r="BV1" s="41" t="s">
        <v>2507</v>
      </c>
      <c r="BW1" s="41" t="s">
        <v>903</v>
      </c>
      <c r="BX1" s="41" t="s">
        <v>2618</v>
      </c>
      <c r="BY1" s="41" t="s">
        <v>2509</v>
      </c>
      <c r="BZ1" s="41" t="s">
        <v>2619</v>
      </c>
      <c r="CA1" s="41" t="s">
        <v>822</v>
      </c>
      <c r="CB1" s="41" t="s">
        <v>2431</v>
      </c>
      <c r="CC1" s="41" t="s">
        <v>3440</v>
      </c>
      <c r="CD1" s="41" t="s">
        <v>3547</v>
      </c>
      <c r="CE1" s="41" t="s">
        <v>3548</v>
      </c>
      <c r="CG1" s="41" t="s">
        <v>3042</v>
      </c>
      <c r="CI1" s="41" t="s">
        <v>4462</v>
      </c>
    </row>
    <row r="2" spans="1:88" x14ac:dyDescent="0.2">
      <c r="A2" s="61">
        <v>1</v>
      </c>
      <c r="B2" s="489" t="s">
        <v>4240</v>
      </c>
      <c r="C2" s="489" t="s">
        <v>520</v>
      </c>
      <c r="D2" s="489" t="s">
        <v>4241</v>
      </c>
      <c r="E2" s="489" t="s">
        <v>789</v>
      </c>
      <c r="F2" s="489" t="s">
        <v>745</v>
      </c>
      <c r="G2" s="489" t="s">
        <v>34</v>
      </c>
      <c r="H2" s="489" t="s">
        <v>835</v>
      </c>
      <c r="I2" s="489" t="s">
        <v>4270</v>
      </c>
      <c r="J2" s="489" t="s">
        <v>613</v>
      </c>
      <c r="K2" s="489" t="s">
        <v>480</v>
      </c>
      <c r="L2" s="489" t="s">
        <v>2338</v>
      </c>
      <c r="M2" s="489">
        <v>400005</v>
      </c>
      <c r="N2" s="489" t="s">
        <v>520</v>
      </c>
      <c r="O2" s="489" t="s">
        <v>1106</v>
      </c>
      <c r="P2" s="489" t="s">
        <v>1009</v>
      </c>
      <c r="Q2" s="489" t="s">
        <v>833</v>
      </c>
      <c r="R2" s="489" t="s">
        <v>892</v>
      </c>
      <c r="S2" s="489" t="s">
        <v>2339</v>
      </c>
      <c r="T2" s="489">
        <v>30</v>
      </c>
      <c r="U2" s="489" t="s">
        <v>858</v>
      </c>
      <c r="V2" s="489" t="s">
        <v>2327</v>
      </c>
      <c r="W2" s="489">
        <v>84945014029</v>
      </c>
      <c r="X2" s="489" t="s">
        <v>829</v>
      </c>
      <c r="Y2" s="489" t="s">
        <v>3802</v>
      </c>
      <c r="Z2" s="489" t="s">
        <v>2340</v>
      </c>
      <c r="AA2" s="489" t="s">
        <v>829</v>
      </c>
      <c r="AB2" s="489" t="s">
        <v>34</v>
      </c>
      <c r="AC2" s="489" t="s">
        <v>830</v>
      </c>
      <c r="AD2" s="489" t="s">
        <v>831</v>
      </c>
      <c r="AE2" s="489" t="s">
        <v>612</v>
      </c>
      <c r="AF2" s="489">
        <v>1</v>
      </c>
      <c r="AG2" s="489">
        <v>0</v>
      </c>
      <c r="AH2" s="489">
        <v>0</v>
      </c>
      <c r="AI2" s="489" t="s">
        <v>2611</v>
      </c>
      <c r="AJ2" s="489" t="s">
        <v>2612</v>
      </c>
      <c r="AK2" s="489" t="s">
        <v>832</v>
      </c>
      <c r="AL2" s="489" t="s">
        <v>34</v>
      </c>
      <c r="AM2" s="61" t="s">
        <v>3441</v>
      </c>
      <c r="AN2" s="490">
        <v>0</v>
      </c>
      <c r="AO2" s="490">
        <v>0</v>
      </c>
      <c r="AP2" s="61" t="s">
        <v>2624</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VLOOKUP("Condition",#REF!,2,FALSE)</f>
        <v>#REF!</v>
      </c>
      <c r="BV2" t="e">
        <f>VLOOKUP(BV1,#REF!,2,FALSE)</f>
        <v>#REF!</v>
      </c>
      <c r="BW2" t="e">
        <f>VLOOKUP(BW1,#REF!,2,FALSE)</f>
        <v>#REF!</v>
      </c>
      <c r="BX2" t="e">
        <f>VLOOKUP(BX1,#REF!,2,FALSE)</f>
        <v>#REF!</v>
      </c>
      <c r="BY2" t="e">
        <f>VLOOKUP(BY1,#REF!,2,FALSE)</f>
        <v>#REF!</v>
      </c>
      <c r="BZ2" t="e">
        <f>VLOOKUP(BZ1,#REF!,2,FALSE)</f>
        <v>#REF!</v>
      </c>
      <c r="CA2" t="s">
        <v>832</v>
      </c>
      <c r="CB2" t="e">
        <f>VLOOKUP(CB1,#REF!,2,FALSE)</f>
        <v>#REF!</v>
      </c>
      <c r="CC2" t="e">
        <f>VLOOKUP(CC1,#REF!,2,FALSE)</f>
        <v>#REF!</v>
      </c>
      <c r="CD2" t="e">
        <f>VLOOKUP(CD1,#REF!,2,FALSE)</f>
        <v>#REF!</v>
      </c>
      <c r="CE2" t="e">
        <f>VLOOKUP(CE1,#REF!,2,FALSE)</f>
        <v>#REF!</v>
      </c>
      <c r="CF2">
        <f>MATCH(Main!D$5,B$2:B$500,1)</f>
        <v>116</v>
      </c>
      <c r="CG2" s="400" t="e" cm="1">
        <f t="array" ref="CG2">#REF!</f>
        <v>#REF!</v>
      </c>
      <c r="CI2" s="437">
        <v>620646</v>
      </c>
      <c r="CJ2" s="437"/>
    </row>
    <row r="3" spans="1:88" x14ac:dyDescent="0.2">
      <c r="A3" s="61">
        <v>2</v>
      </c>
      <c r="B3" s="491" t="s">
        <v>4240</v>
      </c>
      <c r="C3" s="492" t="s">
        <v>3320</v>
      </c>
      <c r="D3" s="492" t="s">
        <v>4242</v>
      </c>
      <c r="E3" s="492" t="s">
        <v>789</v>
      </c>
      <c r="F3" s="492" t="s">
        <v>745</v>
      </c>
      <c r="G3" s="492" t="s">
        <v>34</v>
      </c>
      <c r="H3" s="492" t="s">
        <v>835</v>
      </c>
      <c r="I3" s="492" t="s">
        <v>4270</v>
      </c>
      <c r="J3" s="492" t="s">
        <v>613</v>
      </c>
      <c r="K3" s="492" t="s">
        <v>2318</v>
      </c>
      <c r="L3" s="492" t="s">
        <v>2319</v>
      </c>
      <c r="M3" s="493">
        <v>995539</v>
      </c>
      <c r="N3" s="492" t="s">
        <v>3320</v>
      </c>
      <c r="O3" s="492" t="s">
        <v>1106</v>
      </c>
      <c r="P3" s="492" t="s">
        <v>1166</v>
      </c>
      <c r="Q3" s="492" t="s">
        <v>833</v>
      </c>
      <c r="R3" s="492" t="s">
        <v>1002</v>
      </c>
      <c r="S3" s="492" t="s">
        <v>2320</v>
      </c>
      <c r="T3" s="492">
        <v>108</v>
      </c>
      <c r="U3" s="492" t="s">
        <v>858</v>
      </c>
      <c r="V3" s="492" t="s">
        <v>2321</v>
      </c>
      <c r="W3" s="492" t="s">
        <v>2322</v>
      </c>
      <c r="X3" s="492" t="s">
        <v>829</v>
      </c>
      <c r="Y3" s="492" t="s">
        <v>1341</v>
      </c>
      <c r="Z3" s="492" t="s">
        <v>2323</v>
      </c>
      <c r="AA3" s="492" t="s">
        <v>829</v>
      </c>
      <c r="AB3" s="492" t="s">
        <v>34</v>
      </c>
      <c r="AC3" s="492" t="s">
        <v>830</v>
      </c>
      <c r="AD3" s="492" t="s">
        <v>831</v>
      </c>
      <c r="AE3" s="492" t="s">
        <v>612</v>
      </c>
      <c r="AF3" s="492">
        <v>2</v>
      </c>
      <c r="AG3" s="492">
        <v>1</v>
      </c>
      <c r="AH3" s="492">
        <v>0.05</v>
      </c>
      <c r="AI3" s="492" t="s">
        <v>2609</v>
      </c>
      <c r="AJ3" s="492" t="s">
        <v>34</v>
      </c>
      <c r="AK3" s="492" t="s">
        <v>832</v>
      </c>
      <c r="AL3" s="492" t="s">
        <v>34</v>
      </c>
      <c r="AM3" s="61" t="s">
        <v>3441</v>
      </c>
      <c r="AN3" s="490">
        <v>0</v>
      </c>
      <c r="AO3" s="490">
        <v>0</v>
      </c>
      <c r="AP3" s="61"/>
      <c r="BC3" s="44"/>
      <c r="CE3" s="401"/>
      <c r="CF3">
        <f t="shared" ref="CF3:CF37" si="0">CF2-1</f>
        <v>115</v>
      </c>
      <c r="CG3" s="401"/>
      <c r="CI3" s="400"/>
      <c r="CJ3" s="400"/>
    </row>
    <row r="4" spans="1:88" x14ac:dyDescent="0.2">
      <c r="A4" s="61">
        <v>3</v>
      </c>
      <c r="B4" s="492" t="s">
        <v>4240</v>
      </c>
      <c r="C4" s="492" t="s">
        <v>526</v>
      </c>
      <c r="D4" s="492" t="s">
        <v>4243</v>
      </c>
      <c r="E4" s="492" t="s">
        <v>789</v>
      </c>
      <c r="F4" s="492" t="s">
        <v>745</v>
      </c>
      <c r="G4" s="492" t="s">
        <v>34</v>
      </c>
      <c r="H4" s="492" t="s">
        <v>835</v>
      </c>
      <c r="I4" s="492" t="s">
        <v>4270</v>
      </c>
      <c r="J4" s="492" t="s">
        <v>613</v>
      </c>
      <c r="K4" s="492" t="s">
        <v>2304</v>
      </c>
      <c r="L4" s="492" t="s">
        <v>2305</v>
      </c>
      <c r="M4" s="492">
        <v>311244</v>
      </c>
      <c r="N4" s="492" t="s">
        <v>526</v>
      </c>
      <c r="O4" s="492" t="s">
        <v>1106</v>
      </c>
      <c r="P4" s="492" t="s">
        <v>2243</v>
      </c>
      <c r="Q4" s="492" t="s">
        <v>911</v>
      </c>
      <c r="R4" s="492" t="s">
        <v>828</v>
      </c>
      <c r="S4" s="492" t="s">
        <v>2306</v>
      </c>
      <c r="T4" s="492">
        <v>20.7</v>
      </c>
      <c r="U4" s="492" t="s">
        <v>858</v>
      </c>
      <c r="V4" s="492" t="s">
        <v>2307</v>
      </c>
      <c r="W4" s="492" t="s">
        <v>2308</v>
      </c>
      <c r="X4" s="492" t="s">
        <v>829</v>
      </c>
      <c r="Y4" s="492" t="s">
        <v>1341</v>
      </c>
      <c r="Z4" s="492" t="s">
        <v>2309</v>
      </c>
      <c r="AA4" s="492" t="s">
        <v>829</v>
      </c>
      <c r="AB4" s="492" t="s">
        <v>34</v>
      </c>
      <c r="AC4" s="492" t="s">
        <v>830</v>
      </c>
      <c r="AD4" s="492" t="s">
        <v>831</v>
      </c>
      <c r="AE4" s="492" t="s">
        <v>612</v>
      </c>
      <c r="AF4" s="492">
        <v>1</v>
      </c>
      <c r="AG4" s="492">
        <v>0.1</v>
      </c>
      <c r="AH4" s="492">
        <v>1.1100000000000001</v>
      </c>
      <c r="AI4" s="492" t="s">
        <v>2605</v>
      </c>
      <c r="AJ4" s="492" t="s">
        <v>34</v>
      </c>
      <c r="AK4" s="492" t="s">
        <v>832</v>
      </c>
      <c r="AL4" s="492" t="s">
        <v>34</v>
      </c>
      <c r="AM4" s="61" t="s">
        <v>3441</v>
      </c>
      <c r="AN4" s="490">
        <v>0</v>
      </c>
      <c r="AO4" s="490">
        <v>0</v>
      </c>
      <c r="AP4" s="61"/>
      <c r="CE4" s="401"/>
      <c r="CF4">
        <f t="shared" si="0"/>
        <v>114</v>
      </c>
      <c r="CG4" s="401"/>
      <c r="CI4" s="401"/>
      <c r="CJ4" s="401"/>
    </row>
    <row r="5" spans="1:88" x14ac:dyDescent="0.2">
      <c r="A5" s="61">
        <v>4</v>
      </c>
      <c r="B5" s="491" t="s">
        <v>4240</v>
      </c>
      <c r="C5" s="492" t="s">
        <v>523</v>
      </c>
      <c r="D5" s="492" t="s">
        <v>4244</v>
      </c>
      <c r="E5" s="492" t="s">
        <v>789</v>
      </c>
      <c r="F5" s="492" t="s">
        <v>745</v>
      </c>
      <c r="G5" s="492" t="s">
        <v>34</v>
      </c>
      <c r="H5" s="492" t="s">
        <v>835</v>
      </c>
      <c r="I5" s="492" t="s">
        <v>4270</v>
      </c>
      <c r="J5" s="492" t="s">
        <v>613</v>
      </c>
      <c r="K5" s="492" t="s">
        <v>480</v>
      </c>
      <c r="L5" s="492" t="s">
        <v>2341</v>
      </c>
      <c r="M5" s="492" t="s">
        <v>2342</v>
      </c>
      <c r="N5" s="492" t="s">
        <v>523</v>
      </c>
      <c r="O5" s="492" t="s">
        <v>1106</v>
      </c>
      <c r="P5" s="492" t="s">
        <v>2343</v>
      </c>
      <c r="Q5" s="492" t="s">
        <v>833</v>
      </c>
      <c r="R5" s="492" t="s">
        <v>892</v>
      </c>
      <c r="S5" s="492" t="s">
        <v>2344</v>
      </c>
      <c r="T5" s="492">
        <v>3.1</v>
      </c>
      <c r="U5" s="492" t="s">
        <v>858</v>
      </c>
      <c r="V5" s="492" t="s">
        <v>1467</v>
      </c>
      <c r="W5" s="492">
        <v>5684</v>
      </c>
      <c r="X5" s="492" t="s">
        <v>829</v>
      </c>
      <c r="Y5" s="492" t="s">
        <v>1341</v>
      </c>
      <c r="Z5" s="492" t="s">
        <v>2345</v>
      </c>
      <c r="AA5" s="492" t="s">
        <v>829</v>
      </c>
      <c r="AB5" s="492" t="s">
        <v>34</v>
      </c>
      <c r="AC5" s="492" t="s">
        <v>830</v>
      </c>
      <c r="AD5" s="492" t="s">
        <v>831</v>
      </c>
      <c r="AE5" s="492" t="s">
        <v>612</v>
      </c>
      <c r="AF5" s="492">
        <v>40</v>
      </c>
      <c r="AG5" s="492">
        <v>1</v>
      </c>
      <c r="AH5" s="492">
        <v>450</v>
      </c>
      <c r="AI5" s="492" t="s">
        <v>34</v>
      </c>
      <c r="AJ5" s="492" t="s">
        <v>34</v>
      </c>
      <c r="AK5" s="492" t="s">
        <v>832</v>
      </c>
      <c r="AL5" s="492" t="s">
        <v>34</v>
      </c>
      <c r="AM5" s="61" t="s">
        <v>3441</v>
      </c>
      <c r="AN5" s="490">
        <v>0</v>
      </c>
      <c r="AO5" s="490">
        <v>0</v>
      </c>
      <c r="AP5" s="61"/>
      <c r="CE5" s="401"/>
      <c r="CF5">
        <f t="shared" si="0"/>
        <v>113</v>
      </c>
      <c r="CG5" s="401"/>
      <c r="CI5" s="401"/>
      <c r="CJ5" s="401"/>
    </row>
    <row r="6" spans="1:88" x14ac:dyDescent="0.2">
      <c r="A6" s="61">
        <v>5</v>
      </c>
      <c r="B6" s="491" t="s">
        <v>4240</v>
      </c>
      <c r="C6" s="492" t="s">
        <v>525</v>
      </c>
      <c r="D6" s="492" t="s">
        <v>4245</v>
      </c>
      <c r="E6" s="492" t="s">
        <v>789</v>
      </c>
      <c r="F6" s="492" t="s">
        <v>745</v>
      </c>
      <c r="G6" s="492" t="s">
        <v>34</v>
      </c>
      <c r="H6" s="492" t="s">
        <v>835</v>
      </c>
      <c r="I6" s="492" t="s">
        <v>4270</v>
      </c>
      <c r="J6" s="492" t="s">
        <v>613</v>
      </c>
      <c r="K6" s="492" t="s">
        <v>409</v>
      </c>
      <c r="L6" s="492" t="s">
        <v>2302</v>
      </c>
      <c r="M6" s="492">
        <v>116010</v>
      </c>
      <c r="N6" s="492" t="s">
        <v>525</v>
      </c>
      <c r="O6" s="492" t="s">
        <v>1106</v>
      </c>
      <c r="P6" s="492" t="s">
        <v>893</v>
      </c>
      <c r="Q6" s="492" t="s">
        <v>833</v>
      </c>
      <c r="R6" s="492" t="s">
        <v>828</v>
      </c>
      <c r="S6" s="492" t="s">
        <v>3718</v>
      </c>
      <c r="T6" s="492">
        <v>45.3</v>
      </c>
      <c r="U6" s="492" t="s">
        <v>858</v>
      </c>
      <c r="V6" s="492" t="s">
        <v>1571</v>
      </c>
      <c r="W6" s="492">
        <v>11.2</v>
      </c>
      <c r="X6" s="492" t="s">
        <v>829</v>
      </c>
      <c r="Y6" s="492" t="s">
        <v>108</v>
      </c>
      <c r="Z6" s="492" t="s">
        <v>108</v>
      </c>
      <c r="AA6" s="492" t="s">
        <v>108</v>
      </c>
      <c r="AB6" s="492" t="s">
        <v>34</v>
      </c>
      <c r="AC6" s="492" t="s">
        <v>830</v>
      </c>
      <c r="AD6" s="492" t="s">
        <v>831</v>
      </c>
      <c r="AE6" s="492" t="s">
        <v>612</v>
      </c>
      <c r="AF6" s="492">
        <v>3.2</v>
      </c>
      <c r="AG6" s="492">
        <v>1.4</v>
      </c>
      <c r="AH6" s="492">
        <v>0.25</v>
      </c>
      <c r="AI6" s="492" t="s">
        <v>2603</v>
      </c>
      <c r="AJ6" s="492" t="s">
        <v>2604</v>
      </c>
      <c r="AK6" s="492" t="s">
        <v>832</v>
      </c>
      <c r="AL6" s="492" t="s">
        <v>34</v>
      </c>
      <c r="AM6" s="61" t="s">
        <v>3441</v>
      </c>
      <c r="AN6" s="490">
        <v>0</v>
      </c>
      <c r="AO6" s="490">
        <v>0</v>
      </c>
      <c r="AP6" s="61"/>
      <c r="CE6" s="401"/>
      <c r="CF6">
        <f t="shared" si="0"/>
        <v>112</v>
      </c>
      <c r="CG6" s="401"/>
      <c r="CI6" s="401"/>
      <c r="CJ6" s="401"/>
    </row>
    <row r="7" spans="1:88" x14ac:dyDescent="0.2">
      <c r="A7" s="61">
        <v>6</v>
      </c>
      <c r="B7" s="491" t="s">
        <v>4240</v>
      </c>
      <c r="C7" s="492" t="s">
        <v>518</v>
      </c>
      <c r="D7" s="492" t="s">
        <v>4246</v>
      </c>
      <c r="E7" s="492" t="s">
        <v>789</v>
      </c>
      <c r="F7" s="492" t="s">
        <v>745</v>
      </c>
      <c r="G7" s="492" t="s">
        <v>34</v>
      </c>
      <c r="H7" s="492" t="s">
        <v>835</v>
      </c>
      <c r="I7" s="492" t="s">
        <v>4270</v>
      </c>
      <c r="J7" s="492" t="s">
        <v>613</v>
      </c>
      <c r="K7" s="492" t="s">
        <v>839</v>
      </c>
      <c r="L7" s="492" t="s">
        <v>2328</v>
      </c>
      <c r="M7" s="492">
        <v>450931</v>
      </c>
      <c r="N7" s="492" t="s">
        <v>518</v>
      </c>
      <c r="O7" s="492" t="s">
        <v>1106</v>
      </c>
      <c r="P7" s="492" t="s">
        <v>1822</v>
      </c>
      <c r="Q7" s="492" t="s">
        <v>911</v>
      </c>
      <c r="R7" s="492" t="s">
        <v>929</v>
      </c>
      <c r="S7" s="492" t="s">
        <v>2329</v>
      </c>
      <c r="T7" s="492">
        <v>5.2</v>
      </c>
      <c r="U7" s="492" t="s">
        <v>858</v>
      </c>
      <c r="V7" s="492" t="s">
        <v>2330</v>
      </c>
      <c r="W7" s="492" t="s">
        <v>2331</v>
      </c>
      <c r="X7" s="492" t="s">
        <v>1445</v>
      </c>
      <c r="Y7" s="492" t="s">
        <v>1341</v>
      </c>
      <c r="Z7" s="492" t="s">
        <v>2332</v>
      </c>
      <c r="AA7" s="492" t="s">
        <v>829</v>
      </c>
      <c r="AB7" s="492" t="s">
        <v>4356</v>
      </c>
      <c r="AC7" s="492" t="s">
        <v>830</v>
      </c>
      <c r="AD7" s="492" t="s">
        <v>831</v>
      </c>
      <c r="AE7" s="492" t="s">
        <v>612</v>
      </c>
      <c r="AF7" s="492" t="s">
        <v>2054</v>
      </c>
      <c r="AG7" s="492" t="s">
        <v>34</v>
      </c>
      <c r="AH7" s="492" t="s">
        <v>34</v>
      </c>
      <c r="AI7" s="492" t="s">
        <v>34</v>
      </c>
      <c r="AJ7" s="492" t="s">
        <v>34</v>
      </c>
      <c r="AK7" s="492" t="s">
        <v>832</v>
      </c>
      <c r="AL7" s="492" t="s">
        <v>34</v>
      </c>
      <c r="AM7" s="61" t="s">
        <v>3441</v>
      </c>
      <c r="AN7" s="490">
        <v>0</v>
      </c>
      <c r="AO7" s="490">
        <v>0</v>
      </c>
      <c r="AP7" s="61"/>
      <c r="CE7" s="401"/>
      <c r="CF7">
        <f t="shared" si="0"/>
        <v>111</v>
      </c>
      <c r="CG7" s="401"/>
      <c r="CI7" s="401"/>
      <c r="CJ7" s="401"/>
    </row>
    <row r="8" spans="1:88" x14ac:dyDescent="0.2">
      <c r="A8" s="61">
        <v>7</v>
      </c>
      <c r="B8" s="491" t="s">
        <v>4240</v>
      </c>
      <c r="C8" s="492" t="s">
        <v>3324</v>
      </c>
      <c r="D8" s="492" t="s">
        <v>4247</v>
      </c>
      <c r="E8" s="492" t="s">
        <v>789</v>
      </c>
      <c r="F8" s="492" t="s">
        <v>745</v>
      </c>
      <c r="G8" s="492" t="s">
        <v>34</v>
      </c>
      <c r="H8" s="492" t="s">
        <v>835</v>
      </c>
      <c r="I8" s="492" t="s">
        <v>4270</v>
      </c>
      <c r="J8" s="492" t="s">
        <v>823</v>
      </c>
      <c r="K8" s="492" t="s">
        <v>957</v>
      </c>
      <c r="L8" s="492" t="s">
        <v>2310</v>
      </c>
      <c r="M8" s="492" t="s">
        <v>3325</v>
      </c>
      <c r="N8" s="492" t="s">
        <v>3326</v>
      </c>
      <c r="O8" s="492" t="s">
        <v>305</v>
      </c>
      <c r="P8" s="492" t="s">
        <v>2190</v>
      </c>
      <c r="Q8" s="492" t="s">
        <v>833</v>
      </c>
      <c r="R8" s="492" t="s">
        <v>828</v>
      </c>
      <c r="S8" s="492" t="s">
        <v>2311</v>
      </c>
      <c r="T8" s="492">
        <v>118</v>
      </c>
      <c r="U8" s="492" t="s">
        <v>858</v>
      </c>
      <c r="V8" s="492" t="s">
        <v>1200</v>
      </c>
      <c r="W8" s="492" t="s">
        <v>2312</v>
      </c>
      <c r="X8" s="492" t="s">
        <v>829</v>
      </c>
      <c r="Y8" s="492" t="s">
        <v>1341</v>
      </c>
      <c r="Z8" s="492" t="s">
        <v>3327</v>
      </c>
      <c r="AA8" s="492" t="s">
        <v>829</v>
      </c>
      <c r="AB8" s="492" t="s">
        <v>34</v>
      </c>
      <c r="AC8" s="492" t="s">
        <v>830</v>
      </c>
      <c r="AD8" s="492" t="s">
        <v>831</v>
      </c>
      <c r="AE8" s="492" t="s">
        <v>612</v>
      </c>
      <c r="AF8" s="492">
        <v>22</v>
      </c>
      <c r="AG8" s="492">
        <v>137</v>
      </c>
      <c r="AH8" s="492">
        <v>34</v>
      </c>
      <c r="AI8" s="492" t="s">
        <v>2606</v>
      </c>
      <c r="AJ8" s="492" t="s">
        <v>34</v>
      </c>
      <c r="AK8" s="492" t="s">
        <v>832</v>
      </c>
      <c r="AL8" s="492" t="s">
        <v>34</v>
      </c>
      <c r="AM8" s="61" t="s">
        <v>3441</v>
      </c>
      <c r="AN8" s="490">
        <v>0</v>
      </c>
      <c r="AO8" s="490">
        <v>0</v>
      </c>
      <c r="AP8" s="61"/>
      <c r="CE8" s="401"/>
      <c r="CF8">
        <f t="shared" si="0"/>
        <v>110</v>
      </c>
      <c r="CG8" s="401"/>
      <c r="CI8" s="401"/>
      <c r="CJ8" s="401"/>
    </row>
    <row r="9" spans="1:88" x14ac:dyDescent="0.2">
      <c r="A9" s="61">
        <v>8</v>
      </c>
      <c r="B9" s="491" t="s">
        <v>4240</v>
      </c>
      <c r="C9" s="492" t="s">
        <v>524</v>
      </c>
      <c r="D9" s="492" t="s">
        <v>4248</v>
      </c>
      <c r="E9" s="492" t="s">
        <v>789</v>
      </c>
      <c r="F9" s="492" t="s">
        <v>745</v>
      </c>
      <c r="G9" s="492" t="s">
        <v>34</v>
      </c>
      <c r="H9" s="492" t="s">
        <v>835</v>
      </c>
      <c r="I9" s="492" t="s">
        <v>4270</v>
      </c>
      <c r="J9" s="492" t="s">
        <v>613</v>
      </c>
      <c r="K9" s="492" t="s">
        <v>2313</v>
      </c>
      <c r="L9" s="492" t="s">
        <v>2314</v>
      </c>
      <c r="M9" s="492">
        <v>390366</v>
      </c>
      <c r="N9" s="492" t="s">
        <v>524</v>
      </c>
      <c r="O9" s="492" t="s">
        <v>1106</v>
      </c>
      <c r="P9" s="492" t="s">
        <v>2315</v>
      </c>
      <c r="Q9" s="492" t="s">
        <v>827</v>
      </c>
      <c r="R9" s="492" t="s">
        <v>828</v>
      </c>
      <c r="S9" s="492" t="s">
        <v>2316</v>
      </c>
      <c r="T9" s="492">
        <v>36</v>
      </c>
      <c r="U9" s="492" t="s">
        <v>858</v>
      </c>
      <c r="V9" s="492" t="s">
        <v>4108</v>
      </c>
      <c r="W9" s="492" t="s">
        <v>4109</v>
      </c>
      <c r="X9" s="492" t="s">
        <v>829</v>
      </c>
      <c r="Y9" s="492" t="s">
        <v>1341</v>
      </c>
      <c r="Z9" s="492" t="s">
        <v>2317</v>
      </c>
      <c r="AA9" s="492" t="s">
        <v>829</v>
      </c>
      <c r="AB9" s="492" t="s">
        <v>34</v>
      </c>
      <c r="AC9" s="492" t="s">
        <v>830</v>
      </c>
      <c r="AD9" s="492" t="s">
        <v>831</v>
      </c>
      <c r="AE9" s="492" t="s">
        <v>612</v>
      </c>
      <c r="AF9" s="492">
        <v>2.5</v>
      </c>
      <c r="AG9" s="492">
        <v>0</v>
      </c>
      <c r="AH9" s="492">
        <v>10</v>
      </c>
      <c r="AI9" s="492" t="s">
        <v>2607</v>
      </c>
      <c r="AJ9" s="492" t="s">
        <v>2608</v>
      </c>
      <c r="AK9" s="492" t="s">
        <v>832</v>
      </c>
      <c r="AL9" s="492" t="s">
        <v>34</v>
      </c>
      <c r="AM9" s="61" t="s">
        <v>3441</v>
      </c>
      <c r="AN9" s="490">
        <v>0</v>
      </c>
      <c r="AO9" s="490">
        <v>0</v>
      </c>
      <c r="AP9" s="61"/>
      <c r="CE9" s="401"/>
      <c r="CF9">
        <f t="shared" si="0"/>
        <v>109</v>
      </c>
      <c r="CG9" s="401"/>
      <c r="CI9" s="401"/>
      <c r="CJ9" s="401"/>
    </row>
    <row r="10" spans="1:88" x14ac:dyDescent="0.2">
      <c r="A10" s="61">
        <v>9</v>
      </c>
      <c r="B10" s="491" t="s">
        <v>4240</v>
      </c>
      <c r="C10" s="492" t="s">
        <v>519</v>
      </c>
      <c r="D10" s="492" t="s">
        <v>4249</v>
      </c>
      <c r="E10" s="492" t="s">
        <v>789</v>
      </c>
      <c r="F10" s="492" t="s">
        <v>745</v>
      </c>
      <c r="G10" s="492" t="s">
        <v>34</v>
      </c>
      <c r="H10" s="492" t="s">
        <v>835</v>
      </c>
      <c r="I10" s="492" t="s">
        <v>4270</v>
      </c>
      <c r="J10" s="492" t="s">
        <v>613</v>
      </c>
      <c r="K10" s="492" t="s">
        <v>839</v>
      </c>
      <c r="L10" s="492" t="s">
        <v>2333</v>
      </c>
      <c r="M10" s="492">
        <v>633775</v>
      </c>
      <c r="N10" s="492" t="s">
        <v>519</v>
      </c>
      <c r="O10" s="492" t="s">
        <v>1106</v>
      </c>
      <c r="P10" s="492" t="s">
        <v>4110</v>
      </c>
      <c r="Q10" s="492" t="s">
        <v>827</v>
      </c>
      <c r="R10" s="492" t="s">
        <v>929</v>
      </c>
      <c r="S10" s="492" t="s">
        <v>2334</v>
      </c>
      <c r="T10" s="492">
        <v>0.99</v>
      </c>
      <c r="U10" s="492" t="s">
        <v>858</v>
      </c>
      <c r="V10" s="492" t="s">
        <v>2335</v>
      </c>
      <c r="W10" s="492" t="s">
        <v>108</v>
      </c>
      <c r="X10" s="492" t="s">
        <v>1445</v>
      </c>
      <c r="Y10" s="492" t="s">
        <v>1341</v>
      </c>
      <c r="Z10" s="492" t="s">
        <v>2336</v>
      </c>
      <c r="AA10" s="492" t="s">
        <v>829</v>
      </c>
      <c r="AB10" s="492" t="s">
        <v>2337</v>
      </c>
      <c r="AC10" s="492" t="s">
        <v>830</v>
      </c>
      <c r="AD10" s="492" t="s">
        <v>831</v>
      </c>
      <c r="AE10" s="492" t="s">
        <v>612</v>
      </c>
      <c r="AF10" s="492" t="s">
        <v>2054</v>
      </c>
      <c r="AG10" s="492" t="s">
        <v>34</v>
      </c>
      <c r="AH10" s="492" t="s">
        <v>34</v>
      </c>
      <c r="AI10" s="492" t="s">
        <v>34</v>
      </c>
      <c r="AJ10" s="492" t="s">
        <v>34</v>
      </c>
      <c r="AK10" s="492" t="s">
        <v>832</v>
      </c>
      <c r="AL10" s="492" t="s">
        <v>34</v>
      </c>
      <c r="AM10" s="61" t="s">
        <v>3441</v>
      </c>
      <c r="AN10" s="490">
        <v>0</v>
      </c>
      <c r="AO10" s="490">
        <v>0</v>
      </c>
      <c r="AP10" s="61"/>
      <c r="CE10" s="401"/>
      <c r="CF10">
        <f t="shared" si="0"/>
        <v>108</v>
      </c>
      <c r="CG10" s="401"/>
      <c r="CI10" s="401"/>
      <c r="CJ10" s="401"/>
    </row>
    <row r="11" spans="1:88" x14ac:dyDescent="0.2">
      <c r="A11" s="61">
        <v>10</v>
      </c>
      <c r="B11" s="491" t="s">
        <v>4240</v>
      </c>
      <c r="C11" s="492" t="s">
        <v>647</v>
      </c>
      <c r="D11" s="492" t="s">
        <v>4250</v>
      </c>
      <c r="E11" s="492" t="s">
        <v>789</v>
      </c>
      <c r="F11" s="492" t="s">
        <v>745</v>
      </c>
      <c r="G11" s="492" t="s">
        <v>34</v>
      </c>
      <c r="H11" s="492" t="s">
        <v>835</v>
      </c>
      <c r="I11" s="492" t="s">
        <v>4270</v>
      </c>
      <c r="J11" s="492" t="s">
        <v>613</v>
      </c>
      <c r="K11" s="492" t="s">
        <v>2032</v>
      </c>
      <c r="L11" s="492" t="s">
        <v>2294</v>
      </c>
      <c r="M11" s="492">
        <v>330692</v>
      </c>
      <c r="N11" s="492" t="s">
        <v>647</v>
      </c>
      <c r="O11" s="492" t="s">
        <v>1106</v>
      </c>
      <c r="P11" s="492" t="s">
        <v>2315</v>
      </c>
      <c r="Q11" s="492" t="s">
        <v>827</v>
      </c>
      <c r="R11" s="492" t="s">
        <v>929</v>
      </c>
      <c r="S11" s="492" t="s">
        <v>1493</v>
      </c>
      <c r="T11" s="492">
        <v>8</v>
      </c>
      <c r="U11" s="492" t="s">
        <v>858</v>
      </c>
      <c r="V11" s="492" t="s">
        <v>2295</v>
      </c>
      <c r="W11" s="492" t="s">
        <v>2296</v>
      </c>
      <c r="X11" s="492" t="s">
        <v>829</v>
      </c>
      <c r="Y11" s="492" t="s">
        <v>1501</v>
      </c>
      <c r="Z11" s="492" t="s">
        <v>3673</v>
      </c>
      <c r="AA11" s="492" t="s">
        <v>829</v>
      </c>
      <c r="AB11" s="492" t="s">
        <v>2297</v>
      </c>
      <c r="AC11" s="492" t="s">
        <v>830</v>
      </c>
      <c r="AD11" s="492" t="s">
        <v>831</v>
      </c>
      <c r="AE11" s="492" t="s">
        <v>612</v>
      </c>
      <c r="AF11" s="492">
        <v>100</v>
      </c>
      <c r="AG11" s="492">
        <v>0.1</v>
      </c>
      <c r="AH11" s="492">
        <v>0</v>
      </c>
      <c r="AI11" s="492" t="s">
        <v>2602</v>
      </c>
      <c r="AJ11" s="492" t="s">
        <v>34</v>
      </c>
      <c r="AK11" s="492" t="s">
        <v>832</v>
      </c>
      <c r="AL11" s="492" t="s">
        <v>34</v>
      </c>
      <c r="AM11" s="61" t="s">
        <v>3441</v>
      </c>
      <c r="AN11" s="490">
        <v>0</v>
      </c>
      <c r="AO11" s="490">
        <v>0</v>
      </c>
      <c r="AP11" s="61"/>
      <c r="CE11" s="401"/>
      <c r="CF11">
        <f t="shared" si="0"/>
        <v>107</v>
      </c>
      <c r="CG11" s="401"/>
      <c r="CI11" s="401"/>
      <c r="CJ11" s="401"/>
    </row>
    <row r="12" spans="1:88" x14ac:dyDescent="0.2">
      <c r="A12" s="61">
        <v>11</v>
      </c>
      <c r="B12" s="491" t="s">
        <v>4240</v>
      </c>
      <c r="C12" s="492" t="s">
        <v>710</v>
      </c>
      <c r="D12" s="492" t="s">
        <v>4251</v>
      </c>
      <c r="E12" s="492" t="s">
        <v>789</v>
      </c>
      <c r="F12" s="492" t="s">
        <v>745</v>
      </c>
      <c r="G12" s="492" t="s">
        <v>34</v>
      </c>
      <c r="H12" s="492" t="s">
        <v>835</v>
      </c>
      <c r="I12" s="492" t="s">
        <v>4270</v>
      </c>
      <c r="J12" s="492" t="s">
        <v>613</v>
      </c>
      <c r="K12" s="492" t="s">
        <v>409</v>
      </c>
      <c r="L12" s="492" t="s">
        <v>2298</v>
      </c>
      <c r="M12" s="492">
        <v>166006</v>
      </c>
      <c r="N12" s="492" t="s">
        <v>710</v>
      </c>
      <c r="O12" s="492" t="s">
        <v>1106</v>
      </c>
      <c r="P12" s="492" t="s">
        <v>893</v>
      </c>
      <c r="Q12" s="492" t="s">
        <v>833</v>
      </c>
      <c r="R12" s="492" t="s">
        <v>892</v>
      </c>
      <c r="S12" s="492" t="s">
        <v>2299</v>
      </c>
      <c r="T12" s="492">
        <v>45.3</v>
      </c>
      <c r="U12" s="492" t="s">
        <v>858</v>
      </c>
      <c r="V12" s="492" t="s">
        <v>2300</v>
      </c>
      <c r="W12" s="492" t="s">
        <v>2301</v>
      </c>
      <c r="X12" s="492" t="s">
        <v>829</v>
      </c>
      <c r="Y12" s="492" t="s">
        <v>108</v>
      </c>
      <c r="Z12" s="492" t="s">
        <v>108</v>
      </c>
      <c r="AA12" s="492" t="s">
        <v>108</v>
      </c>
      <c r="AB12" s="492" t="s">
        <v>34</v>
      </c>
      <c r="AC12" s="492" t="s">
        <v>830</v>
      </c>
      <c r="AD12" s="492" t="s">
        <v>831</v>
      </c>
      <c r="AE12" s="492" t="s">
        <v>612</v>
      </c>
      <c r="AF12" s="492" t="s">
        <v>2054</v>
      </c>
      <c r="AG12" s="492" t="s">
        <v>34</v>
      </c>
      <c r="AH12" s="492" t="s">
        <v>34</v>
      </c>
      <c r="AI12" s="492" t="s">
        <v>34</v>
      </c>
      <c r="AJ12" s="492" t="s">
        <v>34</v>
      </c>
      <c r="AK12" s="492" t="s">
        <v>832</v>
      </c>
      <c r="AL12" s="492" t="s">
        <v>34</v>
      </c>
      <c r="AM12" s="61" t="s">
        <v>3441</v>
      </c>
      <c r="AN12" s="490">
        <v>0</v>
      </c>
      <c r="AO12" s="490">
        <v>0</v>
      </c>
      <c r="AP12" s="61"/>
      <c r="CE12" s="401"/>
      <c r="CF12">
        <f t="shared" si="0"/>
        <v>106</v>
      </c>
      <c r="CG12" s="401"/>
      <c r="CI12" s="401"/>
      <c r="CJ12" s="401"/>
    </row>
    <row r="13" spans="1:88" x14ac:dyDescent="0.2">
      <c r="A13" s="61">
        <v>12</v>
      </c>
      <c r="B13" s="491" t="s">
        <v>4240</v>
      </c>
      <c r="C13" s="492" t="s">
        <v>3112</v>
      </c>
      <c r="D13" s="492" t="s">
        <v>4252</v>
      </c>
      <c r="E13" s="492" t="s">
        <v>789</v>
      </c>
      <c r="F13" s="492" t="s">
        <v>745</v>
      </c>
      <c r="G13" s="492" t="s">
        <v>34</v>
      </c>
      <c r="H13" s="492" t="s">
        <v>835</v>
      </c>
      <c r="I13" s="492" t="s">
        <v>3679</v>
      </c>
      <c r="J13" s="492" t="s">
        <v>613</v>
      </c>
      <c r="K13" s="492" t="s">
        <v>3112</v>
      </c>
      <c r="L13" s="492" t="s">
        <v>3113</v>
      </c>
      <c r="M13" s="492" t="s">
        <v>3114</v>
      </c>
      <c r="N13" s="492" t="s">
        <v>3112</v>
      </c>
      <c r="O13" s="492" t="s">
        <v>1106</v>
      </c>
      <c r="P13" s="492" t="s">
        <v>1229</v>
      </c>
      <c r="Q13" s="492" t="s">
        <v>3115</v>
      </c>
      <c r="R13" s="492" t="s">
        <v>892</v>
      </c>
      <c r="S13" s="492" t="s">
        <v>3116</v>
      </c>
      <c r="T13" s="492">
        <v>83.3</v>
      </c>
      <c r="U13" s="492" t="s">
        <v>858</v>
      </c>
      <c r="V13" s="492" t="s">
        <v>1467</v>
      </c>
      <c r="W13" s="492" t="s">
        <v>3117</v>
      </c>
      <c r="X13" s="492" t="s">
        <v>829</v>
      </c>
      <c r="Y13" s="492" t="s">
        <v>1341</v>
      </c>
      <c r="Z13" s="492" t="s">
        <v>3118</v>
      </c>
      <c r="AA13" s="492" t="s">
        <v>829</v>
      </c>
      <c r="AB13" s="492" t="s">
        <v>34</v>
      </c>
      <c r="AC13" s="492" t="s">
        <v>830</v>
      </c>
      <c r="AD13" s="492" t="s">
        <v>831</v>
      </c>
      <c r="AE13" s="492" t="s">
        <v>612</v>
      </c>
      <c r="AF13" s="492">
        <v>10</v>
      </c>
      <c r="AG13" s="492">
        <v>235</v>
      </c>
      <c r="AH13" s="492">
        <v>5</v>
      </c>
      <c r="AI13" s="492" t="s">
        <v>34</v>
      </c>
      <c r="AJ13" s="492" t="s">
        <v>34</v>
      </c>
      <c r="AK13" s="492" t="s">
        <v>832</v>
      </c>
      <c r="AL13" s="492" t="s">
        <v>34</v>
      </c>
      <c r="AM13" s="61" t="s">
        <v>3441</v>
      </c>
      <c r="AN13" s="490">
        <v>0</v>
      </c>
      <c r="AO13" s="490">
        <v>0</v>
      </c>
      <c r="AP13" s="61"/>
      <c r="CE13" s="401"/>
      <c r="CF13">
        <f t="shared" si="0"/>
        <v>105</v>
      </c>
      <c r="CG13" s="401"/>
      <c r="CI13" s="401"/>
      <c r="CJ13" s="401"/>
    </row>
    <row r="14" spans="1:88" x14ac:dyDescent="0.2">
      <c r="A14" s="61">
        <v>13</v>
      </c>
      <c r="B14" s="491" t="s">
        <v>4240</v>
      </c>
      <c r="C14" s="492" t="s">
        <v>3321</v>
      </c>
      <c r="D14" s="492" t="s">
        <v>4252</v>
      </c>
      <c r="E14" s="492" t="s">
        <v>789</v>
      </c>
      <c r="F14" s="492" t="s">
        <v>745</v>
      </c>
      <c r="G14" s="492" t="s">
        <v>34</v>
      </c>
      <c r="H14" s="492" t="s">
        <v>835</v>
      </c>
      <c r="I14" s="492" t="s">
        <v>4270</v>
      </c>
      <c r="J14" s="492" t="s">
        <v>613</v>
      </c>
      <c r="K14" s="492" t="s">
        <v>409</v>
      </c>
      <c r="L14" s="492" t="s">
        <v>2054</v>
      </c>
      <c r="M14" s="492" t="s">
        <v>3321</v>
      </c>
      <c r="N14" s="492" t="s">
        <v>3321</v>
      </c>
      <c r="O14" s="492" t="s">
        <v>1106</v>
      </c>
      <c r="P14" s="492" t="s">
        <v>893</v>
      </c>
      <c r="Q14" s="492" t="s">
        <v>833</v>
      </c>
      <c r="R14" s="492" t="s">
        <v>828</v>
      </c>
      <c r="S14" s="492" t="s">
        <v>2303</v>
      </c>
      <c r="T14" s="492">
        <v>27</v>
      </c>
      <c r="U14" s="492" t="s">
        <v>858</v>
      </c>
      <c r="V14" s="492" t="s">
        <v>3322</v>
      </c>
      <c r="W14" s="492" t="s">
        <v>3323</v>
      </c>
      <c r="X14" s="492" t="s">
        <v>829</v>
      </c>
      <c r="Y14" s="492" t="s">
        <v>108</v>
      </c>
      <c r="Z14" s="492" t="s">
        <v>108</v>
      </c>
      <c r="AA14" s="492" t="s">
        <v>108</v>
      </c>
      <c r="AB14" s="492" t="s">
        <v>34</v>
      </c>
      <c r="AC14" s="492" t="s">
        <v>830</v>
      </c>
      <c r="AD14" s="492" t="s">
        <v>831</v>
      </c>
      <c r="AE14" s="492" t="s">
        <v>612</v>
      </c>
      <c r="AF14" s="492" t="s">
        <v>2054</v>
      </c>
      <c r="AG14" s="492" t="s">
        <v>34</v>
      </c>
      <c r="AH14" s="492" t="s">
        <v>34</v>
      </c>
      <c r="AI14" s="492" t="s">
        <v>34</v>
      </c>
      <c r="AJ14" s="492" t="s">
        <v>34</v>
      </c>
      <c r="AK14" s="492" t="s">
        <v>832</v>
      </c>
      <c r="AL14" s="492" t="s">
        <v>34</v>
      </c>
      <c r="AM14" s="61" t="s">
        <v>3441</v>
      </c>
      <c r="AN14" s="490">
        <v>0</v>
      </c>
      <c r="AO14" s="490">
        <v>0</v>
      </c>
      <c r="AP14" s="61"/>
      <c r="CE14" s="401"/>
      <c r="CF14">
        <f t="shared" si="0"/>
        <v>104</v>
      </c>
      <c r="CG14" s="401"/>
      <c r="CI14" s="401"/>
      <c r="CJ14" s="401"/>
    </row>
    <row r="15" spans="1:88" x14ac:dyDescent="0.2">
      <c r="A15" s="61">
        <v>14</v>
      </c>
      <c r="B15" s="491" t="s">
        <v>4240</v>
      </c>
      <c r="C15" s="492" t="s">
        <v>521</v>
      </c>
      <c r="D15" s="492" t="s">
        <v>4253</v>
      </c>
      <c r="E15" s="492" t="s">
        <v>789</v>
      </c>
      <c r="F15" s="492" t="s">
        <v>745</v>
      </c>
      <c r="G15" s="492" t="s">
        <v>34</v>
      </c>
      <c r="H15" s="492" t="s">
        <v>835</v>
      </c>
      <c r="I15" s="492" t="s">
        <v>4270</v>
      </c>
      <c r="J15" s="492" t="s">
        <v>613</v>
      </c>
      <c r="K15" s="492" t="s">
        <v>480</v>
      </c>
      <c r="L15" s="492" t="s">
        <v>2324</v>
      </c>
      <c r="M15" s="492">
        <v>313256</v>
      </c>
      <c r="N15" s="492" t="s">
        <v>521</v>
      </c>
      <c r="O15" s="492" t="s">
        <v>1106</v>
      </c>
      <c r="P15" s="492" t="s">
        <v>1495</v>
      </c>
      <c r="Q15" s="492" t="s">
        <v>911</v>
      </c>
      <c r="R15" s="492" t="s">
        <v>828</v>
      </c>
      <c r="S15" s="492" t="s">
        <v>2303</v>
      </c>
      <c r="T15" s="492">
        <v>27</v>
      </c>
      <c r="U15" s="492" t="s">
        <v>858</v>
      </c>
      <c r="V15" s="492" t="s">
        <v>2327</v>
      </c>
      <c r="W15" s="492">
        <v>7142003043</v>
      </c>
      <c r="X15" s="492" t="s">
        <v>829</v>
      </c>
      <c r="Y15" s="492" t="s">
        <v>1341</v>
      </c>
      <c r="Z15" s="492" t="s">
        <v>3631</v>
      </c>
      <c r="AA15" s="492" t="s">
        <v>829</v>
      </c>
      <c r="AB15" s="492" t="s">
        <v>34</v>
      </c>
      <c r="AC15" s="492" t="s">
        <v>830</v>
      </c>
      <c r="AD15" s="492" t="s">
        <v>831</v>
      </c>
      <c r="AE15" s="492" t="s">
        <v>612</v>
      </c>
      <c r="AF15" s="492">
        <v>3</v>
      </c>
      <c r="AG15" s="492">
        <v>0.43</v>
      </c>
      <c r="AH15" s="492">
        <v>2</v>
      </c>
      <c r="AI15" s="492" t="s">
        <v>3632</v>
      </c>
      <c r="AJ15" s="492" t="s">
        <v>2610</v>
      </c>
      <c r="AK15" s="492" t="s">
        <v>832</v>
      </c>
      <c r="AL15" s="492" t="s">
        <v>34</v>
      </c>
      <c r="AM15" s="61" t="s">
        <v>3441</v>
      </c>
      <c r="AN15" s="490">
        <v>0</v>
      </c>
      <c r="AO15" s="490">
        <v>0</v>
      </c>
      <c r="AP15" s="61"/>
      <c r="CE15" s="401"/>
      <c r="CF15">
        <f t="shared" si="0"/>
        <v>103</v>
      </c>
      <c r="CG15" s="401"/>
      <c r="CI15" s="401"/>
      <c r="CJ15" s="401"/>
    </row>
    <row r="16" spans="1:88" x14ac:dyDescent="0.2">
      <c r="A16" s="61">
        <v>15</v>
      </c>
      <c r="B16" s="491" t="s">
        <v>4240</v>
      </c>
      <c r="C16" s="492" t="s">
        <v>522</v>
      </c>
      <c r="D16" s="492" t="s">
        <v>4254</v>
      </c>
      <c r="E16" s="492" t="s">
        <v>789</v>
      </c>
      <c r="F16" s="492" t="s">
        <v>745</v>
      </c>
      <c r="G16" s="492" t="s">
        <v>34</v>
      </c>
      <c r="H16" s="492" t="s">
        <v>835</v>
      </c>
      <c r="I16" s="492" t="s">
        <v>4270</v>
      </c>
      <c r="J16" s="492" t="s">
        <v>613</v>
      </c>
      <c r="K16" s="492" t="s">
        <v>480</v>
      </c>
      <c r="L16" s="492" t="s">
        <v>2324</v>
      </c>
      <c r="M16" s="492">
        <v>313459</v>
      </c>
      <c r="N16" s="492" t="s">
        <v>522</v>
      </c>
      <c r="O16" s="492" t="s">
        <v>1106</v>
      </c>
      <c r="P16" s="492" t="s">
        <v>1229</v>
      </c>
      <c r="Q16" s="492" t="s">
        <v>827</v>
      </c>
      <c r="R16" s="492" t="s">
        <v>828</v>
      </c>
      <c r="S16" s="492" t="s">
        <v>2303</v>
      </c>
      <c r="T16" s="492">
        <v>27</v>
      </c>
      <c r="U16" s="492" t="s">
        <v>858</v>
      </c>
      <c r="V16" s="492" t="s">
        <v>2325</v>
      </c>
      <c r="W16" s="492" t="s">
        <v>2326</v>
      </c>
      <c r="X16" s="492" t="s">
        <v>829</v>
      </c>
      <c r="Y16" s="492" t="s">
        <v>108</v>
      </c>
      <c r="Z16" s="492" t="s">
        <v>108</v>
      </c>
      <c r="AA16" s="492" t="s">
        <v>108</v>
      </c>
      <c r="AB16" s="492" t="s">
        <v>34</v>
      </c>
      <c r="AC16" s="492" t="s">
        <v>830</v>
      </c>
      <c r="AD16" s="492" t="s">
        <v>831</v>
      </c>
      <c r="AE16" s="492" t="s">
        <v>612</v>
      </c>
      <c r="AF16" s="492">
        <v>1</v>
      </c>
      <c r="AG16" s="492">
        <v>0.1</v>
      </c>
      <c r="AH16" s="492">
        <v>1.1100000000000001</v>
      </c>
      <c r="AI16" s="492" t="s">
        <v>2602</v>
      </c>
      <c r="AJ16" s="492" t="s">
        <v>34</v>
      </c>
      <c r="AK16" s="492" t="s">
        <v>832</v>
      </c>
      <c r="AL16" s="492" t="s">
        <v>34</v>
      </c>
      <c r="AM16" s="61" t="s">
        <v>3441</v>
      </c>
      <c r="AN16" s="490">
        <v>0</v>
      </c>
      <c r="AO16" s="490">
        <v>0</v>
      </c>
      <c r="AP16" s="61"/>
      <c r="CE16" s="401"/>
      <c r="CF16">
        <f t="shared" si="0"/>
        <v>102</v>
      </c>
      <c r="CG16" s="401"/>
      <c r="CI16" s="401"/>
      <c r="CJ16" s="401"/>
    </row>
    <row r="17" spans="1:88" x14ac:dyDescent="0.2">
      <c r="A17" s="61">
        <v>16</v>
      </c>
      <c r="B17" s="491" t="s">
        <v>658</v>
      </c>
      <c r="C17" s="492" t="s">
        <v>642</v>
      </c>
      <c r="D17" s="492" t="s">
        <v>2624</v>
      </c>
      <c r="E17" s="492" t="s">
        <v>712</v>
      </c>
      <c r="F17" s="492" t="s">
        <v>711</v>
      </c>
      <c r="G17" s="492" t="s">
        <v>34</v>
      </c>
      <c r="H17" s="492" t="s">
        <v>835</v>
      </c>
      <c r="I17" s="492" t="s">
        <v>3679</v>
      </c>
      <c r="J17" s="492" t="s">
        <v>823</v>
      </c>
      <c r="K17" s="492" t="s">
        <v>839</v>
      </c>
      <c r="L17" s="492" t="s">
        <v>900</v>
      </c>
      <c r="M17" s="492">
        <v>8418.1111000000001</v>
      </c>
      <c r="N17" s="492" t="s">
        <v>642</v>
      </c>
      <c r="O17" s="492" t="s">
        <v>305</v>
      </c>
      <c r="P17" s="492" t="s">
        <v>901</v>
      </c>
      <c r="Q17" s="492" t="s">
        <v>3499</v>
      </c>
      <c r="R17" s="492" t="s">
        <v>828</v>
      </c>
      <c r="S17" s="492" t="s">
        <v>902</v>
      </c>
      <c r="T17" s="492">
        <v>2.4</v>
      </c>
      <c r="U17" s="492" t="s">
        <v>858</v>
      </c>
      <c r="V17" s="492" t="s">
        <v>903</v>
      </c>
      <c r="W17" s="492">
        <v>8418.1111000000001</v>
      </c>
      <c r="X17" s="492" t="s">
        <v>3500</v>
      </c>
      <c r="Y17" s="492" t="s">
        <v>903</v>
      </c>
      <c r="Z17" s="492">
        <v>8418.1111000000001</v>
      </c>
      <c r="AA17" s="492" t="s">
        <v>3500</v>
      </c>
      <c r="AB17" s="492" t="s">
        <v>899</v>
      </c>
      <c r="AC17" s="492" t="s">
        <v>830</v>
      </c>
      <c r="AD17" s="492" t="s">
        <v>831</v>
      </c>
      <c r="AE17" s="492" t="s">
        <v>612</v>
      </c>
      <c r="AF17" s="492" t="s">
        <v>2054</v>
      </c>
      <c r="AG17" s="492" t="s">
        <v>34</v>
      </c>
      <c r="AH17" s="492" t="s">
        <v>34</v>
      </c>
      <c r="AI17" s="492" t="s">
        <v>34</v>
      </c>
      <c r="AJ17" s="492" t="s">
        <v>34</v>
      </c>
      <c r="AK17" s="492" t="s">
        <v>832</v>
      </c>
      <c r="AL17" s="492" t="s">
        <v>34</v>
      </c>
      <c r="AM17" s="61" t="s">
        <v>3441</v>
      </c>
      <c r="AN17" s="490">
        <v>0</v>
      </c>
      <c r="AO17" s="490">
        <v>0</v>
      </c>
      <c r="AP17" s="61"/>
      <c r="CE17" s="401"/>
      <c r="CF17">
        <f t="shared" si="0"/>
        <v>101</v>
      </c>
      <c r="CG17" s="401"/>
      <c r="CI17" s="401"/>
      <c r="CJ17" s="401"/>
    </row>
    <row r="18" spans="1:88" x14ac:dyDescent="0.2">
      <c r="A18" s="61">
        <v>17</v>
      </c>
      <c r="B18" s="491" t="s">
        <v>282</v>
      </c>
      <c r="C18" s="492" t="s">
        <v>283</v>
      </c>
      <c r="D18" s="492" t="s">
        <v>2625</v>
      </c>
      <c r="E18" s="492" t="s">
        <v>713</v>
      </c>
      <c r="F18" s="492" t="s">
        <v>711</v>
      </c>
      <c r="G18" s="492" t="s">
        <v>34</v>
      </c>
      <c r="H18" s="492" t="s">
        <v>835</v>
      </c>
      <c r="I18" s="492" t="s">
        <v>4270</v>
      </c>
      <c r="J18" s="492" t="s">
        <v>613</v>
      </c>
      <c r="K18" s="492" t="s">
        <v>349</v>
      </c>
      <c r="L18" s="492" t="s">
        <v>904</v>
      </c>
      <c r="M18" s="492" t="s">
        <v>108</v>
      </c>
      <c r="N18" s="492" t="s">
        <v>283</v>
      </c>
      <c r="O18" s="492" t="s">
        <v>305</v>
      </c>
      <c r="P18" s="492" t="s">
        <v>905</v>
      </c>
      <c r="Q18" s="492" t="s">
        <v>3499</v>
      </c>
      <c r="R18" s="492" t="s">
        <v>828</v>
      </c>
      <c r="S18" s="492" t="s">
        <v>906</v>
      </c>
      <c r="T18" s="492">
        <v>14.6</v>
      </c>
      <c r="U18" s="492" t="s">
        <v>687</v>
      </c>
      <c r="V18" s="492" t="s">
        <v>907</v>
      </c>
      <c r="W18" s="492" t="s">
        <v>108</v>
      </c>
      <c r="X18" s="492" t="s">
        <v>3500</v>
      </c>
      <c r="Y18" s="492" t="s">
        <v>108</v>
      </c>
      <c r="Z18" s="492" t="s">
        <v>108</v>
      </c>
      <c r="AA18" s="492" t="s">
        <v>108</v>
      </c>
      <c r="AB18" s="492" t="s">
        <v>3025</v>
      </c>
      <c r="AC18" s="492" t="s">
        <v>830</v>
      </c>
      <c r="AD18" s="492" t="s">
        <v>831</v>
      </c>
      <c r="AE18" s="492" t="s">
        <v>612</v>
      </c>
      <c r="AF18" s="492" t="s">
        <v>2054</v>
      </c>
      <c r="AG18" s="492" t="s">
        <v>34</v>
      </c>
      <c r="AH18" s="492" t="s">
        <v>34</v>
      </c>
      <c r="AI18" s="492" t="s">
        <v>34</v>
      </c>
      <c r="AJ18" s="492" t="s">
        <v>34</v>
      </c>
      <c r="AK18" s="492" t="s">
        <v>832</v>
      </c>
      <c r="AL18" s="492" t="s">
        <v>34</v>
      </c>
      <c r="AM18" s="61" t="s">
        <v>3441</v>
      </c>
      <c r="AN18" s="490">
        <v>0</v>
      </c>
      <c r="AO18" s="490">
        <v>0</v>
      </c>
      <c r="AP18" s="61"/>
      <c r="CE18" s="401"/>
      <c r="CF18">
        <f t="shared" si="0"/>
        <v>100</v>
      </c>
      <c r="CG18" s="401"/>
      <c r="CI18" s="401"/>
      <c r="CJ18" s="401"/>
    </row>
    <row r="19" spans="1:88" x14ac:dyDescent="0.2">
      <c r="A19" s="61">
        <v>18</v>
      </c>
      <c r="B19" s="491" t="s">
        <v>282</v>
      </c>
      <c r="C19" s="492" t="s">
        <v>269</v>
      </c>
      <c r="D19" s="492" t="s">
        <v>2626</v>
      </c>
      <c r="E19" s="492" t="s">
        <v>713</v>
      </c>
      <c r="F19" s="492" t="s">
        <v>711</v>
      </c>
      <c r="G19" s="492" t="s">
        <v>34</v>
      </c>
      <c r="H19" s="492" t="s">
        <v>835</v>
      </c>
      <c r="I19" s="492" t="s">
        <v>4270</v>
      </c>
      <c r="J19" s="492" t="s">
        <v>823</v>
      </c>
      <c r="K19" s="492" t="s">
        <v>349</v>
      </c>
      <c r="L19" s="492" t="s">
        <v>909</v>
      </c>
      <c r="M19" s="492">
        <v>78863</v>
      </c>
      <c r="N19" s="492" t="s">
        <v>269</v>
      </c>
      <c r="O19" s="492" t="s">
        <v>4271</v>
      </c>
      <c r="P19" s="492" t="s">
        <v>910</v>
      </c>
      <c r="Q19" s="492" t="s">
        <v>3501</v>
      </c>
      <c r="R19" s="492" t="s">
        <v>828</v>
      </c>
      <c r="S19" s="492" t="s">
        <v>912</v>
      </c>
      <c r="T19" s="492">
        <v>63.9</v>
      </c>
      <c r="U19" s="492" t="s">
        <v>857</v>
      </c>
      <c r="V19" s="492" t="s">
        <v>913</v>
      </c>
      <c r="W19" s="492" t="s">
        <v>914</v>
      </c>
      <c r="X19" s="492" t="s">
        <v>3502</v>
      </c>
      <c r="Y19" s="492" t="s">
        <v>915</v>
      </c>
      <c r="Z19" s="492" t="s">
        <v>916</v>
      </c>
      <c r="AA19" s="492" t="s">
        <v>3502</v>
      </c>
      <c r="AB19" s="492" t="s">
        <v>34</v>
      </c>
      <c r="AC19" s="492" t="s">
        <v>830</v>
      </c>
      <c r="AD19" s="492" t="s">
        <v>831</v>
      </c>
      <c r="AE19" s="492" t="s">
        <v>612</v>
      </c>
      <c r="AF19" s="492">
        <v>3.4</v>
      </c>
      <c r="AG19" s="492">
        <v>67</v>
      </c>
      <c r="AH19" s="492" t="s">
        <v>3851</v>
      </c>
      <c r="AI19" s="492" t="s">
        <v>34</v>
      </c>
      <c r="AJ19" s="492" t="s">
        <v>34</v>
      </c>
      <c r="AK19" s="492" t="s">
        <v>832</v>
      </c>
      <c r="AL19" s="492" t="s">
        <v>34</v>
      </c>
      <c r="AM19" s="61" t="s">
        <v>3441</v>
      </c>
      <c r="AN19" s="490">
        <v>1.4583333333333332E-2</v>
      </c>
      <c r="AO19" s="490">
        <v>0</v>
      </c>
      <c r="AP19" s="61"/>
      <c r="CE19" s="401"/>
      <c r="CF19">
        <f t="shared" si="0"/>
        <v>99</v>
      </c>
      <c r="CG19" s="401"/>
      <c r="CI19" s="401"/>
      <c r="CJ19" s="401"/>
    </row>
    <row r="20" spans="1:88" x14ac:dyDescent="0.2">
      <c r="A20" s="61">
        <v>19</v>
      </c>
      <c r="B20" s="491" t="s">
        <v>284</v>
      </c>
      <c r="C20" s="492" t="s">
        <v>688</v>
      </c>
      <c r="D20" s="492" t="s">
        <v>2627</v>
      </c>
      <c r="E20" s="492" t="s">
        <v>714</v>
      </c>
      <c r="F20" s="492" t="s">
        <v>711</v>
      </c>
      <c r="G20" s="492" t="s">
        <v>34</v>
      </c>
      <c r="H20" s="492" t="s">
        <v>835</v>
      </c>
      <c r="I20" s="492" t="s">
        <v>4272</v>
      </c>
      <c r="J20" s="492" t="s">
        <v>613</v>
      </c>
      <c r="K20" s="492" t="s">
        <v>365</v>
      </c>
      <c r="L20" s="492" t="s">
        <v>917</v>
      </c>
      <c r="M20" s="492" t="s">
        <v>3043</v>
      </c>
      <c r="N20" s="492" t="s">
        <v>688</v>
      </c>
      <c r="O20" s="492" t="s">
        <v>305</v>
      </c>
      <c r="P20" s="492" t="s">
        <v>918</v>
      </c>
      <c r="Q20" s="492" t="s">
        <v>3503</v>
      </c>
      <c r="R20" s="492" t="s">
        <v>828</v>
      </c>
      <c r="S20" s="492" t="s">
        <v>919</v>
      </c>
      <c r="T20" s="492">
        <v>2.5</v>
      </c>
      <c r="U20" s="492" t="s">
        <v>687</v>
      </c>
      <c r="V20" s="492" t="s">
        <v>920</v>
      </c>
      <c r="W20" s="492">
        <v>41641754</v>
      </c>
      <c r="X20" s="492" t="s">
        <v>3504</v>
      </c>
      <c r="Y20" s="492" t="s">
        <v>108</v>
      </c>
      <c r="Z20" s="492" t="s">
        <v>108</v>
      </c>
      <c r="AA20" s="492" t="s">
        <v>108</v>
      </c>
      <c r="AB20" s="492" t="s">
        <v>899</v>
      </c>
      <c r="AC20" s="492" t="s">
        <v>830</v>
      </c>
      <c r="AD20" s="492" t="s">
        <v>831</v>
      </c>
      <c r="AE20" s="492" t="s">
        <v>612</v>
      </c>
      <c r="AF20" s="492" t="s">
        <v>2054</v>
      </c>
      <c r="AG20" s="492" t="s">
        <v>34</v>
      </c>
      <c r="AH20" s="492" t="s">
        <v>34</v>
      </c>
      <c r="AI20" s="492" t="s">
        <v>34</v>
      </c>
      <c r="AJ20" s="492" t="s">
        <v>34</v>
      </c>
      <c r="AK20" s="492" t="s">
        <v>832</v>
      </c>
      <c r="AL20" s="492" t="s">
        <v>34</v>
      </c>
      <c r="AM20" s="61" t="s">
        <v>3441</v>
      </c>
      <c r="AN20" s="490">
        <v>0</v>
      </c>
      <c r="AO20" s="490">
        <v>0</v>
      </c>
      <c r="AP20" s="61"/>
      <c r="CE20" s="401"/>
      <c r="CF20">
        <f t="shared" si="0"/>
        <v>98</v>
      </c>
      <c r="CG20" s="401"/>
      <c r="CI20" s="401"/>
      <c r="CJ20" s="401"/>
    </row>
    <row r="21" spans="1:88" x14ac:dyDescent="0.2">
      <c r="A21" s="61">
        <v>20</v>
      </c>
      <c r="B21" s="491" t="s">
        <v>284</v>
      </c>
      <c r="C21" s="492" t="s">
        <v>689</v>
      </c>
      <c r="D21" s="492" t="s">
        <v>2628</v>
      </c>
      <c r="E21" s="492" t="s">
        <v>714</v>
      </c>
      <c r="F21" s="492" t="s">
        <v>711</v>
      </c>
      <c r="G21" s="492" t="s">
        <v>34</v>
      </c>
      <c r="H21" s="492" t="s">
        <v>835</v>
      </c>
      <c r="I21" s="492" t="s">
        <v>4270</v>
      </c>
      <c r="J21" s="492" t="s">
        <v>613</v>
      </c>
      <c r="K21" s="492" t="s">
        <v>365</v>
      </c>
      <c r="L21" s="492" t="s">
        <v>917</v>
      </c>
      <c r="M21" s="492" t="s">
        <v>3044</v>
      </c>
      <c r="N21" s="492" t="s">
        <v>689</v>
      </c>
      <c r="O21" s="492" t="s">
        <v>305</v>
      </c>
      <c r="P21" s="492" t="s">
        <v>918</v>
      </c>
      <c r="Q21" s="492" t="s">
        <v>3503</v>
      </c>
      <c r="R21" s="492" t="s">
        <v>828</v>
      </c>
      <c r="S21" s="492" t="s">
        <v>919</v>
      </c>
      <c r="T21" s="492">
        <v>2.5</v>
      </c>
      <c r="U21" s="492" t="s">
        <v>687</v>
      </c>
      <c r="V21" s="492" t="s">
        <v>920</v>
      </c>
      <c r="W21" s="492">
        <v>41641755</v>
      </c>
      <c r="X21" s="492" t="s">
        <v>3504</v>
      </c>
      <c r="Y21" s="492" t="s">
        <v>108</v>
      </c>
      <c r="Z21" s="492" t="s">
        <v>108</v>
      </c>
      <c r="AA21" s="492" t="s">
        <v>108</v>
      </c>
      <c r="AB21" s="492" t="s">
        <v>899</v>
      </c>
      <c r="AC21" s="492" t="s">
        <v>830</v>
      </c>
      <c r="AD21" s="492" t="s">
        <v>831</v>
      </c>
      <c r="AE21" s="492" t="s">
        <v>612</v>
      </c>
      <c r="AF21" s="492" t="s">
        <v>2054</v>
      </c>
      <c r="AG21" s="492" t="s">
        <v>34</v>
      </c>
      <c r="AH21" s="492" t="s">
        <v>34</v>
      </c>
      <c r="AI21" s="492" t="s">
        <v>34</v>
      </c>
      <c r="AJ21" s="492" t="s">
        <v>34</v>
      </c>
      <c r="AK21" s="492" t="s">
        <v>832</v>
      </c>
      <c r="AL21" s="492" t="s">
        <v>34</v>
      </c>
      <c r="AM21" s="61" t="s">
        <v>3441</v>
      </c>
      <c r="AN21" s="490">
        <v>0</v>
      </c>
      <c r="AO21" s="490">
        <v>0</v>
      </c>
      <c r="AP21" s="61"/>
      <c r="CE21" s="401"/>
      <c r="CF21">
        <f t="shared" si="0"/>
        <v>97</v>
      </c>
      <c r="CG21" s="401"/>
      <c r="CI21" s="401"/>
      <c r="CJ21" s="401"/>
    </row>
    <row r="22" spans="1:88" x14ac:dyDescent="0.2">
      <c r="A22" s="61">
        <v>21</v>
      </c>
      <c r="B22" s="491" t="s">
        <v>284</v>
      </c>
      <c r="C22" s="492" t="s">
        <v>286</v>
      </c>
      <c r="D22" s="492" t="s">
        <v>2629</v>
      </c>
      <c r="E22" s="492" t="s">
        <v>714</v>
      </c>
      <c r="F22" s="492" t="s">
        <v>711</v>
      </c>
      <c r="G22" s="492" t="s">
        <v>34</v>
      </c>
      <c r="H22" s="492" t="s">
        <v>835</v>
      </c>
      <c r="I22" s="492" t="s">
        <v>4270</v>
      </c>
      <c r="J22" s="492" t="s">
        <v>613</v>
      </c>
      <c r="K22" s="492" t="s">
        <v>921</v>
      </c>
      <c r="L22" s="492" t="s">
        <v>933</v>
      </c>
      <c r="M22" s="492" t="s">
        <v>286</v>
      </c>
      <c r="N22" s="492" t="s">
        <v>286</v>
      </c>
      <c r="O22" s="492" t="s">
        <v>305</v>
      </c>
      <c r="P22" s="492" t="s">
        <v>934</v>
      </c>
      <c r="Q22" s="492" t="s">
        <v>3501</v>
      </c>
      <c r="R22" s="492" t="s">
        <v>929</v>
      </c>
      <c r="S22" s="492" t="s">
        <v>935</v>
      </c>
      <c r="T22" s="492">
        <v>2</v>
      </c>
      <c r="U22" s="492" t="s">
        <v>687</v>
      </c>
      <c r="V22" s="492" t="s">
        <v>936</v>
      </c>
      <c r="W22" s="492" t="s">
        <v>286</v>
      </c>
      <c r="X22" s="492" t="s">
        <v>3505</v>
      </c>
      <c r="Y22" s="492" t="s">
        <v>108</v>
      </c>
      <c r="Z22" s="492" t="s">
        <v>108</v>
      </c>
      <c r="AA22" s="492" t="s">
        <v>108</v>
      </c>
      <c r="AB22" s="492" t="s">
        <v>938</v>
      </c>
      <c r="AC22" s="492" t="s">
        <v>830</v>
      </c>
      <c r="AD22" s="492" t="s">
        <v>831</v>
      </c>
      <c r="AE22" s="492" t="s">
        <v>612</v>
      </c>
      <c r="AF22" s="492" t="s">
        <v>2054</v>
      </c>
      <c r="AG22" s="492" t="s">
        <v>34</v>
      </c>
      <c r="AH22" s="492" t="s">
        <v>34</v>
      </c>
      <c r="AI22" s="492" t="s">
        <v>34</v>
      </c>
      <c r="AJ22" s="492" t="s">
        <v>34</v>
      </c>
      <c r="AK22" s="492" t="s">
        <v>832</v>
      </c>
      <c r="AL22" s="492" t="s">
        <v>34</v>
      </c>
      <c r="AM22" s="61" t="s">
        <v>3441</v>
      </c>
      <c r="AN22" s="490">
        <v>0</v>
      </c>
      <c r="AO22" s="490">
        <v>0</v>
      </c>
      <c r="AP22" s="61"/>
      <c r="CE22" s="401"/>
      <c r="CF22">
        <f t="shared" si="0"/>
        <v>96</v>
      </c>
      <c r="CG22" s="401"/>
      <c r="CI22" s="401"/>
      <c r="CJ22" s="401"/>
    </row>
    <row r="23" spans="1:88" x14ac:dyDescent="0.2">
      <c r="A23" s="61">
        <v>22</v>
      </c>
      <c r="B23" s="491" t="s">
        <v>284</v>
      </c>
      <c r="C23" s="492" t="s">
        <v>285</v>
      </c>
      <c r="D23" s="492" t="s">
        <v>2630</v>
      </c>
      <c r="E23" s="492" t="s">
        <v>714</v>
      </c>
      <c r="F23" s="492" t="s">
        <v>711</v>
      </c>
      <c r="G23" s="492" t="s">
        <v>34</v>
      </c>
      <c r="H23" s="492" t="s">
        <v>835</v>
      </c>
      <c r="I23" s="492" t="s">
        <v>4270</v>
      </c>
      <c r="J23" s="492" t="s">
        <v>613</v>
      </c>
      <c r="K23" s="492" t="s">
        <v>921</v>
      </c>
      <c r="L23" s="492" t="s">
        <v>927</v>
      </c>
      <c r="M23" s="492" t="s">
        <v>928</v>
      </c>
      <c r="N23" s="492" t="s">
        <v>285</v>
      </c>
      <c r="O23" s="492" t="s">
        <v>305</v>
      </c>
      <c r="P23" s="492" t="s">
        <v>923</v>
      </c>
      <c r="Q23" s="492" t="s">
        <v>3501</v>
      </c>
      <c r="R23" s="492" t="s">
        <v>929</v>
      </c>
      <c r="S23" s="492" t="s">
        <v>930</v>
      </c>
      <c r="T23" s="492">
        <v>4.8</v>
      </c>
      <c r="U23" s="492" t="s">
        <v>687</v>
      </c>
      <c r="V23" s="492" t="s">
        <v>931</v>
      </c>
      <c r="W23" s="492" t="s">
        <v>932</v>
      </c>
      <c r="X23" s="492" t="s">
        <v>3502</v>
      </c>
      <c r="Y23" s="492" t="s">
        <v>108</v>
      </c>
      <c r="Z23" s="492" t="s">
        <v>108</v>
      </c>
      <c r="AA23" s="492" t="s">
        <v>108</v>
      </c>
      <c r="AB23" s="492" t="s">
        <v>34</v>
      </c>
      <c r="AC23" s="492" t="s">
        <v>830</v>
      </c>
      <c r="AD23" s="492" t="s">
        <v>831</v>
      </c>
      <c r="AE23" s="492" t="s">
        <v>612</v>
      </c>
      <c r="AF23" s="492" t="s">
        <v>2054</v>
      </c>
      <c r="AG23" s="492" t="s">
        <v>34</v>
      </c>
      <c r="AH23" s="492" t="s">
        <v>34</v>
      </c>
      <c r="AI23" s="492" t="s">
        <v>34</v>
      </c>
      <c r="AJ23" s="492" t="s">
        <v>34</v>
      </c>
      <c r="AK23" s="492" t="s">
        <v>832</v>
      </c>
      <c r="AL23" s="492" t="s">
        <v>34</v>
      </c>
      <c r="AM23" s="61" t="s">
        <v>3441</v>
      </c>
      <c r="AN23" s="490">
        <v>0</v>
      </c>
      <c r="AO23" s="490">
        <v>0</v>
      </c>
      <c r="AP23" s="61"/>
      <c r="CE23" s="401"/>
      <c r="CF23">
        <f t="shared" si="0"/>
        <v>95</v>
      </c>
      <c r="CG23" s="401"/>
      <c r="CI23" s="401"/>
      <c r="CJ23" s="401"/>
    </row>
    <row r="24" spans="1:88" x14ac:dyDescent="0.2">
      <c r="A24" s="61">
        <v>23</v>
      </c>
      <c r="B24" s="491" t="s">
        <v>284</v>
      </c>
      <c r="C24" s="492" t="s">
        <v>690</v>
      </c>
      <c r="D24" s="492" t="s">
        <v>2631</v>
      </c>
      <c r="E24" s="492" t="s">
        <v>714</v>
      </c>
      <c r="F24" s="492" t="s">
        <v>711</v>
      </c>
      <c r="G24" s="492" t="s">
        <v>34</v>
      </c>
      <c r="H24" s="492" t="s">
        <v>835</v>
      </c>
      <c r="I24" s="492" t="s">
        <v>3679</v>
      </c>
      <c r="J24" s="492" t="s">
        <v>613</v>
      </c>
      <c r="K24" s="492" t="s">
        <v>921</v>
      </c>
      <c r="L24" s="492" t="s">
        <v>922</v>
      </c>
      <c r="M24" s="492">
        <v>113316</v>
      </c>
      <c r="N24" s="492" t="s">
        <v>690</v>
      </c>
      <c r="O24" s="492" t="s">
        <v>305</v>
      </c>
      <c r="P24" s="492" t="s">
        <v>3800</v>
      </c>
      <c r="Q24" s="492" t="s">
        <v>2016</v>
      </c>
      <c r="R24" s="492" t="s">
        <v>828</v>
      </c>
      <c r="S24" s="492" t="s">
        <v>924</v>
      </c>
      <c r="T24" s="492">
        <v>4.5</v>
      </c>
      <c r="U24" s="492" t="s">
        <v>687</v>
      </c>
      <c r="V24" s="492" t="s">
        <v>925</v>
      </c>
      <c r="W24" s="492">
        <v>113316</v>
      </c>
      <c r="X24" s="492" t="s">
        <v>2978</v>
      </c>
      <c r="Y24" s="492" t="s">
        <v>925</v>
      </c>
      <c r="Z24" s="492">
        <v>113316</v>
      </c>
      <c r="AA24" s="492" t="s">
        <v>2978</v>
      </c>
      <c r="AB24" s="492" t="s">
        <v>926</v>
      </c>
      <c r="AC24" s="492" t="s">
        <v>830</v>
      </c>
      <c r="AD24" s="492" t="s">
        <v>831</v>
      </c>
      <c r="AE24" s="492" t="s">
        <v>612</v>
      </c>
      <c r="AF24" s="492" t="s">
        <v>2054</v>
      </c>
      <c r="AG24" s="492" t="s">
        <v>34</v>
      </c>
      <c r="AH24" s="492" t="s">
        <v>34</v>
      </c>
      <c r="AI24" s="492" t="s">
        <v>34</v>
      </c>
      <c r="AJ24" s="492" t="s">
        <v>34</v>
      </c>
      <c r="AK24" s="492" t="s">
        <v>832</v>
      </c>
      <c r="AL24" s="492" t="s">
        <v>34</v>
      </c>
      <c r="AM24" s="61" t="s">
        <v>3441</v>
      </c>
      <c r="AN24" s="490">
        <v>0</v>
      </c>
      <c r="AO24" s="490">
        <v>0</v>
      </c>
      <c r="AP24" s="61"/>
      <c r="CE24" s="401"/>
      <c r="CF24">
        <f t="shared" si="0"/>
        <v>94</v>
      </c>
      <c r="CG24" s="401"/>
      <c r="CI24" s="401"/>
      <c r="CJ24" s="401"/>
    </row>
    <row r="25" spans="1:88" x14ac:dyDescent="0.2">
      <c r="A25" s="61">
        <v>24</v>
      </c>
      <c r="B25" s="491" t="s">
        <v>284</v>
      </c>
      <c r="C25" s="492" t="s">
        <v>3248</v>
      </c>
      <c r="D25" s="492" t="s">
        <v>3249</v>
      </c>
      <c r="E25" s="492" t="s">
        <v>714</v>
      </c>
      <c r="F25" s="492" t="s">
        <v>711</v>
      </c>
      <c r="G25" s="492" t="s">
        <v>34</v>
      </c>
      <c r="H25" s="492" t="s">
        <v>835</v>
      </c>
      <c r="I25" s="492" t="s">
        <v>4270</v>
      </c>
      <c r="J25" s="492" t="s">
        <v>613</v>
      </c>
      <c r="K25" s="492" t="s">
        <v>3250</v>
      </c>
      <c r="L25" s="492" t="s">
        <v>3251</v>
      </c>
      <c r="M25" s="492">
        <v>2019080326</v>
      </c>
      <c r="N25" s="492" t="s">
        <v>3248</v>
      </c>
      <c r="O25" s="492" t="s">
        <v>305</v>
      </c>
      <c r="P25" s="492" t="s">
        <v>3252</v>
      </c>
      <c r="Q25" s="492" t="s">
        <v>3501</v>
      </c>
      <c r="R25" s="492" t="s">
        <v>828</v>
      </c>
      <c r="S25" s="492" t="s">
        <v>3598</v>
      </c>
      <c r="T25" s="492">
        <v>0.52</v>
      </c>
      <c r="U25" s="492" t="s">
        <v>687</v>
      </c>
      <c r="V25" s="492" t="s">
        <v>925</v>
      </c>
      <c r="W25" s="492" t="s">
        <v>3253</v>
      </c>
      <c r="X25" s="492" t="s">
        <v>3505</v>
      </c>
      <c r="Y25" s="492" t="s">
        <v>108</v>
      </c>
      <c r="Z25" s="492" t="s">
        <v>108</v>
      </c>
      <c r="AA25" s="492" t="s">
        <v>108</v>
      </c>
      <c r="AB25" s="492" t="s">
        <v>2424</v>
      </c>
      <c r="AC25" s="492" t="s">
        <v>830</v>
      </c>
      <c r="AD25" s="492" t="s">
        <v>831</v>
      </c>
      <c r="AE25" s="492" t="s">
        <v>612</v>
      </c>
      <c r="AF25" s="492" t="s">
        <v>2054</v>
      </c>
      <c r="AG25" s="492" t="s">
        <v>34</v>
      </c>
      <c r="AH25" s="492" t="s">
        <v>34</v>
      </c>
      <c r="AI25" s="492" t="s">
        <v>34</v>
      </c>
      <c r="AJ25" s="492" t="s">
        <v>34</v>
      </c>
      <c r="AK25" s="492" t="s">
        <v>832</v>
      </c>
      <c r="AL25" s="492" t="s">
        <v>34</v>
      </c>
      <c r="AM25" s="61" t="s">
        <v>3441</v>
      </c>
      <c r="AN25" s="490">
        <v>0</v>
      </c>
      <c r="AO25" s="490">
        <v>0</v>
      </c>
      <c r="AP25" s="61"/>
      <c r="CE25" s="401"/>
      <c r="CF25">
        <f t="shared" si="0"/>
        <v>93</v>
      </c>
      <c r="CG25" s="401"/>
      <c r="CI25" s="401"/>
      <c r="CJ25" s="401"/>
    </row>
    <row r="26" spans="1:88" x14ac:dyDescent="0.2">
      <c r="A26" s="61">
        <v>25</v>
      </c>
      <c r="B26" s="491" t="s">
        <v>287</v>
      </c>
      <c r="C26" s="492" t="s">
        <v>288</v>
      </c>
      <c r="D26" s="492" t="s">
        <v>2632</v>
      </c>
      <c r="E26" s="492" t="s">
        <v>939</v>
      </c>
      <c r="F26" s="492" t="s">
        <v>715</v>
      </c>
      <c r="G26" s="492" t="s">
        <v>34</v>
      </c>
      <c r="H26" s="492" t="s">
        <v>835</v>
      </c>
      <c r="I26" s="492" t="s">
        <v>4270</v>
      </c>
      <c r="J26" s="492" t="s">
        <v>613</v>
      </c>
      <c r="K26" s="492" t="s">
        <v>940</v>
      </c>
      <c r="L26" s="492" t="s">
        <v>941</v>
      </c>
      <c r="M26" s="493" t="s">
        <v>948</v>
      </c>
      <c r="N26" s="492" t="s">
        <v>288</v>
      </c>
      <c r="O26" s="492" t="s">
        <v>305</v>
      </c>
      <c r="P26" s="492" t="s">
        <v>943</v>
      </c>
      <c r="Q26" s="492" t="s">
        <v>3503</v>
      </c>
      <c r="R26" s="492" t="s">
        <v>944</v>
      </c>
      <c r="S26" s="492" t="s">
        <v>945</v>
      </c>
      <c r="T26" s="492">
        <v>800</v>
      </c>
      <c r="U26" s="492" t="s">
        <v>687</v>
      </c>
      <c r="V26" s="492" t="s">
        <v>946</v>
      </c>
      <c r="W26" s="492" t="s">
        <v>949</v>
      </c>
      <c r="X26" s="492" t="s">
        <v>3502</v>
      </c>
      <c r="Y26" s="492" t="s">
        <v>108</v>
      </c>
      <c r="Z26" s="492" t="s">
        <v>108</v>
      </c>
      <c r="AA26" s="492" t="s">
        <v>108</v>
      </c>
      <c r="AB26" s="492" t="s">
        <v>899</v>
      </c>
      <c r="AC26" s="492" t="s">
        <v>830</v>
      </c>
      <c r="AD26" s="492" t="s">
        <v>831</v>
      </c>
      <c r="AE26" s="492" t="s">
        <v>612</v>
      </c>
      <c r="AF26" s="492" t="s">
        <v>2054</v>
      </c>
      <c r="AG26" s="492" t="s">
        <v>34</v>
      </c>
      <c r="AH26" s="492" t="s">
        <v>34</v>
      </c>
      <c r="AI26" s="492" t="s">
        <v>34</v>
      </c>
      <c r="AJ26" s="492" t="s">
        <v>34</v>
      </c>
      <c r="AK26" s="492" t="s">
        <v>832</v>
      </c>
      <c r="AL26" s="492" t="s">
        <v>34</v>
      </c>
      <c r="AM26" s="61" t="s">
        <v>3441</v>
      </c>
      <c r="AN26" s="490">
        <v>0</v>
      </c>
      <c r="AO26" s="490">
        <v>0</v>
      </c>
      <c r="AP26" s="61"/>
      <c r="CE26" s="401"/>
      <c r="CF26">
        <f t="shared" si="0"/>
        <v>92</v>
      </c>
      <c r="CG26" s="401"/>
      <c r="CI26" s="401"/>
      <c r="CJ26" s="401"/>
    </row>
    <row r="27" spans="1:88" x14ac:dyDescent="0.2">
      <c r="A27" s="61">
        <v>26</v>
      </c>
      <c r="B27" s="491" t="s">
        <v>287</v>
      </c>
      <c r="C27" s="492" t="s">
        <v>646</v>
      </c>
      <c r="D27" s="492" t="s">
        <v>2633</v>
      </c>
      <c r="E27" s="492" t="s">
        <v>939</v>
      </c>
      <c r="F27" s="492" t="s">
        <v>715</v>
      </c>
      <c r="G27" s="492" t="s">
        <v>34</v>
      </c>
      <c r="H27" s="492" t="s">
        <v>835</v>
      </c>
      <c r="I27" s="492" t="s">
        <v>4270</v>
      </c>
      <c r="J27" s="492" t="s">
        <v>613</v>
      </c>
      <c r="K27" s="492" t="s">
        <v>940</v>
      </c>
      <c r="L27" s="492" t="s">
        <v>941</v>
      </c>
      <c r="M27" s="492" t="s">
        <v>942</v>
      </c>
      <c r="N27" s="492" t="s">
        <v>646</v>
      </c>
      <c r="O27" s="492" t="s">
        <v>305</v>
      </c>
      <c r="P27" s="492" t="s">
        <v>943</v>
      </c>
      <c r="Q27" s="492" t="s">
        <v>3503</v>
      </c>
      <c r="R27" s="492" t="s">
        <v>944</v>
      </c>
      <c r="S27" s="492" t="s">
        <v>945</v>
      </c>
      <c r="T27" s="492">
        <v>800</v>
      </c>
      <c r="U27" s="492" t="s">
        <v>687</v>
      </c>
      <c r="V27" s="492" t="s">
        <v>946</v>
      </c>
      <c r="W27" s="492" t="s">
        <v>947</v>
      </c>
      <c r="X27" s="492" t="s">
        <v>3502</v>
      </c>
      <c r="Y27" s="492" t="s">
        <v>108</v>
      </c>
      <c r="Z27" s="492" t="s">
        <v>108</v>
      </c>
      <c r="AA27" s="492" t="s">
        <v>108</v>
      </c>
      <c r="AB27" s="492" t="s">
        <v>899</v>
      </c>
      <c r="AC27" s="492" t="s">
        <v>830</v>
      </c>
      <c r="AD27" s="492" t="s">
        <v>831</v>
      </c>
      <c r="AE27" s="492" t="s">
        <v>612</v>
      </c>
      <c r="AF27" s="492" t="s">
        <v>2054</v>
      </c>
      <c r="AG27" s="492" t="s">
        <v>34</v>
      </c>
      <c r="AH27" s="492" t="s">
        <v>34</v>
      </c>
      <c r="AI27" s="492" t="s">
        <v>34</v>
      </c>
      <c r="AJ27" s="492" t="s">
        <v>34</v>
      </c>
      <c r="AK27" s="492" t="s">
        <v>832</v>
      </c>
      <c r="AL27" s="492" t="s">
        <v>34</v>
      </c>
      <c r="AM27" s="61" t="s">
        <v>3441</v>
      </c>
      <c r="AN27" s="490">
        <v>0</v>
      </c>
      <c r="AO27" s="490">
        <v>0</v>
      </c>
      <c r="AP27" s="61"/>
      <c r="CE27" s="401"/>
      <c r="CF27">
        <f t="shared" si="0"/>
        <v>91</v>
      </c>
      <c r="CG27" s="401"/>
      <c r="CI27" s="401"/>
      <c r="CJ27" s="401"/>
    </row>
    <row r="28" spans="1:88" x14ac:dyDescent="0.2">
      <c r="A28" s="61">
        <v>27</v>
      </c>
      <c r="B28" s="491" t="s">
        <v>287</v>
      </c>
      <c r="C28" s="492" t="s">
        <v>3277</v>
      </c>
      <c r="D28" s="492" t="s">
        <v>3278</v>
      </c>
      <c r="E28" s="492" t="s">
        <v>939</v>
      </c>
      <c r="F28" s="492" t="s">
        <v>715</v>
      </c>
      <c r="G28" s="492" t="s">
        <v>34</v>
      </c>
      <c r="H28" s="492" t="s">
        <v>835</v>
      </c>
      <c r="I28" s="492" t="s">
        <v>4270</v>
      </c>
      <c r="J28" s="492" t="s">
        <v>613</v>
      </c>
      <c r="K28" s="492" t="s">
        <v>940</v>
      </c>
      <c r="L28" s="492" t="s">
        <v>941</v>
      </c>
      <c r="M28" s="492" t="s">
        <v>3279</v>
      </c>
      <c r="N28" s="492" t="s">
        <v>3277</v>
      </c>
      <c r="O28" s="492" t="s">
        <v>305</v>
      </c>
      <c r="P28" s="492" t="s">
        <v>943</v>
      </c>
      <c r="Q28" s="492" t="s">
        <v>3503</v>
      </c>
      <c r="R28" s="492" t="s">
        <v>944</v>
      </c>
      <c r="S28" s="492" t="s">
        <v>3280</v>
      </c>
      <c r="T28" s="492">
        <v>1152</v>
      </c>
      <c r="U28" s="492" t="s">
        <v>687</v>
      </c>
      <c r="V28" s="492" t="s">
        <v>1962</v>
      </c>
      <c r="W28" s="492" t="s">
        <v>3281</v>
      </c>
      <c r="X28" s="492" t="s">
        <v>1445</v>
      </c>
      <c r="Y28" s="492" t="s">
        <v>108</v>
      </c>
      <c r="Z28" s="492" t="s">
        <v>108</v>
      </c>
      <c r="AA28" s="492" t="s">
        <v>108</v>
      </c>
      <c r="AB28" s="492" t="s">
        <v>4323</v>
      </c>
      <c r="AC28" s="492" t="s">
        <v>830</v>
      </c>
      <c r="AD28" s="492" t="s">
        <v>831</v>
      </c>
      <c r="AE28" s="492" t="s">
        <v>612</v>
      </c>
      <c r="AF28" s="492" t="s">
        <v>2054</v>
      </c>
      <c r="AG28" s="492" t="s">
        <v>34</v>
      </c>
      <c r="AH28" s="492" t="s">
        <v>34</v>
      </c>
      <c r="AI28" s="492" t="s">
        <v>34</v>
      </c>
      <c r="AJ28" s="492" t="s">
        <v>34</v>
      </c>
      <c r="AK28" s="492" t="s">
        <v>832</v>
      </c>
      <c r="AL28" s="492" t="s">
        <v>34</v>
      </c>
      <c r="AM28" s="61" t="s">
        <v>3441</v>
      </c>
      <c r="AN28" s="490">
        <v>0</v>
      </c>
      <c r="AO28" s="490">
        <v>0</v>
      </c>
      <c r="AP28" s="61"/>
      <c r="CE28" s="401"/>
      <c r="CF28">
        <f t="shared" si="0"/>
        <v>90</v>
      </c>
      <c r="CG28" s="401"/>
      <c r="CI28" s="401"/>
      <c r="CJ28" s="401"/>
    </row>
    <row r="29" spans="1:88" x14ac:dyDescent="0.2">
      <c r="A29" s="61">
        <v>28</v>
      </c>
      <c r="B29" s="491" t="s">
        <v>289</v>
      </c>
      <c r="C29" s="492" t="s">
        <v>290</v>
      </c>
      <c r="D29" s="492" t="s">
        <v>2634</v>
      </c>
      <c r="E29" s="492" t="s">
        <v>716</v>
      </c>
      <c r="F29" s="492" t="s">
        <v>717</v>
      </c>
      <c r="G29" s="492" t="s">
        <v>34</v>
      </c>
      <c r="H29" s="492" t="s">
        <v>835</v>
      </c>
      <c r="I29" s="492" t="s">
        <v>4270</v>
      </c>
      <c r="J29" s="492" t="s">
        <v>613</v>
      </c>
      <c r="K29" s="492" t="s">
        <v>409</v>
      </c>
      <c r="L29" s="492" t="s">
        <v>950</v>
      </c>
      <c r="M29" s="492" t="s">
        <v>951</v>
      </c>
      <c r="N29" s="492" t="s">
        <v>290</v>
      </c>
      <c r="O29" s="492" t="s">
        <v>305</v>
      </c>
      <c r="P29" s="492" t="s">
        <v>952</v>
      </c>
      <c r="Q29" s="492" t="s">
        <v>953</v>
      </c>
      <c r="R29" s="492" t="s">
        <v>828</v>
      </c>
      <c r="S29" s="492" t="s">
        <v>954</v>
      </c>
      <c r="T29" s="492">
        <v>42.3</v>
      </c>
      <c r="U29" s="492" t="s">
        <v>687</v>
      </c>
      <c r="V29" s="492" t="s">
        <v>955</v>
      </c>
      <c r="W29" s="492" t="s">
        <v>956</v>
      </c>
      <c r="X29" s="492" t="s">
        <v>3502</v>
      </c>
      <c r="Y29" s="492" t="s">
        <v>108</v>
      </c>
      <c r="Z29" s="492" t="s">
        <v>108</v>
      </c>
      <c r="AA29" s="492" t="s">
        <v>108</v>
      </c>
      <c r="AB29" s="492" t="s">
        <v>34</v>
      </c>
      <c r="AC29" s="492" t="s">
        <v>830</v>
      </c>
      <c r="AD29" s="492" t="s">
        <v>831</v>
      </c>
      <c r="AE29" s="492" t="s">
        <v>612</v>
      </c>
      <c r="AF29" s="492">
        <v>3.2</v>
      </c>
      <c r="AG29" s="492">
        <v>1.4</v>
      </c>
      <c r="AH29" s="492">
        <v>0.25</v>
      </c>
      <c r="AI29" s="492" t="s">
        <v>2536</v>
      </c>
      <c r="AJ29" s="492" t="s">
        <v>34</v>
      </c>
      <c r="AK29" s="492" t="s">
        <v>832</v>
      </c>
      <c r="AL29" s="492" t="s">
        <v>34</v>
      </c>
      <c r="AM29" s="61" t="s">
        <v>3441</v>
      </c>
      <c r="AN29" s="490">
        <v>0</v>
      </c>
      <c r="AO29" s="490">
        <v>0</v>
      </c>
      <c r="AP29" s="61"/>
      <c r="CE29" s="401"/>
      <c r="CF29">
        <f t="shared" si="0"/>
        <v>89</v>
      </c>
      <c r="CG29" s="401"/>
      <c r="CI29" s="401"/>
      <c r="CJ29" s="401"/>
    </row>
    <row r="30" spans="1:88" x14ac:dyDescent="0.2">
      <c r="A30" s="61">
        <v>29</v>
      </c>
      <c r="B30" s="491" t="s">
        <v>291</v>
      </c>
      <c r="C30" s="492" t="s">
        <v>3097</v>
      </c>
      <c r="D30" s="492" t="s">
        <v>3098</v>
      </c>
      <c r="E30" s="492" t="s">
        <v>736</v>
      </c>
      <c r="F30" s="492" t="s">
        <v>3099</v>
      </c>
      <c r="G30" s="492" t="s">
        <v>34</v>
      </c>
      <c r="H30" s="492" t="s">
        <v>835</v>
      </c>
      <c r="I30" s="492" t="s">
        <v>3679</v>
      </c>
      <c r="J30" s="492" t="s">
        <v>613</v>
      </c>
      <c r="K30" s="492" t="s">
        <v>957</v>
      </c>
      <c r="L30" s="492" t="s">
        <v>3097</v>
      </c>
      <c r="M30" s="492" t="s">
        <v>3100</v>
      </c>
      <c r="N30" s="492" t="s">
        <v>957</v>
      </c>
      <c r="O30" s="492" t="s">
        <v>305</v>
      </c>
      <c r="P30" s="492" t="s">
        <v>3101</v>
      </c>
      <c r="Q30" s="492" t="s">
        <v>3506</v>
      </c>
      <c r="R30" s="492" t="s">
        <v>828</v>
      </c>
      <c r="S30" s="492" t="s">
        <v>3102</v>
      </c>
      <c r="T30" s="492">
        <v>4.0999999999999996</v>
      </c>
      <c r="U30" s="492" t="s">
        <v>687</v>
      </c>
      <c r="V30" s="492" t="s">
        <v>2181</v>
      </c>
      <c r="W30" s="492" t="s">
        <v>3100</v>
      </c>
      <c r="X30" s="492" t="s">
        <v>958</v>
      </c>
      <c r="Y30" s="492" t="s">
        <v>3103</v>
      </c>
      <c r="Z30" s="492">
        <v>14905990004</v>
      </c>
      <c r="AA30" s="492" t="s">
        <v>3507</v>
      </c>
      <c r="AB30" s="492" t="s">
        <v>899</v>
      </c>
      <c r="AC30" s="492" t="s">
        <v>830</v>
      </c>
      <c r="AD30" s="492" t="s">
        <v>831</v>
      </c>
      <c r="AE30" s="492" t="s">
        <v>612</v>
      </c>
      <c r="AF30" s="492" t="s">
        <v>2054</v>
      </c>
      <c r="AG30" s="492" t="s">
        <v>34</v>
      </c>
      <c r="AH30" s="492" t="s">
        <v>34</v>
      </c>
      <c r="AI30" s="492" t="s">
        <v>34</v>
      </c>
      <c r="AJ30" s="492" t="s">
        <v>34</v>
      </c>
      <c r="AK30" s="492" t="s">
        <v>832</v>
      </c>
      <c r="AL30" s="492" t="s">
        <v>34</v>
      </c>
      <c r="AM30" s="61" t="s">
        <v>3442</v>
      </c>
      <c r="AN30" s="490">
        <v>0</v>
      </c>
      <c r="AO30" s="490">
        <v>0</v>
      </c>
      <c r="AP30" s="61"/>
      <c r="CE30" s="401"/>
      <c r="CF30">
        <f t="shared" si="0"/>
        <v>88</v>
      </c>
      <c r="CG30" s="401"/>
      <c r="CI30" s="401"/>
      <c r="CJ30" s="401"/>
    </row>
    <row r="31" spans="1:88" x14ac:dyDescent="0.2">
      <c r="A31" s="61">
        <v>30</v>
      </c>
      <c r="B31" s="491" t="s">
        <v>659</v>
      </c>
      <c r="C31" s="492" t="s">
        <v>661</v>
      </c>
      <c r="D31" s="492" t="s">
        <v>2635</v>
      </c>
      <c r="E31" s="492" t="s">
        <v>960</v>
      </c>
      <c r="F31" s="492" t="s">
        <v>718</v>
      </c>
      <c r="G31" s="492" t="s">
        <v>34</v>
      </c>
      <c r="H31" s="492" t="s">
        <v>835</v>
      </c>
      <c r="I31" s="492" t="s">
        <v>4270</v>
      </c>
      <c r="J31" s="492" t="s">
        <v>823</v>
      </c>
      <c r="K31" s="492" t="s">
        <v>661</v>
      </c>
      <c r="L31" s="492" t="s">
        <v>962</v>
      </c>
      <c r="M31" s="492" t="s">
        <v>661</v>
      </c>
      <c r="N31" s="492" t="s">
        <v>661</v>
      </c>
      <c r="O31" s="492" t="s">
        <v>305</v>
      </c>
      <c r="P31" s="492" t="s">
        <v>970</v>
      </c>
      <c r="Q31" s="492" t="s">
        <v>970</v>
      </c>
      <c r="R31" s="492" t="s">
        <v>834</v>
      </c>
      <c r="S31" s="492" t="s">
        <v>971</v>
      </c>
      <c r="T31" s="492">
        <v>324.5</v>
      </c>
      <c r="U31" s="492" t="s">
        <v>687</v>
      </c>
      <c r="V31" s="492" t="s">
        <v>967</v>
      </c>
      <c r="W31" s="492" t="s">
        <v>108</v>
      </c>
      <c r="X31" s="492" t="s">
        <v>3500</v>
      </c>
      <c r="Y31" s="492" t="s">
        <v>967</v>
      </c>
      <c r="Z31" s="492" t="s">
        <v>108</v>
      </c>
      <c r="AA31" s="492" t="s">
        <v>3500</v>
      </c>
      <c r="AB31" s="492" t="s">
        <v>972</v>
      </c>
      <c r="AC31" s="492" t="s">
        <v>830</v>
      </c>
      <c r="AD31" s="492" t="s">
        <v>831</v>
      </c>
      <c r="AE31" s="492" t="s">
        <v>612</v>
      </c>
      <c r="AF31" s="492" t="s">
        <v>2054</v>
      </c>
      <c r="AG31" s="492" t="s">
        <v>34</v>
      </c>
      <c r="AH31" s="492" t="s">
        <v>34</v>
      </c>
      <c r="AI31" s="492" t="s">
        <v>34</v>
      </c>
      <c r="AJ31" s="492" t="s">
        <v>34</v>
      </c>
      <c r="AK31" s="492" t="s">
        <v>832</v>
      </c>
      <c r="AL31" s="492" t="s">
        <v>34</v>
      </c>
      <c r="AM31" s="61" t="s">
        <v>3441</v>
      </c>
      <c r="AN31" s="490">
        <v>0</v>
      </c>
      <c r="AO31" s="490">
        <v>0</v>
      </c>
      <c r="AP31" s="61"/>
      <c r="CE31" s="401"/>
      <c r="CF31">
        <f t="shared" si="0"/>
        <v>87</v>
      </c>
      <c r="CG31" s="401"/>
      <c r="CI31" s="401"/>
      <c r="CJ31" s="401"/>
    </row>
    <row r="32" spans="1:88" x14ac:dyDescent="0.2">
      <c r="A32" s="61">
        <v>31</v>
      </c>
      <c r="B32" s="491" t="s">
        <v>659</v>
      </c>
      <c r="C32" s="492" t="s">
        <v>648</v>
      </c>
      <c r="D32" s="492" t="s">
        <v>2636</v>
      </c>
      <c r="E32" s="492" t="s">
        <v>960</v>
      </c>
      <c r="F32" s="492" t="s">
        <v>718</v>
      </c>
      <c r="G32" s="492" t="s">
        <v>34</v>
      </c>
      <c r="H32" s="492" t="s">
        <v>835</v>
      </c>
      <c r="I32" s="492" t="s">
        <v>4270</v>
      </c>
      <c r="J32" s="492" t="s">
        <v>613</v>
      </c>
      <c r="K32" s="492" t="s">
        <v>670</v>
      </c>
      <c r="L32" s="492" t="s">
        <v>990</v>
      </c>
      <c r="M32" s="492" t="s">
        <v>991</v>
      </c>
      <c r="N32" s="492" t="s">
        <v>648</v>
      </c>
      <c r="O32" s="492" t="s">
        <v>305</v>
      </c>
      <c r="P32" s="492" t="s">
        <v>992</v>
      </c>
      <c r="Q32" s="492" t="s">
        <v>3501</v>
      </c>
      <c r="R32" s="492" t="s">
        <v>993</v>
      </c>
      <c r="S32" s="492" t="s">
        <v>994</v>
      </c>
      <c r="T32" s="492">
        <v>1862</v>
      </c>
      <c r="U32" s="492" t="s">
        <v>857</v>
      </c>
      <c r="V32" s="492" t="s">
        <v>995</v>
      </c>
      <c r="W32" s="492" t="s">
        <v>996</v>
      </c>
      <c r="X32" s="492" t="s">
        <v>3502</v>
      </c>
      <c r="Y32" s="492" t="s">
        <v>997</v>
      </c>
      <c r="Z32" s="492" t="s">
        <v>998</v>
      </c>
      <c r="AA32" s="492" t="s">
        <v>3502</v>
      </c>
      <c r="AB32" s="492" t="s">
        <v>34</v>
      </c>
      <c r="AC32" s="492" t="s">
        <v>830</v>
      </c>
      <c r="AD32" s="492" t="s">
        <v>831</v>
      </c>
      <c r="AE32" s="492" t="s">
        <v>612</v>
      </c>
      <c r="AF32" s="492" t="s">
        <v>2054</v>
      </c>
      <c r="AG32" s="492" t="s">
        <v>34</v>
      </c>
      <c r="AH32" s="492" t="s">
        <v>34</v>
      </c>
      <c r="AI32" s="492" t="s">
        <v>34</v>
      </c>
      <c r="AJ32" s="492" t="s">
        <v>34</v>
      </c>
      <c r="AK32" s="492" t="s">
        <v>832</v>
      </c>
      <c r="AL32" s="492" t="s">
        <v>34</v>
      </c>
      <c r="AM32" s="61" t="s">
        <v>3441</v>
      </c>
      <c r="AN32" s="490">
        <v>0</v>
      </c>
      <c r="AO32" s="490">
        <v>0</v>
      </c>
      <c r="AP32" s="61"/>
      <c r="CE32" s="401"/>
      <c r="CF32">
        <f t="shared" si="0"/>
        <v>86</v>
      </c>
      <c r="CG32" s="401"/>
      <c r="CI32" s="401"/>
      <c r="CJ32" s="401"/>
    </row>
    <row r="33" spans="1:88" x14ac:dyDescent="0.2">
      <c r="A33" s="61">
        <v>32</v>
      </c>
      <c r="B33" s="491" t="s">
        <v>659</v>
      </c>
      <c r="C33" s="492" t="s">
        <v>649</v>
      </c>
      <c r="D33" s="492" t="s">
        <v>2637</v>
      </c>
      <c r="E33" s="492" t="s">
        <v>960</v>
      </c>
      <c r="F33" s="492" t="s">
        <v>718</v>
      </c>
      <c r="G33" s="492" t="s">
        <v>34</v>
      </c>
      <c r="H33" s="492" t="s">
        <v>835</v>
      </c>
      <c r="I33" s="492" t="s">
        <v>4270</v>
      </c>
      <c r="J33" s="492" t="s">
        <v>613</v>
      </c>
      <c r="K33" s="492" t="s">
        <v>649</v>
      </c>
      <c r="L33" s="492" t="s">
        <v>962</v>
      </c>
      <c r="M33" s="492" t="s">
        <v>982</v>
      </c>
      <c r="N33" s="492" t="s">
        <v>649</v>
      </c>
      <c r="O33" s="492" t="s">
        <v>305</v>
      </c>
      <c r="P33" s="492" t="s">
        <v>893</v>
      </c>
      <c r="Q33" s="492" t="s">
        <v>3501</v>
      </c>
      <c r="R33" s="492" t="s">
        <v>828</v>
      </c>
      <c r="S33" s="492" t="s">
        <v>983</v>
      </c>
      <c r="T33" s="492">
        <v>87.5</v>
      </c>
      <c r="U33" s="492" t="s">
        <v>857</v>
      </c>
      <c r="V33" s="492" t="s">
        <v>984</v>
      </c>
      <c r="W33" s="492" t="s">
        <v>985</v>
      </c>
      <c r="X33" s="492" t="s">
        <v>3502</v>
      </c>
      <c r="Y33" s="492" t="s">
        <v>108</v>
      </c>
      <c r="Z33" s="492" t="s">
        <v>108</v>
      </c>
      <c r="AA33" s="492" t="s">
        <v>108</v>
      </c>
      <c r="AB33" s="492" t="s">
        <v>34</v>
      </c>
      <c r="AC33" s="492" t="s">
        <v>830</v>
      </c>
      <c r="AD33" s="492" t="s">
        <v>831</v>
      </c>
      <c r="AE33" s="492" t="s">
        <v>612</v>
      </c>
      <c r="AF33" s="492" t="s">
        <v>2054</v>
      </c>
      <c r="AG33" s="492" t="s">
        <v>34</v>
      </c>
      <c r="AH33" s="492" t="s">
        <v>34</v>
      </c>
      <c r="AI33" s="492" t="s">
        <v>34</v>
      </c>
      <c r="AJ33" s="492" t="s">
        <v>34</v>
      </c>
      <c r="AK33" s="492" t="s">
        <v>832</v>
      </c>
      <c r="AL33" s="492" t="s">
        <v>34</v>
      </c>
      <c r="AM33" s="61" t="s">
        <v>3443</v>
      </c>
      <c r="AN33" s="490">
        <v>0</v>
      </c>
      <c r="AO33" s="490">
        <v>0</v>
      </c>
      <c r="AP33" s="61"/>
      <c r="CE33" s="401"/>
      <c r="CF33">
        <f t="shared" si="0"/>
        <v>85</v>
      </c>
      <c r="CG33" s="401"/>
      <c r="CI33" s="401"/>
      <c r="CJ33" s="401"/>
    </row>
    <row r="34" spans="1:88" x14ac:dyDescent="0.2">
      <c r="A34" s="61">
        <v>33</v>
      </c>
      <c r="B34" s="491" t="s">
        <v>659</v>
      </c>
      <c r="C34" s="492" t="s">
        <v>662</v>
      </c>
      <c r="D34" s="492" t="s">
        <v>2638</v>
      </c>
      <c r="E34" s="492" t="s">
        <v>960</v>
      </c>
      <c r="F34" s="492" t="s">
        <v>718</v>
      </c>
      <c r="G34" s="492" t="s">
        <v>34</v>
      </c>
      <c r="H34" s="492" t="s">
        <v>835</v>
      </c>
      <c r="I34" s="492" t="s">
        <v>4270</v>
      </c>
      <c r="J34" s="492" t="s">
        <v>613</v>
      </c>
      <c r="K34" s="492" t="s">
        <v>973</v>
      </c>
      <c r="L34" s="492" t="s">
        <v>962</v>
      </c>
      <c r="M34" s="492" t="s">
        <v>973</v>
      </c>
      <c r="N34" s="492" t="s">
        <v>662</v>
      </c>
      <c r="O34" s="492" t="s">
        <v>305</v>
      </c>
      <c r="P34" s="492" t="s">
        <v>976</v>
      </c>
      <c r="Q34" s="492" t="s">
        <v>3503</v>
      </c>
      <c r="R34" s="492" t="s">
        <v>834</v>
      </c>
      <c r="S34" s="492" t="s">
        <v>966</v>
      </c>
      <c r="T34" s="492">
        <v>310.60000000000002</v>
      </c>
      <c r="U34" s="492" t="s">
        <v>687</v>
      </c>
      <c r="V34" s="492" t="s">
        <v>967</v>
      </c>
      <c r="W34" s="492" t="s">
        <v>108</v>
      </c>
      <c r="X34" s="492" t="s">
        <v>3504</v>
      </c>
      <c r="Y34" s="492" t="s">
        <v>967</v>
      </c>
      <c r="Z34" s="492" t="s">
        <v>108</v>
      </c>
      <c r="AA34" s="492" t="s">
        <v>3504</v>
      </c>
      <c r="AB34" s="492" t="s">
        <v>969</v>
      </c>
      <c r="AC34" s="492" t="s">
        <v>830</v>
      </c>
      <c r="AD34" s="492" t="s">
        <v>831</v>
      </c>
      <c r="AE34" s="492" t="s">
        <v>612</v>
      </c>
      <c r="AF34" s="492" t="s">
        <v>2054</v>
      </c>
      <c r="AG34" s="492" t="s">
        <v>34</v>
      </c>
      <c r="AH34" s="492" t="s">
        <v>34</v>
      </c>
      <c r="AI34" s="492" t="s">
        <v>34</v>
      </c>
      <c r="AJ34" s="492" t="s">
        <v>34</v>
      </c>
      <c r="AK34" s="492" t="s">
        <v>832</v>
      </c>
      <c r="AL34" s="492" t="s">
        <v>34</v>
      </c>
      <c r="AM34" s="61" t="s">
        <v>3441</v>
      </c>
      <c r="AN34" s="490">
        <v>0</v>
      </c>
      <c r="AO34" s="490">
        <v>0</v>
      </c>
      <c r="AP34" s="61"/>
      <c r="CE34" s="401"/>
      <c r="CF34">
        <f t="shared" si="0"/>
        <v>84</v>
      </c>
      <c r="CG34" s="401"/>
      <c r="CI34" s="401"/>
      <c r="CJ34" s="401"/>
    </row>
    <row r="35" spans="1:88" x14ac:dyDescent="0.2">
      <c r="A35" s="61">
        <v>34</v>
      </c>
      <c r="B35" s="491" t="s">
        <v>659</v>
      </c>
      <c r="C35" s="492" t="s">
        <v>3684</v>
      </c>
      <c r="D35" s="492" t="s">
        <v>3685</v>
      </c>
      <c r="E35" s="492" t="s">
        <v>960</v>
      </c>
      <c r="F35" s="492" t="s">
        <v>718</v>
      </c>
      <c r="G35" s="492" t="s">
        <v>34</v>
      </c>
      <c r="H35" s="492" t="s">
        <v>835</v>
      </c>
      <c r="I35" s="492" t="s">
        <v>4270</v>
      </c>
      <c r="J35" s="492" t="s">
        <v>613</v>
      </c>
      <c r="K35" s="492" t="s">
        <v>3686</v>
      </c>
      <c r="L35" s="492" t="s">
        <v>962</v>
      </c>
      <c r="M35" s="492" t="s">
        <v>3686</v>
      </c>
      <c r="N35" s="492" t="s">
        <v>3684</v>
      </c>
      <c r="O35" s="492" t="s">
        <v>305</v>
      </c>
      <c r="P35" s="492" t="s">
        <v>3687</v>
      </c>
      <c r="Q35" s="492" t="s">
        <v>3503</v>
      </c>
      <c r="R35" s="492" t="s">
        <v>834</v>
      </c>
      <c r="S35" s="492" t="s">
        <v>966</v>
      </c>
      <c r="T35" s="492">
        <v>310.60000000000002</v>
      </c>
      <c r="U35" s="492" t="s">
        <v>687</v>
      </c>
      <c r="V35" s="492" t="s">
        <v>967</v>
      </c>
      <c r="W35" s="492" t="s">
        <v>108</v>
      </c>
      <c r="X35" s="492" t="s">
        <v>3504</v>
      </c>
      <c r="Y35" s="492" t="s">
        <v>967</v>
      </c>
      <c r="Z35" s="492" t="s">
        <v>108</v>
      </c>
      <c r="AA35" s="492" t="s">
        <v>3504</v>
      </c>
      <c r="AB35" s="492" t="s">
        <v>969</v>
      </c>
      <c r="AC35" s="492" t="s">
        <v>830</v>
      </c>
      <c r="AD35" s="492" t="s">
        <v>831</v>
      </c>
      <c r="AE35" s="492" t="s">
        <v>612</v>
      </c>
      <c r="AF35" s="492" t="s">
        <v>2054</v>
      </c>
      <c r="AG35" s="492" t="s">
        <v>34</v>
      </c>
      <c r="AH35" s="492" t="s">
        <v>34</v>
      </c>
      <c r="AI35" s="492" t="s">
        <v>34</v>
      </c>
      <c r="AJ35" s="492" t="s">
        <v>34</v>
      </c>
      <c r="AK35" s="492" t="s">
        <v>832</v>
      </c>
      <c r="AL35" s="492" t="s">
        <v>34</v>
      </c>
      <c r="AM35" s="61" t="s">
        <v>3441</v>
      </c>
      <c r="AN35" s="490"/>
      <c r="AO35" s="490"/>
      <c r="AP35" s="61"/>
      <c r="CE35" s="401"/>
      <c r="CF35">
        <f t="shared" si="0"/>
        <v>83</v>
      </c>
      <c r="CG35" s="401"/>
      <c r="CI35" s="401"/>
      <c r="CJ35" s="401"/>
    </row>
    <row r="36" spans="1:88" x14ac:dyDescent="0.2">
      <c r="A36" s="61">
        <v>35</v>
      </c>
      <c r="B36" s="491" t="s">
        <v>659</v>
      </c>
      <c r="C36" s="492" t="s">
        <v>664</v>
      </c>
      <c r="D36" s="492" t="s">
        <v>2639</v>
      </c>
      <c r="E36" s="492" t="s">
        <v>960</v>
      </c>
      <c r="F36" s="492" t="s">
        <v>718</v>
      </c>
      <c r="G36" s="492" t="s">
        <v>34</v>
      </c>
      <c r="H36" s="492" t="s">
        <v>835</v>
      </c>
      <c r="I36" s="492" t="s">
        <v>4270</v>
      </c>
      <c r="J36" s="492" t="s">
        <v>613</v>
      </c>
      <c r="K36" s="492" t="s">
        <v>978</v>
      </c>
      <c r="L36" s="492" t="s">
        <v>962</v>
      </c>
      <c r="M36" s="492" t="s">
        <v>978</v>
      </c>
      <c r="N36" s="492" t="s">
        <v>664</v>
      </c>
      <c r="O36" s="492" t="s">
        <v>305</v>
      </c>
      <c r="P36" s="492" t="s">
        <v>3688</v>
      </c>
      <c r="Q36" s="492" t="s">
        <v>3503</v>
      </c>
      <c r="R36" s="492" t="s">
        <v>834</v>
      </c>
      <c r="S36" s="492" t="s">
        <v>966</v>
      </c>
      <c r="T36" s="492">
        <v>310.60000000000002</v>
      </c>
      <c r="U36" s="492" t="s">
        <v>687</v>
      </c>
      <c r="V36" s="492" t="s">
        <v>967</v>
      </c>
      <c r="W36" s="492" t="s">
        <v>108</v>
      </c>
      <c r="X36" s="492" t="s">
        <v>3504</v>
      </c>
      <c r="Y36" s="492" t="s">
        <v>967</v>
      </c>
      <c r="Z36" s="492" t="s">
        <v>108</v>
      </c>
      <c r="AA36" s="492" t="s">
        <v>3504</v>
      </c>
      <c r="AB36" s="492" t="s">
        <v>969</v>
      </c>
      <c r="AC36" s="492" t="s">
        <v>830</v>
      </c>
      <c r="AD36" s="492" t="s">
        <v>831</v>
      </c>
      <c r="AE36" s="492" t="s">
        <v>612</v>
      </c>
      <c r="AF36" s="492" t="s">
        <v>2054</v>
      </c>
      <c r="AG36" s="492" t="s">
        <v>34</v>
      </c>
      <c r="AH36" s="492" t="s">
        <v>34</v>
      </c>
      <c r="AI36" s="492" t="s">
        <v>34</v>
      </c>
      <c r="AJ36" s="492" t="s">
        <v>34</v>
      </c>
      <c r="AK36" s="492" t="s">
        <v>832</v>
      </c>
      <c r="AL36" s="492" t="s">
        <v>34</v>
      </c>
      <c r="AM36" s="61" t="s">
        <v>3441</v>
      </c>
      <c r="AN36" s="490">
        <v>0</v>
      </c>
      <c r="AO36" s="490">
        <v>0</v>
      </c>
      <c r="AP36" s="61"/>
      <c r="CE36" s="401"/>
      <c r="CF36">
        <f t="shared" si="0"/>
        <v>82</v>
      </c>
      <c r="CG36" s="401"/>
      <c r="CI36" s="401"/>
      <c r="CJ36" s="401"/>
    </row>
    <row r="37" spans="1:88" x14ac:dyDescent="0.2">
      <c r="A37" s="61">
        <v>36</v>
      </c>
      <c r="B37" s="491" t="s">
        <v>659</v>
      </c>
      <c r="C37" s="492" t="s">
        <v>3689</v>
      </c>
      <c r="D37" s="492" t="s">
        <v>3690</v>
      </c>
      <c r="E37" s="492" t="s">
        <v>960</v>
      </c>
      <c r="F37" s="492" t="s">
        <v>718</v>
      </c>
      <c r="G37" s="492" t="s">
        <v>34</v>
      </c>
      <c r="H37" s="492" t="s">
        <v>835</v>
      </c>
      <c r="I37" s="492" t="s">
        <v>4270</v>
      </c>
      <c r="J37" s="492" t="s">
        <v>613</v>
      </c>
      <c r="K37" s="492" t="s">
        <v>3691</v>
      </c>
      <c r="L37" s="492" t="s">
        <v>962</v>
      </c>
      <c r="M37" s="492" t="s">
        <v>3691</v>
      </c>
      <c r="N37" s="492" t="s">
        <v>3689</v>
      </c>
      <c r="O37" s="492" t="s">
        <v>305</v>
      </c>
      <c r="P37" s="492" t="s">
        <v>3687</v>
      </c>
      <c r="Q37" s="492" t="s">
        <v>3503</v>
      </c>
      <c r="R37" s="492" t="s">
        <v>834</v>
      </c>
      <c r="S37" s="492" t="s">
        <v>966</v>
      </c>
      <c r="T37" s="492">
        <v>310.60000000000002</v>
      </c>
      <c r="U37" s="492" t="s">
        <v>687</v>
      </c>
      <c r="V37" s="492" t="s">
        <v>967</v>
      </c>
      <c r="W37" s="492" t="s">
        <v>108</v>
      </c>
      <c r="X37" s="492" t="s">
        <v>3504</v>
      </c>
      <c r="Y37" s="492" t="s">
        <v>967</v>
      </c>
      <c r="Z37" s="492" t="s">
        <v>108</v>
      </c>
      <c r="AA37" s="492" t="s">
        <v>3504</v>
      </c>
      <c r="AB37" s="492" t="s">
        <v>969</v>
      </c>
      <c r="AC37" s="492" t="s">
        <v>830</v>
      </c>
      <c r="AD37" s="492" t="s">
        <v>831</v>
      </c>
      <c r="AE37" s="492" t="s">
        <v>612</v>
      </c>
      <c r="AF37" s="492" t="s">
        <v>2054</v>
      </c>
      <c r="AG37" s="492" t="s">
        <v>34</v>
      </c>
      <c r="AH37" s="492" t="s">
        <v>34</v>
      </c>
      <c r="AI37" s="492" t="s">
        <v>34</v>
      </c>
      <c r="AJ37" s="492" t="s">
        <v>34</v>
      </c>
      <c r="AK37" s="492" t="s">
        <v>832</v>
      </c>
      <c r="AL37" s="492" t="s">
        <v>34</v>
      </c>
      <c r="AM37" s="61" t="s">
        <v>3441</v>
      </c>
      <c r="AN37" s="490"/>
      <c r="AO37" s="490"/>
      <c r="AP37" s="61"/>
      <c r="CE37" s="401"/>
      <c r="CF37">
        <f t="shared" si="0"/>
        <v>81</v>
      </c>
      <c r="CG37" s="401"/>
      <c r="CI37" s="401"/>
      <c r="CJ37" s="401"/>
    </row>
    <row r="38" spans="1:88" x14ac:dyDescent="0.2">
      <c r="A38" s="61">
        <v>37</v>
      </c>
      <c r="B38" s="491" t="s">
        <v>659</v>
      </c>
      <c r="C38" s="492" t="s">
        <v>663</v>
      </c>
      <c r="D38" s="492" t="s">
        <v>2640</v>
      </c>
      <c r="E38" s="492" t="s">
        <v>960</v>
      </c>
      <c r="F38" s="492" t="s">
        <v>718</v>
      </c>
      <c r="G38" s="492" t="s">
        <v>34</v>
      </c>
      <c r="H38" s="492" t="s">
        <v>835</v>
      </c>
      <c r="I38" s="492" t="s">
        <v>4270</v>
      </c>
      <c r="J38" s="492" t="s">
        <v>613</v>
      </c>
      <c r="K38" s="492" t="s">
        <v>974</v>
      </c>
      <c r="L38" s="492" t="s">
        <v>962</v>
      </c>
      <c r="M38" s="492" t="s">
        <v>974</v>
      </c>
      <c r="N38" s="492" t="s">
        <v>663</v>
      </c>
      <c r="O38" s="492" t="s">
        <v>305</v>
      </c>
      <c r="P38" s="492" t="s">
        <v>981</v>
      </c>
      <c r="Q38" s="492" t="s">
        <v>3503</v>
      </c>
      <c r="R38" s="492" t="s">
        <v>834</v>
      </c>
      <c r="S38" s="492" t="s">
        <v>966</v>
      </c>
      <c r="T38" s="492">
        <v>310.60000000000002</v>
      </c>
      <c r="U38" s="492" t="s">
        <v>687</v>
      </c>
      <c r="V38" s="492" t="s">
        <v>967</v>
      </c>
      <c r="W38" s="492" t="s">
        <v>108</v>
      </c>
      <c r="X38" s="492" t="s">
        <v>3504</v>
      </c>
      <c r="Y38" s="492" t="s">
        <v>967</v>
      </c>
      <c r="Z38" s="492" t="s">
        <v>108</v>
      </c>
      <c r="AA38" s="492" t="s">
        <v>3504</v>
      </c>
      <c r="AB38" s="492" t="s">
        <v>969</v>
      </c>
      <c r="AC38" s="492" t="s">
        <v>830</v>
      </c>
      <c r="AD38" s="492" t="s">
        <v>831</v>
      </c>
      <c r="AE38" s="492" t="s">
        <v>612</v>
      </c>
      <c r="AF38" s="492" t="s">
        <v>2054</v>
      </c>
      <c r="AG38" s="492" t="s">
        <v>34</v>
      </c>
      <c r="AH38" s="492" t="s">
        <v>34</v>
      </c>
      <c r="AI38" s="492" t="s">
        <v>34</v>
      </c>
      <c r="AJ38" s="492" t="s">
        <v>34</v>
      </c>
      <c r="AK38" s="492" t="s">
        <v>832</v>
      </c>
      <c r="AL38" s="492" t="s">
        <v>34</v>
      </c>
      <c r="AM38" s="61" t="s">
        <v>3441</v>
      </c>
      <c r="AN38" s="490">
        <v>0</v>
      </c>
      <c r="AO38" s="490">
        <v>0</v>
      </c>
      <c r="AP38" s="61"/>
      <c r="CE38" s="401"/>
      <c r="CG38" s="401"/>
      <c r="CI38" s="401"/>
      <c r="CJ38" s="401"/>
    </row>
    <row r="39" spans="1:88" x14ac:dyDescent="0.2">
      <c r="A39" s="61">
        <v>38</v>
      </c>
      <c r="B39" s="491" t="s">
        <v>659</v>
      </c>
      <c r="C39" s="492" t="s">
        <v>665</v>
      </c>
      <c r="D39" s="492" t="s">
        <v>2641</v>
      </c>
      <c r="E39" s="492" t="s">
        <v>960</v>
      </c>
      <c r="F39" s="492" t="s">
        <v>718</v>
      </c>
      <c r="G39" s="492" t="s">
        <v>34</v>
      </c>
      <c r="H39" s="492" t="s">
        <v>835</v>
      </c>
      <c r="I39" s="492" t="s">
        <v>4270</v>
      </c>
      <c r="J39" s="492" t="s">
        <v>613</v>
      </c>
      <c r="K39" s="492" t="s">
        <v>979</v>
      </c>
      <c r="L39" s="492" t="s">
        <v>962</v>
      </c>
      <c r="M39" s="492" t="s">
        <v>979</v>
      </c>
      <c r="N39" s="492" t="s">
        <v>665</v>
      </c>
      <c r="O39" s="492" t="s">
        <v>305</v>
      </c>
      <c r="P39" s="492" t="s">
        <v>986</v>
      </c>
      <c r="Q39" s="492" t="s">
        <v>3503</v>
      </c>
      <c r="R39" s="492" t="s">
        <v>987</v>
      </c>
      <c r="S39" s="492" t="s">
        <v>966</v>
      </c>
      <c r="T39" s="492">
        <v>310.60000000000002</v>
      </c>
      <c r="U39" s="492" t="s">
        <v>687</v>
      </c>
      <c r="V39" s="492" t="s">
        <v>988</v>
      </c>
      <c r="W39" s="492" t="s">
        <v>108</v>
      </c>
      <c r="X39" s="492" t="s">
        <v>108</v>
      </c>
      <c r="Y39" s="492" t="s">
        <v>988</v>
      </c>
      <c r="Z39" s="492" t="s">
        <v>108</v>
      </c>
      <c r="AA39" s="492" t="s">
        <v>108</v>
      </c>
      <c r="AB39" s="492" t="s">
        <v>989</v>
      </c>
      <c r="AC39" s="492" t="s">
        <v>830</v>
      </c>
      <c r="AD39" s="492" t="s">
        <v>831</v>
      </c>
      <c r="AE39" s="492" t="s">
        <v>612</v>
      </c>
      <c r="AF39" s="492" t="s">
        <v>2054</v>
      </c>
      <c r="AG39" s="492" t="s">
        <v>34</v>
      </c>
      <c r="AH39" s="492" t="s">
        <v>34</v>
      </c>
      <c r="AI39" s="492" t="s">
        <v>34</v>
      </c>
      <c r="AJ39" s="492" t="s">
        <v>34</v>
      </c>
      <c r="AK39" s="492" t="s">
        <v>832</v>
      </c>
      <c r="AL39" s="492" t="s">
        <v>34</v>
      </c>
      <c r="AM39" s="61" t="s">
        <v>3441</v>
      </c>
      <c r="AN39" s="490">
        <v>0</v>
      </c>
      <c r="AO39" s="490">
        <v>0</v>
      </c>
      <c r="AP39" s="61"/>
      <c r="CE39" s="401"/>
      <c r="CG39" s="401"/>
      <c r="CI39" s="401"/>
      <c r="CJ39" s="401"/>
    </row>
    <row r="40" spans="1:88" x14ac:dyDescent="0.2">
      <c r="A40" s="61">
        <v>39</v>
      </c>
      <c r="B40" s="491" t="s">
        <v>659</v>
      </c>
      <c r="C40" s="492" t="s">
        <v>666</v>
      </c>
      <c r="D40" s="492" t="s">
        <v>2642</v>
      </c>
      <c r="E40" s="492" t="s">
        <v>960</v>
      </c>
      <c r="F40" s="492" t="s">
        <v>718</v>
      </c>
      <c r="G40" s="492" t="s">
        <v>34</v>
      </c>
      <c r="H40" s="492" t="s">
        <v>835</v>
      </c>
      <c r="I40" s="492" t="s">
        <v>4270</v>
      </c>
      <c r="J40" s="492" t="s">
        <v>613</v>
      </c>
      <c r="K40" s="492" t="s">
        <v>980</v>
      </c>
      <c r="L40" s="492" t="s">
        <v>962</v>
      </c>
      <c r="M40" s="492" t="s">
        <v>980</v>
      </c>
      <c r="N40" s="492" t="s">
        <v>666</v>
      </c>
      <c r="O40" s="492" t="s">
        <v>305</v>
      </c>
      <c r="P40" s="492" t="s">
        <v>986</v>
      </c>
      <c r="Q40" s="492" t="s">
        <v>3503</v>
      </c>
      <c r="R40" s="492" t="s">
        <v>987</v>
      </c>
      <c r="S40" s="492" t="s">
        <v>966</v>
      </c>
      <c r="T40" s="492">
        <v>310.60000000000002</v>
      </c>
      <c r="U40" s="492" t="s">
        <v>687</v>
      </c>
      <c r="V40" s="492" t="s">
        <v>988</v>
      </c>
      <c r="W40" s="492" t="s">
        <v>108</v>
      </c>
      <c r="X40" s="492" t="s">
        <v>108</v>
      </c>
      <c r="Y40" s="492" t="s">
        <v>988</v>
      </c>
      <c r="Z40" s="492" t="s">
        <v>108</v>
      </c>
      <c r="AA40" s="492" t="s">
        <v>108</v>
      </c>
      <c r="AB40" s="492" t="s">
        <v>989</v>
      </c>
      <c r="AC40" s="492" t="s">
        <v>830</v>
      </c>
      <c r="AD40" s="492" t="s">
        <v>831</v>
      </c>
      <c r="AE40" s="492" t="s">
        <v>612</v>
      </c>
      <c r="AF40" s="492" t="s">
        <v>2054</v>
      </c>
      <c r="AG40" s="492" t="s">
        <v>34</v>
      </c>
      <c r="AH40" s="492" t="s">
        <v>34</v>
      </c>
      <c r="AI40" s="492" t="s">
        <v>34</v>
      </c>
      <c r="AJ40" s="492" t="s">
        <v>34</v>
      </c>
      <c r="AK40" s="492" t="s">
        <v>832</v>
      </c>
      <c r="AL40" s="492" t="s">
        <v>34</v>
      </c>
      <c r="AM40" s="61" t="s">
        <v>3441</v>
      </c>
      <c r="AN40" s="490">
        <v>0</v>
      </c>
      <c r="AO40" s="490">
        <v>0</v>
      </c>
      <c r="AP40" s="61"/>
      <c r="CE40" s="401"/>
      <c r="CG40" s="401"/>
      <c r="CI40" s="401"/>
      <c r="CJ40" s="401"/>
    </row>
    <row r="41" spans="1:88" x14ac:dyDescent="0.2">
      <c r="A41" s="61">
        <v>40</v>
      </c>
      <c r="B41" s="491" t="s">
        <v>659</v>
      </c>
      <c r="C41" s="492" t="s">
        <v>660</v>
      </c>
      <c r="D41" s="492" t="s">
        <v>2643</v>
      </c>
      <c r="E41" s="492" t="s">
        <v>960</v>
      </c>
      <c r="F41" s="492" t="s">
        <v>718</v>
      </c>
      <c r="G41" s="492" t="s">
        <v>34</v>
      </c>
      <c r="H41" s="492" t="s">
        <v>835</v>
      </c>
      <c r="I41" s="492" t="s">
        <v>4270</v>
      </c>
      <c r="J41" s="492" t="s">
        <v>613</v>
      </c>
      <c r="K41" s="492" t="s">
        <v>961</v>
      </c>
      <c r="L41" s="492" t="s">
        <v>962</v>
      </c>
      <c r="M41" s="492" t="s">
        <v>963</v>
      </c>
      <c r="N41" s="492" t="s">
        <v>660</v>
      </c>
      <c r="O41" s="492" t="s">
        <v>305</v>
      </c>
      <c r="P41" s="492" t="s">
        <v>964</v>
      </c>
      <c r="Q41" s="492" t="s">
        <v>3508</v>
      </c>
      <c r="R41" s="492" t="s">
        <v>834</v>
      </c>
      <c r="S41" s="492" t="s">
        <v>966</v>
      </c>
      <c r="T41" s="492">
        <v>310.60000000000002</v>
      </c>
      <c r="U41" s="492" t="s">
        <v>687</v>
      </c>
      <c r="V41" s="492" t="s">
        <v>967</v>
      </c>
      <c r="W41" s="492" t="s">
        <v>108</v>
      </c>
      <c r="X41" s="492" t="s">
        <v>3504</v>
      </c>
      <c r="Y41" s="492" t="s">
        <v>967</v>
      </c>
      <c r="Z41" s="492" t="s">
        <v>108</v>
      </c>
      <c r="AA41" s="492" t="s">
        <v>3504</v>
      </c>
      <c r="AB41" s="492" t="s">
        <v>969</v>
      </c>
      <c r="AC41" s="492" t="s">
        <v>830</v>
      </c>
      <c r="AD41" s="492" t="s">
        <v>831</v>
      </c>
      <c r="AE41" s="492" t="s">
        <v>612</v>
      </c>
      <c r="AF41" s="492" t="s">
        <v>2054</v>
      </c>
      <c r="AG41" s="492" t="s">
        <v>34</v>
      </c>
      <c r="AH41" s="492" t="s">
        <v>34</v>
      </c>
      <c r="AI41" s="492" t="s">
        <v>34</v>
      </c>
      <c r="AJ41" s="492" t="s">
        <v>34</v>
      </c>
      <c r="AK41" s="492" t="s">
        <v>832</v>
      </c>
      <c r="AL41" s="492" t="s">
        <v>34</v>
      </c>
      <c r="AM41" s="61" t="s">
        <v>3441</v>
      </c>
      <c r="AN41" s="490">
        <v>0</v>
      </c>
      <c r="AO41" s="490">
        <v>0</v>
      </c>
      <c r="AP41" s="61"/>
      <c r="CE41" s="401"/>
      <c r="CG41" s="401"/>
      <c r="CI41" s="401"/>
      <c r="CJ41" s="401"/>
    </row>
    <row r="42" spans="1:88" x14ac:dyDescent="0.2">
      <c r="A42" s="61">
        <v>41</v>
      </c>
      <c r="B42" s="491" t="s">
        <v>659</v>
      </c>
      <c r="C42" s="492" t="s">
        <v>3692</v>
      </c>
      <c r="D42" s="492" t="s">
        <v>3693</v>
      </c>
      <c r="E42" s="492" t="s">
        <v>960</v>
      </c>
      <c r="F42" s="492" t="s">
        <v>718</v>
      </c>
      <c r="G42" s="492" t="s">
        <v>34</v>
      </c>
      <c r="H42" s="492" t="s">
        <v>835</v>
      </c>
      <c r="I42" s="492" t="s">
        <v>3679</v>
      </c>
      <c r="J42" s="492" t="s">
        <v>613</v>
      </c>
      <c r="K42" s="492" t="s">
        <v>3694</v>
      </c>
      <c r="L42" s="492" t="s">
        <v>962</v>
      </c>
      <c r="M42" s="492" t="s">
        <v>3694</v>
      </c>
      <c r="N42" s="492" t="s">
        <v>3692</v>
      </c>
      <c r="O42" s="492" t="s">
        <v>305</v>
      </c>
      <c r="P42" s="492" t="s">
        <v>975</v>
      </c>
      <c r="Q42" s="492" t="s">
        <v>3501</v>
      </c>
      <c r="R42" s="492" t="s">
        <v>834</v>
      </c>
      <c r="S42" s="492" t="s">
        <v>966</v>
      </c>
      <c r="T42" s="492">
        <v>310.60000000000002</v>
      </c>
      <c r="U42" s="492" t="s">
        <v>687</v>
      </c>
      <c r="V42" s="492" t="s">
        <v>967</v>
      </c>
      <c r="W42" s="492" t="s">
        <v>108</v>
      </c>
      <c r="X42" s="492" t="s">
        <v>3509</v>
      </c>
      <c r="Y42" s="492" t="s">
        <v>967</v>
      </c>
      <c r="Z42" s="492" t="s">
        <v>108</v>
      </c>
      <c r="AA42" s="492" t="s">
        <v>3509</v>
      </c>
      <c r="AB42" s="492" t="s">
        <v>969</v>
      </c>
      <c r="AC42" s="492" t="s">
        <v>830</v>
      </c>
      <c r="AD42" s="492" t="s">
        <v>831</v>
      </c>
      <c r="AE42" s="492" t="s">
        <v>612</v>
      </c>
      <c r="AF42" s="492" t="s">
        <v>2054</v>
      </c>
      <c r="AG42" s="492" t="s">
        <v>34</v>
      </c>
      <c r="AH42" s="492" t="s">
        <v>34</v>
      </c>
      <c r="AI42" s="492" t="s">
        <v>34</v>
      </c>
      <c r="AJ42" s="492" t="s">
        <v>34</v>
      </c>
      <c r="AK42" s="492" t="s">
        <v>832</v>
      </c>
      <c r="AL42" s="492" t="s">
        <v>34</v>
      </c>
      <c r="AM42" s="61" t="s">
        <v>3441</v>
      </c>
      <c r="AN42" s="490"/>
      <c r="AO42" s="490"/>
      <c r="AP42" s="61"/>
      <c r="CE42" s="401"/>
      <c r="CG42" s="401"/>
      <c r="CI42" s="401"/>
      <c r="CJ42" s="401"/>
    </row>
    <row r="43" spans="1:88" x14ac:dyDescent="0.2">
      <c r="A43" s="61">
        <v>42</v>
      </c>
      <c r="B43" s="491" t="s">
        <v>292</v>
      </c>
      <c r="C43" s="492" t="s">
        <v>295</v>
      </c>
      <c r="D43" s="492" t="s">
        <v>2644</v>
      </c>
      <c r="E43" s="492" t="s">
        <v>719</v>
      </c>
      <c r="F43" s="492" t="s">
        <v>720</v>
      </c>
      <c r="G43" s="492" t="s">
        <v>34</v>
      </c>
      <c r="H43" s="492" t="s">
        <v>835</v>
      </c>
      <c r="I43" s="492" t="s">
        <v>4270</v>
      </c>
      <c r="J43" s="492" t="s">
        <v>613</v>
      </c>
      <c r="K43" s="492" t="s">
        <v>1011</v>
      </c>
      <c r="L43" s="492" t="s">
        <v>2620</v>
      </c>
      <c r="M43" s="492">
        <v>1020</v>
      </c>
      <c r="N43" s="492" t="s">
        <v>295</v>
      </c>
      <c r="O43" s="492" t="s">
        <v>305</v>
      </c>
      <c r="P43" s="492" t="s">
        <v>1014</v>
      </c>
      <c r="Q43" s="492" t="s">
        <v>3501</v>
      </c>
      <c r="R43" s="492" t="s">
        <v>828</v>
      </c>
      <c r="S43" s="492" t="s">
        <v>2621</v>
      </c>
      <c r="T43" s="492">
        <v>57.7</v>
      </c>
      <c r="U43" s="492" t="s">
        <v>857</v>
      </c>
      <c r="V43" s="492" t="s">
        <v>2622</v>
      </c>
      <c r="W43" s="492">
        <v>95040103</v>
      </c>
      <c r="X43" s="492" t="s">
        <v>3502</v>
      </c>
      <c r="Y43" s="492" t="s">
        <v>1010</v>
      </c>
      <c r="Z43" s="492" t="s">
        <v>2623</v>
      </c>
      <c r="AA43" s="492" t="s">
        <v>3502</v>
      </c>
      <c r="AB43" s="492" t="s">
        <v>34</v>
      </c>
      <c r="AC43" s="492" t="s">
        <v>830</v>
      </c>
      <c r="AD43" s="492" t="s">
        <v>831</v>
      </c>
      <c r="AE43" s="492" t="s">
        <v>612</v>
      </c>
      <c r="AF43" s="492" t="s">
        <v>2054</v>
      </c>
      <c r="AG43" s="492" t="s">
        <v>34</v>
      </c>
      <c r="AH43" s="492" t="s">
        <v>34</v>
      </c>
      <c r="AI43" s="492" t="s">
        <v>34</v>
      </c>
      <c r="AJ43" s="492" t="s">
        <v>34</v>
      </c>
      <c r="AK43" s="492" t="s">
        <v>832</v>
      </c>
      <c r="AL43" s="492" t="s">
        <v>34</v>
      </c>
      <c r="AM43" s="61" t="s">
        <v>3444</v>
      </c>
      <c r="AN43" s="490">
        <v>0</v>
      </c>
      <c r="AO43" s="490">
        <v>0</v>
      </c>
      <c r="AP43" s="61"/>
      <c r="CE43" s="401"/>
      <c r="CG43" s="401"/>
      <c r="CI43" s="401"/>
      <c r="CJ43" s="401"/>
    </row>
    <row r="44" spans="1:88" x14ac:dyDescent="0.2">
      <c r="A44" s="61">
        <v>43</v>
      </c>
      <c r="B44" s="491" t="s">
        <v>292</v>
      </c>
      <c r="C44" s="492" t="s">
        <v>294</v>
      </c>
      <c r="D44" s="492" t="s">
        <v>2645</v>
      </c>
      <c r="E44" s="492" t="s">
        <v>719</v>
      </c>
      <c r="F44" s="492" t="s">
        <v>720</v>
      </c>
      <c r="G44" s="492" t="s">
        <v>34</v>
      </c>
      <c r="H44" s="492" t="s">
        <v>835</v>
      </c>
      <c r="I44" s="492" t="s">
        <v>4270</v>
      </c>
      <c r="J44" s="492" t="s">
        <v>613</v>
      </c>
      <c r="K44" s="492" t="s">
        <v>1011</v>
      </c>
      <c r="L44" s="492" t="s">
        <v>1013</v>
      </c>
      <c r="M44" s="492">
        <v>5514</v>
      </c>
      <c r="N44" s="492" t="s">
        <v>294</v>
      </c>
      <c r="O44" s="492" t="s">
        <v>305</v>
      </c>
      <c r="P44" s="492" t="s">
        <v>3814</v>
      </c>
      <c r="Q44" s="492" t="s">
        <v>3501</v>
      </c>
      <c r="R44" s="492" t="s">
        <v>828</v>
      </c>
      <c r="S44" s="492" t="s">
        <v>1015</v>
      </c>
      <c r="T44" s="492">
        <v>1005.1</v>
      </c>
      <c r="U44" s="492" t="s">
        <v>857</v>
      </c>
      <c r="V44" s="492" t="s">
        <v>1016</v>
      </c>
      <c r="W44" s="492" t="s">
        <v>1017</v>
      </c>
      <c r="X44" s="492" t="s">
        <v>3502</v>
      </c>
      <c r="Y44" s="492" t="s">
        <v>1016</v>
      </c>
      <c r="Z44" s="492" t="s">
        <v>1017</v>
      </c>
      <c r="AA44" s="492" t="s">
        <v>3502</v>
      </c>
      <c r="AB44" s="492" t="s">
        <v>1018</v>
      </c>
      <c r="AC44" s="492" t="s">
        <v>830</v>
      </c>
      <c r="AD44" s="492" t="s">
        <v>831</v>
      </c>
      <c r="AE44" s="492" t="s">
        <v>612</v>
      </c>
      <c r="AF44" s="492" t="s">
        <v>2054</v>
      </c>
      <c r="AG44" s="492" t="s">
        <v>34</v>
      </c>
      <c r="AH44" s="492" t="s">
        <v>34</v>
      </c>
      <c r="AI44" s="492" t="s">
        <v>34</v>
      </c>
      <c r="AJ44" s="492" t="s">
        <v>34</v>
      </c>
      <c r="AK44" s="492" t="s">
        <v>832</v>
      </c>
      <c r="AL44" s="492" t="s">
        <v>34</v>
      </c>
      <c r="AM44" s="61" t="s">
        <v>3441</v>
      </c>
      <c r="AN44" s="490">
        <v>0</v>
      </c>
      <c r="AO44" s="490">
        <v>0</v>
      </c>
      <c r="AP44" s="61"/>
      <c r="CE44" s="401"/>
      <c r="CG44" s="401"/>
      <c r="CI44" s="401"/>
      <c r="CJ44" s="401"/>
    </row>
    <row r="45" spans="1:88" x14ac:dyDescent="0.2">
      <c r="A45" s="61">
        <v>44</v>
      </c>
      <c r="B45" s="491" t="s">
        <v>292</v>
      </c>
      <c r="C45" s="492" t="s">
        <v>3282</v>
      </c>
      <c r="D45" s="492" t="s">
        <v>3283</v>
      </c>
      <c r="E45" s="492" t="s">
        <v>719</v>
      </c>
      <c r="F45" s="492" t="s">
        <v>720</v>
      </c>
      <c r="G45" s="492" t="s">
        <v>34</v>
      </c>
      <c r="H45" s="492" t="s">
        <v>3284</v>
      </c>
      <c r="I45" s="492" t="s">
        <v>4270</v>
      </c>
      <c r="J45" s="492" t="s">
        <v>823</v>
      </c>
      <c r="K45" s="492" t="s">
        <v>670</v>
      </c>
      <c r="L45" s="492" t="s">
        <v>3285</v>
      </c>
      <c r="M45" s="492" t="s">
        <v>3286</v>
      </c>
      <c r="N45" s="492" t="s">
        <v>3282</v>
      </c>
      <c r="O45" s="492" t="s">
        <v>1106</v>
      </c>
      <c r="P45" s="492" t="s">
        <v>3287</v>
      </c>
      <c r="Q45" s="492" t="s">
        <v>3503</v>
      </c>
      <c r="R45" s="492" t="s">
        <v>929</v>
      </c>
      <c r="S45" s="492" t="s">
        <v>1245</v>
      </c>
      <c r="T45" s="492">
        <v>116</v>
      </c>
      <c r="U45" s="492" t="s">
        <v>858</v>
      </c>
      <c r="V45" s="492" t="s">
        <v>3288</v>
      </c>
      <c r="W45" s="492">
        <v>8270792</v>
      </c>
      <c r="X45" s="492" t="s">
        <v>3502</v>
      </c>
      <c r="Y45" s="492" t="s">
        <v>3289</v>
      </c>
      <c r="Z45" s="492" t="s">
        <v>1006</v>
      </c>
      <c r="AA45" s="492" t="s">
        <v>3502</v>
      </c>
      <c r="AB45" s="492" t="s">
        <v>34</v>
      </c>
      <c r="AC45" s="492" t="s">
        <v>830</v>
      </c>
      <c r="AD45" s="492" t="s">
        <v>831</v>
      </c>
      <c r="AE45" s="492" t="s">
        <v>612</v>
      </c>
      <c r="AF45" s="492" t="s">
        <v>2054</v>
      </c>
      <c r="AG45" s="492" t="s">
        <v>2054</v>
      </c>
      <c r="AH45" s="492" t="s">
        <v>2054</v>
      </c>
      <c r="AI45" s="492" t="s">
        <v>2054</v>
      </c>
      <c r="AJ45" s="492" t="s">
        <v>2054</v>
      </c>
      <c r="AK45" s="492" t="s">
        <v>832</v>
      </c>
      <c r="AL45" s="492" t="s">
        <v>34</v>
      </c>
      <c r="AM45" s="61" t="s">
        <v>3441</v>
      </c>
      <c r="AN45" s="490">
        <v>0</v>
      </c>
      <c r="AO45" s="490">
        <v>0</v>
      </c>
      <c r="AP45" s="61"/>
      <c r="CE45" s="401"/>
      <c r="CG45" s="401"/>
      <c r="CI45" s="401"/>
      <c r="CJ45" s="401"/>
    </row>
    <row r="46" spans="1:88" x14ac:dyDescent="0.2">
      <c r="A46" s="61">
        <v>45</v>
      </c>
      <c r="B46" s="491" t="s">
        <v>292</v>
      </c>
      <c r="C46" s="492" t="s">
        <v>275</v>
      </c>
      <c r="D46" s="492" t="s">
        <v>2646</v>
      </c>
      <c r="E46" s="492" t="s">
        <v>719</v>
      </c>
      <c r="F46" s="492" t="s">
        <v>720</v>
      </c>
      <c r="G46" s="492" t="s">
        <v>34</v>
      </c>
      <c r="H46" s="492" t="s">
        <v>835</v>
      </c>
      <c r="I46" s="492" t="s">
        <v>4270</v>
      </c>
      <c r="J46" s="492" t="s">
        <v>823</v>
      </c>
      <c r="K46" s="492" t="s">
        <v>999</v>
      </c>
      <c r="L46" s="492" t="s">
        <v>962</v>
      </c>
      <c r="M46" s="492" t="s">
        <v>1000</v>
      </c>
      <c r="N46" s="492" t="s">
        <v>1000</v>
      </c>
      <c r="O46" s="492" t="s">
        <v>4271</v>
      </c>
      <c r="P46" s="492" t="s">
        <v>1001</v>
      </c>
      <c r="Q46" s="492" t="s">
        <v>3501</v>
      </c>
      <c r="R46" s="492" t="s">
        <v>1002</v>
      </c>
      <c r="S46" s="492" t="s">
        <v>1003</v>
      </c>
      <c r="T46" s="492">
        <v>509.8</v>
      </c>
      <c r="U46" s="492" t="s">
        <v>857</v>
      </c>
      <c r="V46" s="492" t="s">
        <v>1004</v>
      </c>
      <c r="W46" s="492">
        <v>8310260</v>
      </c>
      <c r="X46" s="492" t="s">
        <v>3502</v>
      </c>
      <c r="Y46" s="492" t="s">
        <v>1005</v>
      </c>
      <c r="Z46" s="492" t="s">
        <v>1006</v>
      </c>
      <c r="AA46" s="492" t="s">
        <v>3502</v>
      </c>
      <c r="AB46" s="492" t="s">
        <v>1007</v>
      </c>
      <c r="AC46" s="492" t="s">
        <v>830</v>
      </c>
      <c r="AD46" s="492" t="s">
        <v>831</v>
      </c>
      <c r="AE46" s="492" t="s">
        <v>612</v>
      </c>
      <c r="AF46" s="492">
        <v>25.5</v>
      </c>
      <c r="AG46" s="492">
        <v>135</v>
      </c>
      <c r="AH46" s="492">
        <v>32.4</v>
      </c>
      <c r="AI46" s="492" t="s">
        <v>34</v>
      </c>
      <c r="AJ46" s="492" t="s">
        <v>34</v>
      </c>
      <c r="AK46" s="492" t="s">
        <v>832</v>
      </c>
      <c r="AL46" s="492" t="s">
        <v>34</v>
      </c>
      <c r="AM46" s="61" t="s">
        <v>3441</v>
      </c>
      <c r="AN46" s="490">
        <v>0</v>
      </c>
      <c r="AO46" s="490">
        <v>0</v>
      </c>
      <c r="AP46" s="61"/>
      <c r="CE46" s="401"/>
      <c r="CG46" s="401"/>
      <c r="CI46" s="401"/>
      <c r="CJ46" s="401"/>
    </row>
    <row r="47" spans="1:88" x14ac:dyDescent="0.2">
      <c r="A47" s="61">
        <v>46</v>
      </c>
      <c r="B47" s="491" t="s">
        <v>296</v>
      </c>
      <c r="C47" s="492" t="s">
        <v>298</v>
      </c>
      <c r="D47" s="492" t="s">
        <v>2647</v>
      </c>
      <c r="E47" s="492" t="s">
        <v>721</v>
      </c>
      <c r="F47" s="492" t="s">
        <v>722</v>
      </c>
      <c r="G47" s="492" t="s">
        <v>34</v>
      </c>
      <c r="H47" s="492" t="s">
        <v>835</v>
      </c>
      <c r="I47" s="492" t="s">
        <v>4270</v>
      </c>
      <c r="J47" s="492" t="s">
        <v>823</v>
      </c>
      <c r="K47" s="492" t="s">
        <v>467</v>
      </c>
      <c r="L47" s="492" t="s">
        <v>1029</v>
      </c>
      <c r="M47" s="492">
        <v>3199</v>
      </c>
      <c r="N47" s="492" t="s">
        <v>298</v>
      </c>
      <c r="O47" s="492" t="s">
        <v>4273</v>
      </c>
      <c r="P47" s="492" t="s">
        <v>1030</v>
      </c>
      <c r="Q47" s="492" t="s">
        <v>3503</v>
      </c>
      <c r="R47" s="492" t="s">
        <v>828</v>
      </c>
      <c r="S47" s="492" t="s">
        <v>1031</v>
      </c>
      <c r="T47" s="492">
        <v>258.89999999999998</v>
      </c>
      <c r="U47" s="492" t="s">
        <v>855</v>
      </c>
      <c r="V47" s="492" t="s">
        <v>913</v>
      </c>
      <c r="W47" s="492" t="s">
        <v>1032</v>
      </c>
      <c r="X47" s="492" t="s">
        <v>3502</v>
      </c>
      <c r="Y47" s="492" t="s">
        <v>1026</v>
      </c>
      <c r="Z47" s="492" t="s">
        <v>1027</v>
      </c>
      <c r="AA47" s="492" t="s">
        <v>3502</v>
      </c>
      <c r="AB47" s="492" t="s">
        <v>34</v>
      </c>
      <c r="AC47" s="492" t="s">
        <v>830</v>
      </c>
      <c r="AD47" s="492" t="s">
        <v>831</v>
      </c>
      <c r="AE47" s="492" t="s">
        <v>612</v>
      </c>
      <c r="AF47" s="492">
        <v>6.7</v>
      </c>
      <c r="AG47" s="492">
        <v>99</v>
      </c>
      <c r="AH47" s="492">
        <v>16</v>
      </c>
      <c r="AI47" s="492" t="s">
        <v>34</v>
      </c>
      <c r="AJ47" s="492" t="s">
        <v>34</v>
      </c>
      <c r="AK47" s="492" t="s">
        <v>832</v>
      </c>
      <c r="AL47" s="492" t="s">
        <v>34</v>
      </c>
      <c r="AM47" s="61" t="s">
        <v>3444</v>
      </c>
      <c r="AN47" s="490">
        <v>1.4583333333333332E-2</v>
      </c>
      <c r="AO47" s="490">
        <v>0</v>
      </c>
      <c r="AP47" s="61"/>
      <c r="CE47" s="401"/>
      <c r="CG47" s="401"/>
      <c r="CI47" s="401"/>
      <c r="CJ47" s="401"/>
    </row>
    <row r="48" spans="1:88" x14ac:dyDescent="0.2">
      <c r="A48" s="61">
        <v>47</v>
      </c>
      <c r="B48" s="491" t="s">
        <v>296</v>
      </c>
      <c r="C48" s="492" t="s">
        <v>301</v>
      </c>
      <c r="D48" s="492" t="s">
        <v>2648</v>
      </c>
      <c r="E48" s="492" t="s">
        <v>721</v>
      </c>
      <c r="F48" s="492" t="s">
        <v>722</v>
      </c>
      <c r="G48" s="492" t="s">
        <v>34</v>
      </c>
      <c r="H48" s="492" t="s">
        <v>835</v>
      </c>
      <c r="I48" s="492" t="s">
        <v>4270</v>
      </c>
      <c r="J48" s="492" t="s">
        <v>823</v>
      </c>
      <c r="K48" s="492" t="s">
        <v>1050</v>
      </c>
      <c r="L48" s="492" t="s">
        <v>1051</v>
      </c>
      <c r="M48" s="492">
        <v>1240</v>
      </c>
      <c r="N48" s="492" t="s">
        <v>301</v>
      </c>
      <c r="O48" s="492" t="s">
        <v>4273</v>
      </c>
      <c r="P48" s="492" t="s">
        <v>1030</v>
      </c>
      <c r="Q48" s="492" t="s">
        <v>3503</v>
      </c>
      <c r="R48" s="492" t="s">
        <v>828</v>
      </c>
      <c r="S48" s="492" t="s">
        <v>1052</v>
      </c>
      <c r="T48" s="492">
        <v>12.9</v>
      </c>
      <c r="U48" s="492" t="s">
        <v>855</v>
      </c>
      <c r="V48" s="492" t="s">
        <v>913</v>
      </c>
      <c r="W48" s="492" t="s">
        <v>1053</v>
      </c>
      <c r="X48" s="492" t="s">
        <v>3502</v>
      </c>
      <c r="Y48" s="492" t="s">
        <v>1026</v>
      </c>
      <c r="Z48" s="492" t="s">
        <v>3119</v>
      </c>
      <c r="AA48" s="492" t="s">
        <v>3502</v>
      </c>
      <c r="AB48" s="492" t="s">
        <v>34</v>
      </c>
      <c r="AC48" s="492" t="s">
        <v>830</v>
      </c>
      <c r="AD48" s="492" t="s">
        <v>831</v>
      </c>
      <c r="AE48" s="492" t="s">
        <v>612</v>
      </c>
      <c r="AF48" s="492">
        <v>32.200000000000003</v>
      </c>
      <c r="AG48" s="492">
        <v>277</v>
      </c>
      <c r="AH48" s="492" t="s">
        <v>3045</v>
      </c>
      <c r="AI48" s="492" t="s">
        <v>2541</v>
      </c>
      <c r="AJ48" s="492" t="s">
        <v>2542</v>
      </c>
      <c r="AK48" s="492" t="s">
        <v>832</v>
      </c>
      <c r="AL48" s="492" t="s">
        <v>34</v>
      </c>
      <c r="AM48" s="61" t="s">
        <v>3444</v>
      </c>
      <c r="AN48" s="490">
        <v>0</v>
      </c>
      <c r="AO48" s="490">
        <v>0</v>
      </c>
      <c r="AP48" s="61"/>
      <c r="CE48" s="401"/>
      <c r="CG48" s="401"/>
      <c r="CI48" s="401"/>
      <c r="CJ48" s="401"/>
    </row>
    <row r="49" spans="1:88" x14ac:dyDescent="0.2">
      <c r="A49" s="61">
        <v>48</v>
      </c>
      <c r="B49" s="491" t="s">
        <v>296</v>
      </c>
      <c r="C49" s="492" t="s">
        <v>299</v>
      </c>
      <c r="D49" s="492" t="s">
        <v>2649</v>
      </c>
      <c r="E49" s="492" t="s">
        <v>721</v>
      </c>
      <c r="F49" s="492" t="s">
        <v>722</v>
      </c>
      <c r="G49" s="492" t="s">
        <v>34</v>
      </c>
      <c r="H49" s="492" t="s">
        <v>835</v>
      </c>
      <c r="I49" s="492" t="s">
        <v>4270</v>
      </c>
      <c r="J49" s="492" t="s">
        <v>613</v>
      </c>
      <c r="K49" s="492" t="s">
        <v>1062</v>
      </c>
      <c r="L49" s="492" t="s">
        <v>108</v>
      </c>
      <c r="M49" s="492" t="s">
        <v>1063</v>
      </c>
      <c r="N49" s="492" t="s">
        <v>299</v>
      </c>
      <c r="O49" s="492" t="s">
        <v>305</v>
      </c>
      <c r="P49" s="492">
        <v>0</v>
      </c>
      <c r="Q49" s="492">
        <v>0</v>
      </c>
      <c r="R49" s="492">
        <v>0</v>
      </c>
      <c r="S49" s="492">
        <v>0</v>
      </c>
      <c r="T49" s="492">
        <v>0</v>
      </c>
      <c r="U49" s="492">
        <v>0</v>
      </c>
      <c r="V49" s="492">
        <v>0</v>
      </c>
      <c r="W49" s="492">
        <v>0</v>
      </c>
      <c r="X49" s="492">
        <v>0</v>
      </c>
      <c r="Y49" s="492">
        <v>0</v>
      </c>
      <c r="Z49" s="492">
        <v>0</v>
      </c>
      <c r="AA49" s="492">
        <v>0</v>
      </c>
      <c r="AB49" s="492" t="s">
        <v>34</v>
      </c>
      <c r="AC49" s="492" t="s">
        <v>830</v>
      </c>
      <c r="AD49" s="492" t="s">
        <v>831</v>
      </c>
      <c r="AE49" s="492" t="s">
        <v>612</v>
      </c>
      <c r="AF49" s="492" t="s">
        <v>2054</v>
      </c>
      <c r="AG49" s="492" t="s">
        <v>34</v>
      </c>
      <c r="AH49" s="492" t="s">
        <v>34</v>
      </c>
      <c r="AI49" s="492" t="s">
        <v>34</v>
      </c>
      <c r="AJ49" s="492" t="s">
        <v>34</v>
      </c>
      <c r="AK49" s="492" t="s">
        <v>832</v>
      </c>
      <c r="AL49" s="492" t="s">
        <v>34</v>
      </c>
      <c r="AM49" s="61" t="s">
        <v>3445</v>
      </c>
      <c r="AN49" s="490">
        <v>0</v>
      </c>
      <c r="AO49" s="490">
        <v>0</v>
      </c>
      <c r="AP49" s="61"/>
      <c r="CE49" s="401"/>
      <c r="CG49" s="401"/>
      <c r="CI49" s="401"/>
      <c r="CJ49" s="401"/>
    </row>
    <row r="50" spans="1:88" x14ac:dyDescent="0.2">
      <c r="A50" s="61">
        <v>49</v>
      </c>
      <c r="B50" s="491" t="s">
        <v>296</v>
      </c>
      <c r="C50" s="492" t="s">
        <v>614</v>
      </c>
      <c r="D50" s="492" t="s">
        <v>2650</v>
      </c>
      <c r="E50" s="492" t="s">
        <v>721</v>
      </c>
      <c r="F50" s="492" t="s">
        <v>722</v>
      </c>
      <c r="G50" s="492" t="s">
        <v>34</v>
      </c>
      <c r="H50" s="492" t="s">
        <v>835</v>
      </c>
      <c r="I50" s="492" t="s">
        <v>4270</v>
      </c>
      <c r="J50" s="492" t="s">
        <v>823</v>
      </c>
      <c r="K50" s="492" t="s">
        <v>1033</v>
      </c>
      <c r="L50" s="492" t="s">
        <v>962</v>
      </c>
      <c r="M50" s="492" t="s">
        <v>614</v>
      </c>
      <c r="N50" s="492" t="s">
        <v>614</v>
      </c>
      <c r="O50" s="492" t="s">
        <v>4271</v>
      </c>
      <c r="P50" s="492" t="s">
        <v>1034</v>
      </c>
      <c r="Q50" s="492" t="s">
        <v>3501</v>
      </c>
      <c r="R50" s="492" t="s">
        <v>1002</v>
      </c>
      <c r="S50" s="492" t="s">
        <v>1035</v>
      </c>
      <c r="T50" s="492">
        <v>385</v>
      </c>
      <c r="U50" s="492" t="s">
        <v>855</v>
      </c>
      <c r="V50" s="492" t="s">
        <v>1036</v>
      </c>
      <c r="W50" s="492" t="s">
        <v>1037</v>
      </c>
      <c r="X50" s="492" t="s">
        <v>3502</v>
      </c>
      <c r="Y50" s="492" t="s">
        <v>1038</v>
      </c>
      <c r="Z50" s="492">
        <v>27289</v>
      </c>
      <c r="AA50" s="492" t="s">
        <v>3502</v>
      </c>
      <c r="AB50" s="492" t="s">
        <v>34</v>
      </c>
      <c r="AC50" s="492" t="s">
        <v>830</v>
      </c>
      <c r="AD50" s="492" t="s">
        <v>831</v>
      </c>
      <c r="AE50" s="492" t="s">
        <v>612</v>
      </c>
      <c r="AF50" s="492">
        <v>3.2</v>
      </c>
      <c r="AG50" s="492">
        <v>349</v>
      </c>
      <c r="AH50" s="492">
        <v>58</v>
      </c>
      <c r="AI50" s="492" t="s">
        <v>34</v>
      </c>
      <c r="AJ50" s="492" t="s">
        <v>34</v>
      </c>
      <c r="AK50" s="492" t="s">
        <v>832</v>
      </c>
      <c r="AL50" s="492" t="s">
        <v>34</v>
      </c>
      <c r="AM50" s="61" t="s">
        <v>3441</v>
      </c>
      <c r="AN50" s="490">
        <v>1.4583333333333332E-2</v>
      </c>
      <c r="AO50" s="490">
        <v>2.1527777777777781E-2</v>
      </c>
      <c r="AP50" s="61"/>
      <c r="CE50" s="401"/>
      <c r="CG50" s="401"/>
      <c r="CI50" s="401"/>
      <c r="CJ50" s="401"/>
    </row>
    <row r="51" spans="1:88" x14ac:dyDescent="0.2">
      <c r="A51" s="61">
        <v>50</v>
      </c>
      <c r="B51" s="491" t="s">
        <v>296</v>
      </c>
      <c r="C51" s="492" t="s">
        <v>300</v>
      </c>
      <c r="D51" s="492" t="s">
        <v>2651</v>
      </c>
      <c r="E51" s="492" t="s">
        <v>721</v>
      </c>
      <c r="F51" s="492" t="s">
        <v>722</v>
      </c>
      <c r="G51" s="492" t="s">
        <v>34</v>
      </c>
      <c r="H51" s="492" t="s">
        <v>835</v>
      </c>
      <c r="I51" s="492" t="s">
        <v>4270</v>
      </c>
      <c r="J51" s="492" t="s">
        <v>823</v>
      </c>
      <c r="K51" s="492" t="s">
        <v>1054</v>
      </c>
      <c r="L51" s="492" t="s">
        <v>1055</v>
      </c>
      <c r="M51" s="492" t="s">
        <v>1056</v>
      </c>
      <c r="N51" s="492" t="s">
        <v>300</v>
      </c>
      <c r="O51" s="492" t="s">
        <v>4274</v>
      </c>
      <c r="P51" s="492" t="s">
        <v>1057</v>
      </c>
      <c r="Q51" s="492" t="s">
        <v>3527</v>
      </c>
      <c r="R51" s="492" t="s">
        <v>828</v>
      </c>
      <c r="S51" s="492" t="s">
        <v>1058</v>
      </c>
      <c r="T51" s="492">
        <v>28.8</v>
      </c>
      <c r="U51" s="492" t="s">
        <v>857</v>
      </c>
      <c r="V51" s="492" t="s">
        <v>1059</v>
      </c>
      <c r="W51" s="492" t="s">
        <v>1060</v>
      </c>
      <c r="X51" s="492" t="s">
        <v>3528</v>
      </c>
      <c r="Y51" s="492" t="s">
        <v>1038</v>
      </c>
      <c r="Z51" s="492" t="s">
        <v>1061</v>
      </c>
      <c r="AA51" s="492" t="s">
        <v>3528</v>
      </c>
      <c r="AB51" s="492" t="s">
        <v>34</v>
      </c>
      <c r="AC51" s="492" t="s">
        <v>830</v>
      </c>
      <c r="AD51" s="492" t="s">
        <v>831</v>
      </c>
      <c r="AE51" s="492" t="s">
        <v>612</v>
      </c>
      <c r="AF51" s="492">
        <v>1</v>
      </c>
      <c r="AG51" s="492">
        <v>3</v>
      </c>
      <c r="AH51" s="492">
        <v>0.5</v>
      </c>
      <c r="AI51" s="492" t="s">
        <v>2539</v>
      </c>
      <c r="AJ51" s="492" t="s">
        <v>2540</v>
      </c>
      <c r="AK51" s="492" t="s">
        <v>832</v>
      </c>
      <c r="AL51" s="492" t="s">
        <v>34</v>
      </c>
      <c r="AM51" s="61" t="s">
        <v>3444</v>
      </c>
      <c r="AN51" s="490">
        <v>0</v>
      </c>
      <c r="AO51" s="490">
        <v>0</v>
      </c>
      <c r="AP51" s="61"/>
      <c r="CE51" s="401"/>
      <c r="CG51" s="401"/>
      <c r="CI51" s="401"/>
      <c r="CJ51" s="401"/>
    </row>
    <row r="52" spans="1:88" x14ac:dyDescent="0.2">
      <c r="A52" s="61">
        <v>51</v>
      </c>
      <c r="B52" s="491" t="s">
        <v>296</v>
      </c>
      <c r="C52" s="492" t="s">
        <v>293</v>
      </c>
      <c r="D52" s="492" t="s">
        <v>2652</v>
      </c>
      <c r="E52" s="492" t="s">
        <v>721</v>
      </c>
      <c r="F52" s="492" t="s">
        <v>722</v>
      </c>
      <c r="G52" s="492" t="s">
        <v>34</v>
      </c>
      <c r="H52" s="492" t="s">
        <v>835</v>
      </c>
      <c r="I52" s="492" t="s">
        <v>4270</v>
      </c>
      <c r="J52" s="492" t="s">
        <v>823</v>
      </c>
      <c r="K52" s="492">
        <v>0</v>
      </c>
      <c r="L52" s="492">
        <v>0</v>
      </c>
      <c r="M52" s="492">
        <v>0</v>
      </c>
      <c r="N52" s="492">
        <v>0</v>
      </c>
      <c r="O52" s="492">
        <v>0</v>
      </c>
      <c r="P52" s="492">
        <v>0</v>
      </c>
      <c r="Q52" s="492">
        <v>0</v>
      </c>
      <c r="R52" s="492">
        <v>0</v>
      </c>
      <c r="S52" s="492">
        <v>0</v>
      </c>
      <c r="T52" s="492">
        <v>0</v>
      </c>
      <c r="U52" s="492">
        <v>0</v>
      </c>
      <c r="V52" s="492">
        <v>0</v>
      </c>
      <c r="W52" s="492">
        <v>0</v>
      </c>
      <c r="X52" s="492">
        <v>0</v>
      </c>
      <c r="Y52" s="492">
        <v>0</v>
      </c>
      <c r="Z52" s="492">
        <v>0</v>
      </c>
      <c r="AA52" s="492">
        <v>0</v>
      </c>
      <c r="AB52" s="492" t="s">
        <v>34</v>
      </c>
      <c r="AC52" s="492" t="s">
        <v>830</v>
      </c>
      <c r="AD52" s="492" t="s">
        <v>831</v>
      </c>
      <c r="AE52" s="492" t="s">
        <v>612</v>
      </c>
      <c r="AF52" s="492" t="s">
        <v>2054</v>
      </c>
      <c r="AG52" s="492" t="s">
        <v>34</v>
      </c>
      <c r="AH52" s="492" t="s">
        <v>34</v>
      </c>
      <c r="AI52" s="492" t="s">
        <v>34</v>
      </c>
      <c r="AJ52" s="492" t="s">
        <v>34</v>
      </c>
      <c r="AK52" s="492" t="s">
        <v>832</v>
      </c>
      <c r="AL52" s="492" t="s">
        <v>34</v>
      </c>
      <c r="AM52" s="61" t="s">
        <v>3441</v>
      </c>
      <c r="AN52" s="490">
        <v>0</v>
      </c>
      <c r="AO52" s="490">
        <v>0</v>
      </c>
      <c r="AP52" s="61"/>
      <c r="CE52" s="401"/>
      <c r="CG52" s="401"/>
      <c r="CI52" s="401"/>
      <c r="CJ52" s="401"/>
    </row>
    <row r="53" spans="1:88" x14ac:dyDescent="0.2">
      <c r="A53" s="61">
        <v>52</v>
      </c>
      <c r="B53" s="491" t="s">
        <v>296</v>
      </c>
      <c r="C53" s="492" t="s">
        <v>615</v>
      </c>
      <c r="D53" s="492" t="s">
        <v>2653</v>
      </c>
      <c r="E53" s="492" t="s">
        <v>721</v>
      </c>
      <c r="F53" s="492" t="s">
        <v>722</v>
      </c>
      <c r="G53" s="492" t="s">
        <v>34</v>
      </c>
      <c r="H53" s="492" t="s">
        <v>835</v>
      </c>
      <c r="I53" s="492" t="s">
        <v>4270</v>
      </c>
      <c r="J53" s="492" t="s">
        <v>823</v>
      </c>
      <c r="K53" s="492" t="s">
        <v>409</v>
      </c>
      <c r="L53" s="492" t="s">
        <v>826</v>
      </c>
      <c r="M53" s="492" t="s">
        <v>615</v>
      </c>
      <c r="N53" s="492" t="s">
        <v>615</v>
      </c>
      <c r="O53" s="492" t="s">
        <v>305</v>
      </c>
      <c r="P53" s="492" t="s">
        <v>1046</v>
      </c>
      <c r="Q53" s="492" t="s">
        <v>3514</v>
      </c>
      <c r="R53" s="492" t="s">
        <v>929</v>
      </c>
      <c r="S53" s="492" t="s">
        <v>1047</v>
      </c>
      <c r="T53" s="492">
        <v>48.6</v>
      </c>
      <c r="U53" s="492" t="s">
        <v>857</v>
      </c>
      <c r="V53" s="492" t="s">
        <v>1048</v>
      </c>
      <c r="W53" s="492" t="s">
        <v>1049</v>
      </c>
      <c r="X53" s="492" t="s">
        <v>3502</v>
      </c>
      <c r="Y53" s="492" t="s">
        <v>108</v>
      </c>
      <c r="Z53" s="492" t="s">
        <v>108</v>
      </c>
      <c r="AA53" s="492" t="s">
        <v>108</v>
      </c>
      <c r="AB53" s="492" t="s">
        <v>34</v>
      </c>
      <c r="AC53" s="492" t="s">
        <v>830</v>
      </c>
      <c r="AD53" s="492" t="s">
        <v>831</v>
      </c>
      <c r="AE53" s="492" t="s">
        <v>612</v>
      </c>
      <c r="AF53" s="492">
        <v>0</v>
      </c>
      <c r="AG53" s="492" t="s">
        <v>3474</v>
      </c>
      <c r="AH53" s="492" t="s">
        <v>3475</v>
      </c>
      <c r="AI53" s="492" t="s">
        <v>3476</v>
      </c>
      <c r="AJ53" s="492" t="s">
        <v>34</v>
      </c>
      <c r="AK53" s="492" t="s">
        <v>832</v>
      </c>
      <c r="AL53" s="492" t="s">
        <v>34</v>
      </c>
      <c r="AM53" s="61" t="s">
        <v>3441</v>
      </c>
      <c r="AN53" s="490">
        <v>0</v>
      </c>
      <c r="AO53" s="490">
        <v>0</v>
      </c>
      <c r="AP53" s="61"/>
      <c r="CE53" s="401"/>
      <c r="CG53" s="401"/>
      <c r="CI53" s="401"/>
      <c r="CJ53" s="401"/>
    </row>
    <row r="54" spans="1:88" x14ac:dyDescent="0.2">
      <c r="A54" s="61">
        <v>53</v>
      </c>
      <c r="B54" s="491" t="s">
        <v>296</v>
      </c>
      <c r="C54" s="492" t="s">
        <v>303</v>
      </c>
      <c r="D54" s="492" t="s">
        <v>2654</v>
      </c>
      <c r="E54" s="492" t="s">
        <v>721</v>
      </c>
      <c r="F54" s="492" t="s">
        <v>722</v>
      </c>
      <c r="G54" s="492" t="s">
        <v>34</v>
      </c>
      <c r="H54" s="492" t="s">
        <v>835</v>
      </c>
      <c r="I54" s="492" t="s">
        <v>4270</v>
      </c>
      <c r="J54" s="492" t="s">
        <v>613</v>
      </c>
      <c r="K54" s="492" t="s">
        <v>366</v>
      </c>
      <c r="L54" s="492" t="s">
        <v>950</v>
      </c>
      <c r="M54" s="492" t="s">
        <v>303</v>
      </c>
      <c r="N54" s="492" t="s">
        <v>303</v>
      </c>
      <c r="O54" s="492" t="s">
        <v>305</v>
      </c>
      <c r="P54" s="492" t="s">
        <v>1042</v>
      </c>
      <c r="Q54" s="492" t="s">
        <v>3499</v>
      </c>
      <c r="R54" s="492" t="s">
        <v>892</v>
      </c>
      <c r="S54" s="492" t="s">
        <v>1043</v>
      </c>
      <c r="T54" s="492">
        <v>540</v>
      </c>
      <c r="U54" s="492" t="s">
        <v>858</v>
      </c>
      <c r="V54" s="492" t="s">
        <v>1044</v>
      </c>
      <c r="W54" s="492" t="s">
        <v>1045</v>
      </c>
      <c r="X54" s="492" t="s">
        <v>3502</v>
      </c>
      <c r="Y54" s="492" t="s">
        <v>108</v>
      </c>
      <c r="Z54" s="492" t="s">
        <v>108</v>
      </c>
      <c r="AA54" s="492" t="s">
        <v>108</v>
      </c>
      <c r="AB54" s="492" t="s">
        <v>34</v>
      </c>
      <c r="AC54" s="492" t="s">
        <v>830</v>
      </c>
      <c r="AD54" s="492" t="s">
        <v>831</v>
      </c>
      <c r="AE54" s="492" t="s">
        <v>612</v>
      </c>
      <c r="AF54" s="492" t="s">
        <v>2054</v>
      </c>
      <c r="AG54" s="492" t="s">
        <v>34</v>
      </c>
      <c r="AH54" s="492" t="s">
        <v>34</v>
      </c>
      <c r="AI54" s="492" t="s">
        <v>34</v>
      </c>
      <c r="AJ54" s="492" t="s">
        <v>34</v>
      </c>
      <c r="AK54" s="492" t="s">
        <v>832</v>
      </c>
      <c r="AL54" s="492" t="s">
        <v>34</v>
      </c>
      <c r="AM54" s="61" t="s">
        <v>3441</v>
      </c>
      <c r="AN54" s="490">
        <v>0</v>
      </c>
      <c r="AO54" s="490">
        <v>0</v>
      </c>
      <c r="AP54" s="61"/>
      <c r="CE54" s="401"/>
      <c r="CG54" s="401"/>
      <c r="CI54" s="401"/>
      <c r="CJ54" s="401"/>
    </row>
    <row r="55" spans="1:88" x14ac:dyDescent="0.2">
      <c r="A55" s="61">
        <v>54</v>
      </c>
      <c r="B55" s="491" t="s">
        <v>296</v>
      </c>
      <c r="C55" s="492" t="s">
        <v>302</v>
      </c>
      <c r="D55" s="492" t="s">
        <v>2655</v>
      </c>
      <c r="E55" s="492" t="s">
        <v>721</v>
      </c>
      <c r="F55" s="492" t="s">
        <v>722</v>
      </c>
      <c r="G55" s="492" t="s">
        <v>34</v>
      </c>
      <c r="H55" s="492" t="s">
        <v>835</v>
      </c>
      <c r="I55" s="492" t="s">
        <v>4270</v>
      </c>
      <c r="J55" s="492" t="s">
        <v>613</v>
      </c>
      <c r="K55" s="492" t="s">
        <v>480</v>
      </c>
      <c r="L55" s="492" t="s">
        <v>1039</v>
      </c>
      <c r="M55" s="492">
        <v>79175</v>
      </c>
      <c r="N55" s="492" t="s">
        <v>302</v>
      </c>
      <c r="O55" s="492" t="s">
        <v>4275</v>
      </c>
      <c r="P55" s="492" t="s">
        <v>1040</v>
      </c>
      <c r="Q55" s="492" t="s">
        <v>3501</v>
      </c>
      <c r="R55" s="492" t="s">
        <v>929</v>
      </c>
      <c r="S55" s="492" t="s">
        <v>1041</v>
      </c>
      <c r="T55" s="492">
        <v>172.5</v>
      </c>
      <c r="U55" s="492" t="s">
        <v>855</v>
      </c>
      <c r="V55" s="492" t="s">
        <v>1248</v>
      </c>
      <c r="W55" s="492" t="s">
        <v>3633</v>
      </c>
      <c r="X55" s="492" t="s">
        <v>3502</v>
      </c>
      <c r="Y55" s="492" t="s">
        <v>1026</v>
      </c>
      <c r="Z55" s="492" t="s">
        <v>1027</v>
      </c>
      <c r="AA55" s="492" t="s">
        <v>3502</v>
      </c>
      <c r="AB55" s="492" t="s">
        <v>34</v>
      </c>
      <c r="AC55" s="492" t="s">
        <v>830</v>
      </c>
      <c r="AD55" s="492" t="s">
        <v>831</v>
      </c>
      <c r="AE55" s="492" t="s">
        <v>612</v>
      </c>
      <c r="AF55" s="492" t="s">
        <v>2054</v>
      </c>
      <c r="AG55" s="492" t="s">
        <v>34</v>
      </c>
      <c r="AH55" s="492" t="s">
        <v>34</v>
      </c>
      <c r="AI55" s="492" t="s">
        <v>34</v>
      </c>
      <c r="AJ55" s="492" t="s">
        <v>34</v>
      </c>
      <c r="AK55" s="492" t="s">
        <v>832</v>
      </c>
      <c r="AL55" s="492" t="s">
        <v>34</v>
      </c>
      <c r="AM55" s="61" t="s">
        <v>3441</v>
      </c>
      <c r="AN55" s="490">
        <v>0</v>
      </c>
      <c r="AO55" s="490">
        <v>0</v>
      </c>
      <c r="AP55" s="61"/>
      <c r="CE55" s="401"/>
      <c r="CG55" s="401"/>
      <c r="CI55" s="401"/>
      <c r="CJ55" s="401"/>
    </row>
    <row r="56" spans="1:88" x14ac:dyDescent="0.2">
      <c r="A56" s="61">
        <v>55</v>
      </c>
      <c r="B56" s="491" t="s">
        <v>296</v>
      </c>
      <c r="C56" s="492" t="s">
        <v>297</v>
      </c>
      <c r="D56" s="492" t="s">
        <v>2656</v>
      </c>
      <c r="E56" s="492" t="s">
        <v>721</v>
      </c>
      <c r="F56" s="492" t="s">
        <v>722</v>
      </c>
      <c r="G56" s="492" t="s">
        <v>34</v>
      </c>
      <c r="H56" s="492" t="s">
        <v>835</v>
      </c>
      <c r="I56" s="492" t="s">
        <v>4270</v>
      </c>
      <c r="J56" s="492" t="s">
        <v>823</v>
      </c>
      <c r="K56" s="492" t="s">
        <v>1019</v>
      </c>
      <c r="L56" s="492" t="s">
        <v>1020</v>
      </c>
      <c r="M56" s="492" t="s">
        <v>1021</v>
      </c>
      <c r="N56" s="492" t="s">
        <v>297</v>
      </c>
      <c r="O56" s="492" t="s">
        <v>4276</v>
      </c>
      <c r="P56" s="492" t="s">
        <v>1022</v>
      </c>
      <c r="Q56" s="492" t="s">
        <v>3529</v>
      </c>
      <c r="R56" s="492" t="s">
        <v>828</v>
      </c>
      <c r="S56" s="492" t="s">
        <v>1023</v>
      </c>
      <c r="T56" s="492">
        <v>182.2</v>
      </c>
      <c r="U56" s="492" t="s">
        <v>855</v>
      </c>
      <c r="V56" s="492" t="s">
        <v>1024</v>
      </c>
      <c r="W56" s="492" t="s">
        <v>1025</v>
      </c>
      <c r="X56" s="492" t="s">
        <v>3502</v>
      </c>
      <c r="Y56" s="492" t="s">
        <v>1026</v>
      </c>
      <c r="Z56" s="492" t="s">
        <v>1027</v>
      </c>
      <c r="AA56" s="492" t="s">
        <v>3502</v>
      </c>
      <c r="AB56" s="492" t="s">
        <v>1028</v>
      </c>
      <c r="AC56" s="492" t="s">
        <v>830</v>
      </c>
      <c r="AD56" s="492" t="s">
        <v>831</v>
      </c>
      <c r="AE56" s="492" t="s">
        <v>612</v>
      </c>
      <c r="AF56" s="492">
        <v>3</v>
      </c>
      <c r="AG56" s="492">
        <v>1.5</v>
      </c>
      <c r="AH56" s="492">
        <v>1</v>
      </c>
      <c r="AI56" s="492" t="s">
        <v>2537</v>
      </c>
      <c r="AJ56" s="492" t="s">
        <v>2538</v>
      </c>
      <c r="AK56" s="492" t="s">
        <v>832</v>
      </c>
      <c r="AL56" s="492" t="s">
        <v>34</v>
      </c>
      <c r="AM56" s="61" t="s">
        <v>3444</v>
      </c>
      <c r="AN56" s="490">
        <v>1.3888888888888888E-2</v>
      </c>
      <c r="AO56" s="490">
        <v>0</v>
      </c>
      <c r="AP56" s="61"/>
      <c r="CE56" s="401"/>
      <c r="CG56" s="401"/>
      <c r="CI56" s="401"/>
      <c r="CJ56" s="401"/>
    </row>
    <row r="57" spans="1:88" x14ac:dyDescent="0.2">
      <c r="A57" s="61">
        <v>56</v>
      </c>
      <c r="B57" s="491" t="s">
        <v>296</v>
      </c>
      <c r="C57" s="492" t="s">
        <v>3571</v>
      </c>
      <c r="D57" s="492" t="s">
        <v>3572</v>
      </c>
      <c r="E57" s="492" t="s">
        <v>721</v>
      </c>
      <c r="F57" s="492" t="s">
        <v>722</v>
      </c>
      <c r="G57" s="492" t="s">
        <v>34</v>
      </c>
      <c r="H57" s="492" t="s">
        <v>835</v>
      </c>
      <c r="I57" s="492" t="s">
        <v>4270</v>
      </c>
      <c r="J57" s="492" t="s">
        <v>823</v>
      </c>
      <c r="K57" s="492" t="s">
        <v>3573</v>
      </c>
      <c r="L57" s="492" t="s">
        <v>3574</v>
      </c>
      <c r="M57" s="492" t="s">
        <v>3575</v>
      </c>
      <c r="N57" s="492" t="s">
        <v>3571</v>
      </c>
      <c r="O57" s="492" t="s">
        <v>4277</v>
      </c>
      <c r="P57" s="492" t="s">
        <v>3576</v>
      </c>
      <c r="Q57" s="492" t="s">
        <v>3499</v>
      </c>
      <c r="R57" s="492" t="s">
        <v>3019</v>
      </c>
      <c r="S57" s="492" t="s">
        <v>3577</v>
      </c>
      <c r="T57" s="492">
        <v>70</v>
      </c>
      <c r="U57" s="492" t="s">
        <v>857</v>
      </c>
      <c r="V57" s="492" t="s">
        <v>3522</v>
      </c>
      <c r="W57" s="492">
        <v>26304</v>
      </c>
      <c r="X57" s="492" t="s">
        <v>3618</v>
      </c>
      <c r="Y57" s="492" t="s">
        <v>1038</v>
      </c>
      <c r="Z57" s="492" t="s">
        <v>1027</v>
      </c>
      <c r="AA57" s="492" t="s">
        <v>3618</v>
      </c>
      <c r="AB57" s="492" t="s">
        <v>34</v>
      </c>
      <c r="AC57" s="492" t="s">
        <v>830</v>
      </c>
      <c r="AD57" s="492" t="s">
        <v>831</v>
      </c>
      <c r="AE57" s="492" t="s">
        <v>612</v>
      </c>
      <c r="AF57" s="492">
        <v>111</v>
      </c>
      <c r="AG57" s="492">
        <v>208</v>
      </c>
      <c r="AH57" s="492">
        <v>35</v>
      </c>
      <c r="AI57" s="492" t="s">
        <v>3578</v>
      </c>
      <c r="AJ57" s="492" t="s">
        <v>34</v>
      </c>
      <c r="AK57" s="492" t="s">
        <v>832</v>
      </c>
      <c r="AL57" s="492" t="s">
        <v>34</v>
      </c>
      <c r="AM57" s="61" t="s">
        <v>3579</v>
      </c>
      <c r="AN57" s="490"/>
      <c r="AO57" s="490"/>
      <c r="AP57" s="61"/>
      <c r="CE57" s="401"/>
      <c r="CG57" s="401"/>
      <c r="CI57" s="401"/>
      <c r="CJ57" s="401"/>
    </row>
    <row r="58" spans="1:88" x14ac:dyDescent="0.2">
      <c r="A58" s="61">
        <v>57</v>
      </c>
      <c r="B58" s="491" t="s">
        <v>304</v>
      </c>
      <c r="C58" s="492" t="s">
        <v>306</v>
      </c>
      <c r="D58" s="492" t="s">
        <v>2657</v>
      </c>
      <c r="E58" s="492" t="s">
        <v>723</v>
      </c>
      <c r="F58" s="492" t="s">
        <v>724</v>
      </c>
      <c r="G58" s="492" t="s">
        <v>34</v>
      </c>
      <c r="H58" s="492" t="s">
        <v>835</v>
      </c>
      <c r="I58" s="492" t="s">
        <v>4270</v>
      </c>
      <c r="J58" s="492" t="s">
        <v>613</v>
      </c>
      <c r="K58" s="492" t="s">
        <v>365</v>
      </c>
      <c r="L58" s="492" t="s">
        <v>1064</v>
      </c>
      <c r="M58" s="492" t="s">
        <v>306</v>
      </c>
      <c r="N58" s="492" t="s">
        <v>306</v>
      </c>
      <c r="O58" s="492" t="s">
        <v>305</v>
      </c>
      <c r="P58" s="492" t="s">
        <v>1065</v>
      </c>
      <c r="Q58" s="492" t="s">
        <v>3501</v>
      </c>
      <c r="R58" s="492" t="s">
        <v>828</v>
      </c>
      <c r="S58" s="492" t="s">
        <v>1066</v>
      </c>
      <c r="T58" s="492">
        <v>26.4</v>
      </c>
      <c r="U58" s="492" t="s">
        <v>687</v>
      </c>
      <c r="V58" s="492" t="s">
        <v>1067</v>
      </c>
      <c r="W58" s="492" t="s">
        <v>1068</v>
      </c>
      <c r="X58" s="492" t="s">
        <v>3502</v>
      </c>
      <c r="Y58" s="492" t="s">
        <v>108</v>
      </c>
      <c r="Z58" s="492" t="s">
        <v>108</v>
      </c>
      <c r="AA58" s="492" t="s">
        <v>108</v>
      </c>
      <c r="AB58" s="492" t="s">
        <v>34</v>
      </c>
      <c r="AC58" s="492" t="s">
        <v>830</v>
      </c>
      <c r="AD58" s="492" t="s">
        <v>831</v>
      </c>
      <c r="AE58" s="492" t="s">
        <v>612</v>
      </c>
      <c r="AF58" s="492" t="s">
        <v>2054</v>
      </c>
      <c r="AG58" s="492" t="s">
        <v>34</v>
      </c>
      <c r="AH58" s="492" t="s">
        <v>34</v>
      </c>
      <c r="AI58" s="492" t="s">
        <v>34</v>
      </c>
      <c r="AJ58" s="492" t="s">
        <v>34</v>
      </c>
      <c r="AK58" s="492" t="s">
        <v>832</v>
      </c>
      <c r="AL58" s="492" t="s">
        <v>34</v>
      </c>
      <c r="AM58" s="61" t="s">
        <v>3441</v>
      </c>
      <c r="AN58" s="490">
        <v>0</v>
      </c>
      <c r="AO58" s="490">
        <v>0</v>
      </c>
      <c r="AP58" s="61"/>
      <c r="CE58" s="401"/>
      <c r="CG58" s="401"/>
      <c r="CI58" s="401"/>
      <c r="CJ58" s="401"/>
    </row>
    <row r="59" spans="1:88" x14ac:dyDescent="0.2">
      <c r="A59" s="61">
        <v>58</v>
      </c>
      <c r="B59" s="491" t="s">
        <v>304</v>
      </c>
      <c r="C59" s="492" t="s">
        <v>616</v>
      </c>
      <c r="D59" s="492" t="s">
        <v>2658</v>
      </c>
      <c r="E59" s="492" t="s">
        <v>723</v>
      </c>
      <c r="F59" s="492" t="s">
        <v>724</v>
      </c>
      <c r="G59" s="492" t="s">
        <v>34</v>
      </c>
      <c r="H59" s="492" t="s">
        <v>835</v>
      </c>
      <c r="I59" s="492" t="s">
        <v>4270</v>
      </c>
      <c r="J59" s="492" t="s">
        <v>613</v>
      </c>
      <c r="K59" s="492" t="s">
        <v>616</v>
      </c>
      <c r="L59" s="492" t="s">
        <v>1069</v>
      </c>
      <c r="M59" s="492" t="s">
        <v>1070</v>
      </c>
      <c r="N59" s="492" t="s">
        <v>616</v>
      </c>
      <c r="O59" s="492" t="s">
        <v>305</v>
      </c>
      <c r="P59" s="492" t="s">
        <v>1071</v>
      </c>
      <c r="Q59" s="492" t="s">
        <v>3501</v>
      </c>
      <c r="R59" s="492" t="s">
        <v>828</v>
      </c>
      <c r="S59" s="492" t="s">
        <v>1072</v>
      </c>
      <c r="T59" s="492">
        <v>600</v>
      </c>
      <c r="U59" s="492" t="s">
        <v>687</v>
      </c>
      <c r="V59" s="492" t="s">
        <v>1073</v>
      </c>
      <c r="W59" s="492" t="s">
        <v>1074</v>
      </c>
      <c r="X59" s="492" t="s">
        <v>3502</v>
      </c>
      <c r="Y59" s="492" t="s">
        <v>1075</v>
      </c>
      <c r="Z59" s="492" t="s">
        <v>1076</v>
      </c>
      <c r="AA59" s="492" t="s">
        <v>3502</v>
      </c>
      <c r="AB59" s="492" t="s">
        <v>34</v>
      </c>
      <c r="AC59" s="492" t="s">
        <v>830</v>
      </c>
      <c r="AD59" s="492" t="s">
        <v>831</v>
      </c>
      <c r="AE59" s="492" t="s">
        <v>612</v>
      </c>
      <c r="AF59" s="492">
        <v>2</v>
      </c>
      <c r="AG59" s="492">
        <v>25</v>
      </c>
      <c r="AH59" s="492">
        <v>150</v>
      </c>
      <c r="AI59" s="492" t="s">
        <v>34</v>
      </c>
      <c r="AJ59" s="492" t="s">
        <v>34</v>
      </c>
      <c r="AK59" s="492" t="s">
        <v>832</v>
      </c>
      <c r="AL59" s="492" t="s">
        <v>34</v>
      </c>
      <c r="AM59" s="61" t="s">
        <v>3441</v>
      </c>
      <c r="AN59" s="490">
        <v>0</v>
      </c>
      <c r="AO59" s="490">
        <v>0</v>
      </c>
      <c r="AP59" s="61"/>
      <c r="CE59" s="401"/>
      <c r="CG59" s="401"/>
      <c r="CI59" s="401"/>
      <c r="CJ59" s="401"/>
    </row>
    <row r="60" spans="1:88" x14ac:dyDescent="0.2">
      <c r="A60" s="61">
        <v>59</v>
      </c>
      <c r="B60" s="491" t="s">
        <v>307</v>
      </c>
      <c r="C60" s="492" t="s">
        <v>308</v>
      </c>
      <c r="D60" s="492" t="s">
        <v>2659</v>
      </c>
      <c r="E60" s="492" t="s">
        <v>725</v>
      </c>
      <c r="F60" s="492" t="s">
        <v>726</v>
      </c>
      <c r="G60" s="492" t="s">
        <v>34</v>
      </c>
      <c r="H60" s="492" t="s">
        <v>835</v>
      </c>
      <c r="I60" s="492" t="s">
        <v>4270</v>
      </c>
      <c r="J60" s="492" t="s">
        <v>613</v>
      </c>
      <c r="K60" s="492" t="s">
        <v>1083</v>
      </c>
      <c r="L60" s="492" t="s">
        <v>1077</v>
      </c>
      <c r="M60" s="492" t="s">
        <v>1084</v>
      </c>
      <c r="N60" s="492" t="s">
        <v>1085</v>
      </c>
      <c r="O60" s="492" t="s">
        <v>305</v>
      </c>
      <c r="P60" s="492" t="s">
        <v>2984</v>
      </c>
      <c r="Q60" s="492" t="s">
        <v>2984</v>
      </c>
      <c r="R60" s="492" t="s">
        <v>892</v>
      </c>
      <c r="S60" s="492" t="s">
        <v>1087</v>
      </c>
      <c r="T60" s="492">
        <v>180</v>
      </c>
      <c r="U60" s="492" t="s">
        <v>858</v>
      </c>
      <c r="V60" s="492" t="s">
        <v>1080</v>
      </c>
      <c r="W60" s="492" t="s">
        <v>1088</v>
      </c>
      <c r="X60" s="492" t="s">
        <v>829</v>
      </c>
      <c r="Y60" s="492" t="s">
        <v>108</v>
      </c>
      <c r="Z60" s="492" t="s">
        <v>108</v>
      </c>
      <c r="AA60" s="492" t="s">
        <v>108</v>
      </c>
      <c r="AB60" s="492" t="s">
        <v>1082</v>
      </c>
      <c r="AC60" s="492" t="s">
        <v>830</v>
      </c>
      <c r="AD60" s="492" t="s">
        <v>831</v>
      </c>
      <c r="AE60" s="492" t="s">
        <v>612</v>
      </c>
      <c r="AF60" s="492" t="s">
        <v>2054</v>
      </c>
      <c r="AG60" s="492" t="s">
        <v>34</v>
      </c>
      <c r="AH60" s="492" t="s">
        <v>34</v>
      </c>
      <c r="AI60" s="492" t="s">
        <v>34</v>
      </c>
      <c r="AJ60" s="492" t="s">
        <v>34</v>
      </c>
      <c r="AK60" s="492" t="s">
        <v>832</v>
      </c>
      <c r="AL60" s="492" t="s">
        <v>34</v>
      </c>
      <c r="AM60" s="61" t="s">
        <v>3445</v>
      </c>
      <c r="AN60" s="490">
        <v>0</v>
      </c>
      <c r="AO60" s="490">
        <v>0</v>
      </c>
      <c r="AP60" s="61"/>
      <c r="CE60" s="401"/>
      <c r="CG60" s="401"/>
      <c r="CI60" s="401"/>
      <c r="CJ60" s="401"/>
    </row>
    <row r="61" spans="1:88" x14ac:dyDescent="0.2">
      <c r="A61" s="61">
        <v>60</v>
      </c>
      <c r="B61" s="491" t="s">
        <v>307</v>
      </c>
      <c r="C61" s="492" t="s">
        <v>309</v>
      </c>
      <c r="D61" s="492" t="s">
        <v>2660</v>
      </c>
      <c r="E61" s="492" t="s">
        <v>725</v>
      </c>
      <c r="F61" s="492" t="s">
        <v>726</v>
      </c>
      <c r="G61" s="492" t="s">
        <v>34</v>
      </c>
      <c r="H61" s="492" t="s">
        <v>835</v>
      </c>
      <c r="I61" s="492" t="s">
        <v>4270</v>
      </c>
      <c r="J61" s="492" t="s">
        <v>613</v>
      </c>
      <c r="K61" s="492" t="s">
        <v>1012</v>
      </c>
      <c r="L61" s="492" t="s">
        <v>1077</v>
      </c>
      <c r="M61" s="492" t="s">
        <v>309</v>
      </c>
      <c r="N61" s="492" t="s">
        <v>309</v>
      </c>
      <c r="O61" s="492" t="s">
        <v>305</v>
      </c>
      <c r="P61" s="492" t="s">
        <v>1078</v>
      </c>
      <c r="Q61" s="492" t="s">
        <v>1078</v>
      </c>
      <c r="R61" s="492" t="s">
        <v>892</v>
      </c>
      <c r="S61" s="492" t="s">
        <v>1079</v>
      </c>
      <c r="T61" s="492">
        <v>882</v>
      </c>
      <c r="U61" s="492" t="s">
        <v>858</v>
      </c>
      <c r="V61" s="492" t="s">
        <v>1080</v>
      </c>
      <c r="W61" s="492" t="s">
        <v>1081</v>
      </c>
      <c r="X61" s="492" t="s">
        <v>829</v>
      </c>
      <c r="Y61" s="492" t="s">
        <v>108</v>
      </c>
      <c r="Z61" s="492" t="s">
        <v>108</v>
      </c>
      <c r="AA61" s="492" t="s">
        <v>108</v>
      </c>
      <c r="AB61" s="492" t="s">
        <v>1082</v>
      </c>
      <c r="AC61" s="492" t="s">
        <v>830</v>
      </c>
      <c r="AD61" s="492" t="s">
        <v>831</v>
      </c>
      <c r="AE61" s="492" t="s">
        <v>612</v>
      </c>
      <c r="AF61" s="492" t="s">
        <v>2054</v>
      </c>
      <c r="AG61" s="492" t="s">
        <v>34</v>
      </c>
      <c r="AH61" s="492" t="s">
        <v>34</v>
      </c>
      <c r="AI61" s="492" t="s">
        <v>34</v>
      </c>
      <c r="AJ61" s="492" t="s">
        <v>34</v>
      </c>
      <c r="AK61" s="492" t="s">
        <v>832</v>
      </c>
      <c r="AL61" s="492" t="s">
        <v>34</v>
      </c>
      <c r="AM61" s="61" t="s">
        <v>3445</v>
      </c>
      <c r="AN61" s="490">
        <v>0</v>
      </c>
      <c r="AO61" s="490">
        <v>0</v>
      </c>
      <c r="AP61" s="61"/>
      <c r="CE61" s="401"/>
      <c r="CG61" s="401"/>
      <c r="CI61" s="401"/>
      <c r="CJ61" s="401"/>
    </row>
    <row r="62" spans="1:88" x14ac:dyDescent="0.2">
      <c r="A62" s="61">
        <v>61</v>
      </c>
      <c r="B62" s="491" t="s">
        <v>310</v>
      </c>
      <c r="C62" s="492" t="s">
        <v>3933</v>
      </c>
      <c r="D62" s="492" t="s">
        <v>3934</v>
      </c>
      <c r="E62" s="492" t="s">
        <v>727</v>
      </c>
      <c r="F62" s="492" t="s">
        <v>711</v>
      </c>
      <c r="G62" s="492" t="s">
        <v>34</v>
      </c>
      <c r="H62" s="492" t="s">
        <v>835</v>
      </c>
      <c r="I62" s="492" t="s">
        <v>4270</v>
      </c>
      <c r="J62" s="492" t="s">
        <v>823</v>
      </c>
      <c r="K62" s="492" t="s">
        <v>3935</v>
      </c>
      <c r="L62" s="492" t="s">
        <v>3936</v>
      </c>
      <c r="M62" s="492" t="s">
        <v>3933</v>
      </c>
      <c r="N62" s="492" t="s">
        <v>3933</v>
      </c>
      <c r="O62" s="492" t="s">
        <v>4278</v>
      </c>
      <c r="P62" s="492" t="s">
        <v>3937</v>
      </c>
      <c r="Q62" s="492" t="s">
        <v>3938</v>
      </c>
      <c r="R62" s="492" t="s">
        <v>828</v>
      </c>
      <c r="S62" s="492" t="s">
        <v>3939</v>
      </c>
      <c r="T62" s="492">
        <v>24.89</v>
      </c>
      <c r="U62" s="492" t="s">
        <v>3940</v>
      </c>
      <c r="V62" s="492" t="s">
        <v>3941</v>
      </c>
      <c r="W62" s="492">
        <v>162408210</v>
      </c>
      <c r="X62" s="492" t="s">
        <v>829</v>
      </c>
      <c r="Y62" s="492" t="s">
        <v>3942</v>
      </c>
      <c r="Z62" s="492" t="s">
        <v>3943</v>
      </c>
      <c r="AA62" s="492" t="s">
        <v>829</v>
      </c>
      <c r="AB62" s="492" t="s">
        <v>3944</v>
      </c>
      <c r="AC62" s="492" t="s">
        <v>830</v>
      </c>
      <c r="AD62" s="492" t="s">
        <v>831</v>
      </c>
      <c r="AE62" s="492" t="s">
        <v>612</v>
      </c>
      <c r="AF62" s="492" t="s">
        <v>2054</v>
      </c>
      <c r="AG62" s="492" t="s">
        <v>34</v>
      </c>
      <c r="AH62" s="492" t="s">
        <v>34</v>
      </c>
      <c r="AI62" s="492" t="s">
        <v>34</v>
      </c>
      <c r="AJ62" s="492" t="s">
        <v>34</v>
      </c>
      <c r="AK62" s="492" t="s">
        <v>832</v>
      </c>
      <c r="AL62" s="492" t="s">
        <v>34</v>
      </c>
      <c r="AM62" s="61" t="s">
        <v>3446</v>
      </c>
      <c r="AN62" s="490"/>
      <c r="AO62" s="490"/>
      <c r="AP62" s="61"/>
      <c r="CE62" s="401"/>
      <c r="CG62" s="401"/>
      <c r="CI62" s="401"/>
      <c r="CJ62" s="401"/>
    </row>
    <row r="63" spans="1:88" x14ac:dyDescent="0.2">
      <c r="A63" s="61">
        <v>62</v>
      </c>
      <c r="B63" s="491" t="s">
        <v>311</v>
      </c>
      <c r="C63" s="492" t="s">
        <v>4184</v>
      </c>
      <c r="D63" s="492" t="s">
        <v>4185</v>
      </c>
      <c r="E63" s="492" t="s">
        <v>728</v>
      </c>
      <c r="F63" s="492" t="s">
        <v>717</v>
      </c>
      <c r="G63" s="492" t="s">
        <v>34</v>
      </c>
      <c r="H63" s="492" t="s">
        <v>835</v>
      </c>
      <c r="I63" s="492" t="s">
        <v>4270</v>
      </c>
      <c r="J63" s="492" t="s">
        <v>823</v>
      </c>
      <c r="K63" s="492" t="s">
        <v>4186</v>
      </c>
      <c r="L63" s="492" t="s">
        <v>4187</v>
      </c>
      <c r="M63" s="492">
        <v>49518</v>
      </c>
      <c r="N63" s="492" t="s">
        <v>4188</v>
      </c>
      <c r="O63" s="492" t="s">
        <v>4189</v>
      </c>
      <c r="P63" s="492" t="s">
        <v>4190</v>
      </c>
      <c r="Q63" s="492" t="s">
        <v>827</v>
      </c>
      <c r="R63" s="492" t="s">
        <v>4191</v>
      </c>
      <c r="S63" s="492" t="s">
        <v>4192</v>
      </c>
      <c r="T63" s="492">
        <v>468.02</v>
      </c>
      <c r="U63" s="492" t="s">
        <v>855</v>
      </c>
      <c r="V63" s="492" t="s">
        <v>1500</v>
      </c>
      <c r="W63" s="492">
        <v>4.25</v>
      </c>
      <c r="X63" s="492" t="s">
        <v>829</v>
      </c>
      <c r="Y63" s="492" t="s">
        <v>108</v>
      </c>
      <c r="Z63" s="492" t="s">
        <v>108</v>
      </c>
      <c r="AA63" s="492" t="s">
        <v>108</v>
      </c>
      <c r="AB63" s="492" t="s">
        <v>34</v>
      </c>
      <c r="AC63" s="492" t="s">
        <v>830</v>
      </c>
      <c r="AD63" s="492" t="s">
        <v>4193</v>
      </c>
      <c r="AE63" s="492" t="s">
        <v>612</v>
      </c>
      <c r="AF63" s="492">
        <v>2.5</v>
      </c>
      <c r="AG63" s="492">
        <v>0.15</v>
      </c>
      <c r="AH63" s="492">
        <v>5.0000000000000001E-3</v>
      </c>
      <c r="AI63" s="492" t="s">
        <v>4194</v>
      </c>
      <c r="AJ63" s="492" t="s">
        <v>34</v>
      </c>
      <c r="AK63" s="492" t="s">
        <v>832</v>
      </c>
      <c r="AL63" s="492" t="s">
        <v>34</v>
      </c>
      <c r="AM63" s="61" t="s">
        <v>3441</v>
      </c>
      <c r="AN63" s="490">
        <v>0</v>
      </c>
      <c r="AO63" s="490">
        <v>0</v>
      </c>
      <c r="AP63" s="61"/>
      <c r="CE63" s="401"/>
      <c r="CG63" s="401"/>
      <c r="CI63" s="401"/>
      <c r="CJ63" s="401"/>
    </row>
    <row r="64" spans="1:88" x14ac:dyDescent="0.2">
      <c r="A64" s="61">
        <v>63</v>
      </c>
      <c r="B64" s="491" t="s">
        <v>311</v>
      </c>
      <c r="C64" s="492" t="s">
        <v>650</v>
      </c>
      <c r="D64" s="492" t="s">
        <v>2661</v>
      </c>
      <c r="E64" s="492" t="s">
        <v>728</v>
      </c>
      <c r="F64" s="492" t="s">
        <v>717</v>
      </c>
      <c r="G64" s="492" t="s">
        <v>34</v>
      </c>
      <c r="H64" s="492" t="s">
        <v>835</v>
      </c>
      <c r="I64" s="492" t="s">
        <v>4270</v>
      </c>
      <c r="J64" s="492" t="s">
        <v>613</v>
      </c>
      <c r="K64" s="492" t="s">
        <v>1089</v>
      </c>
      <c r="L64" s="492" t="s">
        <v>1090</v>
      </c>
      <c r="M64" s="492" t="s">
        <v>1091</v>
      </c>
      <c r="N64" s="492" t="s">
        <v>650</v>
      </c>
      <c r="O64" s="492" t="s">
        <v>305</v>
      </c>
      <c r="P64" s="492" t="s">
        <v>1092</v>
      </c>
      <c r="Q64" s="492" t="s">
        <v>1093</v>
      </c>
      <c r="R64" s="492" t="s">
        <v>828</v>
      </c>
      <c r="S64" s="492" t="s">
        <v>1094</v>
      </c>
      <c r="T64" s="492">
        <v>5.8</v>
      </c>
      <c r="U64" s="492" t="s">
        <v>858</v>
      </c>
      <c r="V64" s="492" t="s">
        <v>1095</v>
      </c>
      <c r="W64" s="492" t="s">
        <v>1091</v>
      </c>
      <c r="X64" s="492" t="s">
        <v>838</v>
      </c>
      <c r="Y64" s="492" t="s">
        <v>108</v>
      </c>
      <c r="Z64" s="492" t="s">
        <v>108</v>
      </c>
      <c r="AA64" s="492" t="s">
        <v>108</v>
      </c>
      <c r="AB64" s="492" t="s">
        <v>1096</v>
      </c>
      <c r="AC64" s="492" t="s">
        <v>830</v>
      </c>
      <c r="AD64" s="492" t="s">
        <v>831</v>
      </c>
      <c r="AE64" s="492" t="s">
        <v>612</v>
      </c>
      <c r="AF64" s="492" t="s">
        <v>34</v>
      </c>
      <c r="AG64" s="492" t="s">
        <v>34</v>
      </c>
      <c r="AH64" s="492" t="s">
        <v>34</v>
      </c>
      <c r="AI64" s="492" t="s">
        <v>34</v>
      </c>
      <c r="AJ64" s="492" t="s">
        <v>34</v>
      </c>
      <c r="AK64" s="492" t="s">
        <v>832</v>
      </c>
      <c r="AL64" s="492" t="s">
        <v>34</v>
      </c>
      <c r="AM64" s="61" t="s">
        <v>3446</v>
      </c>
      <c r="AN64" s="490">
        <v>0</v>
      </c>
      <c r="AO64" s="490">
        <v>0</v>
      </c>
      <c r="AP64" s="61"/>
      <c r="CE64" s="401"/>
      <c r="CG64" s="401"/>
      <c r="CI64" s="401"/>
      <c r="CJ64" s="401"/>
    </row>
    <row r="65" spans="1:88" x14ac:dyDescent="0.2">
      <c r="A65" s="61">
        <v>64</v>
      </c>
      <c r="B65" s="491" t="s">
        <v>322</v>
      </c>
      <c r="C65" s="492" t="s">
        <v>671</v>
      </c>
      <c r="D65" s="492" t="s">
        <v>3413</v>
      </c>
      <c r="E65" s="492" t="s">
        <v>729</v>
      </c>
      <c r="F65" s="492" t="s">
        <v>730</v>
      </c>
      <c r="G65" s="492" t="s">
        <v>34</v>
      </c>
      <c r="H65" s="492" t="s">
        <v>835</v>
      </c>
      <c r="I65" s="492" t="s">
        <v>4279</v>
      </c>
      <c r="J65" s="492" t="s">
        <v>1758</v>
      </c>
      <c r="K65" s="492" t="s">
        <v>1988</v>
      </c>
      <c r="L65" s="492" t="s">
        <v>3414</v>
      </c>
      <c r="M65" s="492">
        <v>1947</v>
      </c>
      <c r="N65" s="492" t="s">
        <v>3415</v>
      </c>
      <c r="O65" s="492" t="s">
        <v>1758</v>
      </c>
      <c r="P65" s="492" t="s">
        <v>1107</v>
      </c>
      <c r="Q65" s="492" t="s">
        <v>911</v>
      </c>
      <c r="R65" s="492" t="s">
        <v>3416</v>
      </c>
      <c r="S65" s="492" t="s">
        <v>3417</v>
      </c>
      <c r="T65" s="492">
        <v>100.48</v>
      </c>
      <c r="U65" s="492" t="s">
        <v>687</v>
      </c>
      <c r="V65" s="492" t="s">
        <v>913</v>
      </c>
      <c r="W65" s="492" t="s">
        <v>3418</v>
      </c>
      <c r="X65" s="492" t="s">
        <v>829</v>
      </c>
      <c r="Y65" s="492" t="s">
        <v>1026</v>
      </c>
      <c r="Z65" s="492" t="s">
        <v>1111</v>
      </c>
      <c r="AA65" s="492" t="s">
        <v>829</v>
      </c>
      <c r="AB65" s="492" t="s">
        <v>3989</v>
      </c>
      <c r="AC65" s="492" t="s">
        <v>830</v>
      </c>
      <c r="AD65" s="492" t="s">
        <v>831</v>
      </c>
      <c r="AE65" s="492" t="s">
        <v>612</v>
      </c>
      <c r="AF65" s="492">
        <v>2</v>
      </c>
      <c r="AG65" s="492">
        <v>2.5</v>
      </c>
      <c r="AH65" s="492">
        <v>1</v>
      </c>
      <c r="AI65" s="492" t="s">
        <v>34</v>
      </c>
      <c r="AJ65" s="492" t="s">
        <v>34</v>
      </c>
      <c r="AK65" s="492" t="s">
        <v>832</v>
      </c>
      <c r="AL65" s="492" t="s">
        <v>34</v>
      </c>
      <c r="AM65" s="61" t="s">
        <v>3447</v>
      </c>
      <c r="AN65" s="490">
        <v>0</v>
      </c>
      <c r="AO65" s="490">
        <v>0</v>
      </c>
      <c r="AP65" s="61"/>
      <c r="CE65" s="401"/>
      <c r="CG65" s="401"/>
      <c r="CI65" s="401"/>
      <c r="CJ65" s="401"/>
    </row>
    <row r="66" spans="1:88" x14ac:dyDescent="0.2">
      <c r="A66" s="61">
        <v>65</v>
      </c>
      <c r="B66" s="491" t="s">
        <v>322</v>
      </c>
      <c r="C66" s="492" t="s">
        <v>3209</v>
      </c>
      <c r="D66" s="492" t="s">
        <v>3210</v>
      </c>
      <c r="E66" s="492" t="s">
        <v>729</v>
      </c>
      <c r="F66" s="492" t="s">
        <v>730</v>
      </c>
      <c r="G66" s="492" t="s">
        <v>34</v>
      </c>
      <c r="H66" s="492" t="s">
        <v>835</v>
      </c>
      <c r="I66" s="492" t="s">
        <v>4279</v>
      </c>
      <c r="J66" s="492" t="s">
        <v>1758</v>
      </c>
      <c r="K66" s="492" t="s">
        <v>3209</v>
      </c>
      <c r="L66" s="492" t="s">
        <v>3211</v>
      </c>
      <c r="M66" s="492">
        <v>7893</v>
      </c>
      <c r="N66" s="492" t="s">
        <v>3209</v>
      </c>
      <c r="O66" s="492" t="s">
        <v>305</v>
      </c>
      <c r="P66" s="492" t="s">
        <v>3212</v>
      </c>
      <c r="Q66" s="492" t="s">
        <v>3213</v>
      </c>
      <c r="R66" s="492" t="s">
        <v>3214</v>
      </c>
      <c r="S66" s="492" t="s">
        <v>3215</v>
      </c>
      <c r="T66" s="492">
        <v>882.1</v>
      </c>
      <c r="U66" s="492" t="s">
        <v>687</v>
      </c>
      <c r="V66" s="492" t="s">
        <v>3216</v>
      </c>
      <c r="W66" s="492" t="s">
        <v>3217</v>
      </c>
      <c r="X66" s="492" t="s">
        <v>829</v>
      </c>
      <c r="Y66" s="492" t="s">
        <v>1026</v>
      </c>
      <c r="Z66" s="492" t="s">
        <v>3218</v>
      </c>
      <c r="AA66" s="492" t="s">
        <v>829</v>
      </c>
      <c r="AB66" s="492" t="s">
        <v>3219</v>
      </c>
      <c r="AC66" s="492" t="s">
        <v>830</v>
      </c>
      <c r="AD66" s="492" t="s">
        <v>831</v>
      </c>
      <c r="AE66" s="492" t="s">
        <v>612</v>
      </c>
      <c r="AF66" s="492" t="s">
        <v>3220</v>
      </c>
      <c r="AG66" s="492" t="s">
        <v>34</v>
      </c>
      <c r="AH66" s="492" t="s">
        <v>34</v>
      </c>
      <c r="AI66" s="492" t="s">
        <v>34</v>
      </c>
      <c r="AJ66" s="492" t="s">
        <v>34</v>
      </c>
      <c r="AK66" s="492" t="s">
        <v>832</v>
      </c>
      <c r="AL66" s="492" t="s">
        <v>34</v>
      </c>
      <c r="AM66" s="61" t="s">
        <v>3447</v>
      </c>
      <c r="AN66" s="490">
        <v>0</v>
      </c>
      <c r="AO66" s="490">
        <v>0</v>
      </c>
      <c r="AP66" s="61"/>
      <c r="CI66" s="401"/>
      <c r="CJ66" s="401"/>
    </row>
    <row r="67" spans="1:88" x14ac:dyDescent="0.2">
      <c r="A67" s="61">
        <v>66</v>
      </c>
      <c r="B67" s="491" t="s">
        <v>322</v>
      </c>
      <c r="C67" s="492" t="s">
        <v>323</v>
      </c>
      <c r="D67" s="492" t="s">
        <v>2662</v>
      </c>
      <c r="E67" s="492" t="s">
        <v>729</v>
      </c>
      <c r="F67" s="492" t="s">
        <v>730</v>
      </c>
      <c r="G67" s="492" t="s">
        <v>34</v>
      </c>
      <c r="H67" s="492" t="s">
        <v>835</v>
      </c>
      <c r="I67" s="492" t="s">
        <v>4270</v>
      </c>
      <c r="J67" s="492" t="s">
        <v>613</v>
      </c>
      <c r="K67" s="492" t="s">
        <v>839</v>
      </c>
      <c r="L67" s="492" t="s">
        <v>1097</v>
      </c>
      <c r="M67" s="492" t="s">
        <v>1098</v>
      </c>
      <c r="N67" s="492" t="s">
        <v>323</v>
      </c>
      <c r="O67" s="492" t="s">
        <v>305</v>
      </c>
      <c r="P67" s="492" t="s">
        <v>1099</v>
      </c>
      <c r="Q67" s="492" t="s">
        <v>911</v>
      </c>
      <c r="R67" s="492" t="s">
        <v>1002</v>
      </c>
      <c r="S67" s="492" t="s">
        <v>1100</v>
      </c>
      <c r="T67" s="492">
        <v>544</v>
      </c>
      <c r="U67" s="492" t="s">
        <v>687</v>
      </c>
      <c r="V67" s="492" t="s">
        <v>913</v>
      </c>
      <c r="W67" s="492" t="s">
        <v>1101</v>
      </c>
      <c r="X67" s="492" t="s">
        <v>829</v>
      </c>
      <c r="Y67" s="492" t="s">
        <v>1026</v>
      </c>
      <c r="Z67" s="492" t="s">
        <v>1102</v>
      </c>
      <c r="AA67" s="492" t="s">
        <v>829</v>
      </c>
      <c r="AB67" s="492" t="s">
        <v>34</v>
      </c>
      <c r="AC67" s="492" t="s">
        <v>830</v>
      </c>
      <c r="AD67" s="492" t="s">
        <v>831</v>
      </c>
      <c r="AE67" s="492" t="s">
        <v>612</v>
      </c>
      <c r="AF67" s="492">
        <v>65</v>
      </c>
      <c r="AG67" s="492">
        <v>154</v>
      </c>
      <c r="AH67" s="492">
        <v>10</v>
      </c>
      <c r="AI67" s="492" t="s">
        <v>34</v>
      </c>
      <c r="AJ67" s="492" t="s">
        <v>34</v>
      </c>
      <c r="AK67" s="492" t="s">
        <v>832</v>
      </c>
      <c r="AL67" s="492" t="s">
        <v>2432</v>
      </c>
      <c r="AM67" s="61" t="s">
        <v>3441</v>
      </c>
      <c r="AN67" s="490">
        <v>0</v>
      </c>
      <c r="AO67" s="490">
        <v>0</v>
      </c>
      <c r="AP67" s="61"/>
      <c r="CI67" s="401"/>
      <c r="CJ67" s="401"/>
    </row>
    <row r="68" spans="1:88" x14ac:dyDescent="0.2">
      <c r="A68" s="61">
        <v>67</v>
      </c>
      <c r="B68" s="491" t="s">
        <v>322</v>
      </c>
      <c r="C68" s="492" t="s">
        <v>678</v>
      </c>
      <c r="D68" s="492" t="s">
        <v>2663</v>
      </c>
      <c r="E68" s="492" t="s">
        <v>729</v>
      </c>
      <c r="F68" s="492" t="s">
        <v>730</v>
      </c>
      <c r="G68" s="492" t="s">
        <v>34</v>
      </c>
      <c r="H68" s="492" t="s">
        <v>835</v>
      </c>
      <c r="I68" s="492" t="s">
        <v>4279</v>
      </c>
      <c r="J68" s="492" t="s">
        <v>1758</v>
      </c>
      <c r="K68" s="492" t="s">
        <v>839</v>
      </c>
      <c r="L68" s="492" t="s">
        <v>1104</v>
      </c>
      <c r="M68" s="492" t="s">
        <v>1105</v>
      </c>
      <c r="N68" s="492" t="s">
        <v>678</v>
      </c>
      <c r="O68" s="492" t="s">
        <v>1106</v>
      </c>
      <c r="P68" s="492" t="s">
        <v>1107</v>
      </c>
      <c r="Q68" s="492" t="s">
        <v>1108</v>
      </c>
      <c r="R68" s="492" t="s">
        <v>828</v>
      </c>
      <c r="S68" s="492" t="s">
        <v>1109</v>
      </c>
      <c r="T68" s="492">
        <v>73.5</v>
      </c>
      <c r="U68" s="492" t="s">
        <v>687</v>
      </c>
      <c r="V68" s="492" t="s">
        <v>1110</v>
      </c>
      <c r="W68" s="492">
        <v>5856</v>
      </c>
      <c r="X68" s="492" t="s">
        <v>829</v>
      </c>
      <c r="Y68" s="492" t="s">
        <v>1026</v>
      </c>
      <c r="Z68" s="492" t="s">
        <v>1111</v>
      </c>
      <c r="AA68" s="492" t="s">
        <v>829</v>
      </c>
      <c r="AB68" s="492" t="s">
        <v>2985</v>
      </c>
      <c r="AC68" s="492" t="s">
        <v>830</v>
      </c>
      <c r="AD68" s="492" t="s">
        <v>831</v>
      </c>
      <c r="AE68" s="492" t="s">
        <v>612</v>
      </c>
      <c r="AF68" s="492">
        <v>5</v>
      </c>
      <c r="AG68" s="492">
        <v>0.08</v>
      </c>
      <c r="AH68" s="492">
        <v>0.32</v>
      </c>
      <c r="AI68" s="492" t="s">
        <v>34</v>
      </c>
      <c r="AJ68" s="492" t="s">
        <v>34</v>
      </c>
      <c r="AK68" s="492" t="s">
        <v>832</v>
      </c>
      <c r="AL68" s="492" t="s">
        <v>2432</v>
      </c>
      <c r="AM68" s="61" t="s">
        <v>3447</v>
      </c>
      <c r="AN68" s="490">
        <v>0</v>
      </c>
      <c r="AO68" s="490">
        <v>0</v>
      </c>
      <c r="AP68" s="61"/>
    </row>
    <row r="69" spans="1:88" x14ac:dyDescent="0.2">
      <c r="A69" s="61">
        <v>68</v>
      </c>
      <c r="B69" s="491" t="s">
        <v>322</v>
      </c>
      <c r="C69" s="492" t="s">
        <v>279</v>
      </c>
      <c r="D69" s="492" t="s">
        <v>2664</v>
      </c>
      <c r="E69" s="492" t="s">
        <v>729</v>
      </c>
      <c r="F69" s="492" t="s">
        <v>730</v>
      </c>
      <c r="G69" s="492" t="s">
        <v>34</v>
      </c>
      <c r="H69" s="492" t="s">
        <v>835</v>
      </c>
      <c r="I69" s="492" t="s">
        <v>4279</v>
      </c>
      <c r="J69" s="492" t="s">
        <v>613</v>
      </c>
      <c r="K69" s="492" t="s">
        <v>480</v>
      </c>
      <c r="L69" s="492" t="s">
        <v>1112</v>
      </c>
      <c r="M69" s="492" t="s">
        <v>1113</v>
      </c>
      <c r="N69" s="492" t="s">
        <v>279</v>
      </c>
      <c r="O69" s="492" t="s">
        <v>305</v>
      </c>
      <c r="P69" s="492" t="s">
        <v>1107</v>
      </c>
      <c r="Q69" s="492" t="s">
        <v>911</v>
      </c>
      <c r="R69" s="492" t="s">
        <v>828</v>
      </c>
      <c r="S69" s="492" t="s">
        <v>1114</v>
      </c>
      <c r="T69" s="492">
        <v>19.8</v>
      </c>
      <c r="U69" s="492" t="s">
        <v>687</v>
      </c>
      <c r="V69" s="492" t="s">
        <v>1115</v>
      </c>
      <c r="W69" s="492" t="s">
        <v>1116</v>
      </c>
      <c r="X69" s="492" t="s">
        <v>829</v>
      </c>
      <c r="Y69" s="492" t="s">
        <v>1026</v>
      </c>
      <c r="Z69" s="492" t="s">
        <v>1111</v>
      </c>
      <c r="AA69" s="492" t="s">
        <v>829</v>
      </c>
      <c r="AB69" s="492" t="s">
        <v>2986</v>
      </c>
      <c r="AC69" s="492" t="s">
        <v>830</v>
      </c>
      <c r="AD69" s="492" t="s">
        <v>831</v>
      </c>
      <c r="AE69" s="492" t="s">
        <v>612</v>
      </c>
      <c r="AF69" s="492">
        <v>1.1000000000000001</v>
      </c>
      <c r="AG69" s="492">
        <v>0.5</v>
      </c>
      <c r="AH69" s="492">
        <v>0.13</v>
      </c>
      <c r="AI69" s="492" t="s">
        <v>2544</v>
      </c>
      <c r="AJ69" s="492" t="s">
        <v>2545</v>
      </c>
      <c r="AK69" s="492" t="s">
        <v>832</v>
      </c>
      <c r="AL69" s="492" t="s">
        <v>2432</v>
      </c>
      <c r="AM69" s="61" t="s">
        <v>3441</v>
      </c>
      <c r="AN69" s="490">
        <v>0</v>
      </c>
      <c r="AO69" s="490">
        <v>0</v>
      </c>
      <c r="AP69" s="61"/>
    </row>
    <row r="70" spans="1:88" x14ac:dyDescent="0.2">
      <c r="A70" s="61">
        <v>69</v>
      </c>
      <c r="B70" s="491" t="s">
        <v>322</v>
      </c>
      <c r="C70" s="492" t="s">
        <v>273</v>
      </c>
      <c r="D70" s="492" t="s">
        <v>3146</v>
      </c>
      <c r="E70" s="492" t="s">
        <v>729</v>
      </c>
      <c r="F70" s="492" t="s">
        <v>730</v>
      </c>
      <c r="G70" s="492" t="s">
        <v>34</v>
      </c>
      <c r="H70" s="492" t="s">
        <v>835</v>
      </c>
      <c r="I70" s="492" t="s">
        <v>4270</v>
      </c>
      <c r="J70" s="492" t="s">
        <v>613</v>
      </c>
      <c r="K70" s="492" t="s">
        <v>480</v>
      </c>
      <c r="L70" s="492" t="s">
        <v>1112</v>
      </c>
      <c r="M70" s="492" t="s">
        <v>3147</v>
      </c>
      <c r="N70" s="492" t="s">
        <v>3148</v>
      </c>
      <c r="O70" s="492" t="s">
        <v>305</v>
      </c>
      <c r="P70" s="492" t="s">
        <v>2243</v>
      </c>
      <c r="Q70" s="492" t="s">
        <v>827</v>
      </c>
      <c r="R70" s="492" t="s">
        <v>828</v>
      </c>
      <c r="S70" s="492" t="s">
        <v>3149</v>
      </c>
      <c r="T70" s="492">
        <v>13.6</v>
      </c>
      <c r="U70" s="492" t="s">
        <v>3150</v>
      </c>
      <c r="V70" s="492" t="s">
        <v>1115</v>
      </c>
      <c r="W70" s="492" t="s">
        <v>3151</v>
      </c>
      <c r="X70" s="492" t="s">
        <v>829</v>
      </c>
      <c r="Y70" s="492" t="s">
        <v>1026</v>
      </c>
      <c r="Z70" s="492" t="s">
        <v>1111</v>
      </c>
      <c r="AA70" s="492" t="s">
        <v>829</v>
      </c>
      <c r="AB70" s="492" t="s">
        <v>3152</v>
      </c>
      <c r="AC70" s="492" t="s">
        <v>830</v>
      </c>
      <c r="AD70" s="492" t="s">
        <v>831</v>
      </c>
      <c r="AE70" s="492" t="s">
        <v>612</v>
      </c>
      <c r="AF70" s="492">
        <v>3.1</v>
      </c>
      <c r="AG70" s="492">
        <v>2</v>
      </c>
      <c r="AH70" s="492">
        <v>0.3</v>
      </c>
      <c r="AI70" s="492" t="s">
        <v>3153</v>
      </c>
      <c r="AJ70" s="492" t="s">
        <v>34</v>
      </c>
      <c r="AK70" s="492" t="s">
        <v>832</v>
      </c>
      <c r="AL70" s="492" t="s">
        <v>2432</v>
      </c>
      <c r="AM70" s="61" t="s">
        <v>3441</v>
      </c>
      <c r="AN70" s="490">
        <v>0</v>
      </c>
      <c r="AO70" s="490">
        <v>0</v>
      </c>
      <c r="AP70" s="61"/>
    </row>
    <row r="71" spans="1:88" x14ac:dyDescent="0.2">
      <c r="A71" s="61">
        <v>70</v>
      </c>
      <c r="B71" s="491" t="s">
        <v>322</v>
      </c>
      <c r="C71" s="492" t="s">
        <v>272</v>
      </c>
      <c r="D71" s="492" t="s">
        <v>2665</v>
      </c>
      <c r="E71" s="492" t="s">
        <v>729</v>
      </c>
      <c r="F71" s="492" t="s">
        <v>730</v>
      </c>
      <c r="G71" s="492" t="s">
        <v>34</v>
      </c>
      <c r="H71" s="492" t="s">
        <v>835</v>
      </c>
      <c r="I71" s="492" t="s">
        <v>4270</v>
      </c>
      <c r="J71" s="492" t="s">
        <v>613</v>
      </c>
      <c r="K71" s="492" t="s">
        <v>839</v>
      </c>
      <c r="L71" s="492" t="s">
        <v>1117</v>
      </c>
      <c r="M71" s="492">
        <v>27676</v>
      </c>
      <c r="N71" s="492" t="s">
        <v>272</v>
      </c>
      <c r="O71" s="492" t="s">
        <v>305</v>
      </c>
      <c r="P71" s="492" t="s">
        <v>2289</v>
      </c>
      <c r="Q71" s="492" t="s">
        <v>911</v>
      </c>
      <c r="R71" s="492" t="s">
        <v>1002</v>
      </c>
      <c r="S71" s="492" t="s">
        <v>4111</v>
      </c>
      <c r="T71" s="492">
        <v>275</v>
      </c>
      <c r="U71" s="492" t="s">
        <v>687</v>
      </c>
      <c r="V71" s="492" t="s">
        <v>1110</v>
      </c>
      <c r="W71" s="492">
        <v>2489</v>
      </c>
      <c r="X71" s="492" t="s">
        <v>829</v>
      </c>
      <c r="Y71" s="492" t="s">
        <v>1026</v>
      </c>
      <c r="Z71" s="492" t="s">
        <v>1118</v>
      </c>
      <c r="AA71" s="492" t="s">
        <v>829</v>
      </c>
      <c r="AB71" s="492" t="s">
        <v>34</v>
      </c>
      <c r="AC71" s="492" t="s">
        <v>830</v>
      </c>
      <c r="AD71" s="492" t="s">
        <v>831</v>
      </c>
      <c r="AE71" s="492" t="s">
        <v>612</v>
      </c>
      <c r="AF71" s="492">
        <v>10</v>
      </c>
      <c r="AG71" s="492">
        <v>0.05</v>
      </c>
      <c r="AH71" s="492">
        <v>0.02</v>
      </c>
      <c r="AI71" s="492" t="s">
        <v>34</v>
      </c>
      <c r="AJ71" s="492" t="s">
        <v>34</v>
      </c>
      <c r="AK71" s="492" t="s">
        <v>832</v>
      </c>
      <c r="AL71" s="492" t="s">
        <v>2432</v>
      </c>
      <c r="AM71" s="61" t="s">
        <v>3441</v>
      </c>
      <c r="AN71" s="490">
        <v>0</v>
      </c>
      <c r="AO71" s="490">
        <v>0</v>
      </c>
      <c r="AP71" s="61"/>
    </row>
    <row r="72" spans="1:88" x14ac:dyDescent="0.2">
      <c r="A72" s="61">
        <v>71</v>
      </c>
      <c r="B72" s="491" t="s">
        <v>210</v>
      </c>
      <c r="C72" s="492" t="s">
        <v>331</v>
      </c>
      <c r="D72" s="492" t="s">
        <v>2666</v>
      </c>
      <c r="E72" s="492" t="s">
        <v>731</v>
      </c>
      <c r="F72" s="492" t="s">
        <v>711</v>
      </c>
      <c r="G72" s="492" t="s">
        <v>34</v>
      </c>
      <c r="H72" s="492" t="s">
        <v>835</v>
      </c>
      <c r="I72" s="492" t="s">
        <v>4280</v>
      </c>
      <c r="J72" s="492" t="s">
        <v>1103</v>
      </c>
      <c r="K72" s="492" t="s">
        <v>349</v>
      </c>
      <c r="L72" s="492" t="s">
        <v>1126</v>
      </c>
      <c r="M72" s="492" t="s">
        <v>1127</v>
      </c>
      <c r="N72" s="492" t="s">
        <v>331</v>
      </c>
      <c r="O72" s="492" t="s">
        <v>4281</v>
      </c>
      <c r="P72" s="492" t="s">
        <v>1128</v>
      </c>
      <c r="Q72" s="492" t="s">
        <v>3503</v>
      </c>
      <c r="R72" s="492" t="s">
        <v>828</v>
      </c>
      <c r="S72" s="492" t="s">
        <v>1129</v>
      </c>
      <c r="T72" s="492">
        <v>288</v>
      </c>
      <c r="U72" s="492" t="s">
        <v>857</v>
      </c>
      <c r="V72" s="492" t="s">
        <v>1130</v>
      </c>
      <c r="W72" s="492" t="s">
        <v>1131</v>
      </c>
      <c r="X72" s="492" t="s">
        <v>3502</v>
      </c>
      <c r="Y72" s="492" t="s">
        <v>1124</v>
      </c>
      <c r="Z72" s="492" t="s">
        <v>1125</v>
      </c>
      <c r="AA72" s="492" t="s">
        <v>3502</v>
      </c>
      <c r="AB72" s="492" t="s">
        <v>4324</v>
      </c>
      <c r="AC72" s="492" t="s">
        <v>830</v>
      </c>
      <c r="AD72" s="492" t="s">
        <v>831</v>
      </c>
      <c r="AE72" s="492" t="s">
        <v>612</v>
      </c>
      <c r="AF72" s="492">
        <v>8</v>
      </c>
      <c r="AG72" s="492">
        <v>251</v>
      </c>
      <c r="AH72" s="492">
        <v>43</v>
      </c>
      <c r="AI72" s="492" t="s">
        <v>2547</v>
      </c>
      <c r="AJ72" s="492" t="s">
        <v>2548</v>
      </c>
      <c r="AK72" s="492" t="s">
        <v>832</v>
      </c>
      <c r="AL72" s="492" t="s">
        <v>2432</v>
      </c>
      <c r="AM72" s="61" t="s">
        <v>3444</v>
      </c>
      <c r="AN72" s="490">
        <v>1.4583333333333332E-2</v>
      </c>
      <c r="AO72" s="490">
        <v>0</v>
      </c>
      <c r="AP72" s="61"/>
    </row>
    <row r="73" spans="1:88" x14ac:dyDescent="0.2">
      <c r="A73" s="61">
        <v>72</v>
      </c>
      <c r="B73" s="491" t="s">
        <v>210</v>
      </c>
      <c r="C73" s="492" t="s">
        <v>332</v>
      </c>
      <c r="D73" s="492" t="s">
        <v>2667</v>
      </c>
      <c r="E73" s="492" t="s">
        <v>731</v>
      </c>
      <c r="F73" s="492" t="s">
        <v>711</v>
      </c>
      <c r="G73" s="492" t="s">
        <v>34</v>
      </c>
      <c r="H73" s="492" t="s">
        <v>835</v>
      </c>
      <c r="I73" s="492" t="s">
        <v>4280</v>
      </c>
      <c r="J73" s="492" t="s">
        <v>1103</v>
      </c>
      <c r="K73" s="492" t="s">
        <v>1144</v>
      </c>
      <c r="L73" s="492" t="s">
        <v>1145</v>
      </c>
      <c r="M73" s="492" t="s">
        <v>1149</v>
      </c>
      <c r="N73" s="492" t="s">
        <v>332</v>
      </c>
      <c r="O73" s="492" t="s">
        <v>4281</v>
      </c>
      <c r="P73" s="492" t="s">
        <v>1128</v>
      </c>
      <c r="Q73" s="492" t="s">
        <v>3503</v>
      </c>
      <c r="R73" s="492" t="s">
        <v>828</v>
      </c>
      <c r="S73" s="492" t="s">
        <v>1147</v>
      </c>
      <c r="T73" s="492">
        <v>24.8</v>
      </c>
      <c r="U73" s="492" t="s">
        <v>857</v>
      </c>
      <c r="V73" s="492" t="s">
        <v>1130</v>
      </c>
      <c r="W73" s="492" t="s">
        <v>1148</v>
      </c>
      <c r="X73" s="492" t="s">
        <v>3502</v>
      </c>
      <c r="Y73" s="492" t="s">
        <v>1124</v>
      </c>
      <c r="Z73" s="492" t="s">
        <v>1125</v>
      </c>
      <c r="AA73" s="492" t="s">
        <v>3502</v>
      </c>
      <c r="AB73" s="492" t="s">
        <v>4324</v>
      </c>
      <c r="AC73" s="492" t="s">
        <v>830</v>
      </c>
      <c r="AD73" s="492" t="s">
        <v>831</v>
      </c>
      <c r="AE73" s="492" t="s">
        <v>612</v>
      </c>
      <c r="AF73" s="492">
        <v>4</v>
      </c>
      <c r="AG73" s="492" t="s">
        <v>2512</v>
      </c>
      <c r="AH73" s="492">
        <v>13</v>
      </c>
      <c r="AI73" s="492" t="s">
        <v>2551</v>
      </c>
      <c r="AJ73" s="492" t="s">
        <v>34</v>
      </c>
      <c r="AK73" s="492" t="s">
        <v>832</v>
      </c>
      <c r="AL73" s="492" t="s">
        <v>2432</v>
      </c>
      <c r="AM73" s="61" t="s">
        <v>3442</v>
      </c>
      <c r="AN73" s="490">
        <v>1.4583333333333332E-2</v>
      </c>
      <c r="AO73" s="490">
        <v>0</v>
      </c>
      <c r="AP73" s="61"/>
    </row>
    <row r="74" spans="1:88" x14ac:dyDescent="0.2">
      <c r="A74" s="61">
        <v>73</v>
      </c>
      <c r="B74" s="491" t="s">
        <v>210</v>
      </c>
      <c r="C74" s="492" t="s">
        <v>329</v>
      </c>
      <c r="D74" s="492" t="s">
        <v>2668</v>
      </c>
      <c r="E74" s="492" t="s">
        <v>731</v>
      </c>
      <c r="F74" s="492" t="s">
        <v>711</v>
      </c>
      <c r="G74" s="492" t="s">
        <v>34</v>
      </c>
      <c r="H74" s="492" t="s">
        <v>835</v>
      </c>
      <c r="I74" s="492" t="s">
        <v>4280</v>
      </c>
      <c r="J74" s="492" t="s">
        <v>1103</v>
      </c>
      <c r="K74" s="492" t="s">
        <v>1144</v>
      </c>
      <c r="L74" s="492" t="s">
        <v>1145</v>
      </c>
      <c r="M74" s="492" t="s">
        <v>1146</v>
      </c>
      <c r="N74" s="492" t="s">
        <v>329</v>
      </c>
      <c r="O74" s="492" t="s">
        <v>4281</v>
      </c>
      <c r="P74" s="492" t="s">
        <v>1128</v>
      </c>
      <c r="Q74" s="492" t="s">
        <v>3503</v>
      </c>
      <c r="R74" s="492" t="s">
        <v>828</v>
      </c>
      <c r="S74" s="492" t="s">
        <v>1147</v>
      </c>
      <c r="T74" s="492">
        <v>24.8</v>
      </c>
      <c r="U74" s="492" t="s">
        <v>857</v>
      </c>
      <c r="V74" s="492" t="s">
        <v>1130</v>
      </c>
      <c r="W74" s="492" t="s">
        <v>4029</v>
      </c>
      <c r="X74" s="492" t="s">
        <v>3502</v>
      </c>
      <c r="Y74" s="492" t="s">
        <v>1124</v>
      </c>
      <c r="Z74" s="492" t="s">
        <v>1125</v>
      </c>
      <c r="AA74" s="492" t="s">
        <v>3502</v>
      </c>
      <c r="AB74" s="492" t="s">
        <v>4324</v>
      </c>
      <c r="AC74" s="492" t="s">
        <v>830</v>
      </c>
      <c r="AD74" s="492" t="s">
        <v>831</v>
      </c>
      <c r="AE74" s="492" t="s">
        <v>612</v>
      </c>
      <c r="AF74" s="492">
        <v>8</v>
      </c>
      <c r="AG74" s="492">
        <v>140</v>
      </c>
      <c r="AH74" s="492">
        <v>20</v>
      </c>
      <c r="AI74" s="492" t="s">
        <v>2549</v>
      </c>
      <c r="AJ74" s="492" t="s">
        <v>2550</v>
      </c>
      <c r="AK74" s="492" t="s">
        <v>832</v>
      </c>
      <c r="AL74" s="492" t="s">
        <v>2432</v>
      </c>
      <c r="AM74" s="61" t="s">
        <v>3442</v>
      </c>
      <c r="AN74" s="490">
        <v>1.4583333333333332E-2</v>
      </c>
      <c r="AO74" s="490">
        <v>0</v>
      </c>
      <c r="AP74" s="61"/>
    </row>
    <row r="75" spans="1:88" x14ac:dyDescent="0.2">
      <c r="A75" s="61">
        <v>74</v>
      </c>
      <c r="B75" s="491" t="s">
        <v>210</v>
      </c>
      <c r="C75" s="492" t="s">
        <v>211</v>
      </c>
      <c r="D75" s="492" t="s">
        <v>2669</v>
      </c>
      <c r="E75" s="492" t="s">
        <v>731</v>
      </c>
      <c r="F75" s="492" t="s">
        <v>711</v>
      </c>
      <c r="G75" s="492"/>
      <c r="H75" s="492" t="s">
        <v>835</v>
      </c>
      <c r="I75" s="492" t="s">
        <v>4280</v>
      </c>
      <c r="J75" s="492" t="s">
        <v>1103</v>
      </c>
      <c r="K75" s="492" t="s">
        <v>349</v>
      </c>
      <c r="L75" s="492" t="s">
        <v>1119</v>
      </c>
      <c r="M75" s="492">
        <v>11108</v>
      </c>
      <c r="N75" s="492" t="s">
        <v>211</v>
      </c>
      <c r="O75" s="492" t="s">
        <v>4282</v>
      </c>
      <c r="P75" s="492" t="s">
        <v>1120</v>
      </c>
      <c r="Q75" s="492" t="s">
        <v>3530</v>
      </c>
      <c r="R75" s="492" t="s">
        <v>828</v>
      </c>
      <c r="S75" s="492" t="s">
        <v>1121</v>
      </c>
      <c r="T75" s="492">
        <v>1394.9</v>
      </c>
      <c r="U75" s="492" t="s">
        <v>857</v>
      </c>
      <c r="V75" s="492" t="s">
        <v>1122</v>
      </c>
      <c r="W75" s="492" t="s">
        <v>1123</v>
      </c>
      <c r="X75" s="492" t="s">
        <v>3502</v>
      </c>
      <c r="Y75" s="492" t="s">
        <v>1124</v>
      </c>
      <c r="Z75" s="492" t="s">
        <v>1125</v>
      </c>
      <c r="AA75" s="492" t="s">
        <v>3502</v>
      </c>
      <c r="AB75" s="492" t="s">
        <v>4325</v>
      </c>
      <c r="AC75" s="492" t="s">
        <v>830</v>
      </c>
      <c r="AD75" s="492" t="s">
        <v>831</v>
      </c>
      <c r="AE75" s="492" t="s">
        <v>612</v>
      </c>
      <c r="AF75" s="492">
        <v>8</v>
      </c>
      <c r="AG75" s="492">
        <v>101</v>
      </c>
      <c r="AH75" s="492">
        <v>16</v>
      </c>
      <c r="AI75" s="492" t="s">
        <v>2546</v>
      </c>
      <c r="AJ75" s="492"/>
      <c r="AK75" s="492" t="s">
        <v>832</v>
      </c>
      <c r="AL75" s="492" t="s">
        <v>2432</v>
      </c>
      <c r="AM75" s="61" t="s">
        <v>3444</v>
      </c>
      <c r="AN75" s="490">
        <v>1.4583333333333332E-2</v>
      </c>
      <c r="AO75" s="490"/>
      <c r="AP75" s="61"/>
    </row>
    <row r="76" spans="1:88" x14ac:dyDescent="0.2">
      <c r="A76" s="61">
        <v>75</v>
      </c>
      <c r="B76" s="491" t="s">
        <v>210</v>
      </c>
      <c r="C76" s="492" t="s">
        <v>547</v>
      </c>
      <c r="D76" s="492" t="s">
        <v>3719</v>
      </c>
      <c r="E76" s="492" t="s">
        <v>731</v>
      </c>
      <c r="F76" s="492" t="s">
        <v>711</v>
      </c>
      <c r="G76" s="492" t="s">
        <v>34</v>
      </c>
      <c r="H76" s="492" t="s">
        <v>835</v>
      </c>
      <c r="I76" s="492" t="s">
        <v>4280</v>
      </c>
      <c r="J76" s="492" t="s">
        <v>1103</v>
      </c>
      <c r="K76" s="492" t="s">
        <v>349</v>
      </c>
      <c r="L76" s="492" t="s">
        <v>3720</v>
      </c>
      <c r="M76" s="492" t="s">
        <v>3721</v>
      </c>
      <c r="N76" s="492" t="s">
        <v>547</v>
      </c>
      <c r="O76" s="492" t="s">
        <v>4281</v>
      </c>
      <c r="P76" s="492" t="s">
        <v>1128</v>
      </c>
      <c r="Q76" s="492" t="s">
        <v>3503</v>
      </c>
      <c r="R76" s="492" t="s">
        <v>3722</v>
      </c>
      <c r="S76" s="492" t="s">
        <v>3723</v>
      </c>
      <c r="T76" s="492">
        <v>495</v>
      </c>
      <c r="U76" s="492" t="s">
        <v>857</v>
      </c>
      <c r="V76" s="492" t="s">
        <v>1248</v>
      </c>
      <c r="W76" s="492" t="s">
        <v>3724</v>
      </c>
      <c r="X76" s="492" t="s">
        <v>3502</v>
      </c>
      <c r="Y76" s="492" t="s">
        <v>1124</v>
      </c>
      <c r="Z76" s="492" t="s">
        <v>1125</v>
      </c>
      <c r="AA76" s="492" t="s">
        <v>3502</v>
      </c>
      <c r="AB76" s="492" t="s">
        <v>4326</v>
      </c>
      <c r="AC76" s="492" t="s">
        <v>830</v>
      </c>
      <c r="AD76" s="492" t="s">
        <v>831</v>
      </c>
      <c r="AE76" s="492" t="s">
        <v>612</v>
      </c>
      <c r="AF76" s="492">
        <v>10.199999999999999</v>
      </c>
      <c r="AG76" s="492">
        <v>131</v>
      </c>
      <c r="AH76" s="492">
        <v>22</v>
      </c>
      <c r="AI76" s="492">
        <v>22</v>
      </c>
      <c r="AJ76" s="492">
        <v>16.399999999999999</v>
      </c>
      <c r="AK76" s="492" t="s">
        <v>832</v>
      </c>
      <c r="AL76" s="492" t="s">
        <v>2432</v>
      </c>
      <c r="AM76" s="61" t="s">
        <v>3444</v>
      </c>
      <c r="AN76" s="490"/>
      <c r="AO76" s="490"/>
      <c r="AP76" s="61"/>
    </row>
    <row r="77" spans="1:88" x14ac:dyDescent="0.2">
      <c r="A77" s="61">
        <v>76</v>
      </c>
      <c r="B77" s="491" t="s">
        <v>210</v>
      </c>
      <c r="C77" s="492" t="s">
        <v>327</v>
      </c>
      <c r="D77" s="492" t="s">
        <v>2670</v>
      </c>
      <c r="E77" s="492" t="s">
        <v>731</v>
      </c>
      <c r="F77" s="492" t="s">
        <v>711</v>
      </c>
      <c r="G77" s="492" t="s">
        <v>34</v>
      </c>
      <c r="H77" s="492" t="s">
        <v>835</v>
      </c>
      <c r="I77" s="492" t="s">
        <v>4280</v>
      </c>
      <c r="J77" s="492" t="s">
        <v>1103</v>
      </c>
      <c r="K77" s="492" t="s">
        <v>350</v>
      </c>
      <c r="L77" s="492" t="s">
        <v>1142</v>
      </c>
      <c r="M77" s="492">
        <v>146046</v>
      </c>
      <c r="N77" s="492" t="s">
        <v>327</v>
      </c>
      <c r="O77" s="492" t="s">
        <v>4283</v>
      </c>
      <c r="P77" s="492" t="s">
        <v>3269</v>
      </c>
      <c r="Q77" s="492" t="s">
        <v>3501</v>
      </c>
      <c r="R77" s="492" t="s">
        <v>828</v>
      </c>
      <c r="S77" s="492" t="s">
        <v>1143</v>
      </c>
      <c r="T77" s="492">
        <v>1185.7</v>
      </c>
      <c r="U77" s="492" t="s">
        <v>857</v>
      </c>
      <c r="V77" s="492" t="s">
        <v>3978</v>
      </c>
      <c r="W77" s="492" t="s">
        <v>3979</v>
      </c>
      <c r="X77" s="492" t="s">
        <v>3502</v>
      </c>
      <c r="Y77" s="492" t="s">
        <v>1124</v>
      </c>
      <c r="Z77" s="492" t="s">
        <v>1125</v>
      </c>
      <c r="AA77" s="492" t="s">
        <v>3502</v>
      </c>
      <c r="AB77" s="492" t="s">
        <v>34</v>
      </c>
      <c r="AC77" s="492" t="s">
        <v>830</v>
      </c>
      <c r="AD77" s="492" t="s">
        <v>831</v>
      </c>
      <c r="AE77" s="492" t="s">
        <v>612</v>
      </c>
      <c r="AF77" s="492">
        <v>32000</v>
      </c>
      <c r="AG77" s="492">
        <v>3000</v>
      </c>
      <c r="AH77" s="492">
        <v>12000</v>
      </c>
      <c r="AI77" s="492" t="s">
        <v>34</v>
      </c>
      <c r="AJ77" s="492" t="s">
        <v>34</v>
      </c>
      <c r="AK77" s="492" t="s">
        <v>832</v>
      </c>
      <c r="AL77" s="492" t="s">
        <v>2432</v>
      </c>
      <c r="AM77" s="61" t="s">
        <v>3448</v>
      </c>
      <c r="AN77" s="490">
        <v>1.4583333333333332E-2</v>
      </c>
      <c r="AO77" s="490">
        <v>2.1527777777777781E-2</v>
      </c>
      <c r="AP77" s="61"/>
    </row>
    <row r="78" spans="1:88" x14ac:dyDescent="0.2">
      <c r="A78" s="61">
        <v>77</v>
      </c>
      <c r="B78" s="491" t="s">
        <v>210</v>
      </c>
      <c r="C78" s="492" t="s">
        <v>2467</v>
      </c>
      <c r="D78" s="492" t="s">
        <v>2987</v>
      </c>
      <c r="E78" s="492" t="s">
        <v>731</v>
      </c>
      <c r="F78" s="492" t="s">
        <v>711</v>
      </c>
      <c r="G78" s="492" t="s">
        <v>34</v>
      </c>
      <c r="H78" s="492" t="s">
        <v>835</v>
      </c>
      <c r="I78" s="492" t="s">
        <v>4280</v>
      </c>
      <c r="J78" s="492" t="s">
        <v>1103</v>
      </c>
      <c r="K78" s="492" t="s">
        <v>1132</v>
      </c>
      <c r="L78" s="492" t="s">
        <v>1133</v>
      </c>
      <c r="M78" s="492">
        <v>146905</v>
      </c>
      <c r="N78" s="492" t="s">
        <v>1134</v>
      </c>
      <c r="O78" s="492" t="s">
        <v>4283</v>
      </c>
      <c r="P78" s="492" t="s">
        <v>1135</v>
      </c>
      <c r="Q78" s="492" t="s">
        <v>3501</v>
      </c>
      <c r="R78" s="492" t="s">
        <v>828</v>
      </c>
      <c r="S78" s="492" t="s">
        <v>1136</v>
      </c>
      <c r="T78" s="492">
        <v>737.5</v>
      </c>
      <c r="U78" s="492" t="s">
        <v>857</v>
      </c>
      <c r="V78" s="492" t="s">
        <v>1137</v>
      </c>
      <c r="W78" s="492" t="s">
        <v>1138</v>
      </c>
      <c r="X78" s="492" t="s">
        <v>3502</v>
      </c>
      <c r="Y78" s="492" t="s">
        <v>1124</v>
      </c>
      <c r="Z78" s="492" t="s">
        <v>1125</v>
      </c>
      <c r="AA78" s="492" t="s">
        <v>3502</v>
      </c>
      <c r="AB78" s="492" t="s">
        <v>34</v>
      </c>
      <c r="AC78" s="492" t="s">
        <v>830</v>
      </c>
      <c r="AD78" s="492" t="s">
        <v>831</v>
      </c>
      <c r="AE78" s="492" t="s">
        <v>612</v>
      </c>
      <c r="AF78" s="492" t="s">
        <v>2511</v>
      </c>
      <c r="AG78" s="492">
        <v>9</v>
      </c>
      <c r="AH78" s="492">
        <v>0</v>
      </c>
      <c r="AI78" s="492" t="s">
        <v>34</v>
      </c>
      <c r="AJ78" s="492" t="s">
        <v>34</v>
      </c>
      <c r="AK78" s="492" t="s">
        <v>832</v>
      </c>
      <c r="AL78" s="492" t="s">
        <v>2432</v>
      </c>
      <c r="AM78" s="61" t="s">
        <v>3444</v>
      </c>
      <c r="AN78" s="490">
        <v>1.4583333333333332E-2</v>
      </c>
      <c r="AO78" s="490">
        <v>2.1527777777777781E-2</v>
      </c>
      <c r="AP78" s="61"/>
    </row>
    <row r="79" spans="1:88" x14ac:dyDescent="0.2">
      <c r="A79" s="61">
        <v>78</v>
      </c>
      <c r="B79" s="491" t="s">
        <v>210</v>
      </c>
      <c r="C79" s="492" t="s">
        <v>330</v>
      </c>
      <c r="D79" s="492" t="s">
        <v>2671</v>
      </c>
      <c r="E79" s="492" t="s">
        <v>731</v>
      </c>
      <c r="F79" s="492" t="s">
        <v>711</v>
      </c>
      <c r="G79" s="492" t="s">
        <v>34</v>
      </c>
      <c r="H79" s="492" t="s">
        <v>835</v>
      </c>
      <c r="I79" s="492" t="s">
        <v>4270</v>
      </c>
      <c r="J79" s="492" t="s">
        <v>613</v>
      </c>
      <c r="K79" s="492" t="s">
        <v>1139</v>
      </c>
      <c r="L79" s="492" t="s">
        <v>950</v>
      </c>
      <c r="M79" s="492" t="s">
        <v>330</v>
      </c>
      <c r="N79" s="492" t="s">
        <v>330</v>
      </c>
      <c r="O79" s="492" t="s">
        <v>305</v>
      </c>
      <c r="P79" s="492" t="s">
        <v>1140</v>
      </c>
      <c r="Q79" s="492" t="s">
        <v>908</v>
      </c>
      <c r="R79" s="492" t="s">
        <v>828</v>
      </c>
      <c r="S79" s="492" t="s">
        <v>1141</v>
      </c>
      <c r="T79" s="492">
        <v>536.29999999999995</v>
      </c>
      <c r="U79" s="492">
        <v>0</v>
      </c>
      <c r="V79" s="492">
        <v>0</v>
      </c>
      <c r="W79" s="492">
        <v>0</v>
      </c>
      <c r="X79" s="492">
        <v>0</v>
      </c>
      <c r="Y79" s="492">
        <v>0</v>
      </c>
      <c r="Z79" s="492">
        <v>0</v>
      </c>
      <c r="AA79" s="492">
        <v>0</v>
      </c>
      <c r="AB79" s="492" t="s">
        <v>34</v>
      </c>
      <c r="AC79" s="492" t="s">
        <v>830</v>
      </c>
      <c r="AD79" s="492" t="s">
        <v>831</v>
      </c>
      <c r="AE79" s="492" t="s">
        <v>612</v>
      </c>
      <c r="AF79" s="492" t="s">
        <v>2054</v>
      </c>
      <c r="AG79" s="492" t="s">
        <v>34</v>
      </c>
      <c r="AH79" s="492" t="s">
        <v>34</v>
      </c>
      <c r="AI79" s="492" t="s">
        <v>34</v>
      </c>
      <c r="AJ79" s="492" t="s">
        <v>34</v>
      </c>
      <c r="AK79" s="492" t="s">
        <v>832</v>
      </c>
      <c r="AL79" s="492" t="s">
        <v>34</v>
      </c>
      <c r="AM79" s="61" t="s">
        <v>3441</v>
      </c>
      <c r="AN79" s="490">
        <v>0</v>
      </c>
      <c r="AO79" s="490">
        <v>0</v>
      </c>
      <c r="AP79" s="61"/>
    </row>
    <row r="80" spans="1:88" x14ac:dyDescent="0.2">
      <c r="A80" s="61">
        <v>79</v>
      </c>
      <c r="B80" s="491" t="s">
        <v>333</v>
      </c>
      <c r="C80" s="492" t="s">
        <v>343</v>
      </c>
      <c r="D80" s="492" t="s">
        <v>2672</v>
      </c>
      <c r="E80" s="492" t="s">
        <v>732</v>
      </c>
      <c r="F80" s="492" t="s">
        <v>711</v>
      </c>
      <c r="G80" s="492" t="s">
        <v>34</v>
      </c>
      <c r="H80" s="492" t="s">
        <v>835</v>
      </c>
      <c r="I80" s="492" t="s">
        <v>4284</v>
      </c>
      <c r="J80" s="492" t="s">
        <v>1103</v>
      </c>
      <c r="K80" s="492">
        <v>0</v>
      </c>
      <c r="L80" s="492">
        <v>0</v>
      </c>
      <c r="M80" s="492">
        <v>0</v>
      </c>
      <c r="N80" s="492">
        <v>0</v>
      </c>
      <c r="O80" s="492">
        <v>0</v>
      </c>
      <c r="P80" s="492">
        <v>0</v>
      </c>
      <c r="Q80" s="492">
        <v>0</v>
      </c>
      <c r="R80" s="492">
        <v>0</v>
      </c>
      <c r="S80" s="492">
        <v>0</v>
      </c>
      <c r="T80" s="492">
        <v>0</v>
      </c>
      <c r="U80" s="492">
        <v>0</v>
      </c>
      <c r="V80" s="492">
        <v>0</v>
      </c>
      <c r="W80" s="492">
        <v>0</v>
      </c>
      <c r="X80" s="492">
        <v>0</v>
      </c>
      <c r="Y80" s="492">
        <v>0</v>
      </c>
      <c r="Z80" s="492">
        <v>0</v>
      </c>
      <c r="AA80" s="492">
        <v>0</v>
      </c>
      <c r="AB80" s="492" t="s">
        <v>34</v>
      </c>
      <c r="AC80" s="492" t="s">
        <v>830</v>
      </c>
      <c r="AD80" s="492" t="s">
        <v>831</v>
      </c>
      <c r="AE80" s="492" t="s">
        <v>612</v>
      </c>
      <c r="AF80" s="492" t="s">
        <v>2054</v>
      </c>
      <c r="AG80" s="492" t="s">
        <v>34</v>
      </c>
      <c r="AH80" s="492" t="s">
        <v>34</v>
      </c>
      <c r="AI80" s="492" t="s">
        <v>34</v>
      </c>
      <c r="AJ80" s="492" t="s">
        <v>34</v>
      </c>
      <c r="AK80" s="492" t="s">
        <v>832</v>
      </c>
      <c r="AL80" s="492" t="s">
        <v>34</v>
      </c>
      <c r="AM80" s="61" t="s">
        <v>3441</v>
      </c>
      <c r="AN80" s="490">
        <v>0</v>
      </c>
      <c r="AO80" s="490">
        <v>0</v>
      </c>
      <c r="AP80" s="61"/>
    </row>
    <row r="81" spans="1:42" x14ac:dyDescent="0.2">
      <c r="A81" s="61">
        <v>80</v>
      </c>
      <c r="B81" s="491" t="s">
        <v>333</v>
      </c>
      <c r="C81" s="492" t="s">
        <v>342</v>
      </c>
      <c r="D81" s="492" t="s">
        <v>2673</v>
      </c>
      <c r="E81" s="492" t="s">
        <v>732</v>
      </c>
      <c r="F81" s="492" t="s">
        <v>711</v>
      </c>
      <c r="G81" s="492" t="s">
        <v>34</v>
      </c>
      <c r="H81" s="492" t="s">
        <v>835</v>
      </c>
      <c r="I81" s="492" t="s">
        <v>4270</v>
      </c>
      <c r="J81" s="492" t="s">
        <v>1103</v>
      </c>
      <c r="K81" s="492" t="s">
        <v>398</v>
      </c>
      <c r="L81" s="492" t="s">
        <v>1150</v>
      </c>
      <c r="M81" s="492" t="s">
        <v>1151</v>
      </c>
      <c r="N81" s="492" t="s">
        <v>342</v>
      </c>
      <c r="O81" s="492" t="s">
        <v>3549</v>
      </c>
      <c r="P81" s="492" t="s">
        <v>1152</v>
      </c>
      <c r="Q81" s="492" t="s">
        <v>3514</v>
      </c>
      <c r="R81" s="492" t="s">
        <v>892</v>
      </c>
      <c r="S81" s="492" t="s">
        <v>1153</v>
      </c>
      <c r="T81" s="492">
        <v>80</v>
      </c>
      <c r="U81" s="492" t="s">
        <v>857</v>
      </c>
      <c r="V81" s="492" t="s">
        <v>1154</v>
      </c>
      <c r="W81" s="492" t="s">
        <v>3611</v>
      </c>
      <c r="X81" s="492" t="s">
        <v>3502</v>
      </c>
      <c r="Y81" s="492" t="s">
        <v>1155</v>
      </c>
      <c r="Z81" s="492" t="s">
        <v>1156</v>
      </c>
      <c r="AA81" s="492" t="s">
        <v>3502</v>
      </c>
      <c r="AB81" s="492" t="s">
        <v>34</v>
      </c>
      <c r="AC81" s="492" t="s">
        <v>830</v>
      </c>
      <c r="AD81" s="492" t="s">
        <v>831</v>
      </c>
      <c r="AE81" s="492" t="s">
        <v>612</v>
      </c>
      <c r="AF81" s="492" t="s">
        <v>2054</v>
      </c>
      <c r="AG81" s="492" t="s">
        <v>34</v>
      </c>
      <c r="AH81" s="492" t="s">
        <v>34</v>
      </c>
      <c r="AI81" s="492" t="s">
        <v>34</v>
      </c>
      <c r="AJ81" s="492" t="s">
        <v>34</v>
      </c>
      <c r="AK81" s="492" t="s">
        <v>832</v>
      </c>
      <c r="AL81" s="492" t="s">
        <v>34</v>
      </c>
      <c r="AM81" s="61" t="s">
        <v>3444</v>
      </c>
      <c r="AN81" s="490">
        <v>0</v>
      </c>
      <c r="AO81" s="490">
        <v>0</v>
      </c>
      <c r="AP81" s="61"/>
    </row>
    <row r="82" spans="1:42" x14ac:dyDescent="0.2">
      <c r="A82" s="61">
        <v>81</v>
      </c>
      <c r="B82" s="491" t="s">
        <v>333</v>
      </c>
      <c r="C82" s="492" t="s">
        <v>334</v>
      </c>
      <c r="D82" s="492" t="s">
        <v>2674</v>
      </c>
      <c r="E82" s="492" t="s">
        <v>732</v>
      </c>
      <c r="F82" s="492" t="s">
        <v>711</v>
      </c>
      <c r="G82" s="492" t="s">
        <v>34</v>
      </c>
      <c r="H82" s="492" t="s">
        <v>835</v>
      </c>
      <c r="I82" s="492" t="s">
        <v>4270</v>
      </c>
      <c r="J82" s="492" t="s">
        <v>1103</v>
      </c>
      <c r="K82" s="492" t="s">
        <v>1162</v>
      </c>
      <c r="L82" s="492" t="s">
        <v>1150</v>
      </c>
      <c r="M82" s="492" t="s">
        <v>1163</v>
      </c>
      <c r="N82" s="492" t="s">
        <v>334</v>
      </c>
      <c r="O82" s="492" t="s">
        <v>4275</v>
      </c>
      <c r="P82" s="492" t="s">
        <v>1158</v>
      </c>
      <c r="Q82" s="492" t="s">
        <v>3501</v>
      </c>
      <c r="R82" s="492" t="s">
        <v>892</v>
      </c>
      <c r="S82" s="492" t="s">
        <v>1164</v>
      </c>
      <c r="T82" s="492">
        <v>1725</v>
      </c>
      <c r="U82" s="492" t="s">
        <v>856</v>
      </c>
      <c r="V82" s="492" t="s">
        <v>1154</v>
      </c>
      <c r="W82" s="492">
        <v>9.06</v>
      </c>
      <c r="X82" s="492" t="s">
        <v>3502</v>
      </c>
      <c r="Y82" s="492" t="s">
        <v>1155</v>
      </c>
      <c r="Z82" s="492" t="s">
        <v>1156</v>
      </c>
      <c r="AA82" s="492" t="s">
        <v>3502</v>
      </c>
      <c r="AB82" s="492" t="s">
        <v>34</v>
      </c>
      <c r="AC82" s="492" t="s">
        <v>830</v>
      </c>
      <c r="AD82" s="492" t="s">
        <v>831</v>
      </c>
      <c r="AE82" s="492" t="s">
        <v>612</v>
      </c>
      <c r="AF82" s="492">
        <v>15.7</v>
      </c>
      <c r="AG82" s="492">
        <v>2.31</v>
      </c>
      <c r="AH82" s="492">
        <v>0.38</v>
      </c>
      <c r="AI82" s="492" t="s">
        <v>2544</v>
      </c>
      <c r="AJ82" s="492" t="s">
        <v>34</v>
      </c>
      <c r="AK82" s="492" t="s">
        <v>832</v>
      </c>
      <c r="AL82" s="492" t="s">
        <v>34</v>
      </c>
      <c r="AM82" s="61" t="s">
        <v>3443</v>
      </c>
      <c r="AN82" s="490">
        <v>0</v>
      </c>
      <c r="AO82" s="490">
        <v>0</v>
      </c>
      <c r="AP82" s="61"/>
    </row>
    <row r="83" spans="1:42" x14ac:dyDescent="0.2">
      <c r="A83" s="61">
        <v>82</v>
      </c>
      <c r="B83" s="491" t="s">
        <v>333</v>
      </c>
      <c r="C83" s="492" t="s">
        <v>335</v>
      </c>
      <c r="D83" s="492" t="s">
        <v>2675</v>
      </c>
      <c r="E83" s="492" t="s">
        <v>732</v>
      </c>
      <c r="F83" s="492" t="s">
        <v>711</v>
      </c>
      <c r="G83" s="492" t="s">
        <v>34</v>
      </c>
      <c r="H83" s="492" t="s">
        <v>835</v>
      </c>
      <c r="I83" s="492" t="s">
        <v>4270</v>
      </c>
      <c r="J83" s="492" t="s">
        <v>1103</v>
      </c>
      <c r="K83" s="492" t="s">
        <v>366</v>
      </c>
      <c r="L83" s="492" t="s">
        <v>1157</v>
      </c>
      <c r="M83" s="492">
        <v>389</v>
      </c>
      <c r="N83" s="492" t="s">
        <v>335</v>
      </c>
      <c r="O83" s="492" t="s">
        <v>4275</v>
      </c>
      <c r="P83" s="492" t="s">
        <v>1158</v>
      </c>
      <c r="Q83" s="492" t="s">
        <v>3501</v>
      </c>
      <c r="R83" s="492" t="s">
        <v>993</v>
      </c>
      <c r="S83" s="492" t="s">
        <v>1159</v>
      </c>
      <c r="T83" s="492">
        <v>588</v>
      </c>
      <c r="U83" s="492" t="s">
        <v>856</v>
      </c>
      <c r="V83" s="492" t="s">
        <v>1160</v>
      </c>
      <c r="W83" s="492" t="s">
        <v>1161</v>
      </c>
      <c r="X83" s="492" t="s">
        <v>3502</v>
      </c>
      <c r="Y83" s="492" t="s">
        <v>1124</v>
      </c>
      <c r="Z83" s="492" t="s">
        <v>1156</v>
      </c>
      <c r="AA83" s="492" t="s">
        <v>3502</v>
      </c>
      <c r="AB83" s="492" t="s">
        <v>34</v>
      </c>
      <c r="AC83" s="492" t="s">
        <v>830</v>
      </c>
      <c r="AD83" s="492" t="s">
        <v>831</v>
      </c>
      <c r="AE83" s="492" t="s">
        <v>612</v>
      </c>
      <c r="AF83" s="492">
        <v>0.6</v>
      </c>
      <c r="AG83" s="492">
        <v>127</v>
      </c>
      <c r="AH83" s="492">
        <v>1</v>
      </c>
      <c r="AI83" s="492" t="s">
        <v>34</v>
      </c>
      <c r="AJ83" s="492" t="s">
        <v>34</v>
      </c>
      <c r="AK83" s="492" t="s">
        <v>832</v>
      </c>
      <c r="AL83" s="492" t="s">
        <v>34</v>
      </c>
      <c r="AM83" s="61" t="s">
        <v>3441</v>
      </c>
      <c r="AN83" s="490">
        <v>0</v>
      </c>
      <c r="AO83" s="490">
        <v>0</v>
      </c>
      <c r="AP83" s="61"/>
    </row>
    <row r="84" spans="1:42" x14ac:dyDescent="0.2">
      <c r="A84" s="61">
        <v>83</v>
      </c>
      <c r="B84" s="491" t="s">
        <v>333</v>
      </c>
      <c r="C84" s="492" t="s">
        <v>328</v>
      </c>
      <c r="D84" s="492" t="s">
        <v>2676</v>
      </c>
      <c r="E84" s="492" t="s">
        <v>732</v>
      </c>
      <c r="F84" s="492" t="s">
        <v>711</v>
      </c>
      <c r="G84" s="492" t="s">
        <v>34</v>
      </c>
      <c r="H84" s="492" t="s">
        <v>835</v>
      </c>
      <c r="I84" s="492" t="s">
        <v>4284</v>
      </c>
      <c r="J84" s="492" t="s">
        <v>1103</v>
      </c>
      <c r="K84" s="492" t="s">
        <v>2433</v>
      </c>
      <c r="L84" s="492" t="s">
        <v>950</v>
      </c>
      <c r="M84" s="492" t="s">
        <v>328</v>
      </c>
      <c r="N84" s="492" t="s">
        <v>328</v>
      </c>
      <c r="O84" s="492" t="s">
        <v>2434</v>
      </c>
      <c r="P84" s="492" t="s">
        <v>1862</v>
      </c>
      <c r="Q84" s="492" t="s">
        <v>908</v>
      </c>
      <c r="R84" s="492" t="s">
        <v>828</v>
      </c>
      <c r="S84" s="492" t="s">
        <v>1141</v>
      </c>
      <c r="T84" s="492">
        <v>536.29999999999995</v>
      </c>
      <c r="U84" s="492" t="s">
        <v>687</v>
      </c>
      <c r="V84" s="492" t="s">
        <v>2436</v>
      </c>
      <c r="W84" s="492" t="s">
        <v>2440</v>
      </c>
      <c r="X84" s="492" t="s">
        <v>829</v>
      </c>
      <c r="Y84" s="492" t="s">
        <v>1264</v>
      </c>
      <c r="Z84" s="492" t="s">
        <v>1156</v>
      </c>
      <c r="AA84" s="492" t="s">
        <v>829</v>
      </c>
      <c r="AB84" s="492" t="s">
        <v>34</v>
      </c>
      <c r="AC84" s="492" t="s">
        <v>830</v>
      </c>
      <c r="AD84" s="492" t="s">
        <v>831</v>
      </c>
      <c r="AE84" s="492" t="s">
        <v>612</v>
      </c>
      <c r="AF84" s="492" t="s">
        <v>2054</v>
      </c>
      <c r="AG84" s="492" t="s">
        <v>34</v>
      </c>
      <c r="AH84" s="492" t="s">
        <v>34</v>
      </c>
      <c r="AI84" s="492" t="s">
        <v>34</v>
      </c>
      <c r="AJ84" s="492" t="s">
        <v>34</v>
      </c>
      <c r="AK84" s="492" t="s">
        <v>832</v>
      </c>
      <c r="AL84" s="492" t="s">
        <v>2432</v>
      </c>
      <c r="AM84" s="61" t="s">
        <v>3441</v>
      </c>
      <c r="AN84" s="490">
        <v>0</v>
      </c>
      <c r="AO84" s="490">
        <v>0</v>
      </c>
      <c r="AP84" s="61"/>
    </row>
    <row r="85" spans="1:42" x14ac:dyDescent="0.2">
      <c r="A85" s="61">
        <v>84</v>
      </c>
      <c r="B85" s="491" t="s">
        <v>333</v>
      </c>
      <c r="C85" s="492" t="s">
        <v>337</v>
      </c>
      <c r="D85" s="492" t="s">
        <v>2677</v>
      </c>
      <c r="E85" s="492" t="s">
        <v>732</v>
      </c>
      <c r="F85" s="492" t="s">
        <v>711</v>
      </c>
      <c r="G85" s="492" t="s">
        <v>34</v>
      </c>
      <c r="H85" s="492" t="s">
        <v>835</v>
      </c>
      <c r="I85" s="492" t="s">
        <v>4284</v>
      </c>
      <c r="J85" s="492" t="s">
        <v>1103</v>
      </c>
      <c r="K85" s="492" t="s">
        <v>2441</v>
      </c>
      <c r="L85" s="492" t="s">
        <v>950</v>
      </c>
      <c r="M85" s="492" t="s">
        <v>337</v>
      </c>
      <c r="N85" s="492" t="s">
        <v>337</v>
      </c>
      <c r="O85" s="492" t="s">
        <v>2434</v>
      </c>
      <c r="P85" s="492" t="s">
        <v>2444</v>
      </c>
      <c r="Q85" s="492" t="s">
        <v>908</v>
      </c>
      <c r="R85" s="492" t="s">
        <v>828</v>
      </c>
      <c r="S85" s="492" t="s">
        <v>1141</v>
      </c>
      <c r="T85" s="492">
        <v>536.29999999999995</v>
      </c>
      <c r="U85" s="492" t="s">
        <v>687</v>
      </c>
      <c r="V85" s="492" t="s">
        <v>2436</v>
      </c>
      <c r="W85" s="492" t="s">
        <v>2445</v>
      </c>
      <c r="X85" s="492" t="s">
        <v>829</v>
      </c>
      <c r="Y85" s="492" t="s">
        <v>1124</v>
      </c>
      <c r="Z85" s="492" t="s">
        <v>1156</v>
      </c>
      <c r="AA85" s="492" t="s">
        <v>829</v>
      </c>
      <c r="AB85" s="492" t="s">
        <v>34</v>
      </c>
      <c r="AC85" s="492" t="s">
        <v>830</v>
      </c>
      <c r="AD85" s="492" t="s">
        <v>831</v>
      </c>
      <c r="AE85" s="492" t="s">
        <v>612</v>
      </c>
      <c r="AF85" s="492" t="s">
        <v>2054</v>
      </c>
      <c r="AG85" s="492" t="s">
        <v>34</v>
      </c>
      <c r="AH85" s="492" t="s">
        <v>34</v>
      </c>
      <c r="AI85" s="492" t="s">
        <v>34</v>
      </c>
      <c r="AJ85" s="492" t="s">
        <v>34</v>
      </c>
      <c r="AK85" s="492" t="s">
        <v>832</v>
      </c>
      <c r="AL85" s="492" t="s">
        <v>2432</v>
      </c>
      <c r="AM85" s="61" t="s">
        <v>3441</v>
      </c>
      <c r="AN85" s="490">
        <v>0</v>
      </c>
      <c r="AO85" s="490">
        <v>0</v>
      </c>
      <c r="AP85" s="61"/>
    </row>
    <row r="86" spans="1:42" x14ac:dyDescent="0.2">
      <c r="A86" s="61">
        <v>85</v>
      </c>
      <c r="B86" s="491" t="s">
        <v>333</v>
      </c>
      <c r="C86" s="492" t="s">
        <v>326</v>
      </c>
      <c r="D86" s="492" t="s">
        <v>2678</v>
      </c>
      <c r="E86" s="492" t="s">
        <v>732</v>
      </c>
      <c r="F86" s="492" t="s">
        <v>711</v>
      </c>
      <c r="G86" s="492" t="s">
        <v>34</v>
      </c>
      <c r="H86" s="492" t="s">
        <v>835</v>
      </c>
      <c r="I86" s="492" t="s">
        <v>4284</v>
      </c>
      <c r="J86" s="492" t="s">
        <v>1103</v>
      </c>
      <c r="K86" s="492" t="s">
        <v>1482</v>
      </c>
      <c r="L86" s="492" t="s">
        <v>950</v>
      </c>
      <c r="M86" s="492" t="s">
        <v>326</v>
      </c>
      <c r="N86" s="492" t="s">
        <v>326</v>
      </c>
      <c r="O86" s="492" t="s">
        <v>2434</v>
      </c>
      <c r="P86" s="492" t="s">
        <v>2437</v>
      </c>
      <c r="Q86" s="492" t="s">
        <v>908</v>
      </c>
      <c r="R86" s="492" t="s">
        <v>828</v>
      </c>
      <c r="S86" s="492" t="s">
        <v>1141</v>
      </c>
      <c r="T86" s="492">
        <v>536.29999999999995</v>
      </c>
      <c r="U86" s="492" t="s">
        <v>687</v>
      </c>
      <c r="V86" s="492" t="s">
        <v>2436</v>
      </c>
      <c r="W86" s="492" t="s">
        <v>2439</v>
      </c>
      <c r="X86" s="492" t="s">
        <v>829</v>
      </c>
      <c r="Y86" s="492" t="s">
        <v>1264</v>
      </c>
      <c r="Z86" s="492" t="s">
        <v>1156</v>
      </c>
      <c r="AA86" s="492" t="s">
        <v>829</v>
      </c>
      <c r="AB86" s="492" t="s">
        <v>34</v>
      </c>
      <c r="AC86" s="492" t="s">
        <v>830</v>
      </c>
      <c r="AD86" s="492" t="s">
        <v>831</v>
      </c>
      <c r="AE86" s="492" t="s">
        <v>612</v>
      </c>
      <c r="AF86" s="492" t="s">
        <v>2054</v>
      </c>
      <c r="AG86" s="492" t="s">
        <v>34</v>
      </c>
      <c r="AH86" s="492" t="s">
        <v>34</v>
      </c>
      <c r="AI86" s="492" t="s">
        <v>34</v>
      </c>
      <c r="AJ86" s="492" t="s">
        <v>34</v>
      </c>
      <c r="AK86" s="492" t="s">
        <v>832</v>
      </c>
      <c r="AL86" s="492" t="s">
        <v>2432</v>
      </c>
      <c r="AM86" s="61" t="s">
        <v>3441</v>
      </c>
      <c r="AN86" s="490">
        <v>0</v>
      </c>
      <c r="AO86" s="490">
        <v>0</v>
      </c>
      <c r="AP86" s="61"/>
    </row>
    <row r="87" spans="1:42" x14ac:dyDescent="0.2">
      <c r="A87" s="61">
        <v>86</v>
      </c>
      <c r="B87" s="491" t="s">
        <v>333</v>
      </c>
      <c r="C87" s="492" t="s">
        <v>325</v>
      </c>
      <c r="D87" s="492" t="s">
        <v>2679</v>
      </c>
      <c r="E87" s="492" t="s">
        <v>732</v>
      </c>
      <c r="F87" s="492" t="s">
        <v>711</v>
      </c>
      <c r="G87" s="492" t="s">
        <v>34</v>
      </c>
      <c r="H87" s="492" t="s">
        <v>835</v>
      </c>
      <c r="I87" s="492" t="s">
        <v>4284</v>
      </c>
      <c r="J87" s="492" t="s">
        <v>1103</v>
      </c>
      <c r="K87" s="492" t="s">
        <v>1480</v>
      </c>
      <c r="L87" s="492" t="s">
        <v>950</v>
      </c>
      <c r="M87" s="492" t="s">
        <v>325</v>
      </c>
      <c r="N87" s="492" t="s">
        <v>325</v>
      </c>
      <c r="O87" s="492" t="s">
        <v>2434</v>
      </c>
      <c r="P87" s="492" t="s">
        <v>2435</v>
      </c>
      <c r="Q87" s="492" t="s">
        <v>908</v>
      </c>
      <c r="R87" s="492" t="s">
        <v>828</v>
      </c>
      <c r="S87" s="492" t="s">
        <v>1141</v>
      </c>
      <c r="T87" s="492">
        <v>536.29999999999995</v>
      </c>
      <c r="U87" s="492" t="s">
        <v>687</v>
      </c>
      <c r="V87" s="492" t="s">
        <v>2436</v>
      </c>
      <c r="W87" s="492" t="s">
        <v>2438</v>
      </c>
      <c r="X87" s="492" t="s">
        <v>829</v>
      </c>
      <c r="Y87" s="492" t="s">
        <v>1264</v>
      </c>
      <c r="Z87" s="492" t="s">
        <v>1156</v>
      </c>
      <c r="AA87" s="492" t="s">
        <v>829</v>
      </c>
      <c r="AB87" s="492" t="s">
        <v>34</v>
      </c>
      <c r="AC87" s="492" t="s">
        <v>830</v>
      </c>
      <c r="AD87" s="492" t="s">
        <v>831</v>
      </c>
      <c r="AE87" s="492" t="s">
        <v>612</v>
      </c>
      <c r="AF87" s="492" t="s">
        <v>2054</v>
      </c>
      <c r="AG87" s="492" t="s">
        <v>34</v>
      </c>
      <c r="AH87" s="492" t="s">
        <v>34</v>
      </c>
      <c r="AI87" s="492" t="s">
        <v>34</v>
      </c>
      <c r="AJ87" s="492" t="s">
        <v>34</v>
      </c>
      <c r="AK87" s="492" t="s">
        <v>832</v>
      </c>
      <c r="AL87" s="492" t="s">
        <v>2432</v>
      </c>
      <c r="AM87" s="61" t="s">
        <v>3441</v>
      </c>
      <c r="AN87" s="490">
        <v>0</v>
      </c>
      <c r="AO87" s="490">
        <v>0</v>
      </c>
      <c r="AP87" s="61"/>
    </row>
    <row r="88" spans="1:42" x14ac:dyDescent="0.2">
      <c r="A88" s="61">
        <v>87</v>
      </c>
      <c r="B88" s="491" t="s">
        <v>333</v>
      </c>
      <c r="C88" s="492" t="s">
        <v>341</v>
      </c>
      <c r="D88" s="492" t="s">
        <v>2680</v>
      </c>
      <c r="E88" s="492" t="s">
        <v>732</v>
      </c>
      <c r="F88" s="492" t="s">
        <v>711</v>
      </c>
      <c r="G88" s="492" t="s">
        <v>34</v>
      </c>
      <c r="H88" s="492" t="s">
        <v>835</v>
      </c>
      <c r="I88" s="492" t="s">
        <v>4284</v>
      </c>
      <c r="J88" s="492" t="s">
        <v>1103</v>
      </c>
      <c r="K88" s="492" t="s">
        <v>2453</v>
      </c>
      <c r="L88" s="492" t="s">
        <v>950</v>
      </c>
      <c r="M88" s="492" t="s">
        <v>341</v>
      </c>
      <c r="N88" s="492" t="s">
        <v>341</v>
      </c>
      <c r="O88" s="492" t="s">
        <v>2434</v>
      </c>
      <c r="P88" s="492" t="s">
        <v>2454</v>
      </c>
      <c r="Q88" s="492" t="s">
        <v>908</v>
      </c>
      <c r="R88" s="492" t="s">
        <v>828</v>
      </c>
      <c r="S88" s="492" t="s">
        <v>1141</v>
      </c>
      <c r="T88" s="492">
        <v>536.29999999999995</v>
      </c>
      <c r="U88" s="492" t="s">
        <v>687</v>
      </c>
      <c r="V88" s="492" t="s">
        <v>2436</v>
      </c>
      <c r="W88" s="492" t="s">
        <v>2455</v>
      </c>
      <c r="X88" s="492" t="s">
        <v>829</v>
      </c>
      <c r="Y88" s="492" t="s">
        <v>1124</v>
      </c>
      <c r="Z88" s="492" t="s">
        <v>1156</v>
      </c>
      <c r="AA88" s="492" t="s">
        <v>829</v>
      </c>
      <c r="AB88" s="492" t="s">
        <v>34</v>
      </c>
      <c r="AC88" s="492" t="s">
        <v>830</v>
      </c>
      <c r="AD88" s="492" t="s">
        <v>831</v>
      </c>
      <c r="AE88" s="492" t="s">
        <v>612</v>
      </c>
      <c r="AF88" s="492" t="s">
        <v>2054</v>
      </c>
      <c r="AG88" s="492" t="s">
        <v>34</v>
      </c>
      <c r="AH88" s="492" t="s">
        <v>34</v>
      </c>
      <c r="AI88" s="492" t="s">
        <v>34</v>
      </c>
      <c r="AJ88" s="492" t="s">
        <v>34</v>
      </c>
      <c r="AK88" s="492" t="s">
        <v>832</v>
      </c>
      <c r="AL88" s="492" t="s">
        <v>2432</v>
      </c>
      <c r="AM88" s="61" t="s">
        <v>3441</v>
      </c>
      <c r="AN88" s="490">
        <v>0</v>
      </c>
      <c r="AO88" s="490">
        <v>0</v>
      </c>
      <c r="AP88" s="61"/>
    </row>
    <row r="89" spans="1:42" x14ac:dyDescent="0.2">
      <c r="A89" s="61">
        <v>88</v>
      </c>
      <c r="B89" s="491" t="s">
        <v>333</v>
      </c>
      <c r="C89" s="492" t="s">
        <v>340</v>
      </c>
      <c r="D89" s="492" t="s">
        <v>2681</v>
      </c>
      <c r="E89" s="492" t="s">
        <v>732</v>
      </c>
      <c r="F89" s="492" t="s">
        <v>711</v>
      </c>
      <c r="G89" s="492" t="s">
        <v>34</v>
      </c>
      <c r="H89" s="492" t="s">
        <v>835</v>
      </c>
      <c r="I89" s="492" t="s">
        <v>4284</v>
      </c>
      <c r="J89" s="492" t="s">
        <v>1103</v>
      </c>
      <c r="K89" s="492" t="s">
        <v>2450</v>
      </c>
      <c r="L89" s="492" t="s">
        <v>950</v>
      </c>
      <c r="M89" s="492" t="s">
        <v>340</v>
      </c>
      <c r="N89" s="492" t="s">
        <v>340</v>
      </c>
      <c r="O89" s="492" t="s">
        <v>2434</v>
      </c>
      <c r="P89" s="492" t="s">
        <v>2451</v>
      </c>
      <c r="Q89" s="492" t="s">
        <v>908</v>
      </c>
      <c r="R89" s="492" t="s">
        <v>828</v>
      </c>
      <c r="S89" s="492" t="s">
        <v>1141</v>
      </c>
      <c r="T89" s="492">
        <v>536.29999999999995</v>
      </c>
      <c r="U89" s="492" t="s">
        <v>687</v>
      </c>
      <c r="V89" s="492" t="s">
        <v>2436</v>
      </c>
      <c r="W89" s="492" t="s">
        <v>2452</v>
      </c>
      <c r="X89" s="492" t="s">
        <v>829</v>
      </c>
      <c r="Y89" s="492" t="s">
        <v>1124</v>
      </c>
      <c r="Z89" s="492" t="s">
        <v>1156</v>
      </c>
      <c r="AA89" s="492" t="s">
        <v>829</v>
      </c>
      <c r="AB89" s="492" t="s">
        <v>34</v>
      </c>
      <c r="AC89" s="492" t="s">
        <v>830</v>
      </c>
      <c r="AD89" s="492" t="s">
        <v>831</v>
      </c>
      <c r="AE89" s="492" t="s">
        <v>612</v>
      </c>
      <c r="AF89" s="492" t="s">
        <v>2054</v>
      </c>
      <c r="AG89" s="492" t="s">
        <v>34</v>
      </c>
      <c r="AH89" s="492" t="s">
        <v>34</v>
      </c>
      <c r="AI89" s="492" t="s">
        <v>34</v>
      </c>
      <c r="AJ89" s="492" t="s">
        <v>34</v>
      </c>
      <c r="AK89" s="492" t="s">
        <v>832</v>
      </c>
      <c r="AL89" s="492" t="s">
        <v>2432</v>
      </c>
      <c r="AM89" s="61" t="s">
        <v>3441</v>
      </c>
      <c r="AN89" s="490">
        <v>0</v>
      </c>
      <c r="AO89" s="490">
        <v>0</v>
      </c>
      <c r="AP89" s="61"/>
    </row>
    <row r="90" spans="1:42" x14ac:dyDescent="0.2">
      <c r="A90" s="61">
        <v>89</v>
      </c>
      <c r="B90" s="491" t="s">
        <v>333</v>
      </c>
      <c r="C90" s="492" t="s">
        <v>338</v>
      </c>
      <c r="D90" s="492" t="s">
        <v>2682</v>
      </c>
      <c r="E90" s="492" t="s">
        <v>732</v>
      </c>
      <c r="F90" s="492" t="s">
        <v>711</v>
      </c>
      <c r="G90" s="492" t="s">
        <v>34</v>
      </c>
      <c r="H90" s="492" t="s">
        <v>835</v>
      </c>
      <c r="I90" s="492" t="s">
        <v>4284</v>
      </c>
      <c r="J90" s="492" t="s">
        <v>1103</v>
      </c>
      <c r="K90" s="492" t="s">
        <v>2446</v>
      </c>
      <c r="L90" s="492" t="s">
        <v>950</v>
      </c>
      <c r="M90" s="492" t="s">
        <v>338</v>
      </c>
      <c r="N90" s="492" t="s">
        <v>338</v>
      </c>
      <c r="O90" s="492" t="s">
        <v>2434</v>
      </c>
      <c r="P90" s="492" t="s">
        <v>2447</v>
      </c>
      <c r="Q90" s="492" t="s">
        <v>908</v>
      </c>
      <c r="R90" s="492" t="s">
        <v>828</v>
      </c>
      <c r="S90" s="492" t="s">
        <v>1141</v>
      </c>
      <c r="T90" s="492">
        <v>536.29999999999995</v>
      </c>
      <c r="U90" s="492" t="s">
        <v>687</v>
      </c>
      <c r="V90" s="492" t="s">
        <v>2436</v>
      </c>
      <c r="W90" s="492" t="s">
        <v>2448</v>
      </c>
      <c r="X90" s="492" t="s">
        <v>829</v>
      </c>
      <c r="Y90" s="492" t="s">
        <v>1124</v>
      </c>
      <c r="Z90" s="492" t="s">
        <v>1156</v>
      </c>
      <c r="AA90" s="492" t="s">
        <v>829</v>
      </c>
      <c r="AB90" s="492" t="s">
        <v>34</v>
      </c>
      <c r="AC90" s="492" t="s">
        <v>830</v>
      </c>
      <c r="AD90" s="492" t="s">
        <v>831</v>
      </c>
      <c r="AE90" s="492" t="s">
        <v>612</v>
      </c>
      <c r="AF90" s="492" t="s">
        <v>2054</v>
      </c>
      <c r="AG90" s="492" t="s">
        <v>34</v>
      </c>
      <c r="AH90" s="492" t="s">
        <v>34</v>
      </c>
      <c r="AI90" s="492" t="s">
        <v>34</v>
      </c>
      <c r="AJ90" s="492" t="s">
        <v>34</v>
      </c>
      <c r="AK90" s="492" t="s">
        <v>832</v>
      </c>
      <c r="AL90" s="492" t="s">
        <v>2432</v>
      </c>
      <c r="AM90" s="61" t="s">
        <v>3441</v>
      </c>
      <c r="AN90" s="490">
        <v>0</v>
      </c>
      <c r="AO90" s="490">
        <v>0</v>
      </c>
      <c r="AP90" s="61"/>
    </row>
    <row r="91" spans="1:42" x14ac:dyDescent="0.2">
      <c r="A91" s="61">
        <v>90</v>
      </c>
      <c r="B91" s="491" t="s">
        <v>333</v>
      </c>
      <c r="C91" s="492" t="s">
        <v>336</v>
      </c>
      <c r="D91" s="492" t="s">
        <v>2683</v>
      </c>
      <c r="E91" s="492" t="s">
        <v>732</v>
      </c>
      <c r="F91" s="492" t="s">
        <v>711</v>
      </c>
      <c r="G91" s="492" t="s">
        <v>34</v>
      </c>
      <c r="H91" s="492" t="s">
        <v>835</v>
      </c>
      <c r="I91" s="492" t="s">
        <v>4284</v>
      </c>
      <c r="J91" s="492" t="s">
        <v>1103</v>
      </c>
      <c r="K91" s="492" t="s">
        <v>2441</v>
      </c>
      <c r="L91" s="492" t="s">
        <v>950</v>
      </c>
      <c r="M91" s="493" t="s">
        <v>336</v>
      </c>
      <c r="N91" s="492" t="s">
        <v>336</v>
      </c>
      <c r="O91" s="492" t="s">
        <v>2434</v>
      </c>
      <c r="P91" s="492" t="s">
        <v>2442</v>
      </c>
      <c r="Q91" s="492" t="s">
        <v>908</v>
      </c>
      <c r="R91" s="492" t="s">
        <v>929</v>
      </c>
      <c r="S91" s="492" t="s">
        <v>1141</v>
      </c>
      <c r="T91" s="492">
        <v>536.29999999999995</v>
      </c>
      <c r="U91" s="492" t="s">
        <v>687</v>
      </c>
      <c r="V91" s="492" t="s">
        <v>2436</v>
      </c>
      <c r="W91" s="492" t="s">
        <v>2443</v>
      </c>
      <c r="X91" s="492" t="s">
        <v>829</v>
      </c>
      <c r="Y91" s="492" t="s">
        <v>1124</v>
      </c>
      <c r="Z91" s="492" t="s">
        <v>1156</v>
      </c>
      <c r="AA91" s="492" t="s">
        <v>829</v>
      </c>
      <c r="AB91" s="492" t="s">
        <v>34</v>
      </c>
      <c r="AC91" s="492" t="s">
        <v>830</v>
      </c>
      <c r="AD91" s="492" t="s">
        <v>831</v>
      </c>
      <c r="AE91" s="492" t="s">
        <v>612</v>
      </c>
      <c r="AF91" s="492" t="s">
        <v>2054</v>
      </c>
      <c r="AG91" s="492" t="s">
        <v>34</v>
      </c>
      <c r="AH91" s="492" t="s">
        <v>34</v>
      </c>
      <c r="AI91" s="492" t="s">
        <v>34</v>
      </c>
      <c r="AJ91" s="492" t="s">
        <v>34</v>
      </c>
      <c r="AK91" s="492" t="s">
        <v>832</v>
      </c>
      <c r="AL91" s="492" t="s">
        <v>2432</v>
      </c>
      <c r="AM91" s="61" t="s">
        <v>3441</v>
      </c>
      <c r="AN91" s="490">
        <v>0</v>
      </c>
      <c r="AO91" s="490">
        <v>0</v>
      </c>
      <c r="AP91" s="61"/>
    </row>
    <row r="92" spans="1:42" x14ac:dyDescent="0.2">
      <c r="A92" s="61">
        <v>91</v>
      </c>
      <c r="B92" s="491" t="s">
        <v>333</v>
      </c>
      <c r="C92" s="492" t="s">
        <v>339</v>
      </c>
      <c r="D92" s="492" t="s">
        <v>2684</v>
      </c>
      <c r="E92" s="492" t="s">
        <v>732</v>
      </c>
      <c r="F92" s="492" t="s">
        <v>711</v>
      </c>
      <c r="G92" s="492" t="s">
        <v>34</v>
      </c>
      <c r="H92" s="492" t="s">
        <v>835</v>
      </c>
      <c r="I92" s="492" t="s">
        <v>4284</v>
      </c>
      <c r="J92" s="492" t="s">
        <v>1103</v>
      </c>
      <c r="K92" s="492" t="s">
        <v>3819</v>
      </c>
      <c r="L92" s="492" t="s">
        <v>950</v>
      </c>
      <c r="M92" s="492" t="s">
        <v>339</v>
      </c>
      <c r="N92" s="492" t="s">
        <v>339</v>
      </c>
      <c r="O92" s="492" t="s">
        <v>2434</v>
      </c>
      <c r="P92" s="492" t="s">
        <v>1478</v>
      </c>
      <c r="Q92" s="492" t="s">
        <v>908</v>
      </c>
      <c r="R92" s="492" t="s">
        <v>929</v>
      </c>
      <c r="S92" s="492" t="s">
        <v>2449</v>
      </c>
      <c r="T92" s="492">
        <v>25</v>
      </c>
      <c r="U92" s="492" t="s">
        <v>687</v>
      </c>
      <c r="V92" s="492" t="s">
        <v>2436</v>
      </c>
      <c r="W92" s="492" t="s">
        <v>2443</v>
      </c>
      <c r="X92" s="492" t="s">
        <v>829</v>
      </c>
      <c r="Y92" s="492" t="s">
        <v>108</v>
      </c>
      <c r="Z92" s="492" t="s">
        <v>108</v>
      </c>
      <c r="AA92" s="492" t="s">
        <v>108</v>
      </c>
      <c r="AB92" s="492" t="s">
        <v>34</v>
      </c>
      <c r="AC92" s="492" t="s">
        <v>830</v>
      </c>
      <c r="AD92" s="492" t="s">
        <v>831</v>
      </c>
      <c r="AE92" s="492" t="s">
        <v>612</v>
      </c>
      <c r="AF92" s="492" t="s">
        <v>2054</v>
      </c>
      <c r="AG92" s="492" t="s">
        <v>34</v>
      </c>
      <c r="AH92" s="492" t="s">
        <v>34</v>
      </c>
      <c r="AI92" s="492" t="s">
        <v>34</v>
      </c>
      <c r="AJ92" s="492" t="s">
        <v>34</v>
      </c>
      <c r="AK92" s="492" t="s">
        <v>832</v>
      </c>
      <c r="AL92" s="492" t="s">
        <v>2432</v>
      </c>
      <c r="AM92" s="61" t="s">
        <v>3441</v>
      </c>
      <c r="AN92" s="490">
        <v>0</v>
      </c>
      <c r="AO92" s="490">
        <v>0</v>
      </c>
      <c r="AP92" s="61"/>
    </row>
    <row r="93" spans="1:42" x14ac:dyDescent="0.2">
      <c r="A93" s="61">
        <v>92</v>
      </c>
      <c r="B93" s="491" t="s">
        <v>344</v>
      </c>
      <c r="C93" s="492" t="s">
        <v>269</v>
      </c>
      <c r="D93" s="492" t="s">
        <v>2685</v>
      </c>
      <c r="E93" s="492" t="s">
        <v>733</v>
      </c>
      <c r="F93" s="492" t="s">
        <v>734</v>
      </c>
      <c r="G93" s="492" t="s">
        <v>34</v>
      </c>
      <c r="H93" s="492" t="s">
        <v>835</v>
      </c>
      <c r="I93" s="492" t="s">
        <v>4270</v>
      </c>
      <c r="J93" s="492" t="s">
        <v>1103</v>
      </c>
      <c r="K93" s="492" t="s">
        <v>365</v>
      </c>
      <c r="L93" s="492" t="s">
        <v>1165</v>
      </c>
      <c r="M93" s="492">
        <v>1</v>
      </c>
      <c r="N93" s="492" t="s">
        <v>269</v>
      </c>
      <c r="O93" s="492" t="s">
        <v>4285</v>
      </c>
      <c r="P93" s="492" t="s">
        <v>1166</v>
      </c>
      <c r="Q93" s="492" t="s">
        <v>3499</v>
      </c>
      <c r="R93" s="492" t="s">
        <v>892</v>
      </c>
      <c r="S93" s="492" t="s">
        <v>1167</v>
      </c>
      <c r="T93" s="492">
        <v>3</v>
      </c>
      <c r="U93" s="492" t="s">
        <v>858</v>
      </c>
      <c r="V93" s="492" t="s">
        <v>1168</v>
      </c>
      <c r="W93" s="492">
        <v>1704112167</v>
      </c>
      <c r="X93" s="492" t="s">
        <v>3502</v>
      </c>
      <c r="Y93" s="492" t="s">
        <v>1168</v>
      </c>
      <c r="Z93" s="492">
        <v>1704112167</v>
      </c>
      <c r="AA93" s="492" t="s">
        <v>3502</v>
      </c>
      <c r="AB93" s="492" t="s">
        <v>34</v>
      </c>
      <c r="AC93" s="492" t="s">
        <v>830</v>
      </c>
      <c r="AD93" s="492" t="s">
        <v>831</v>
      </c>
      <c r="AE93" s="492" t="s">
        <v>612</v>
      </c>
      <c r="AF93" s="492" t="s">
        <v>2054</v>
      </c>
      <c r="AG93" s="492" t="s">
        <v>34</v>
      </c>
      <c r="AH93" s="492" t="s">
        <v>34</v>
      </c>
      <c r="AI93" s="492" t="s">
        <v>34</v>
      </c>
      <c r="AJ93" s="492" t="s">
        <v>34</v>
      </c>
      <c r="AK93" s="492" t="s">
        <v>832</v>
      </c>
      <c r="AL93" s="492" t="s">
        <v>34</v>
      </c>
      <c r="AM93" s="61" t="s">
        <v>3441</v>
      </c>
      <c r="AN93" s="490">
        <v>0</v>
      </c>
      <c r="AO93" s="490">
        <v>0</v>
      </c>
      <c r="AP93" s="61"/>
    </row>
    <row r="94" spans="1:42" x14ac:dyDescent="0.2">
      <c r="A94" s="61">
        <v>93</v>
      </c>
      <c r="B94" s="491" t="s">
        <v>345</v>
      </c>
      <c r="C94" s="492" t="s">
        <v>347</v>
      </c>
      <c r="D94" s="492" t="s">
        <v>2686</v>
      </c>
      <c r="E94" s="492" t="s">
        <v>1169</v>
      </c>
      <c r="F94" s="492" t="s">
        <v>735</v>
      </c>
      <c r="G94" s="492" t="s">
        <v>34</v>
      </c>
      <c r="H94" s="492" t="s">
        <v>835</v>
      </c>
      <c r="I94" s="492" t="s">
        <v>4270</v>
      </c>
      <c r="J94" s="492" t="s">
        <v>1103</v>
      </c>
      <c r="K94" s="492" t="s">
        <v>349</v>
      </c>
      <c r="L94" s="492" t="s">
        <v>1182</v>
      </c>
      <c r="M94" s="492">
        <v>411110</v>
      </c>
      <c r="N94" s="492" t="s">
        <v>347</v>
      </c>
      <c r="O94" s="492" t="s">
        <v>4275</v>
      </c>
      <c r="P94" s="492" t="s">
        <v>1170</v>
      </c>
      <c r="Q94" s="492" t="s">
        <v>3501</v>
      </c>
      <c r="R94" s="492" t="s">
        <v>993</v>
      </c>
      <c r="S94" s="492" t="s">
        <v>1171</v>
      </c>
      <c r="T94" s="492">
        <v>225</v>
      </c>
      <c r="U94" s="492" t="s">
        <v>856</v>
      </c>
      <c r="V94" s="492" t="s">
        <v>1036</v>
      </c>
      <c r="W94" s="492" t="s">
        <v>1183</v>
      </c>
      <c r="X94" s="492" t="s">
        <v>3502</v>
      </c>
      <c r="Y94" s="492" t="s">
        <v>1184</v>
      </c>
      <c r="Z94" s="492" t="s">
        <v>1185</v>
      </c>
      <c r="AA94" s="492" t="s">
        <v>3502</v>
      </c>
      <c r="AB94" s="492" t="s">
        <v>34</v>
      </c>
      <c r="AC94" s="492" t="s">
        <v>830</v>
      </c>
      <c r="AD94" s="492" t="s">
        <v>831</v>
      </c>
      <c r="AE94" s="492" t="s">
        <v>612</v>
      </c>
      <c r="AF94" s="492">
        <v>2</v>
      </c>
      <c r="AG94" s="492">
        <v>0.5</v>
      </c>
      <c r="AH94" s="492">
        <v>0.05</v>
      </c>
      <c r="AI94" s="492" t="s">
        <v>2554</v>
      </c>
      <c r="AJ94" s="492" t="s">
        <v>34</v>
      </c>
      <c r="AK94" s="492" t="s">
        <v>832</v>
      </c>
      <c r="AL94" s="492" t="s">
        <v>34</v>
      </c>
      <c r="AM94" s="61" t="s">
        <v>3441</v>
      </c>
      <c r="AN94" s="490">
        <v>1.4583333333333332E-2</v>
      </c>
      <c r="AO94" s="490">
        <v>0</v>
      </c>
      <c r="AP94" s="61"/>
    </row>
    <row r="95" spans="1:42" x14ac:dyDescent="0.2">
      <c r="A95" s="61">
        <v>94</v>
      </c>
      <c r="B95" s="491" t="s">
        <v>345</v>
      </c>
      <c r="C95" s="492" t="s">
        <v>348</v>
      </c>
      <c r="D95" s="492" t="s">
        <v>2687</v>
      </c>
      <c r="E95" s="492" t="s">
        <v>1169</v>
      </c>
      <c r="F95" s="492" t="s">
        <v>735</v>
      </c>
      <c r="G95" s="492" t="s">
        <v>34</v>
      </c>
      <c r="H95" s="492" t="s">
        <v>835</v>
      </c>
      <c r="I95" s="492" t="s">
        <v>4270</v>
      </c>
      <c r="J95" s="492" t="s">
        <v>1103</v>
      </c>
      <c r="K95" s="492" t="s">
        <v>349</v>
      </c>
      <c r="L95" s="492">
        <v>501</v>
      </c>
      <c r="M95" s="492">
        <v>212</v>
      </c>
      <c r="N95" s="492" t="s">
        <v>348</v>
      </c>
      <c r="O95" s="492" t="s">
        <v>4275</v>
      </c>
      <c r="P95" s="492" t="s">
        <v>1170</v>
      </c>
      <c r="Q95" s="492" t="s">
        <v>3501</v>
      </c>
      <c r="R95" s="492" t="s">
        <v>993</v>
      </c>
      <c r="S95" s="492" t="s">
        <v>1171</v>
      </c>
      <c r="T95" s="492">
        <v>225</v>
      </c>
      <c r="U95" s="492" t="s">
        <v>856</v>
      </c>
      <c r="V95" s="492" t="s">
        <v>1172</v>
      </c>
      <c r="W95" s="492" t="s">
        <v>1173</v>
      </c>
      <c r="X95" s="492" t="s">
        <v>3502</v>
      </c>
      <c r="Y95" s="492" t="s">
        <v>1174</v>
      </c>
      <c r="Z95" s="492" t="s">
        <v>1175</v>
      </c>
      <c r="AA95" s="492" t="s">
        <v>3502</v>
      </c>
      <c r="AB95" s="492" t="s">
        <v>34</v>
      </c>
      <c r="AC95" s="492" t="s">
        <v>830</v>
      </c>
      <c r="AD95" s="492" t="s">
        <v>831</v>
      </c>
      <c r="AE95" s="492" t="s">
        <v>612</v>
      </c>
      <c r="AF95" s="492">
        <v>2.5</v>
      </c>
      <c r="AG95" s="492">
        <v>0.9</v>
      </c>
      <c r="AH95" s="492">
        <v>0</v>
      </c>
      <c r="AI95" s="492" t="s">
        <v>2552</v>
      </c>
      <c r="AJ95" s="492" t="s">
        <v>34</v>
      </c>
      <c r="AK95" s="492" t="s">
        <v>832</v>
      </c>
      <c r="AL95" s="492" t="s">
        <v>34</v>
      </c>
      <c r="AM95" s="61" t="s">
        <v>3441</v>
      </c>
      <c r="AN95" s="490">
        <v>1.4583333333333332E-2</v>
      </c>
      <c r="AO95" s="490">
        <v>0</v>
      </c>
      <c r="AP95" s="61"/>
    </row>
    <row r="96" spans="1:42" x14ac:dyDescent="0.2">
      <c r="A96" s="61">
        <v>95</v>
      </c>
      <c r="B96" s="491" t="s">
        <v>345</v>
      </c>
      <c r="C96" s="492" t="s">
        <v>3871</v>
      </c>
      <c r="D96" s="492" t="s">
        <v>3872</v>
      </c>
      <c r="E96" s="492" t="s">
        <v>1169</v>
      </c>
      <c r="F96" s="492" t="s">
        <v>735</v>
      </c>
      <c r="G96" s="492" t="s">
        <v>34</v>
      </c>
      <c r="H96" s="492" t="s">
        <v>835</v>
      </c>
      <c r="I96" s="492" t="s">
        <v>4270</v>
      </c>
      <c r="J96" s="492" t="s">
        <v>1103</v>
      </c>
      <c r="K96" s="492" t="s">
        <v>3873</v>
      </c>
      <c r="L96" s="492" t="s">
        <v>3874</v>
      </c>
      <c r="M96" s="492" t="s">
        <v>3875</v>
      </c>
      <c r="N96" s="492" t="s">
        <v>3871</v>
      </c>
      <c r="O96" s="492" t="s">
        <v>4286</v>
      </c>
      <c r="P96" s="492" t="s">
        <v>3876</v>
      </c>
      <c r="Q96" s="492" t="s">
        <v>3501</v>
      </c>
      <c r="R96" s="492" t="s">
        <v>1002</v>
      </c>
      <c r="S96" s="492" t="s">
        <v>3877</v>
      </c>
      <c r="T96" s="492">
        <v>39.6</v>
      </c>
      <c r="U96" s="492" t="s">
        <v>4327</v>
      </c>
      <c r="V96" s="492" t="s">
        <v>2047</v>
      </c>
      <c r="W96" s="492" t="s">
        <v>3878</v>
      </c>
      <c r="X96" s="492" t="s">
        <v>3502</v>
      </c>
      <c r="Y96" s="492" t="s">
        <v>3879</v>
      </c>
      <c r="Z96" s="492" t="s">
        <v>3880</v>
      </c>
      <c r="AA96" s="492" t="s">
        <v>3502</v>
      </c>
      <c r="AB96" s="492" t="s">
        <v>34</v>
      </c>
      <c r="AC96" s="492" t="s">
        <v>830</v>
      </c>
      <c r="AD96" s="492" t="s">
        <v>831</v>
      </c>
      <c r="AE96" s="492" t="s">
        <v>612</v>
      </c>
      <c r="AF96" s="492">
        <v>40</v>
      </c>
      <c r="AG96" s="492">
        <v>200</v>
      </c>
      <c r="AH96" s="492">
        <v>15</v>
      </c>
      <c r="AI96" s="492" t="s">
        <v>4030</v>
      </c>
      <c r="AJ96" s="492" t="s">
        <v>4031</v>
      </c>
      <c r="AK96" s="492" t="s">
        <v>832</v>
      </c>
      <c r="AL96" s="492" t="s">
        <v>34</v>
      </c>
      <c r="AM96" s="61" t="s">
        <v>3441</v>
      </c>
      <c r="AN96" s="490"/>
      <c r="AO96" s="490"/>
      <c r="AP96" s="61"/>
    </row>
    <row r="97" spans="1:42" x14ac:dyDescent="0.2">
      <c r="A97" s="61">
        <v>96</v>
      </c>
      <c r="B97" s="491" t="s">
        <v>345</v>
      </c>
      <c r="C97" s="492" t="s">
        <v>346</v>
      </c>
      <c r="D97" s="492" t="s">
        <v>2688</v>
      </c>
      <c r="E97" s="492" t="s">
        <v>1169</v>
      </c>
      <c r="F97" s="492" t="s">
        <v>735</v>
      </c>
      <c r="G97" s="492" t="s">
        <v>34</v>
      </c>
      <c r="H97" s="492" t="s">
        <v>835</v>
      </c>
      <c r="I97" s="492" t="s">
        <v>4270</v>
      </c>
      <c r="J97" s="492" t="s">
        <v>1103</v>
      </c>
      <c r="K97" s="492" t="s">
        <v>466</v>
      </c>
      <c r="L97" s="492" t="s">
        <v>1176</v>
      </c>
      <c r="M97" s="492" t="s">
        <v>1177</v>
      </c>
      <c r="N97" s="492" t="s">
        <v>346</v>
      </c>
      <c r="O97" s="492" t="s">
        <v>305</v>
      </c>
      <c r="P97" s="492" t="s">
        <v>1178</v>
      </c>
      <c r="Q97" s="492" t="s">
        <v>3501</v>
      </c>
      <c r="R97" s="492" t="s">
        <v>993</v>
      </c>
      <c r="S97" s="492" t="s">
        <v>1179</v>
      </c>
      <c r="T97" s="492">
        <v>180</v>
      </c>
      <c r="U97" s="492" t="s">
        <v>858</v>
      </c>
      <c r="V97" s="492" t="s">
        <v>1036</v>
      </c>
      <c r="W97" s="492" t="s">
        <v>1180</v>
      </c>
      <c r="X97" s="492" t="s">
        <v>3502</v>
      </c>
      <c r="Y97" s="492" t="s">
        <v>1174</v>
      </c>
      <c r="Z97" s="492" t="s">
        <v>1181</v>
      </c>
      <c r="AA97" s="492" t="s">
        <v>3502</v>
      </c>
      <c r="AB97" s="492" t="s">
        <v>34</v>
      </c>
      <c r="AC97" s="492" t="s">
        <v>830</v>
      </c>
      <c r="AD97" s="492" t="s">
        <v>831</v>
      </c>
      <c r="AE97" s="492" t="s">
        <v>612</v>
      </c>
      <c r="AF97" s="492">
        <v>3</v>
      </c>
      <c r="AG97" s="492">
        <v>5.51</v>
      </c>
      <c r="AH97" s="492" t="s">
        <v>2553</v>
      </c>
      <c r="AI97" s="492" t="s">
        <v>34</v>
      </c>
      <c r="AJ97" s="492" t="s">
        <v>34</v>
      </c>
      <c r="AK97" s="492" t="s">
        <v>832</v>
      </c>
      <c r="AL97" s="492" t="s">
        <v>34</v>
      </c>
      <c r="AM97" s="61" t="s">
        <v>3441</v>
      </c>
      <c r="AN97" s="490">
        <v>1.4583333333333332E-2</v>
      </c>
      <c r="AO97" s="490">
        <v>2.1527777777777781E-2</v>
      </c>
      <c r="AP97" s="61"/>
    </row>
    <row r="98" spans="1:42" x14ac:dyDescent="0.2">
      <c r="A98" s="61">
        <v>97</v>
      </c>
      <c r="B98" s="491" t="s">
        <v>351</v>
      </c>
      <c r="C98" s="492" t="s">
        <v>352</v>
      </c>
      <c r="D98" s="492" t="s">
        <v>2689</v>
      </c>
      <c r="E98" s="492" t="s">
        <v>737</v>
      </c>
      <c r="F98" s="492" t="s">
        <v>738</v>
      </c>
      <c r="G98" s="492" t="s">
        <v>34</v>
      </c>
      <c r="H98" s="492" t="s">
        <v>835</v>
      </c>
      <c r="I98" s="492" t="s">
        <v>4284</v>
      </c>
      <c r="J98" s="492" t="s">
        <v>1103</v>
      </c>
      <c r="K98" s="492" t="s">
        <v>329</v>
      </c>
      <c r="L98" s="492" t="s">
        <v>1190</v>
      </c>
      <c r="M98" s="492" t="s">
        <v>352</v>
      </c>
      <c r="N98" s="492" t="s">
        <v>352</v>
      </c>
      <c r="O98" s="492" t="s">
        <v>4287</v>
      </c>
      <c r="P98" s="492" t="s">
        <v>1128</v>
      </c>
      <c r="Q98" s="492" t="s">
        <v>3501</v>
      </c>
      <c r="R98" s="492" t="s">
        <v>1002</v>
      </c>
      <c r="S98" s="492" t="s">
        <v>1191</v>
      </c>
      <c r="T98" s="492">
        <v>618.79999999999995</v>
      </c>
      <c r="U98" s="492" t="s">
        <v>855</v>
      </c>
      <c r="V98" s="492" t="s">
        <v>1110</v>
      </c>
      <c r="W98" s="492">
        <v>53128</v>
      </c>
      <c r="X98" s="492" t="s">
        <v>3502</v>
      </c>
      <c r="Y98" s="492" t="s">
        <v>1026</v>
      </c>
      <c r="Z98" s="492" t="s">
        <v>1188</v>
      </c>
      <c r="AA98" s="492" t="s">
        <v>3502</v>
      </c>
      <c r="AB98" s="492" t="s">
        <v>1189</v>
      </c>
      <c r="AC98" s="492" t="s">
        <v>830</v>
      </c>
      <c r="AD98" s="492" t="s">
        <v>831</v>
      </c>
      <c r="AE98" s="492" t="s">
        <v>612</v>
      </c>
      <c r="AF98" s="492">
        <v>17</v>
      </c>
      <c r="AG98" s="492">
        <v>0.17</v>
      </c>
      <c r="AH98" s="492">
        <v>0.15</v>
      </c>
      <c r="AI98" s="492" t="s">
        <v>34</v>
      </c>
      <c r="AJ98" s="492" t="s">
        <v>34</v>
      </c>
      <c r="AK98" s="492" t="s">
        <v>832</v>
      </c>
      <c r="AL98" s="492" t="s">
        <v>34</v>
      </c>
      <c r="AM98" s="61" t="s">
        <v>3441</v>
      </c>
      <c r="AN98" s="490">
        <v>1.4583333333333332E-2</v>
      </c>
      <c r="AO98" s="490">
        <v>0</v>
      </c>
      <c r="AP98" s="61"/>
    </row>
    <row r="99" spans="1:42" x14ac:dyDescent="0.2">
      <c r="A99" s="61">
        <v>98</v>
      </c>
      <c r="B99" s="491" t="s">
        <v>351</v>
      </c>
      <c r="C99" s="492">
        <v>411623</v>
      </c>
      <c r="D99" s="492" t="s">
        <v>2690</v>
      </c>
      <c r="E99" s="492" t="s">
        <v>737</v>
      </c>
      <c r="F99" s="492" t="s">
        <v>738</v>
      </c>
      <c r="G99" s="492" t="s">
        <v>34</v>
      </c>
      <c r="H99" s="492" t="s">
        <v>835</v>
      </c>
      <c r="I99" s="492" t="s">
        <v>4284</v>
      </c>
      <c r="J99" s="492" t="s">
        <v>1103</v>
      </c>
      <c r="K99" s="492" t="s">
        <v>349</v>
      </c>
      <c r="L99" s="492" t="s">
        <v>1186</v>
      </c>
      <c r="M99" s="492">
        <v>411623</v>
      </c>
      <c r="N99" s="492">
        <v>411623</v>
      </c>
      <c r="O99" s="492" t="s">
        <v>4287</v>
      </c>
      <c r="P99" s="492" t="s">
        <v>1128</v>
      </c>
      <c r="Q99" s="492" t="s">
        <v>3501</v>
      </c>
      <c r="R99" s="492" t="s">
        <v>828</v>
      </c>
      <c r="S99" s="492" t="s">
        <v>1187</v>
      </c>
      <c r="T99" s="492">
        <v>348.5</v>
      </c>
      <c r="U99" s="492" t="s">
        <v>855</v>
      </c>
      <c r="V99" s="492" t="s">
        <v>1110</v>
      </c>
      <c r="W99" s="492">
        <v>47092</v>
      </c>
      <c r="X99" s="492" t="s">
        <v>3502</v>
      </c>
      <c r="Y99" s="492" t="s">
        <v>1026</v>
      </c>
      <c r="Z99" s="492" t="s">
        <v>1188</v>
      </c>
      <c r="AA99" s="492" t="s">
        <v>3502</v>
      </c>
      <c r="AB99" s="492" t="s">
        <v>1189</v>
      </c>
      <c r="AC99" s="492" t="s">
        <v>830</v>
      </c>
      <c r="AD99" s="492" t="s">
        <v>831</v>
      </c>
      <c r="AE99" s="492" t="s">
        <v>612</v>
      </c>
      <c r="AF99" s="492">
        <v>16</v>
      </c>
      <c r="AG99" s="492">
        <v>14.35</v>
      </c>
      <c r="AH99" s="492">
        <v>0.55000000000000004</v>
      </c>
      <c r="AI99" s="492" t="s">
        <v>2555</v>
      </c>
      <c r="AJ99" s="492" t="s">
        <v>34</v>
      </c>
      <c r="AK99" s="492" t="s">
        <v>832</v>
      </c>
      <c r="AL99" s="492" t="s">
        <v>34</v>
      </c>
      <c r="AM99" s="61" t="s">
        <v>3441</v>
      </c>
      <c r="AN99" s="490">
        <v>1.4583333333333332E-2</v>
      </c>
      <c r="AO99" s="490">
        <v>0</v>
      </c>
      <c r="AP99" s="61"/>
    </row>
    <row r="100" spans="1:42" x14ac:dyDescent="0.2">
      <c r="A100" s="61">
        <v>99</v>
      </c>
      <c r="B100" s="491" t="s">
        <v>353</v>
      </c>
      <c r="C100" s="492" t="s">
        <v>269</v>
      </c>
      <c r="D100" s="492" t="s">
        <v>2691</v>
      </c>
      <c r="E100" s="492" t="s">
        <v>1192</v>
      </c>
      <c r="F100" s="492" t="s">
        <v>735</v>
      </c>
      <c r="G100" s="492" t="s">
        <v>34</v>
      </c>
      <c r="H100" s="492" t="s">
        <v>835</v>
      </c>
      <c r="I100" s="492" t="s">
        <v>4270</v>
      </c>
      <c r="J100" s="492" t="s">
        <v>1103</v>
      </c>
      <c r="K100" s="492" t="s">
        <v>366</v>
      </c>
      <c r="L100" s="492" t="s">
        <v>1193</v>
      </c>
      <c r="M100" s="492" t="s">
        <v>1194</v>
      </c>
      <c r="N100" s="492" t="s">
        <v>269</v>
      </c>
      <c r="O100" s="492" t="s">
        <v>4288</v>
      </c>
      <c r="P100" s="492" t="s">
        <v>1008</v>
      </c>
      <c r="Q100" s="492" t="s">
        <v>3499</v>
      </c>
      <c r="R100" s="492" t="s">
        <v>828</v>
      </c>
      <c r="S100" s="492" t="s">
        <v>1195</v>
      </c>
      <c r="T100" s="492">
        <v>539</v>
      </c>
      <c r="U100" s="492" t="s">
        <v>857</v>
      </c>
      <c r="V100" s="492" t="s">
        <v>1196</v>
      </c>
      <c r="W100" s="492">
        <v>675626</v>
      </c>
      <c r="X100" s="492" t="s">
        <v>3502</v>
      </c>
      <c r="Y100" s="492" t="s">
        <v>915</v>
      </c>
      <c r="Z100" s="492" t="s">
        <v>1197</v>
      </c>
      <c r="AA100" s="492" t="s">
        <v>3502</v>
      </c>
      <c r="AB100" s="492" t="s">
        <v>34</v>
      </c>
      <c r="AC100" s="492" t="s">
        <v>830</v>
      </c>
      <c r="AD100" s="492" t="s">
        <v>831</v>
      </c>
      <c r="AE100" s="492" t="s">
        <v>612</v>
      </c>
      <c r="AF100" s="492" t="s">
        <v>2054</v>
      </c>
      <c r="AG100" s="492" t="s">
        <v>34</v>
      </c>
      <c r="AH100" s="492" t="s">
        <v>34</v>
      </c>
      <c r="AI100" s="492" t="s">
        <v>34</v>
      </c>
      <c r="AJ100" s="492" t="s">
        <v>34</v>
      </c>
      <c r="AK100" s="492" t="s">
        <v>832</v>
      </c>
      <c r="AL100" s="492" t="s">
        <v>3546</v>
      </c>
      <c r="AM100" s="61" t="s">
        <v>3441</v>
      </c>
      <c r="AN100" s="490">
        <v>0</v>
      </c>
      <c r="AO100" s="490">
        <v>0</v>
      </c>
      <c r="AP100" s="61"/>
    </row>
    <row r="101" spans="1:42" x14ac:dyDescent="0.2">
      <c r="A101" s="61">
        <v>100</v>
      </c>
      <c r="B101" s="491" t="s">
        <v>353</v>
      </c>
      <c r="C101" s="492" t="s">
        <v>278</v>
      </c>
      <c r="D101" s="492" t="s">
        <v>2692</v>
      </c>
      <c r="E101" s="492" t="s">
        <v>1192</v>
      </c>
      <c r="F101" s="492" t="s">
        <v>735</v>
      </c>
      <c r="G101" s="492" t="s">
        <v>34</v>
      </c>
      <c r="H101" s="492" t="s">
        <v>835</v>
      </c>
      <c r="I101" s="492" t="s">
        <v>3477</v>
      </c>
      <c r="J101" s="492" t="s">
        <v>1103</v>
      </c>
      <c r="K101" s="492" t="s">
        <v>1255</v>
      </c>
      <c r="L101" s="492" t="s">
        <v>1256</v>
      </c>
      <c r="M101" s="492" t="s">
        <v>1257</v>
      </c>
      <c r="N101" s="492" t="s">
        <v>278</v>
      </c>
      <c r="O101" s="492" t="s">
        <v>3478</v>
      </c>
      <c r="P101" s="492" t="s">
        <v>1258</v>
      </c>
      <c r="Q101" s="492" t="s">
        <v>3514</v>
      </c>
      <c r="R101" s="492" t="s">
        <v>828</v>
      </c>
      <c r="S101" s="492" t="s">
        <v>1259</v>
      </c>
      <c r="T101" s="492">
        <v>525</v>
      </c>
      <c r="U101" s="492" t="s">
        <v>857</v>
      </c>
      <c r="V101" s="492" t="s">
        <v>1196</v>
      </c>
      <c r="W101" s="492">
        <v>675624</v>
      </c>
      <c r="X101" s="492" t="s">
        <v>3502</v>
      </c>
      <c r="Y101" s="492" t="s">
        <v>108</v>
      </c>
      <c r="Z101" s="492" t="s">
        <v>108</v>
      </c>
      <c r="AA101" s="492" t="s">
        <v>108</v>
      </c>
      <c r="AB101" s="492" t="s">
        <v>34</v>
      </c>
      <c r="AC101" s="492" t="s">
        <v>830</v>
      </c>
      <c r="AD101" s="492" t="s">
        <v>831</v>
      </c>
      <c r="AE101" s="492" t="s">
        <v>612</v>
      </c>
      <c r="AF101" s="492" t="s">
        <v>2054</v>
      </c>
      <c r="AG101" s="492" t="s">
        <v>34</v>
      </c>
      <c r="AH101" s="492" t="s">
        <v>34</v>
      </c>
      <c r="AI101" s="492" t="s">
        <v>34</v>
      </c>
      <c r="AJ101" s="492" t="s">
        <v>34</v>
      </c>
      <c r="AK101" s="492" t="s">
        <v>832</v>
      </c>
      <c r="AL101" s="492" t="s">
        <v>3546</v>
      </c>
      <c r="AM101" s="61" t="s">
        <v>3441</v>
      </c>
      <c r="AN101" s="490">
        <v>0</v>
      </c>
      <c r="AO101" s="490">
        <v>0</v>
      </c>
      <c r="AP101" s="61"/>
    </row>
    <row r="102" spans="1:42" x14ac:dyDescent="0.2">
      <c r="A102" s="61">
        <v>101</v>
      </c>
      <c r="B102" s="491" t="s">
        <v>353</v>
      </c>
      <c r="C102" s="492" t="s">
        <v>279</v>
      </c>
      <c r="D102" s="492" t="s">
        <v>2693</v>
      </c>
      <c r="E102" s="492" t="s">
        <v>1192</v>
      </c>
      <c r="F102" s="492" t="s">
        <v>735</v>
      </c>
      <c r="G102" s="492" t="s">
        <v>34</v>
      </c>
      <c r="H102" s="492" t="s">
        <v>835</v>
      </c>
      <c r="I102" s="492" t="s">
        <v>4270</v>
      </c>
      <c r="J102" s="492" t="s">
        <v>1103</v>
      </c>
      <c r="K102" s="492" t="s">
        <v>1226</v>
      </c>
      <c r="L102" s="492" t="s">
        <v>1227</v>
      </c>
      <c r="M102" s="492" t="s">
        <v>1228</v>
      </c>
      <c r="N102" s="492" t="s">
        <v>279</v>
      </c>
      <c r="O102" s="492" t="s">
        <v>4288</v>
      </c>
      <c r="P102" s="492" t="s">
        <v>1229</v>
      </c>
      <c r="Q102" s="492" t="s">
        <v>3499</v>
      </c>
      <c r="R102" s="492" t="s">
        <v>828</v>
      </c>
      <c r="S102" s="492" t="s">
        <v>1230</v>
      </c>
      <c r="T102" s="492">
        <v>188.1</v>
      </c>
      <c r="U102" s="492" t="s">
        <v>857</v>
      </c>
      <c r="V102" s="492" t="s">
        <v>1231</v>
      </c>
      <c r="W102" s="492" t="s">
        <v>1232</v>
      </c>
      <c r="X102" s="492" t="s">
        <v>3502</v>
      </c>
      <c r="Y102" s="492" t="s">
        <v>1206</v>
      </c>
      <c r="Z102" s="492">
        <v>5256764</v>
      </c>
      <c r="AA102" s="492" t="s">
        <v>3502</v>
      </c>
      <c r="AB102" s="492" t="s">
        <v>34</v>
      </c>
      <c r="AC102" s="492" t="s">
        <v>830</v>
      </c>
      <c r="AD102" s="492" t="s">
        <v>831</v>
      </c>
      <c r="AE102" s="492" t="s">
        <v>612</v>
      </c>
      <c r="AF102" s="492" t="s">
        <v>2054</v>
      </c>
      <c r="AG102" s="492" t="s">
        <v>34</v>
      </c>
      <c r="AH102" s="492" t="s">
        <v>34</v>
      </c>
      <c r="AI102" s="492" t="s">
        <v>34</v>
      </c>
      <c r="AJ102" s="492" t="s">
        <v>34</v>
      </c>
      <c r="AK102" s="492" t="s">
        <v>832</v>
      </c>
      <c r="AL102" s="492" t="s">
        <v>3546</v>
      </c>
      <c r="AM102" s="61" t="s">
        <v>3444</v>
      </c>
      <c r="AN102" s="490">
        <v>0</v>
      </c>
      <c r="AO102" s="490">
        <v>0</v>
      </c>
      <c r="AP102" s="61"/>
    </row>
    <row r="103" spans="1:42" x14ac:dyDescent="0.2">
      <c r="A103" s="61">
        <v>102</v>
      </c>
      <c r="B103" s="491" t="s">
        <v>353</v>
      </c>
      <c r="C103" s="492" t="s">
        <v>273</v>
      </c>
      <c r="D103" s="492" t="s">
        <v>2694</v>
      </c>
      <c r="E103" s="492" t="s">
        <v>1192</v>
      </c>
      <c r="F103" s="492" t="s">
        <v>735</v>
      </c>
      <c r="G103" s="492" t="s">
        <v>34</v>
      </c>
      <c r="H103" s="492" t="s">
        <v>835</v>
      </c>
      <c r="I103" s="492" t="s">
        <v>4270</v>
      </c>
      <c r="J103" s="492" t="s">
        <v>1103</v>
      </c>
      <c r="K103" s="492" t="s">
        <v>366</v>
      </c>
      <c r="L103" s="492" t="s">
        <v>1193</v>
      </c>
      <c r="M103" s="492" t="s">
        <v>1233</v>
      </c>
      <c r="N103" s="492" t="s">
        <v>273</v>
      </c>
      <c r="O103" s="492" t="s">
        <v>4289</v>
      </c>
      <c r="P103" s="492" t="s">
        <v>1234</v>
      </c>
      <c r="Q103" s="492" t="s">
        <v>3514</v>
      </c>
      <c r="R103" s="492" t="s">
        <v>828</v>
      </c>
      <c r="S103" s="492" t="s">
        <v>1235</v>
      </c>
      <c r="T103" s="492">
        <v>577.5</v>
      </c>
      <c r="U103" s="492" t="s">
        <v>857</v>
      </c>
      <c r="V103" s="492" t="s">
        <v>1236</v>
      </c>
      <c r="W103" s="492" t="s">
        <v>1237</v>
      </c>
      <c r="X103" s="492" t="s">
        <v>3502</v>
      </c>
      <c r="Y103" s="492" t="s">
        <v>1048</v>
      </c>
      <c r="Z103" s="492" t="s">
        <v>1197</v>
      </c>
      <c r="AA103" s="492" t="s">
        <v>3502</v>
      </c>
      <c r="AB103" s="492" t="s">
        <v>34</v>
      </c>
      <c r="AC103" s="492" t="s">
        <v>830</v>
      </c>
      <c r="AD103" s="492" t="s">
        <v>831</v>
      </c>
      <c r="AE103" s="492" t="s">
        <v>612</v>
      </c>
      <c r="AF103" s="492" t="s">
        <v>2054</v>
      </c>
      <c r="AG103" s="492" t="s">
        <v>34</v>
      </c>
      <c r="AH103" s="492" t="s">
        <v>34</v>
      </c>
      <c r="AI103" s="492" t="s">
        <v>34</v>
      </c>
      <c r="AJ103" s="492" t="s">
        <v>34</v>
      </c>
      <c r="AK103" s="492" t="s">
        <v>832</v>
      </c>
      <c r="AL103" s="492" t="s">
        <v>3546</v>
      </c>
      <c r="AM103" s="61" t="s">
        <v>3441</v>
      </c>
      <c r="AN103" s="490">
        <v>0</v>
      </c>
      <c r="AO103" s="490">
        <v>0</v>
      </c>
      <c r="AP103" s="61"/>
    </row>
    <row r="104" spans="1:42" x14ac:dyDescent="0.2">
      <c r="A104" s="61">
        <v>103</v>
      </c>
      <c r="B104" s="491" t="s">
        <v>353</v>
      </c>
      <c r="C104" s="492" t="s">
        <v>357</v>
      </c>
      <c r="D104" s="492" t="s">
        <v>2695</v>
      </c>
      <c r="E104" s="492" t="s">
        <v>1192</v>
      </c>
      <c r="F104" s="492" t="s">
        <v>735</v>
      </c>
      <c r="G104" s="492" t="s">
        <v>34</v>
      </c>
      <c r="H104" s="492" t="s">
        <v>835</v>
      </c>
      <c r="I104" s="492" t="s">
        <v>4270</v>
      </c>
      <c r="J104" s="492" t="s">
        <v>1103</v>
      </c>
      <c r="K104" s="492" t="s">
        <v>365</v>
      </c>
      <c r="L104" s="492" t="s">
        <v>1220</v>
      </c>
      <c r="M104" s="492" t="s">
        <v>1221</v>
      </c>
      <c r="N104" s="492" t="s">
        <v>357</v>
      </c>
      <c r="O104" s="492" t="s">
        <v>4275</v>
      </c>
      <c r="P104" s="492" t="s">
        <v>1222</v>
      </c>
      <c r="Q104" s="492" t="s">
        <v>3501</v>
      </c>
      <c r="R104" s="492" t="s">
        <v>828</v>
      </c>
      <c r="S104" s="492" t="s">
        <v>1223</v>
      </c>
      <c r="T104" s="492">
        <v>7.9</v>
      </c>
      <c r="U104" s="492" t="s">
        <v>855</v>
      </c>
      <c r="V104" s="492" t="s">
        <v>1224</v>
      </c>
      <c r="W104" s="492" t="s">
        <v>1225</v>
      </c>
      <c r="X104" s="492" t="s">
        <v>3502</v>
      </c>
      <c r="Y104" s="492" t="s">
        <v>1206</v>
      </c>
      <c r="Z104" s="492" t="s">
        <v>1219</v>
      </c>
      <c r="AA104" s="492" t="s">
        <v>3502</v>
      </c>
      <c r="AB104" s="492" t="s">
        <v>34</v>
      </c>
      <c r="AC104" s="492" t="s">
        <v>830</v>
      </c>
      <c r="AD104" s="492" t="s">
        <v>831</v>
      </c>
      <c r="AE104" s="492" t="s">
        <v>612</v>
      </c>
      <c r="AF104" s="492" t="s">
        <v>3748</v>
      </c>
      <c r="AG104" s="492" t="s">
        <v>34</v>
      </c>
      <c r="AH104" s="492" t="s">
        <v>34</v>
      </c>
      <c r="AI104" s="492" t="s">
        <v>34</v>
      </c>
      <c r="AJ104" s="492" t="s">
        <v>34</v>
      </c>
      <c r="AK104" s="492" t="s">
        <v>832</v>
      </c>
      <c r="AL104" s="492" t="s">
        <v>3546</v>
      </c>
      <c r="AM104" s="61" t="s">
        <v>3441</v>
      </c>
      <c r="AN104" s="490">
        <v>0</v>
      </c>
      <c r="AO104" s="490">
        <v>0</v>
      </c>
      <c r="AP104" s="61"/>
    </row>
    <row r="105" spans="1:42" x14ac:dyDescent="0.2">
      <c r="A105" s="61">
        <v>104</v>
      </c>
      <c r="B105" s="491" t="s">
        <v>353</v>
      </c>
      <c r="C105" s="492" t="s">
        <v>272</v>
      </c>
      <c r="D105" s="492" t="s">
        <v>2696</v>
      </c>
      <c r="E105" s="492" t="s">
        <v>1192</v>
      </c>
      <c r="F105" s="492" t="s">
        <v>735</v>
      </c>
      <c r="G105" s="492" t="s">
        <v>34</v>
      </c>
      <c r="H105" s="492" t="s">
        <v>835</v>
      </c>
      <c r="I105" s="492" t="s">
        <v>4270</v>
      </c>
      <c r="J105" s="492" t="s">
        <v>1103</v>
      </c>
      <c r="K105" s="492" t="s">
        <v>1054</v>
      </c>
      <c r="L105" s="492">
        <v>80573</v>
      </c>
      <c r="M105" s="492" t="s">
        <v>1246</v>
      </c>
      <c r="N105" s="492" t="s">
        <v>272</v>
      </c>
      <c r="O105" s="492" t="s">
        <v>4290</v>
      </c>
      <c r="P105" s="492" t="s">
        <v>3580</v>
      </c>
      <c r="Q105" s="492" t="s">
        <v>3531</v>
      </c>
      <c r="R105" s="492" t="s">
        <v>828</v>
      </c>
      <c r="S105" s="492" t="s">
        <v>1247</v>
      </c>
      <c r="T105" s="492">
        <v>19.399999999999999</v>
      </c>
      <c r="U105" s="492" t="s">
        <v>857</v>
      </c>
      <c r="V105" s="492" t="s">
        <v>1248</v>
      </c>
      <c r="W105" s="492" t="s">
        <v>1249</v>
      </c>
      <c r="X105" s="492" t="s">
        <v>3502</v>
      </c>
      <c r="Y105" s="492" t="s">
        <v>915</v>
      </c>
      <c r="Z105" s="492">
        <v>5256764</v>
      </c>
      <c r="AA105" s="492" t="s">
        <v>3502</v>
      </c>
      <c r="AB105" s="492" t="s">
        <v>34</v>
      </c>
      <c r="AC105" s="492" t="s">
        <v>830</v>
      </c>
      <c r="AD105" s="492" t="s">
        <v>831</v>
      </c>
      <c r="AE105" s="492" t="s">
        <v>612</v>
      </c>
      <c r="AF105" s="492" t="s">
        <v>2054</v>
      </c>
      <c r="AG105" s="492" t="s">
        <v>34</v>
      </c>
      <c r="AH105" s="492" t="s">
        <v>34</v>
      </c>
      <c r="AI105" s="492" t="s">
        <v>34</v>
      </c>
      <c r="AJ105" s="492" t="s">
        <v>34</v>
      </c>
      <c r="AK105" s="492" t="s">
        <v>832</v>
      </c>
      <c r="AL105" s="492" t="s">
        <v>3546</v>
      </c>
      <c r="AM105" s="61" t="s">
        <v>3441</v>
      </c>
      <c r="AN105" s="490">
        <v>0</v>
      </c>
      <c r="AO105" s="490">
        <v>0</v>
      </c>
      <c r="AP105" s="61"/>
    </row>
    <row r="106" spans="1:42" x14ac:dyDescent="0.2">
      <c r="A106" s="61">
        <v>105</v>
      </c>
      <c r="B106" s="491" t="s">
        <v>353</v>
      </c>
      <c r="C106" s="492" t="s">
        <v>280</v>
      </c>
      <c r="D106" s="492" t="s">
        <v>2697</v>
      </c>
      <c r="E106" s="492" t="s">
        <v>1192</v>
      </c>
      <c r="F106" s="492" t="s">
        <v>735</v>
      </c>
      <c r="G106" s="492" t="s">
        <v>34</v>
      </c>
      <c r="H106" s="492" t="s">
        <v>835</v>
      </c>
      <c r="I106" s="492" t="s">
        <v>4270</v>
      </c>
      <c r="J106" s="492" t="s">
        <v>1103</v>
      </c>
      <c r="K106" s="492" t="s">
        <v>1250</v>
      </c>
      <c r="L106" s="492" t="s">
        <v>1251</v>
      </c>
      <c r="M106" s="492" t="s">
        <v>1252</v>
      </c>
      <c r="N106" s="492" t="s">
        <v>280</v>
      </c>
      <c r="O106" s="492" t="s">
        <v>4289</v>
      </c>
      <c r="P106" s="492" t="s">
        <v>3990</v>
      </c>
      <c r="Q106" s="492" t="s">
        <v>3514</v>
      </c>
      <c r="R106" s="492" t="s">
        <v>892</v>
      </c>
      <c r="S106" s="492" t="s">
        <v>3991</v>
      </c>
      <c r="T106" s="492">
        <v>12</v>
      </c>
      <c r="U106" s="492" t="s">
        <v>857</v>
      </c>
      <c r="V106" s="492" t="s">
        <v>3992</v>
      </c>
      <c r="W106" s="492" t="s">
        <v>3993</v>
      </c>
      <c r="X106" s="492" t="s">
        <v>3502</v>
      </c>
      <c r="Y106" s="492" t="s">
        <v>915</v>
      </c>
      <c r="Z106" s="492" t="s">
        <v>1254</v>
      </c>
      <c r="AA106" s="492" t="s">
        <v>3502</v>
      </c>
      <c r="AB106" s="492" t="s">
        <v>34</v>
      </c>
      <c r="AC106" s="492" t="s">
        <v>830</v>
      </c>
      <c r="AD106" s="492" t="s">
        <v>831</v>
      </c>
      <c r="AE106" s="492" t="s">
        <v>612</v>
      </c>
      <c r="AF106" s="492" t="s">
        <v>2054</v>
      </c>
      <c r="AG106" s="492" t="s">
        <v>34</v>
      </c>
      <c r="AH106" s="492" t="s">
        <v>34</v>
      </c>
      <c r="AI106" s="492" t="s">
        <v>34</v>
      </c>
      <c r="AJ106" s="492" t="s">
        <v>34</v>
      </c>
      <c r="AK106" s="492" t="s">
        <v>832</v>
      </c>
      <c r="AL106" s="492" t="s">
        <v>3546</v>
      </c>
      <c r="AM106" s="61" t="s">
        <v>3442</v>
      </c>
      <c r="AN106" s="490">
        <v>0</v>
      </c>
      <c r="AO106" s="490">
        <v>0</v>
      </c>
      <c r="AP106" s="61"/>
    </row>
    <row r="107" spans="1:42" x14ac:dyDescent="0.2">
      <c r="A107" s="61">
        <v>106</v>
      </c>
      <c r="B107" s="491" t="s">
        <v>353</v>
      </c>
      <c r="C107" s="492" t="s">
        <v>609</v>
      </c>
      <c r="D107" s="492" t="s">
        <v>2698</v>
      </c>
      <c r="E107" s="492" t="s">
        <v>1192</v>
      </c>
      <c r="F107" s="492" t="s">
        <v>735</v>
      </c>
      <c r="G107" s="492" t="s">
        <v>34</v>
      </c>
      <c r="H107" s="492" t="s">
        <v>835</v>
      </c>
      <c r="I107" s="492" t="s">
        <v>4270</v>
      </c>
      <c r="J107" s="492" t="s">
        <v>1103</v>
      </c>
      <c r="K107" s="492" t="s">
        <v>276</v>
      </c>
      <c r="L107" s="492" t="s">
        <v>1201</v>
      </c>
      <c r="M107" s="492" t="s">
        <v>1202</v>
      </c>
      <c r="N107" s="492" t="s">
        <v>609</v>
      </c>
      <c r="O107" s="492" t="s">
        <v>4288</v>
      </c>
      <c r="P107" s="492" t="s">
        <v>1203</v>
      </c>
      <c r="Q107" s="492" t="s">
        <v>3499</v>
      </c>
      <c r="R107" s="492" t="s">
        <v>828</v>
      </c>
      <c r="S107" s="492" t="s">
        <v>1204</v>
      </c>
      <c r="T107" s="492">
        <v>17.3</v>
      </c>
      <c r="U107" s="492" t="s">
        <v>857</v>
      </c>
      <c r="V107" s="492" t="s">
        <v>1205</v>
      </c>
      <c r="W107" s="492" t="s">
        <v>1205</v>
      </c>
      <c r="X107" s="492" t="s">
        <v>3502</v>
      </c>
      <c r="Y107" s="492" t="s">
        <v>1206</v>
      </c>
      <c r="Z107" s="492">
        <v>5256764</v>
      </c>
      <c r="AA107" s="492" t="s">
        <v>3502</v>
      </c>
      <c r="AB107" s="492" t="s">
        <v>34</v>
      </c>
      <c r="AC107" s="492" t="s">
        <v>830</v>
      </c>
      <c r="AD107" s="492" t="s">
        <v>831</v>
      </c>
      <c r="AE107" s="492" t="s">
        <v>612</v>
      </c>
      <c r="AF107" s="492" t="s">
        <v>2054</v>
      </c>
      <c r="AG107" s="492" t="s">
        <v>34</v>
      </c>
      <c r="AH107" s="492" t="s">
        <v>34</v>
      </c>
      <c r="AI107" s="492" t="s">
        <v>34</v>
      </c>
      <c r="AJ107" s="492" t="s">
        <v>34</v>
      </c>
      <c r="AK107" s="492" t="s">
        <v>832</v>
      </c>
      <c r="AL107" s="492" t="s">
        <v>3546</v>
      </c>
      <c r="AM107" s="61" t="s">
        <v>3441</v>
      </c>
      <c r="AN107" s="490">
        <v>0</v>
      </c>
      <c r="AO107" s="490">
        <v>0</v>
      </c>
      <c r="AP107" s="61"/>
    </row>
    <row r="108" spans="1:42" x14ac:dyDescent="0.2">
      <c r="A108" s="61">
        <v>107</v>
      </c>
      <c r="B108" s="491" t="s">
        <v>353</v>
      </c>
      <c r="C108" s="492" t="s">
        <v>691</v>
      </c>
      <c r="D108" s="492" t="s">
        <v>2699</v>
      </c>
      <c r="E108" s="492" t="s">
        <v>1192</v>
      </c>
      <c r="F108" s="492" t="s">
        <v>735</v>
      </c>
      <c r="G108" s="492" t="s">
        <v>34</v>
      </c>
      <c r="H108" s="492" t="s">
        <v>835</v>
      </c>
      <c r="I108" s="492" t="s">
        <v>4270</v>
      </c>
      <c r="J108" s="492" t="s">
        <v>1103</v>
      </c>
      <c r="K108" s="492" t="s">
        <v>277</v>
      </c>
      <c r="L108" s="492" t="s">
        <v>1198</v>
      </c>
      <c r="M108" s="492">
        <v>1280</v>
      </c>
      <c r="N108" s="492" t="s">
        <v>691</v>
      </c>
      <c r="O108" s="492" t="s">
        <v>4275</v>
      </c>
      <c r="P108" s="492" t="s">
        <v>1287</v>
      </c>
      <c r="Q108" s="492" t="s">
        <v>3501</v>
      </c>
      <c r="R108" s="492" t="s">
        <v>828</v>
      </c>
      <c r="S108" s="492" t="s">
        <v>1199</v>
      </c>
      <c r="T108" s="492">
        <v>480</v>
      </c>
      <c r="U108" s="492" t="s">
        <v>855</v>
      </c>
      <c r="V108" s="492" t="s">
        <v>3221</v>
      </c>
      <c r="W108" s="492">
        <v>22973</v>
      </c>
      <c r="X108" s="492" t="s">
        <v>3502</v>
      </c>
      <c r="Y108" s="492" t="s">
        <v>915</v>
      </c>
      <c r="Z108" s="492" t="s">
        <v>1197</v>
      </c>
      <c r="AA108" s="492" t="s">
        <v>3502</v>
      </c>
      <c r="AB108" s="492" t="s">
        <v>34</v>
      </c>
      <c r="AC108" s="492" t="s">
        <v>830</v>
      </c>
      <c r="AD108" s="492" t="s">
        <v>831</v>
      </c>
      <c r="AE108" s="492" t="s">
        <v>612</v>
      </c>
      <c r="AF108" s="492" t="s">
        <v>2054</v>
      </c>
      <c r="AG108" s="492" t="s">
        <v>34</v>
      </c>
      <c r="AH108" s="492" t="s">
        <v>34</v>
      </c>
      <c r="AI108" s="492" t="s">
        <v>34</v>
      </c>
      <c r="AJ108" s="492" t="s">
        <v>34</v>
      </c>
      <c r="AK108" s="492" t="s">
        <v>832</v>
      </c>
      <c r="AL108" s="492" t="s">
        <v>3546</v>
      </c>
      <c r="AM108" s="61" t="s">
        <v>3441</v>
      </c>
      <c r="AN108" s="490">
        <v>0</v>
      </c>
      <c r="AO108" s="490">
        <v>0</v>
      </c>
      <c r="AP108" s="61"/>
    </row>
    <row r="109" spans="1:42" x14ac:dyDescent="0.2">
      <c r="A109" s="61">
        <v>108</v>
      </c>
      <c r="B109" s="491" t="s">
        <v>353</v>
      </c>
      <c r="C109" s="492" t="s">
        <v>667</v>
      </c>
      <c r="D109" s="492" t="s">
        <v>2700</v>
      </c>
      <c r="E109" s="492" t="s">
        <v>1192</v>
      </c>
      <c r="F109" s="492" t="s">
        <v>735</v>
      </c>
      <c r="G109" s="492" t="s">
        <v>34</v>
      </c>
      <c r="H109" s="492" t="s">
        <v>835</v>
      </c>
      <c r="I109" s="492" t="s">
        <v>4270</v>
      </c>
      <c r="J109" s="492" t="s">
        <v>1103</v>
      </c>
      <c r="K109" s="492" t="s">
        <v>1210</v>
      </c>
      <c r="L109" s="492" t="s">
        <v>1211</v>
      </c>
      <c r="M109" s="493">
        <v>54087</v>
      </c>
      <c r="N109" s="492" t="s">
        <v>667</v>
      </c>
      <c r="O109" s="492" t="s">
        <v>4289</v>
      </c>
      <c r="P109" s="492" t="s">
        <v>1203</v>
      </c>
      <c r="Q109" s="492" t="s">
        <v>3514</v>
      </c>
      <c r="R109" s="492" t="s">
        <v>892</v>
      </c>
      <c r="S109" s="492" t="s">
        <v>1212</v>
      </c>
      <c r="T109" s="492">
        <v>60.5</v>
      </c>
      <c r="U109" s="492" t="s">
        <v>857</v>
      </c>
      <c r="V109" s="492" t="s">
        <v>1213</v>
      </c>
      <c r="W109" s="492" t="s">
        <v>1214</v>
      </c>
      <c r="X109" s="492" t="s">
        <v>3502</v>
      </c>
      <c r="Y109" s="492" t="s">
        <v>1206</v>
      </c>
      <c r="Z109" s="492">
        <v>5256764</v>
      </c>
      <c r="AA109" s="492" t="s">
        <v>3502</v>
      </c>
      <c r="AB109" s="492" t="s">
        <v>34</v>
      </c>
      <c r="AC109" s="492" t="s">
        <v>830</v>
      </c>
      <c r="AD109" s="492" t="s">
        <v>831</v>
      </c>
      <c r="AE109" s="492" t="s">
        <v>612</v>
      </c>
      <c r="AF109" s="492" t="s">
        <v>2054</v>
      </c>
      <c r="AG109" s="492" t="s">
        <v>34</v>
      </c>
      <c r="AH109" s="492" t="s">
        <v>34</v>
      </c>
      <c r="AI109" s="492" t="s">
        <v>34</v>
      </c>
      <c r="AJ109" s="492" t="s">
        <v>34</v>
      </c>
      <c r="AK109" s="492" t="s">
        <v>832</v>
      </c>
      <c r="AL109" s="492" t="s">
        <v>3546</v>
      </c>
      <c r="AM109" s="61" t="s">
        <v>3442</v>
      </c>
      <c r="AN109" s="490">
        <v>0</v>
      </c>
      <c r="AO109" s="490">
        <v>0</v>
      </c>
      <c r="AP109" s="61"/>
    </row>
    <row r="110" spans="1:42" x14ac:dyDescent="0.2">
      <c r="A110" s="61">
        <v>109</v>
      </c>
      <c r="B110" s="491" t="s">
        <v>353</v>
      </c>
      <c r="C110" s="492" t="s">
        <v>617</v>
      </c>
      <c r="D110" s="492" t="s">
        <v>2701</v>
      </c>
      <c r="E110" s="492" t="s">
        <v>1192</v>
      </c>
      <c r="F110" s="492" t="s">
        <v>735</v>
      </c>
      <c r="G110" s="492" t="s">
        <v>34</v>
      </c>
      <c r="H110" s="492" t="s">
        <v>835</v>
      </c>
      <c r="I110" s="492" t="s">
        <v>4270</v>
      </c>
      <c r="J110" s="492" t="s">
        <v>1103</v>
      </c>
      <c r="K110" s="492" t="s">
        <v>271</v>
      </c>
      <c r="L110" s="492" t="s">
        <v>1215</v>
      </c>
      <c r="M110" s="492">
        <v>370334</v>
      </c>
      <c r="N110" s="492" t="s">
        <v>617</v>
      </c>
      <c r="O110" s="492" t="s">
        <v>4275</v>
      </c>
      <c r="P110" s="492" t="s">
        <v>1648</v>
      </c>
      <c r="Q110" s="492" t="s">
        <v>3501</v>
      </c>
      <c r="R110" s="492" t="s">
        <v>828</v>
      </c>
      <c r="S110" s="492" t="s">
        <v>1216</v>
      </c>
      <c r="T110" s="492">
        <v>12</v>
      </c>
      <c r="U110" s="492" t="s">
        <v>856</v>
      </c>
      <c r="V110" s="492" t="s">
        <v>1217</v>
      </c>
      <c r="W110" s="492" t="s">
        <v>1218</v>
      </c>
      <c r="X110" s="492" t="s">
        <v>3502</v>
      </c>
      <c r="Y110" s="492" t="s">
        <v>1206</v>
      </c>
      <c r="Z110" s="492" t="s">
        <v>1219</v>
      </c>
      <c r="AA110" s="492" t="s">
        <v>3502</v>
      </c>
      <c r="AB110" s="492" t="s">
        <v>34</v>
      </c>
      <c r="AC110" s="492" t="s">
        <v>830</v>
      </c>
      <c r="AD110" s="492" t="s">
        <v>831</v>
      </c>
      <c r="AE110" s="492" t="s">
        <v>612</v>
      </c>
      <c r="AF110" s="492" t="s">
        <v>2054</v>
      </c>
      <c r="AG110" s="492" t="s">
        <v>34</v>
      </c>
      <c r="AH110" s="492" t="s">
        <v>34</v>
      </c>
      <c r="AI110" s="492" t="s">
        <v>34</v>
      </c>
      <c r="AJ110" s="492" t="s">
        <v>34</v>
      </c>
      <c r="AK110" s="492" t="s">
        <v>832</v>
      </c>
      <c r="AL110" s="492" t="s">
        <v>3546</v>
      </c>
      <c r="AM110" s="61" t="s">
        <v>3442</v>
      </c>
      <c r="AN110" s="490">
        <v>0</v>
      </c>
      <c r="AO110" s="490">
        <v>0</v>
      </c>
      <c r="AP110" s="61"/>
    </row>
    <row r="111" spans="1:42" x14ac:dyDescent="0.2">
      <c r="A111" s="61">
        <v>110</v>
      </c>
      <c r="B111" s="491" t="s">
        <v>353</v>
      </c>
      <c r="C111" s="492" t="s">
        <v>2458</v>
      </c>
      <c r="D111" s="492" t="s">
        <v>2702</v>
      </c>
      <c r="E111" s="492" t="s">
        <v>1192</v>
      </c>
      <c r="F111" s="492" t="s">
        <v>735</v>
      </c>
      <c r="G111" s="492" t="s">
        <v>34</v>
      </c>
      <c r="H111" s="492" t="s">
        <v>835</v>
      </c>
      <c r="I111" s="492" t="s">
        <v>4270</v>
      </c>
      <c r="J111" s="492" t="s">
        <v>1103</v>
      </c>
      <c r="K111" s="492" t="s">
        <v>281</v>
      </c>
      <c r="L111" s="492" t="s">
        <v>1207</v>
      </c>
      <c r="M111" s="492">
        <v>70773</v>
      </c>
      <c r="N111" s="492" t="s">
        <v>356</v>
      </c>
      <c r="O111" s="492" t="s">
        <v>4275</v>
      </c>
      <c r="P111" s="492" t="s">
        <v>4291</v>
      </c>
      <c r="Q111" s="492" t="s">
        <v>3501</v>
      </c>
      <c r="R111" s="492" t="s">
        <v>1002</v>
      </c>
      <c r="S111" s="492" t="s">
        <v>1208</v>
      </c>
      <c r="T111" s="492">
        <v>121</v>
      </c>
      <c r="U111" s="492" t="s">
        <v>855</v>
      </c>
      <c r="V111" s="492" t="s">
        <v>1209</v>
      </c>
      <c r="W111" s="492">
        <v>5.25</v>
      </c>
      <c r="X111" s="492" t="s">
        <v>3502</v>
      </c>
      <c r="Y111" s="492" t="s">
        <v>1206</v>
      </c>
      <c r="Z111" s="492">
        <v>5256764</v>
      </c>
      <c r="AA111" s="492" t="s">
        <v>3502</v>
      </c>
      <c r="AB111" s="492" t="s">
        <v>34</v>
      </c>
      <c r="AC111" s="492" t="s">
        <v>830</v>
      </c>
      <c r="AD111" s="492" t="s">
        <v>831</v>
      </c>
      <c r="AE111" s="492" t="s">
        <v>612</v>
      </c>
      <c r="AF111" s="492" t="s">
        <v>2054</v>
      </c>
      <c r="AG111" s="492" t="s">
        <v>34</v>
      </c>
      <c r="AH111" s="492" t="s">
        <v>34</v>
      </c>
      <c r="AI111" s="492" t="s">
        <v>34</v>
      </c>
      <c r="AJ111" s="492" t="s">
        <v>34</v>
      </c>
      <c r="AK111" s="492" t="s">
        <v>832</v>
      </c>
      <c r="AL111" s="492" t="s">
        <v>3546</v>
      </c>
      <c r="AM111" s="61" t="s">
        <v>3444</v>
      </c>
      <c r="AN111" s="490">
        <v>0</v>
      </c>
      <c r="AO111" s="490">
        <v>0</v>
      </c>
      <c r="AP111" s="61"/>
    </row>
    <row r="112" spans="1:42" x14ac:dyDescent="0.2">
      <c r="A112" s="61">
        <v>111</v>
      </c>
      <c r="B112" s="491" t="s">
        <v>353</v>
      </c>
      <c r="C112" s="492" t="s">
        <v>2460</v>
      </c>
      <c r="D112" s="492" t="s">
        <v>2703</v>
      </c>
      <c r="E112" s="492" t="s">
        <v>1192</v>
      </c>
      <c r="F112" s="492" t="s">
        <v>735</v>
      </c>
      <c r="G112" s="492" t="s">
        <v>34</v>
      </c>
      <c r="H112" s="492" t="s">
        <v>835</v>
      </c>
      <c r="I112" s="492" t="s">
        <v>4270</v>
      </c>
      <c r="J112" s="492" t="s">
        <v>1103</v>
      </c>
      <c r="K112" s="492" t="s">
        <v>366</v>
      </c>
      <c r="L112" s="492" t="s">
        <v>1238</v>
      </c>
      <c r="M112" s="492" t="s">
        <v>1243</v>
      </c>
      <c r="N112" s="492" t="s">
        <v>355</v>
      </c>
      <c r="O112" s="492" t="s">
        <v>4289</v>
      </c>
      <c r="P112" s="492" t="s">
        <v>1244</v>
      </c>
      <c r="Q112" s="492" t="s">
        <v>3514</v>
      </c>
      <c r="R112" s="492" t="s">
        <v>1002</v>
      </c>
      <c r="S112" s="492" t="s">
        <v>1245</v>
      </c>
      <c r="T112" s="492">
        <v>1298</v>
      </c>
      <c r="U112" s="492" t="s">
        <v>857</v>
      </c>
      <c r="V112" s="492" t="s">
        <v>1160</v>
      </c>
      <c r="W112" s="492">
        <v>23144</v>
      </c>
      <c r="X112" s="492" t="s">
        <v>3502</v>
      </c>
      <c r="Y112" s="492" t="s">
        <v>915</v>
      </c>
      <c r="Z112" s="492" t="s">
        <v>1242</v>
      </c>
      <c r="AA112" s="492" t="s">
        <v>3502</v>
      </c>
      <c r="AB112" s="492" t="s">
        <v>34</v>
      </c>
      <c r="AC112" s="492" t="s">
        <v>830</v>
      </c>
      <c r="AD112" s="492" t="s">
        <v>831</v>
      </c>
      <c r="AE112" s="492" t="s">
        <v>612</v>
      </c>
      <c r="AF112" s="492" t="s">
        <v>2054</v>
      </c>
      <c r="AG112" s="492" t="s">
        <v>34</v>
      </c>
      <c r="AH112" s="492" t="s">
        <v>34</v>
      </c>
      <c r="AI112" s="492" t="s">
        <v>34</v>
      </c>
      <c r="AJ112" s="492" t="s">
        <v>34</v>
      </c>
      <c r="AK112" s="492" t="s">
        <v>832</v>
      </c>
      <c r="AL112" s="492" t="s">
        <v>3546</v>
      </c>
      <c r="AM112" s="61" t="s">
        <v>3441</v>
      </c>
      <c r="AN112" s="490">
        <v>0</v>
      </c>
      <c r="AO112" s="490">
        <v>0</v>
      </c>
      <c r="AP112" s="61"/>
    </row>
    <row r="113" spans="1:42" x14ac:dyDescent="0.2">
      <c r="A113" s="61">
        <v>112</v>
      </c>
      <c r="B113" s="491" t="s">
        <v>353</v>
      </c>
      <c r="C113" s="492" t="s">
        <v>2459</v>
      </c>
      <c r="D113" s="492" t="s">
        <v>2704</v>
      </c>
      <c r="E113" s="492" t="s">
        <v>1192</v>
      </c>
      <c r="F113" s="492" t="s">
        <v>735</v>
      </c>
      <c r="G113" s="492" t="s">
        <v>34</v>
      </c>
      <c r="H113" s="492" t="s">
        <v>835</v>
      </c>
      <c r="I113" s="492" t="s">
        <v>4270</v>
      </c>
      <c r="J113" s="492" t="s">
        <v>1103</v>
      </c>
      <c r="K113" s="492" t="s">
        <v>366</v>
      </c>
      <c r="L113" s="492" t="s">
        <v>1238</v>
      </c>
      <c r="M113" s="492" t="s">
        <v>1239</v>
      </c>
      <c r="N113" s="492" t="s">
        <v>354</v>
      </c>
      <c r="O113" s="492" t="s">
        <v>4289</v>
      </c>
      <c r="P113" s="492" t="s">
        <v>1240</v>
      </c>
      <c r="Q113" s="492" t="s">
        <v>3514</v>
      </c>
      <c r="R113" s="492" t="s">
        <v>1002</v>
      </c>
      <c r="S113" s="492" t="s">
        <v>1241</v>
      </c>
      <c r="T113" s="492">
        <v>1377</v>
      </c>
      <c r="U113" s="492" t="s">
        <v>857</v>
      </c>
      <c r="V113" s="492" t="s">
        <v>1160</v>
      </c>
      <c r="W113" s="492">
        <v>23144</v>
      </c>
      <c r="X113" s="492" t="s">
        <v>3502</v>
      </c>
      <c r="Y113" s="492" t="s">
        <v>915</v>
      </c>
      <c r="Z113" s="492" t="s">
        <v>1242</v>
      </c>
      <c r="AA113" s="492" t="s">
        <v>3502</v>
      </c>
      <c r="AB113" s="492" t="s">
        <v>34</v>
      </c>
      <c r="AC113" s="492" t="s">
        <v>830</v>
      </c>
      <c r="AD113" s="492" t="s">
        <v>831</v>
      </c>
      <c r="AE113" s="492" t="s">
        <v>612</v>
      </c>
      <c r="AF113" s="492" t="s">
        <v>2054</v>
      </c>
      <c r="AG113" s="492" t="s">
        <v>34</v>
      </c>
      <c r="AH113" s="492" t="s">
        <v>34</v>
      </c>
      <c r="AI113" s="492" t="s">
        <v>34</v>
      </c>
      <c r="AJ113" s="492" t="s">
        <v>34</v>
      </c>
      <c r="AK113" s="492" t="s">
        <v>832</v>
      </c>
      <c r="AL113" s="492" t="s">
        <v>3546</v>
      </c>
      <c r="AM113" s="61" t="s">
        <v>3441</v>
      </c>
      <c r="AN113" s="490">
        <v>0</v>
      </c>
      <c r="AO113" s="490">
        <v>0</v>
      </c>
      <c r="AP113" s="61"/>
    </row>
    <row r="114" spans="1:42" x14ac:dyDescent="0.2">
      <c r="A114" s="61">
        <v>113</v>
      </c>
      <c r="B114" s="491" t="s">
        <v>353</v>
      </c>
      <c r="C114" s="492" t="s">
        <v>2461</v>
      </c>
      <c r="D114" s="492" t="s">
        <v>2705</v>
      </c>
      <c r="E114" s="492" t="s">
        <v>1192</v>
      </c>
      <c r="F114" s="492" t="s">
        <v>735</v>
      </c>
      <c r="G114" s="492" t="s">
        <v>34</v>
      </c>
      <c r="H114" s="492" t="s">
        <v>835</v>
      </c>
      <c r="I114" s="492" t="s">
        <v>4270</v>
      </c>
      <c r="J114" s="492" t="s">
        <v>1103</v>
      </c>
      <c r="K114" s="492" t="s">
        <v>365</v>
      </c>
      <c r="L114" s="492" t="s">
        <v>950</v>
      </c>
      <c r="M114" s="492" t="s">
        <v>2462</v>
      </c>
      <c r="N114" s="492" t="s">
        <v>2463</v>
      </c>
      <c r="O114" s="492" t="s">
        <v>4292</v>
      </c>
      <c r="P114" s="492" t="s">
        <v>3586</v>
      </c>
      <c r="Q114" s="492" t="s">
        <v>3503</v>
      </c>
      <c r="R114" s="492" t="s">
        <v>828</v>
      </c>
      <c r="S114" s="492" t="s">
        <v>2464</v>
      </c>
      <c r="T114" s="492">
        <v>416</v>
      </c>
      <c r="U114" s="492" t="s">
        <v>855</v>
      </c>
      <c r="V114" s="492" t="s">
        <v>1248</v>
      </c>
      <c r="W114" s="492" t="s">
        <v>2465</v>
      </c>
      <c r="X114" s="492" t="s">
        <v>3502</v>
      </c>
      <c r="Y114" s="492" t="s">
        <v>2466</v>
      </c>
      <c r="Z114" s="492" t="s">
        <v>1197</v>
      </c>
      <c r="AA114" s="492" t="s">
        <v>3502</v>
      </c>
      <c r="AB114" s="492" t="s">
        <v>34</v>
      </c>
      <c r="AC114" s="492" t="s">
        <v>830</v>
      </c>
      <c r="AD114" s="492" t="s">
        <v>831</v>
      </c>
      <c r="AE114" s="492" t="s">
        <v>612</v>
      </c>
      <c r="AF114" s="492" t="s">
        <v>2054</v>
      </c>
      <c r="AG114" s="492" t="s">
        <v>34</v>
      </c>
      <c r="AH114" s="492" t="s">
        <v>34</v>
      </c>
      <c r="AI114" s="492" t="s">
        <v>34</v>
      </c>
      <c r="AJ114" s="492" t="s">
        <v>34</v>
      </c>
      <c r="AK114" s="492" t="s">
        <v>832</v>
      </c>
      <c r="AL114" s="492" t="s">
        <v>3546</v>
      </c>
      <c r="AM114" s="61" t="s">
        <v>3443</v>
      </c>
      <c r="AN114" s="490">
        <v>0</v>
      </c>
      <c r="AO114" s="490">
        <v>0</v>
      </c>
      <c r="AP114" s="61"/>
    </row>
    <row r="115" spans="1:42" x14ac:dyDescent="0.2">
      <c r="A115" s="61">
        <v>114</v>
      </c>
      <c r="B115" s="491" t="s">
        <v>353</v>
      </c>
      <c r="C115" s="492" t="s">
        <v>3120</v>
      </c>
      <c r="D115" s="492" t="s">
        <v>3121</v>
      </c>
      <c r="E115" s="492" t="s">
        <v>1192</v>
      </c>
      <c r="F115" s="492" t="s">
        <v>735</v>
      </c>
      <c r="G115" s="492" t="s">
        <v>34</v>
      </c>
      <c r="H115" s="492" t="s">
        <v>835</v>
      </c>
      <c r="I115" s="492" t="s">
        <v>4270</v>
      </c>
      <c r="J115" s="492" t="s">
        <v>1103</v>
      </c>
      <c r="K115" s="492" t="s">
        <v>3122</v>
      </c>
      <c r="L115" s="492" t="s">
        <v>3123</v>
      </c>
      <c r="M115" s="492" t="s">
        <v>3124</v>
      </c>
      <c r="N115" s="492" t="s">
        <v>3120</v>
      </c>
      <c r="O115" s="492" t="s">
        <v>4289</v>
      </c>
      <c r="P115" s="492" t="s">
        <v>1229</v>
      </c>
      <c r="Q115" s="492" t="s">
        <v>3514</v>
      </c>
      <c r="R115" s="492" t="s">
        <v>828</v>
      </c>
      <c r="S115" s="492" t="s">
        <v>3125</v>
      </c>
      <c r="T115" s="492">
        <v>506.4</v>
      </c>
      <c r="U115" s="492" t="s">
        <v>857</v>
      </c>
      <c r="V115" s="492" t="s">
        <v>3126</v>
      </c>
      <c r="W115" s="492" t="s">
        <v>3127</v>
      </c>
      <c r="X115" s="492" t="s">
        <v>3502</v>
      </c>
      <c r="Y115" s="492" t="s">
        <v>915</v>
      </c>
      <c r="Z115" s="492">
        <v>5256764</v>
      </c>
      <c r="AA115" s="492" t="s">
        <v>3502</v>
      </c>
      <c r="AB115" s="492" t="s">
        <v>34</v>
      </c>
      <c r="AC115" s="492" t="s">
        <v>830</v>
      </c>
      <c r="AD115" s="492" t="s">
        <v>831</v>
      </c>
      <c r="AE115" s="492" t="s">
        <v>612</v>
      </c>
      <c r="AF115" s="492" t="s">
        <v>2054</v>
      </c>
      <c r="AG115" s="492" t="s">
        <v>34</v>
      </c>
      <c r="AH115" s="492" t="s">
        <v>34</v>
      </c>
      <c r="AI115" s="492" t="s">
        <v>34</v>
      </c>
      <c r="AJ115" s="492" t="s">
        <v>34</v>
      </c>
      <c r="AK115" s="492" t="s">
        <v>832</v>
      </c>
      <c r="AL115" s="492" t="s">
        <v>3546</v>
      </c>
      <c r="AM115" s="61" t="s">
        <v>3441</v>
      </c>
      <c r="AN115" s="490">
        <v>0</v>
      </c>
      <c r="AO115" s="490">
        <v>0</v>
      </c>
      <c r="AP115" s="61"/>
    </row>
    <row r="116" spans="1:42" x14ac:dyDescent="0.2">
      <c r="A116" s="61">
        <v>115</v>
      </c>
      <c r="B116" s="491" t="s">
        <v>353</v>
      </c>
      <c r="C116" s="492" t="s">
        <v>4380</v>
      </c>
      <c r="D116" s="492" t="s">
        <v>4381</v>
      </c>
      <c r="E116" s="492" t="s">
        <v>1192</v>
      </c>
      <c r="F116" s="492" t="s">
        <v>735</v>
      </c>
      <c r="G116" s="492"/>
      <c r="H116" s="492" t="s">
        <v>835</v>
      </c>
      <c r="I116" s="492" t="s">
        <v>4270</v>
      </c>
      <c r="J116" s="492" t="s">
        <v>1103</v>
      </c>
      <c r="K116" s="492" t="s">
        <v>839</v>
      </c>
      <c r="L116" s="492" t="s">
        <v>4346</v>
      </c>
      <c r="M116" s="492" t="s">
        <v>3242</v>
      </c>
      <c r="N116" s="492" t="s">
        <v>4382</v>
      </c>
      <c r="O116" s="492" t="s">
        <v>4289</v>
      </c>
      <c r="P116" s="492" t="s">
        <v>895</v>
      </c>
      <c r="Q116" s="492" t="s">
        <v>3514</v>
      </c>
      <c r="R116" s="492" t="s">
        <v>1002</v>
      </c>
      <c r="S116" s="492" t="s">
        <v>4348</v>
      </c>
      <c r="T116" s="492">
        <v>1300</v>
      </c>
      <c r="U116" s="492" t="s">
        <v>857</v>
      </c>
      <c r="V116" s="492" t="s">
        <v>4349</v>
      </c>
      <c r="W116" s="492" t="s">
        <v>4383</v>
      </c>
      <c r="X116" s="492" t="s">
        <v>3502</v>
      </c>
      <c r="Y116" s="492" t="s">
        <v>4351</v>
      </c>
      <c r="Z116" s="492" t="s">
        <v>4384</v>
      </c>
      <c r="AA116" s="492" t="s">
        <v>3502</v>
      </c>
      <c r="AB116" s="492"/>
      <c r="AC116" s="492" t="s">
        <v>830</v>
      </c>
      <c r="AD116" s="492" t="s">
        <v>831</v>
      </c>
      <c r="AE116" s="492" t="s">
        <v>4126</v>
      </c>
      <c r="AF116" s="492" t="s">
        <v>2054</v>
      </c>
      <c r="AG116" s="492"/>
      <c r="AH116" s="492"/>
      <c r="AI116" s="492"/>
      <c r="AJ116" s="492"/>
      <c r="AK116" s="492" t="s">
        <v>832</v>
      </c>
      <c r="AL116" s="492"/>
      <c r="AM116" s="61" t="s">
        <v>4353</v>
      </c>
      <c r="AN116" s="490"/>
      <c r="AO116" s="490"/>
      <c r="AP116" s="61"/>
    </row>
    <row r="117" spans="1:42" x14ac:dyDescent="0.2">
      <c r="A117" s="61">
        <v>116</v>
      </c>
      <c r="B117" s="491" t="s">
        <v>353</v>
      </c>
      <c r="C117" s="492" t="s">
        <v>4354</v>
      </c>
      <c r="D117" s="492" t="s">
        <v>4357</v>
      </c>
      <c r="E117" s="492" t="s">
        <v>1192</v>
      </c>
      <c r="F117" s="492" t="s">
        <v>735</v>
      </c>
      <c r="G117" s="492" t="s">
        <v>3381</v>
      </c>
      <c r="H117" s="492" t="s">
        <v>835</v>
      </c>
      <c r="I117" s="492" t="s">
        <v>4270</v>
      </c>
      <c r="J117" s="492" t="s">
        <v>1103</v>
      </c>
      <c r="K117" s="492" t="s">
        <v>839</v>
      </c>
      <c r="L117" s="492" t="s">
        <v>4346</v>
      </c>
      <c r="M117" s="492" t="s">
        <v>3554</v>
      </c>
      <c r="N117" s="492" t="s">
        <v>4355</v>
      </c>
      <c r="O117" s="492" t="s">
        <v>4347</v>
      </c>
      <c r="P117" s="492" t="s">
        <v>895</v>
      </c>
      <c r="Q117" s="492" t="s">
        <v>3514</v>
      </c>
      <c r="R117" s="492" t="s">
        <v>1002</v>
      </c>
      <c r="S117" s="492" t="s">
        <v>4348</v>
      </c>
      <c r="T117" s="492">
        <v>1300</v>
      </c>
      <c r="U117" s="492" t="s">
        <v>857</v>
      </c>
      <c r="V117" s="492" t="s">
        <v>4349</v>
      </c>
      <c r="W117" s="492" t="s">
        <v>4350</v>
      </c>
      <c r="X117" s="492" t="s">
        <v>3502</v>
      </c>
      <c r="Y117" s="492" t="s">
        <v>4351</v>
      </c>
      <c r="Z117" s="492" t="s">
        <v>4352</v>
      </c>
      <c r="AA117" s="492" t="s">
        <v>3502</v>
      </c>
      <c r="AB117" s="492"/>
      <c r="AC117" s="492" t="s">
        <v>830</v>
      </c>
      <c r="AD117" s="492" t="s">
        <v>831</v>
      </c>
      <c r="AE117" s="492" t="s">
        <v>4126</v>
      </c>
      <c r="AF117" s="492" t="s">
        <v>2054</v>
      </c>
      <c r="AG117" s="492"/>
      <c r="AH117" s="492"/>
      <c r="AI117" s="492"/>
      <c r="AJ117" s="492"/>
      <c r="AK117" s="492" t="s">
        <v>832</v>
      </c>
      <c r="AL117" s="492"/>
      <c r="AM117" s="61" t="s">
        <v>4353</v>
      </c>
      <c r="AN117" s="490"/>
      <c r="AO117" s="490"/>
      <c r="AP117" s="61"/>
    </row>
    <row r="118" spans="1:42" x14ac:dyDescent="0.2">
      <c r="A118" s="61">
        <v>117</v>
      </c>
      <c r="B118" s="491" t="s">
        <v>545</v>
      </c>
      <c r="C118" s="492" t="s">
        <v>547</v>
      </c>
      <c r="D118" s="492" t="s">
        <v>2706</v>
      </c>
      <c r="E118" s="492" t="s">
        <v>740</v>
      </c>
      <c r="F118" s="492" t="s">
        <v>1260</v>
      </c>
      <c r="G118" s="492" t="s">
        <v>34</v>
      </c>
      <c r="H118" s="492" t="s">
        <v>835</v>
      </c>
      <c r="I118" s="492" t="s">
        <v>4270</v>
      </c>
      <c r="J118" s="492" t="s">
        <v>1103</v>
      </c>
      <c r="K118" s="492" t="s">
        <v>349</v>
      </c>
      <c r="L118" s="492" t="s">
        <v>1265</v>
      </c>
      <c r="M118" s="492" t="s">
        <v>1266</v>
      </c>
      <c r="N118" s="492" t="s">
        <v>547</v>
      </c>
      <c r="O118" s="492" t="s">
        <v>4271</v>
      </c>
      <c r="P118" s="492" t="s">
        <v>1229</v>
      </c>
      <c r="Q118" s="492" t="s">
        <v>3501</v>
      </c>
      <c r="R118" s="492" t="s">
        <v>828</v>
      </c>
      <c r="S118" s="492" t="s">
        <v>1267</v>
      </c>
      <c r="T118" s="492">
        <v>26.1</v>
      </c>
      <c r="U118" s="492" t="s">
        <v>855</v>
      </c>
      <c r="V118" s="492" t="s">
        <v>1110</v>
      </c>
      <c r="W118" s="492">
        <v>52012</v>
      </c>
      <c r="X118" s="492" t="s">
        <v>3502</v>
      </c>
      <c r="Y118" s="492" t="s">
        <v>1264</v>
      </c>
      <c r="Z118" s="492" t="s">
        <v>3803</v>
      </c>
      <c r="AA118" s="492" t="s">
        <v>3502</v>
      </c>
      <c r="AB118" s="492" t="s">
        <v>34</v>
      </c>
      <c r="AC118" s="492" t="s">
        <v>830</v>
      </c>
      <c r="AD118" s="492" t="s">
        <v>831</v>
      </c>
      <c r="AE118" s="492" t="s">
        <v>612</v>
      </c>
      <c r="AF118" s="492">
        <v>12</v>
      </c>
      <c r="AG118" s="492">
        <v>5</v>
      </c>
      <c r="AH118" s="492">
        <v>0.18</v>
      </c>
      <c r="AI118" s="492" t="s">
        <v>34</v>
      </c>
      <c r="AJ118" s="492" t="s">
        <v>34</v>
      </c>
      <c r="AK118" s="492" t="s">
        <v>832</v>
      </c>
      <c r="AL118" s="492" t="s">
        <v>2432</v>
      </c>
      <c r="AM118" s="61" t="s">
        <v>3442</v>
      </c>
      <c r="AN118" s="490">
        <v>1.4583333333333332E-2</v>
      </c>
      <c r="AO118" s="490">
        <v>0</v>
      </c>
      <c r="AP118" s="61"/>
    </row>
    <row r="119" spans="1:42" x14ac:dyDescent="0.2">
      <c r="A119" s="61">
        <v>118</v>
      </c>
      <c r="B119" s="491" t="s">
        <v>545</v>
      </c>
      <c r="C119" s="492" t="s">
        <v>549</v>
      </c>
      <c r="D119" s="492" t="s">
        <v>2707</v>
      </c>
      <c r="E119" s="492" t="s">
        <v>740</v>
      </c>
      <c r="F119" s="492" t="s">
        <v>1260</v>
      </c>
      <c r="G119" s="492" t="s">
        <v>34</v>
      </c>
      <c r="H119" s="492" t="s">
        <v>835</v>
      </c>
      <c r="I119" s="492" t="s">
        <v>4270</v>
      </c>
      <c r="J119" s="492" t="s">
        <v>1103</v>
      </c>
      <c r="K119" s="492" t="s">
        <v>1274</v>
      </c>
      <c r="L119" s="492" t="s">
        <v>1275</v>
      </c>
      <c r="M119" s="492" t="s">
        <v>1276</v>
      </c>
      <c r="N119" s="492" t="s">
        <v>549</v>
      </c>
      <c r="O119" s="492" t="s">
        <v>4271</v>
      </c>
      <c r="P119" s="492" t="s">
        <v>1277</v>
      </c>
      <c r="Q119" s="492" t="s">
        <v>3501</v>
      </c>
      <c r="R119" s="492" t="s">
        <v>1002</v>
      </c>
      <c r="S119" s="492" t="s">
        <v>1278</v>
      </c>
      <c r="T119" s="492">
        <v>61.3</v>
      </c>
      <c r="U119" s="492" t="s">
        <v>855</v>
      </c>
      <c r="V119" s="492" t="s">
        <v>913</v>
      </c>
      <c r="W119" s="492" t="s">
        <v>1279</v>
      </c>
      <c r="X119" s="492" t="s">
        <v>3562</v>
      </c>
      <c r="Y119" s="492" t="s">
        <v>1264</v>
      </c>
      <c r="Z119" s="492" t="s">
        <v>3803</v>
      </c>
      <c r="AA119" s="492" t="s">
        <v>3562</v>
      </c>
      <c r="AB119" s="492" t="s">
        <v>34</v>
      </c>
      <c r="AC119" s="492" t="s">
        <v>830</v>
      </c>
      <c r="AD119" s="492" t="s">
        <v>831</v>
      </c>
      <c r="AE119" s="492" t="s">
        <v>612</v>
      </c>
      <c r="AF119" s="492">
        <v>8</v>
      </c>
      <c r="AG119" s="492">
        <v>50</v>
      </c>
      <c r="AH119" s="492">
        <v>5</v>
      </c>
      <c r="AI119" s="492" t="s">
        <v>2558</v>
      </c>
      <c r="AJ119" s="492" t="s">
        <v>2559</v>
      </c>
      <c r="AK119" s="492" t="s">
        <v>832</v>
      </c>
      <c r="AL119" s="492" t="s">
        <v>2432</v>
      </c>
      <c r="AM119" s="61" t="s">
        <v>3444</v>
      </c>
      <c r="AN119" s="490">
        <v>1.4583333333333332E-2</v>
      </c>
      <c r="AO119" s="490">
        <v>2.1527777777777781E-2</v>
      </c>
      <c r="AP119" s="61"/>
    </row>
    <row r="120" spans="1:42" x14ac:dyDescent="0.2">
      <c r="A120" s="61">
        <v>119</v>
      </c>
      <c r="B120" s="491" t="s">
        <v>545</v>
      </c>
      <c r="C120" s="492" t="s">
        <v>279</v>
      </c>
      <c r="D120" s="492" t="s">
        <v>2708</v>
      </c>
      <c r="E120" s="492" t="s">
        <v>740</v>
      </c>
      <c r="F120" s="492" t="s">
        <v>1260</v>
      </c>
      <c r="G120" s="492" t="s">
        <v>34</v>
      </c>
      <c r="H120" s="492" t="s">
        <v>835</v>
      </c>
      <c r="I120" s="492" t="s">
        <v>4270</v>
      </c>
      <c r="J120" s="492" t="s">
        <v>1103</v>
      </c>
      <c r="K120" s="492" t="s">
        <v>349</v>
      </c>
      <c r="L120" s="492" t="s">
        <v>1270</v>
      </c>
      <c r="M120" s="492" t="s">
        <v>1271</v>
      </c>
      <c r="N120" s="492" t="s">
        <v>279</v>
      </c>
      <c r="O120" s="492" t="s">
        <v>4271</v>
      </c>
      <c r="P120" s="492" t="s">
        <v>1229</v>
      </c>
      <c r="Q120" s="492" t="s">
        <v>3501</v>
      </c>
      <c r="R120" s="492" t="s">
        <v>828</v>
      </c>
      <c r="S120" s="492" t="s">
        <v>1272</v>
      </c>
      <c r="T120" s="492">
        <v>65.8</v>
      </c>
      <c r="U120" s="492" t="s">
        <v>855</v>
      </c>
      <c r="V120" s="492" t="s">
        <v>1110</v>
      </c>
      <c r="W120" s="492" t="s">
        <v>1273</v>
      </c>
      <c r="X120" s="492" t="s">
        <v>3502</v>
      </c>
      <c r="Y120" s="492" t="s">
        <v>1264</v>
      </c>
      <c r="Z120" s="492" t="s">
        <v>3803</v>
      </c>
      <c r="AA120" s="492" t="s">
        <v>3502</v>
      </c>
      <c r="AB120" s="492" t="s">
        <v>3001</v>
      </c>
      <c r="AC120" s="492" t="s">
        <v>830</v>
      </c>
      <c r="AD120" s="492" t="s">
        <v>831</v>
      </c>
      <c r="AE120" s="492" t="s">
        <v>612</v>
      </c>
      <c r="AF120" s="492">
        <v>8</v>
      </c>
      <c r="AG120" s="492" t="s">
        <v>2513</v>
      </c>
      <c r="AH120" s="492" t="s">
        <v>2557</v>
      </c>
      <c r="AI120" s="492" t="s">
        <v>34</v>
      </c>
      <c r="AJ120" s="492" t="s">
        <v>34</v>
      </c>
      <c r="AK120" s="492" t="s">
        <v>832</v>
      </c>
      <c r="AL120" s="492" t="s">
        <v>2432</v>
      </c>
      <c r="AM120" s="61" t="s">
        <v>3444</v>
      </c>
      <c r="AN120" s="490">
        <v>1.4583333333333332E-2</v>
      </c>
      <c r="AO120" s="490">
        <v>0</v>
      </c>
      <c r="AP120" s="61"/>
    </row>
    <row r="121" spans="1:42" x14ac:dyDescent="0.2">
      <c r="A121" s="61">
        <v>120</v>
      </c>
      <c r="B121" s="491" t="s">
        <v>545</v>
      </c>
      <c r="C121" s="492" t="s">
        <v>548</v>
      </c>
      <c r="D121" s="492" t="s">
        <v>2709</v>
      </c>
      <c r="E121" s="492" t="s">
        <v>740</v>
      </c>
      <c r="F121" s="492" t="s">
        <v>1260</v>
      </c>
      <c r="G121" s="492" t="s">
        <v>34</v>
      </c>
      <c r="H121" s="492" t="s">
        <v>835</v>
      </c>
      <c r="I121" s="492" t="s">
        <v>4270</v>
      </c>
      <c r="J121" s="492" t="s">
        <v>1103</v>
      </c>
      <c r="K121" s="492" t="s">
        <v>349</v>
      </c>
      <c r="L121" s="492" t="s">
        <v>1261</v>
      </c>
      <c r="M121" s="492" t="s">
        <v>1268</v>
      </c>
      <c r="N121" s="492" t="s">
        <v>548</v>
      </c>
      <c r="O121" s="492" t="s">
        <v>4271</v>
      </c>
      <c r="P121" s="492" t="s">
        <v>1229</v>
      </c>
      <c r="Q121" s="492" t="s">
        <v>3501</v>
      </c>
      <c r="R121" s="492" t="s">
        <v>828</v>
      </c>
      <c r="S121" s="492" t="s">
        <v>1263</v>
      </c>
      <c r="T121" s="492">
        <v>36.299999999999997</v>
      </c>
      <c r="U121" s="492" t="s">
        <v>855</v>
      </c>
      <c r="V121" s="492" t="s">
        <v>1110</v>
      </c>
      <c r="W121" s="492" t="s">
        <v>1269</v>
      </c>
      <c r="X121" s="492" t="s">
        <v>3502</v>
      </c>
      <c r="Y121" s="492" t="s">
        <v>1264</v>
      </c>
      <c r="Z121" s="492" t="s">
        <v>3803</v>
      </c>
      <c r="AA121" s="492" t="s">
        <v>3502</v>
      </c>
      <c r="AB121" s="492" t="s">
        <v>34</v>
      </c>
      <c r="AC121" s="492" t="s">
        <v>830</v>
      </c>
      <c r="AD121" s="492" t="s">
        <v>831</v>
      </c>
      <c r="AE121" s="492" t="s">
        <v>612</v>
      </c>
      <c r="AF121" s="492">
        <v>10</v>
      </c>
      <c r="AG121" s="492">
        <v>0.2</v>
      </c>
      <c r="AH121" s="492">
        <v>0</v>
      </c>
      <c r="AI121" s="492" t="s">
        <v>2556</v>
      </c>
      <c r="AJ121" s="492" t="s">
        <v>34</v>
      </c>
      <c r="AK121" s="492" t="s">
        <v>832</v>
      </c>
      <c r="AL121" s="492" t="s">
        <v>2432</v>
      </c>
      <c r="AM121" s="61" t="s">
        <v>3442</v>
      </c>
      <c r="AN121" s="490">
        <v>1.4583333333333332E-2</v>
      </c>
      <c r="AO121" s="490">
        <v>0</v>
      </c>
      <c r="AP121" s="61"/>
    </row>
    <row r="122" spans="1:42" x14ac:dyDescent="0.2">
      <c r="A122" s="61">
        <v>121</v>
      </c>
      <c r="B122" s="491" t="s">
        <v>545</v>
      </c>
      <c r="C122" s="492" t="s">
        <v>546</v>
      </c>
      <c r="D122" s="492" t="s">
        <v>2710</v>
      </c>
      <c r="E122" s="492" t="s">
        <v>740</v>
      </c>
      <c r="F122" s="492" t="s">
        <v>1260</v>
      </c>
      <c r="G122" s="492" t="s">
        <v>34</v>
      </c>
      <c r="H122" s="492" t="s">
        <v>835</v>
      </c>
      <c r="I122" s="492" t="s">
        <v>4270</v>
      </c>
      <c r="J122" s="492" t="s">
        <v>1103</v>
      </c>
      <c r="K122" s="492" t="s">
        <v>349</v>
      </c>
      <c r="L122" s="492" t="s">
        <v>1261</v>
      </c>
      <c r="M122" s="492" t="s">
        <v>1262</v>
      </c>
      <c r="N122" s="492" t="s">
        <v>546</v>
      </c>
      <c r="O122" s="492" t="s">
        <v>4271</v>
      </c>
      <c r="P122" s="492" t="s">
        <v>1229</v>
      </c>
      <c r="Q122" s="492" t="s">
        <v>3501</v>
      </c>
      <c r="R122" s="492" t="s">
        <v>828</v>
      </c>
      <c r="S122" s="492" t="s">
        <v>1263</v>
      </c>
      <c r="T122" s="492">
        <v>36.299999999999997</v>
      </c>
      <c r="U122" s="492" t="s">
        <v>855</v>
      </c>
      <c r="V122" s="492" t="s">
        <v>1110</v>
      </c>
      <c r="W122" s="492">
        <v>16293</v>
      </c>
      <c r="X122" s="492" t="s">
        <v>3502</v>
      </c>
      <c r="Y122" s="492" t="s">
        <v>1264</v>
      </c>
      <c r="Z122" s="492" t="s">
        <v>3803</v>
      </c>
      <c r="AA122" s="492" t="s">
        <v>3502</v>
      </c>
      <c r="AB122" s="492" t="s">
        <v>34</v>
      </c>
      <c r="AC122" s="492" t="s">
        <v>830</v>
      </c>
      <c r="AD122" s="492" t="s">
        <v>831</v>
      </c>
      <c r="AE122" s="492" t="s">
        <v>612</v>
      </c>
      <c r="AF122" s="492">
        <v>10</v>
      </c>
      <c r="AG122" s="492">
        <v>0.2</v>
      </c>
      <c r="AH122" s="492">
        <v>0</v>
      </c>
      <c r="AI122" s="492" t="s">
        <v>2556</v>
      </c>
      <c r="AJ122" s="492" t="s">
        <v>34</v>
      </c>
      <c r="AK122" s="492" t="s">
        <v>832</v>
      </c>
      <c r="AL122" s="492" t="s">
        <v>2432</v>
      </c>
      <c r="AM122" s="61" t="s">
        <v>3442</v>
      </c>
      <c r="AN122" s="490">
        <v>1.4583333333333332E-2</v>
      </c>
      <c r="AO122" s="490">
        <v>0</v>
      </c>
      <c r="AP122" s="61"/>
    </row>
    <row r="123" spans="1:42" x14ac:dyDescent="0.2">
      <c r="A123" s="61">
        <v>122</v>
      </c>
      <c r="B123" s="491" t="s">
        <v>364</v>
      </c>
      <c r="C123" s="492" t="s">
        <v>365</v>
      </c>
      <c r="D123" s="492" t="s">
        <v>2711</v>
      </c>
      <c r="E123" s="492" t="s">
        <v>1335</v>
      </c>
      <c r="F123" s="492" t="s">
        <v>745</v>
      </c>
      <c r="G123" s="492" t="s">
        <v>34</v>
      </c>
      <c r="H123" s="492" t="s">
        <v>835</v>
      </c>
      <c r="I123" s="492" t="s">
        <v>4270</v>
      </c>
      <c r="J123" s="492" t="s">
        <v>1103</v>
      </c>
      <c r="K123" s="492" t="s">
        <v>365</v>
      </c>
      <c r="L123" s="492" t="s">
        <v>1348</v>
      </c>
      <c r="M123" s="492" t="s">
        <v>1349</v>
      </c>
      <c r="N123" s="492" t="s">
        <v>365</v>
      </c>
      <c r="O123" s="492" t="s">
        <v>305</v>
      </c>
      <c r="P123" s="492" t="s">
        <v>1358</v>
      </c>
      <c r="Q123" s="492" t="s">
        <v>827</v>
      </c>
      <c r="R123" s="492" t="s">
        <v>1350</v>
      </c>
      <c r="S123" s="492" t="s">
        <v>1351</v>
      </c>
      <c r="T123" s="492">
        <v>30</v>
      </c>
      <c r="U123" s="492" t="s">
        <v>857</v>
      </c>
      <c r="V123" s="492" t="s">
        <v>1352</v>
      </c>
      <c r="W123" s="492">
        <v>9162039</v>
      </c>
      <c r="X123" s="492" t="s">
        <v>829</v>
      </c>
      <c r="Y123" s="492" t="s">
        <v>1353</v>
      </c>
      <c r="Z123" s="492">
        <v>8297145</v>
      </c>
      <c r="AA123" s="492" t="s">
        <v>829</v>
      </c>
      <c r="AB123" s="492" t="s">
        <v>1354</v>
      </c>
      <c r="AC123" s="492" t="s">
        <v>830</v>
      </c>
      <c r="AD123" s="492" t="s">
        <v>831</v>
      </c>
      <c r="AE123" s="492" t="s">
        <v>612</v>
      </c>
      <c r="AF123" s="492">
        <v>6</v>
      </c>
      <c r="AG123" s="492">
        <v>0.08</v>
      </c>
      <c r="AH123" s="492">
        <v>0.5</v>
      </c>
      <c r="AI123" s="492" t="s">
        <v>2563</v>
      </c>
      <c r="AJ123" s="492" t="s">
        <v>2564</v>
      </c>
      <c r="AK123" s="492" t="s">
        <v>832</v>
      </c>
      <c r="AL123" s="492" t="s">
        <v>34</v>
      </c>
      <c r="AM123" s="61" t="s">
        <v>3441</v>
      </c>
      <c r="AN123" s="490">
        <v>0</v>
      </c>
      <c r="AO123" s="490">
        <v>0</v>
      </c>
      <c r="AP123" s="61"/>
    </row>
    <row r="124" spans="1:42" x14ac:dyDescent="0.2">
      <c r="A124" s="61">
        <v>123</v>
      </c>
      <c r="B124" s="491" t="s">
        <v>364</v>
      </c>
      <c r="C124" s="492" t="s">
        <v>618</v>
      </c>
      <c r="D124" s="492" t="s">
        <v>2712</v>
      </c>
      <c r="E124" s="492" t="s">
        <v>1335</v>
      </c>
      <c r="F124" s="492" t="s">
        <v>745</v>
      </c>
      <c r="G124" s="492" t="s">
        <v>34</v>
      </c>
      <c r="H124" s="492" t="s">
        <v>835</v>
      </c>
      <c r="I124" s="492" t="s">
        <v>4270</v>
      </c>
      <c r="J124" s="492" t="s">
        <v>1103</v>
      </c>
      <c r="K124" s="492" t="s">
        <v>839</v>
      </c>
      <c r="L124" s="492" t="s">
        <v>950</v>
      </c>
      <c r="M124" s="492" t="s">
        <v>839</v>
      </c>
      <c r="N124" s="492" t="s">
        <v>1343</v>
      </c>
      <c r="O124" s="492" t="s">
        <v>305</v>
      </c>
      <c r="P124" s="492" t="s">
        <v>1344</v>
      </c>
      <c r="Q124" s="492" t="s">
        <v>911</v>
      </c>
      <c r="R124" s="492" t="s">
        <v>1002</v>
      </c>
      <c r="S124" s="492" t="s">
        <v>1345</v>
      </c>
      <c r="T124" s="492">
        <v>3348</v>
      </c>
      <c r="U124" s="492" t="s">
        <v>857</v>
      </c>
      <c r="V124" s="492" t="s">
        <v>1346</v>
      </c>
      <c r="W124" s="492">
        <v>0</v>
      </c>
      <c r="X124" s="492" t="s">
        <v>829</v>
      </c>
      <c r="Y124" s="492" t="s">
        <v>1341</v>
      </c>
      <c r="Z124" s="492" t="s">
        <v>1347</v>
      </c>
      <c r="AA124" s="492" t="s">
        <v>829</v>
      </c>
      <c r="AB124" s="492" t="s">
        <v>34</v>
      </c>
      <c r="AC124" s="492" t="s">
        <v>830</v>
      </c>
      <c r="AD124" s="492" t="s">
        <v>831</v>
      </c>
      <c r="AE124" s="492" t="s">
        <v>612</v>
      </c>
      <c r="AF124" s="492" t="s">
        <v>2054</v>
      </c>
      <c r="AG124" s="492" t="s">
        <v>34</v>
      </c>
      <c r="AH124" s="492" t="s">
        <v>34</v>
      </c>
      <c r="AI124" s="492" t="s">
        <v>34</v>
      </c>
      <c r="AJ124" s="492" t="s">
        <v>34</v>
      </c>
      <c r="AK124" s="492" t="s">
        <v>832</v>
      </c>
      <c r="AL124" s="492" t="s">
        <v>34</v>
      </c>
      <c r="AM124" s="61" t="s">
        <v>3441</v>
      </c>
      <c r="AN124" s="490">
        <v>0</v>
      </c>
      <c r="AO124" s="490">
        <v>0</v>
      </c>
      <c r="AP124" s="61"/>
    </row>
    <row r="125" spans="1:42" x14ac:dyDescent="0.2">
      <c r="A125" s="61">
        <v>124</v>
      </c>
      <c r="B125" s="491" t="s">
        <v>364</v>
      </c>
      <c r="C125" s="492" t="s">
        <v>692</v>
      </c>
      <c r="D125" s="492" t="s">
        <v>2982</v>
      </c>
      <c r="E125" s="492" t="s">
        <v>1335</v>
      </c>
      <c r="F125" s="492" t="s">
        <v>745</v>
      </c>
      <c r="G125" s="492" t="s">
        <v>34</v>
      </c>
      <c r="H125" s="492" t="s">
        <v>835</v>
      </c>
      <c r="I125" s="492" t="s">
        <v>4270</v>
      </c>
      <c r="J125" s="492" t="s">
        <v>613</v>
      </c>
      <c r="K125" s="492" t="s">
        <v>1336</v>
      </c>
      <c r="L125" s="492" t="s">
        <v>950</v>
      </c>
      <c r="M125" s="492" t="s">
        <v>687</v>
      </c>
      <c r="N125" s="492" t="s">
        <v>692</v>
      </c>
      <c r="O125" s="492" t="s">
        <v>305</v>
      </c>
      <c r="P125" s="492" t="s">
        <v>1337</v>
      </c>
      <c r="Q125" s="492" t="s">
        <v>911</v>
      </c>
      <c r="R125" s="492" t="s">
        <v>993</v>
      </c>
      <c r="S125" s="492" t="s">
        <v>1338</v>
      </c>
      <c r="T125" s="492">
        <v>5440</v>
      </c>
      <c r="U125" s="492" t="s">
        <v>857</v>
      </c>
      <c r="V125" s="492" t="s">
        <v>1339</v>
      </c>
      <c r="W125" s="492" t="s">
        <v>1340</v>
      </c>
      <c r="X125" s="492" t="s">
        <v>977</v>
      </c>
      <c r="Y125" s="492" t="s">
        <v>1341</v>
      </c>
      <c r="Z125" s="492" t="s">
        <v>1342</v>
      </c>
      <c r="AA125" s="492" t="s">
        <v>829</v>
      </c>
      <c r="AB125" s="492" t="s">
        <v>899</v>
      </c>
      <c r="AC125" s="492" t="s">
        <v>830</v>
      </c>
      <c r="AD125" s="492" t="s">
        <v>831</v>
      </c>
      <c r="AE125" s="492" t="s">
        <v>612</v>
      </c>
      <c r="AF125" s="492">
        <v>8</v>
      </c>
      <c r="AG125" s="492">
        <v>40</v>
      </c>
      <c r="AH125" s="492">
        <v>71</v>
      </c>
      <c r="AI125" s="492" t="s">
        <v>34</v>
      </c>
      <c r="AJ125" s="492" t="s">
        <v>34</v>
      </c>
      <c r="AK125" s="492" t="s">
        <v>832</v>
      </c>
      <c r="AL125" s="492" t="s">
        <v>34</v>
      </c>
      <c r="AM125" s="61" t="s">
        <v>3441</v>
      </c>
      <c r="AN125" s="490">
        <v>0</v>
      </c>
      <c r="AO125" s="490">
        <v>0</v>
      </c>
      <c r="AP125" s="61"/>
    </row>
    <row r="126" spans="1:42" x14ac:dyDescent="0.2">
      <c r="A126" s="61">
        <v>125</v>
      </c>
      <c r="B126" s="491" t="s">
        <v>364</v>
      </c>
      <c r="C126" s="492" t="s">
        <v>366</v>
      </c>
      <c r="D126" s="492" t="s">
        <v>2713</v>
      </c>
      <c r="E126" s="492" t="s">
        <v>1335</v>
      </c>
      <c r="F126" s="492" t="s">
        <v>745</v>
      </c>
      <c r="G126" s="492" t="s">
        <v>34</v>
      </c>
      <c r="H126" s="492" t="s">
        <v>835</v>
      </c>
      <c r="I126" s="492" t="s">
        <v>4270</v>
      </c>
      <c r="J126" s="492" t="s">
        <v>1103</v>
      </c>
      <c r="K126" s="492" t="s">
        <v>366</v>
      </c>
      <c r="L126" s="492" t="s">
        <v>1355</v>
      </c>
      <c r="M126" s="492" t="s">
        <v>1356</v>
      </c>
      <c r="N126" s="492" t="s">
        <v>366</v>
      </c>
      <c r="O126" s="492" t="s">
        <v>305</v>
      </c>
      <c r="P126" s="492" t="s">
        <v>1357</v>
      </c>
      <c r="Q126" s="492" t="s">
        <v>911</v>
      </c>
      <c r="R126" s="492" t="s">
        <v>892</v>
      </c>
      <c r="S126" s="492" t="s">
        <v>1359</v>
      </c>
      <c r="T126" s="492">
        <v>54.3</v>
      </c>
      <c r="U126" s="492" t="s">
        <v>857</v>
      </c>
      <c r="V126" s="492" t="s">
        <v>1360</v>
      </c>
      <c r="W126" s="492">
        <v>5.39</v>
      </c>
      <c r="X126" s="492" t="s">
        <v>829</v>
      </c>
      <c r="Y126" s="492" t="s">
        <v>1341</v>
      </c>
      <c r="Z126" s="492" t="s">
        <v>1361</v>
      </c>
      <c r="AA126" s="492" t="s">
        <v>829</v>
      </c>
      <c r="AB126" s="492" t="s">
        <v>1362</v>
      </c>
      <c r="AC126" s="492" t="s">
        <v>830</v>
      </c>
      <c r="AD126" s="492" t="s">
        <v>831</v>
      </c>
      <c r="AE126" s="492" t="s">
        <v>612</v>
      </c>
      <c r="AF126" s="492">
        <v>1</v>
      </c>
      <c r="AG126" s="492">
        <v>0.2</v>
      </c>
      <c r="AH126" s="492">
        <v>0.2</v>
      </c>
      <c r="AI126" s="492" t="s">
        <v>2565</v>
      </c>
      <c r="AJ126" s="492" t="s">
        <v>2566</v>
      </c>
      <c r="AK126" s="492" t="s">
        <v>832</v>
      </c>
      <c r="AL126" s="492" t="s">
        <v>34</v>
      </c>
      <c r="AM126" s="61" t="s">
        <v>3444</v>
      </c>
      <c r="AN126" s="490">
        <v>0</v>
      </c>
      <c r="AO126" s="490">
        <v>0</v>
      </c>
      <c r="AP126" s="61"/>
    </row>
    <row r="127" spans="1:42" x14ac:dyDescent="0.2">
      <c r="A127" s="61">
        <v>126</v>
      </c>
      <c r="B127" s="491" t="s">
        <v>358</v>
      </c>
      <c r="C127" s="492" t="s">
        <v>295</v>
      </c>
      <c r="D127" s="492" t="s">
        <v>2714</v>
      </c>
      <c r="E127" s="492" t="s">
        <v>741</v>
      </c>
      <c r="F127" s="492" t="s">
        <v>742</v>
      </c>
      <c r="G127" s="492" t="s">
        <v>34</v>
      </c>
      <c r="H127" s="492" t="s">
        <v>835</v>
      </c>
      <c r="I127" s="492" t="s">
        <v>4270</v>
      </c>
      <c r="J127" s="492" t="s">
        <v>613</v>
      </c>
      <c r="K127" s="492" t="s">
        <v>1011</v>
      </c>
      <c r="L127" s="492" t="s">
        <v>1300</v>
      </c>
      <c r="M127" s="492">
        <v>3217457</v>
      </c>
      <c r="N127" s="492" t="s">
        <v>295</v>
      </c>
      <c r="O127" s="492" t="s">
        <v>305</v>
      </c>
      <c r="P127" s="492" t="s">
        <v>1099</v>
      </c>
      <c r="Q127" s="492" t="s">
        <v>3501</v>
      </c>
      <c r="R127" s="492" t="s">
        <v>828</v>
      </c>
      <c r="S127" s="492" t="s">
        <v>1301</v>
      </c>
      <c r="T127" s="492">
        <v>500</v>
      </c>
      <c r="U127" s="492" t="s">
        <v>687</v>
      </c>
      <c r="V127" s="492" t="s">
        <v>1302</v>
      </c>
      <c r="W127" s="492" t="s">
        <v>1303</v>
      </c>
      <c r="X127" s="492" t="s">
        <v>3502</v>
      </c>
      <c r="Y127" s="492" t="s">
        <v>1302</v>
      </c>
      <c r="Z127" s="492" t="s">
        <v>1303</v>
      </c>
      <c r="AA127" s="492" t="s">
        <v>3502</v>
      </c>
      <c r="AB127" s="492" t="s">
        <v>1304</v>
      </c>
      <c r="AC127" s="492" t="s">
        <v>830</v>
      </c>
      <c r="AD127" s="492" t="s">
        <v>831</v>
      </c>
      <c r="AE127" s="492" t="s">
        <v>612</v>
      </c>
      <c r="AF127" s="492" t="s">
        <v>2054</v>
      </c>
      <c r="AG127" s="492" t="s">
        <v>34</v>
      </c>
      <c r="AH127" s="492" t="s">
        <v>34</v>
      </c>
      <c r="AI127" s="492" t="s">
        <v>34</v>
      </c>
      <c r="AJ127" s="492" t="s">
        <v>34</v>
      </c>
      <c r="AK127" s="492" t="s">
        <v>832</v>
      </c>
      <c r="AL127" s="492" t="s">
        <v>34</v>
      </c>
      <c r="AM127" s="61" t="s">
        <v>3441</v>
      </c>
      <c r="AN127" s="490">
        <v>0</v>
      </c>
      <c r="AO127" s="490">
        <v>0</v>
      </c>
      <c r="AP127" s="61"/>
    </row>
    <row r="128" spans="1:42" x14ac:dyDescent="0.2">
      <c r="A128" s="61">
        <v>127</v>
      </c>
      <c r="B128" s="491" t="s">
        <v>358</v>
      </c>
      <c r="C128" s="492" t="s">
        <v>324</v>
      </c>
      <c r="D128" s="492" t="s">
        <v>3581</v>
      </c>
      <c r="E128" s="492" t="s">
        <v>741</v>
      </c>
      <c r="F128" s="492" t="s">
        <v>742</v>
      </c>
      <c r="G128" s="492" t="s">
        <v>34</v>
      </c>
      <c r="H128" s="492" t="s">
        <v>835</v>
      </c>
      <c r="I128" s="492" t="s">
        <v>4270</v>
      </c>
      <c r="J128" s="492" t="s">
        <v>613</v>
      </c>
      <c r="K128" s="492" t="s">
        <v>1011</v>
      </c>
      <c r="L128" s="492" t="s">
        <v>1975</v>
      </c>
      <c r="M128" s="492">
        <v>11408</v>
      </c>
      <c r="N128" s="492" t="s">
        <v>3582</v>
      </c>
      <c r="O128" s="492" t="s">
        <v>613</v>
      </c>
      <c r="P128" s="492" t="s">
        <v>1099</v>
      </c>
      <c r="Q128" s="492" t="s">
        <v>3501</v>
      </c>
      <c r="R128" s="492" t="s">
        <v>828</v>
      </c>
      <c r="S128" s="492" t="s">
        <v>3583</v>
      </c>
      <c r="T128" s="492">
        <v>417</v>
      </c>
      <c r="U128" s="492" t="s">
        <v>687</v>
      </c>
      <c r="V128" s="492" t="s">
        <v>1975</v>
      </c>
      <c r="W128" s="492" t="s">
        <v>962</v>
      </c>
      <c r="X128" s="492" t="s">
        <v>3502</v>
      </c>
      <c r="Y128" s="492" t="s">
        <v>1975</v>
      </c>
      <c r="Z128" s="492" t="s">
        <v>962</v>
      </c>
      <c r="AA128" s="492" t="s">
        <v>3502</v>
      </c>
      <c r="AB128" s="492" t="s">
        <v>3584</v>
      </c>
      <c r="AC128" s="492" t="s">
        <v>3020</v>
      </c>
      <c r="AD128" s="492" t="s">
        <v>3585</v>
      </c>
      <c r="AE128" s="492" t="s">
        <v>612</v>
      </c>
      <c r="AF128" s="492" t="s">
        <v>2054</v>
      </c>
      <c r="AG128" s="492" t="s">
        <v>34</v>
      </c>
      <c r="AH128" s="492" t="s">
        <v>34</v>
      </c>
      <c r="AI128" s="492" t="s">
        <v>34</v>
      </c>
      <c r="AJ128" s="492" t="s">
        <v>34</v>
      </c>
      <c r="AK128" s="492" t="s">
        <v>832</v>
      </c>
      <c r="AL128" s="492" t="s">
        <v>34</v>
      </c>
      <c r="AM128" s="61" t="s">
        <v>3441</v>
      </c>
      <c r="AN128" s="490"/>
      <c r="AO128" s="490"/>
      <c r="AP128" s="61"/>
    </row>
    <row r="129" spans="1:42" x14ac:dyDescent="0.2">
      <c r="A129" s="61">
        <v>128</v>
      </c>
      <c r="B129" s="491" t="s">
        <v>358</v>
      </c>
      <c r="C129" s="492" t="s">
        <v>361</v>
      </c>
      <c r="D129" s="492" t="s">
        <v>2715</v>
      </c>
      <c r="E129" s="492" t="s">
        <v>741</v>
      </c>
      <c r="F129" s="492" t="s">
        <v>742</v>
      </c>
      <c r="G129" s="492" t="s">
        <v>34</v>
      </c>
      <c r="H129" s="492" t="s">
        <v>835</v>
      </c>
      <c r="I129" s="492" t="s">
        <v>4270</v>
      </c>
      <c r="J129" s="492" t="s">
        <v>613</v>
      </c>
      <c r="K129" s="492" t="s">
        <v>1291</v>
      </c>
      <c r="L129" s="492" t="s">
        <v>1292</v>
      </c>
      <c r="M129" s="492">
        <v>446705</v>
      </c>
      <c r="N129" s="492" t="s">
        <v>361</v>
      </c>
      <c r="O129" s="492" t="s">
        <v>305</v>
      </c>
      <c r="P129" s="492" t="s">
        <v>1293</v>
      </c>
      <c r="Q129" s="492" t="s">
        <v>3501</v>
      </c>
      <c r="R129" s="492" t="s">
        <v>828</v>
      </c>
      <c r="S129" s="492" t="s">
        <v>1294</v>
      </c>
      <c r="T129" s="492">
        <v>1.53</v>
      </c>
      <c r="U129" s="492" t="s">
        <v>687</v>
      </c>
      <c r="V129" s="492" t="s">
        <v>1296</v>
      </c>
      <c r="W129" s="492" t="s">
        <v>1295</v>
      </c>
      <c r="X129" s="492" t="s">
        <v>3502</v>
      </c>
      <c r="Y129" s="492" t="s">
        <v>1297</v>
      </c>
      <c r="Z129" s="492" t="s">
        <v>1298</v>
      </c>
      <c r="AA129" s="492" t="s">
        <v>3502</v>
      </c>
      <c r="AB129" s="492" t="s">
        <v>1299</v>
      </c>
      <c r="AC129" s="492" t="s">
        <v>830</v>
      </c>
      <c r="AD129" s="492" t="s">
        <v>831</v>
      </c>
      <c r="AE129" s="492" t="s">
        <v>612</v>
      </c>
      <c r="AF129" s="492">
        <v>2</v>
      </c>
      <c r="AG129" s="492">
        <v>0.02</v>
      </c>
      <c r="AH129" s="492">
        <v>1</v>
      </c>
      <c r="AI129" s="492" t="s">
        <v>2560</v>
      </c>
      <c r="AJ129" s="492" t="s">
        <v>2561</v>
      </c>
      <c r="AK129" s="492" t="s">
        <v>832</v>
      </c>
      <c r="AL129" s="492" t="s">
        <v>34</v>
      </c>
      <c r="AM129" s="61" t="s">
        <v>3441</v>
      </c>
      <c r="AN129" s="490">
        <v>0</v>
      </c>
      <c r="AO129" s="490">
        <v>0</v>
      </c>
      <c r="AP129" s="61"/>
    </row>
    <row r="130" spans="1:42" x14ac:dyDescent="0.2">
      <c r="A130" s="61">
        <v>129</v>
      </c>
      <c r="B130" s="491" t="s">
        <v>358</v>
      </c>
      <c r="C130" s="492" t="s">
        <v>359</v>
      </c>
      <c r="D130" s="492" t="s">
        <v>2716</v>
      </c>
      <c r="E130" s="492" t="s">
        <v>741</v>
      </c>
      <c r="F130" s="492" t="s">
        <v>742</v>
      </c>
      <c r="G130" s="492" t="s">
        <v>34</v>
      </c>
      <c r="H130" s="492" t="s">
        <v>835</v>
      </c>
      <c r="I130" s="492" t="s">
        <v>4270</v>
      </c>
      <c r="J130" s="492" t="s">
        <v>613</v>
      </c>
      <c r="K130" s="492" t="s">
        <v>1280</v>
      </c>
      <c r="L130" s="492" t="s">
        <v>1281</v>
      </c>
      <c r="M130" s="492" t="s">
        <v>1282</v>
      </c>
      <c r="N130" s="492" t="s">
        <v>359</v>
      </c>
      <c r="O130" s="492" t="s">
        <v>305</v>
      </c>
      <c r="P130" s="492" t="s">
        <v>1258</v>
      </c>
      <c r="Q130" s="492" t="s">
        <v>3501</v>
      </c>
      <c r="R130" s="492" t="s">
        <v>929</v>
      </c>
      <c r="S130" s="492" t="s">
        <v>1283</v>
      </c>
      <c r="T130" s="492">
        <v>84.4</v>
      </c>
      <c r="U130" s="492" t="s">
        <v>858</v>
      </c>
      <c r="V130" s="492" t="s">
        <v>1284</v>
      </c>
      <c r="W130" s="492" t="s">
        <v>1285</v>
      </c>
      <c r="X130" s="492" t="s">
        <v>3502</v>
      </c>
      <c r="Y130" s="492" t="s">
        <v>108</v>
      </c>
      <c r="Z130" s="492" t="s">
        <v>108</v>
      </c>
      <c r="AA130" s="492" t="s">
        <v>108</v>
      </c>
      <c r="AB130" s="492" t="s">
        <v>34</v>
      </c>
      <c r="AC130" s="492" t="s">
        <v>830</v>
      </c>
      <c r="AD130" s="492" t="s">
        <v>831</v>
      </c>
      <c r="AE130" s="492" t="s">
        <v>612</v>
      </c>
      <c r="AF130" s="492" t="s">
        <v>2054</v>
      </c>
      <c r="AG130" s="492" t="s">
        <v>34</v>
      </c>
      <c r="AH130" s="492" t="s">
        <v>34</v>
      </c>
      <c r="AI130" s="492" t="s">
        <v>34</v>
      </c>
      <c r="AJ130" s="492" t="s">
        <v>34</v>
      </c>
      <c r="AK130" s="492" t="s">
        <v>832</v>
      </c>
      <c r="AL130" s="492" t="s">
        <v>34</v>
      </c>
      <c r="AM130" s="61" t="s">
        <v>3441</v>
      </c>
      <c r="AN130" s="490">
        <v>0</v>
      </c>
      <c r="AO130" s="490">
        <v>0</v>
      </c>
      <c r="AP130" s="61"/>
    </row>
    <row r="131" spans="1:42" x14ac:dyDescent="0.2">
      <c r="A131" s="61">
        <v>130</v>
      </c>
      <c r="B131" s="491" t="s">
        <v>358</v>
      </c>
      <c r="C131" s="492" t="s">
        <v>3882</v>
      </c>
      <c r="D131" s="492" t="s">
        <v>3883</v>
      </c>
      <c r="E131" s="492" t="s">
        <v>741</v>
      </c>
      <c r="F131" s="492" t="s">
        <v>742</v>
      </c>
      <c r="G131" s="492" t="s">
        <v>34</v>
      </c>
      <c r="H131" s="492" t="s">
        <v>835</v>
      </c>
      <c r="I131" s="492" t="s">
        <v>4270</v>
      </c>
      <c r="J131" s="492" t="s">
        <v>823</v>
      </c>
      <c r="K131" s="492" t="s">
        <v>349</v>
      </c>
      <c r="L131" s="492" t="s">
        <v>3884</v>
      </c>
      <c r="M131" s="492" t="s">
        <v>4318</v>
      </c>
      <c r="N131" s="492" t="s">
        <v>4318</v>
      </c>
      <c r="O131" s="492" t="s">
        <v>4271</v>
      </c>
      <c r="P131" s="492" t="s">
        <v>3885</v>
      </c>
      <c r="Q131" s="492" t="s">
        <v>3501</v>
      </c>
      <c r="R131" s="492" t="s">
        <v>3886</v>
      </c>
      <c r="S131" s="492" t="s">
        <v>3887</v>
      </c>
      <c r="T131" s="492">
        <v>1700</v>
      </c>
      <c r="U131" s="492" t="s">
        <v>855</v>
      </c>
      <c r="V131" s="492" t="s">
        <v>3888</v>
      </c>
      <c r="W131" s="492" t="s">
        <v>3889</v>
      </c>
      <c r="X131" s="492" t="s">
        <v>3502</v>
      </c>
      <c r="Y131" s="492" t="s">
        <v>3230</v>
      </c>
      <c r="Z131" s="492" t="s">
        <v>3890</v>
      </c>
      <c r="AA131" s="492" t="s">
        <v>3502</v>
      </c>
      <c r="AB131" s="492" t="s">
        <v>4032</v>
      </c>
      <c r="AC131" s="492" t="s">
        <v>830</v>
      </c>
      <c r="AD131" s="492" t="s">
        <v>831</v>
      </c>
      <c r="AE131" s="492" t="s">
        <v>612</v>
      </c>
      <c r="AF131" s="492">
        <v>13.1</v>
      </c>
      <c r="AG131" s="492">
        <v>300</v>
      </c>
      <c r="AH131" s="492">
        <v>68</v>
      </c>
      <c r="AI131" s="492" t="s">
        <v>34</v>
      </c>
      <c r="AJ131" s="492" t="s">
        <v>34</v>
      </c>
      <c r="AK131" s="492" t="s">
        <v>832</v>
      </c>
      <c r="AL131" s="492" t="s">
        <v>34</v>
      </c>
      <c r="AM131" s="61" t="s">
        <v>3441</v>
      </c>
      <c r="AN131" s="490"/>
      <c r="AO131" s="490"/>
      <c r="AP131" s="61"/>
    </row>
    <row r="132" spans="1:42" x14ac:dyDescent="0.2">
      <c r="A132" s="61">
        <v>131</v>
      </c>
      <c r="B132" s="491" t="s">
        <v>358</v>
      </c>
      <c r="C132" s="492" t="s">
        <v>360</v>
      </c>
      <c r="D132" s="492" t="s">
        <v>2717</v>
      </c>
      <c r="E132" s="492" t="s">
        <v>741</v>
      </c>
      <c r="F132" s="492" t="s">
        <v>742</v>
      </c>
      <c r="G132" s="492" t="s">
        <v>34</v>
      </c>
      <c r="H132" s="492" t="s">
        <v>835</v>
      </c>
      <c r="I132" s="492" t="s">
        <v>4270</v>
      </c>
      <c r="J132" s="492" t="s">
        <v>613</v>
      </c>
      <c r="K132" s="492" t="s">
        <v>957</v>
      </c>
      <c r="L132" s="492" t="s">
        <v>1286</v>
      </c>
      <c r="M132" s="492">
        <v>126912</v>
      </c>
      <c r="N132" s="492" t="s">
        <v>360</v>
      </c>
      <c r="O132" s="492" t="s">
        <v>305</v>
      </c>
      <c r="P132" s="492" t="s">
        <v>1287</v>
      </c>
      <c r="Q132" s="492" t="s">
        <v>3501</v>
      </c>
      <c r="R132" s="492" t="s">
        <v>929</v>
      </c>
      <c r="S132" s="492" t="s">
        <v>1288</v>
      </c>
      <c r="T132" s="492">
        <v>21.5</v>
      </c>
      <c r="U132" s="492" t="s">
        <v>687</v>
      </c>
      <c r="V132" s="492" t="s">
        <v>1289</v>
      </c>
      <c r="W132" s="492" t="s">
        <v>1290</v>
      </c>
      <c r="X132" s="492" t="s">
        <v>3502</v>
      </c>
      <c r="Y132" s="492" t="s">
        <v>108</v>
      </c>
      <c r="Z132" s="492" t="s">
        <v>108</v>
      </c>
      <c r="AA132" s="492" t="s">
        <v>108</v>
      </c>
      <c r="AB132" s="492" t="s">
        <v>34</v>
      </c>
      <c r="AC132" s="492" t="s">
        <v>830</v>
      </c>
      <c r="AD132" s="492" t="s">
        <v>831</v>
      </c>
      <c r="AE132" s="492" t="s">
        <v>612</v>
      </c>
      <c r="AF132" s="492" t="s">
        <v>2054</v>
      </c>
      <c r="AG132" s="492" t="s">
        <v>34</v>
      </c>
      <c r="AH132" s="492" t="s">
        <v>34</v>
      </c>
      <c r="AI132" s="492" t="s">
        <v>34</v>
      </c>
      <c r="AJ132" s="492" t="s">
        <v>34</v>
      </c>
      <c r="AK132" s="492" t="s">
        <v>832</v>
      </c>
      <c r="AL132" s="492" t="s">
        <v>34</v>
      </c>
      <c r="AM132" s="61" t="s">
        <v>3444</v>
      </c>
      <c r="AN132" s="490">
        <v>0</v>
      </c>
      <c r="AO132" s="490">
        <v>0</v>
      </c>
      <c r="AP132" s="61"/>
    </row>
    <row r="133" spans="1:42" x14ac:dyDescent="0.2">
      <c r="A133" s="61">
        <v>132</v>
      </c>
      <c r="B133" s="491" t="s">
        <v>362</v>
      </c>
      <c r="C133" s="492" t="s">
        <v>1329</v>
      </c>
      <c r="D133" s="492" t="s">
        <v>2953</v>
      </c>
      <c r="E133" s="492" t="s">
        <v>743</v>
      </c>
      <c r="F133" s="492" t="s">
        <v>744</v>
      </c>
      <c r="G133" s="492" t="s">
        <v>34</v>
      </c>
      <c r="H133" s="492" t="s">
        <v>835</v>
      </c>
      <c r="I133" s="492" t="s">
        <v>4270</v>
      </c>
      <c r="J133" s="492" t="s">
        <v>1103</v>
      </c>
      <c r="K133" s="492" t="s">
        <v>1327</v>
      </c>
      <c r="L133" s="492" t="s">
        <v>1328</v>
      </c>
      <c r="M133" s="492" t="s">
        <v>349</v>
      </c>
      <c r="N133" s="492" t="s">
        <v>1329</v>
      </c>
      <c r="O133" s="492" t="s">
        <v>4273</v>
      </c>
      <c r="P133" s="492" t="s">
        <v>1128</v>
      </c>
      <c r="Q133" s="492" t="s">
        <v>3503</v>
      </c>
      <c r="R133" s="492" t="s">
        <v>828</v>
      </c>
      <c r="S133" s="492" t="s">
        <v>3852</v>
      </c>
      <c r="T133" s="492">
        <v>1040</v>
      </c>
      <c r="U133" s="492" t="s">
        <v>855</v>
      </c>
      <c r="V133" s="492" t="s">
        <v>2035</v>
      </c>
      <c r="W133" s="492" t="s">
        <v>3853</v>
      </c>
      <c r="X133" s="492" t="s">
        <v>3502</v>
      </c>
      <c r="Y133" s="492" t="s">
        <v>2035</v>
      </c>
      <c r="Z133" s="492" t="s">
        <v>3853</v>
      </c>
      <c r="AA133" s="492" t="s">
        <v>3502</v>
      </c>
      <c r="AB133" s="492" t="s">
        <v>4033</v>
      </c>
      <c r="AC133" s="492" t="s">
        <v>830</v>
      </c>
      <c r="AD133" s="492" t="s">
        <v>831</v>
      </c>
      <c r="AE133" s="492" t="s">
        <v>612</v>
      </c>
      <c r="AF133" s="492" t="s">
        <v>3857</v>
      </c>
      <c r="AG133" s="492" t="s">
        <v>3858</v>
      </c>
      <c r="AH133" s="492" t="s">
        <v>3859</v>
      </c>
      <c r="AI133" s="492" t="s">
        <v>34</v>
      </c>
      <c r="AJ133" s="492" t="s">
        <v>34</v>
      </c>
      <c r="AK133" s="492" t="s">
        <v>832</v>
      </c>
      <c r="AL133" s="492" t="s">
        <v>2432</v>
      </c>
      <c r="AM133" s="61" t="s">
        <v>3444</v>
      </c>
      <c r="AN133" s="490">
        <v>1.4583333333333332E-2</v>
      </c>
      <c r="AO133" s="490">
        <v>0</v>
      </c>
      <c r="AP133" s="61"/>
    </row>
    <row r="134" spans="1:42" x14ac:dyDescent="0.2">
      <c r="A134" s="61">
        <v>133</v>
      </c>
      <c r="B134" s="491" t="s">
        <v>362</v>
      </c>
      <c r="C134" s="492" t="s">
        <v>1313</v>
      </c>
      <c r="D134" s="492" t="s">
        <v>2967</v>
      </c>
      <c r="E134" s="492" t="s">
        <v>743</v>
      </c>
      <c r="F134" s="492" t="s">
        <v>744</v>
      </c>
      <c r="G134" s="492" t="s">
        <v>34</v>
      </c>
      <c r="H134" s="492" t="s">
        <v>835</v>
      </c>
      <c r="I134" s="492" t="s">
        <v>4270</v>
      </c>
      <c r="J134" s="492" t="s">
        <v>1103</v>
      </c>
      <c r="K134" s="492" t="s">
        <v>363</v>
      </c>
      <c r="L134" s="492" t="s">
        <v>1312</v>
      </c>
      <c r="M134" s="492">
        <v>6625</v>
      </c>
      <c r="N134" s="492" t="s">
        <v>1313</v>
      </c>
      <c r="O134" s="492" t="s">
        <v>4277</v>
      </c>
      <c r="P134" s="492" t="s">
        <v>1314</v>
      </c>
      <c r="Q134" s="492" t="s">
        <v>3499</v>
      </c>
      <c r="R134" s="492" t="s">
        <v>828</v>
      </c>
      <c r="S134" s="492" t="s">
        <v>1315</v>
      </c>
      <c r="T134" s="492">
        <v>1372</v>
      </c>
      <c r="U134" s="492" t="s">
        <v>857</v>
      </c>
      <c r="V134" s="492" t="s">
        <v>3254</v>
      </c>
      <c r="W134" s="492" t="s">
        <v>3255</v>
      </c>
      <c r="X134" s="492" t="s">
        <v>3502</v>
      </c>
      <c r="Y134" s="492" t="s">
        <v>2035</v>
      </c>
      <c r="Z134" s="492" t="s">
        <v>3255</v>
      </c>
      <c r="AA134" s="492" t="s">
        <v>3502</v>
      </c>
      <c r="AB134" s="492" t="s">
        <v>34</v>
      </c>
      <c r="AC134" s="492" t="s">
        <v>830</v>
      </c>
      <c r="AD134" s="492" t="s">
        <v>831</v>
      </c>
      <c r="AE134" s="492" t="s">
        <v>612</v>
      </c>
      <c r="AF134" s="492" t="s">
        <v>2054</v>
      </c>
      <c r="AG134" s="492" t="s">
        <v>34</v>
      </c>
      <c r="AH134" s="492" t="s">
        <v>34</v>
      </c>
      <c r="AI134" s="492" t="s">
        <v>34</v>
      </c>
      <c r="AJ134" s="492" t="s">
        <v>34</v>
      </c>
      <c r="AK134" s="492" t="s">
        <v>832</v>
      </c>
      <c r="AL134" s="492" t="s">
        <v>2432</v>
      </c>
      <c r="AM134" s="61" t="s">
        <v>3441</v>
      </c>
      <c r="AN134" s="490">
        <v>0</v>
      </c>
      <c r="AO134" s="490">
        <v>0</v>
      </c>
      <c r="AP134" s="61"/>
    </row>
    <row r="135" spans="1:42" x14ac:dyDescent="0.2">
      <c r="A135" s="61">
        <v>134</v>
      </c>
      <c r="B135" s="491" t="s">
        <v>362</v>
      </c>
      <c r="C135" s="492" t="s">
        <v>1333</v>
      </c>
      <c r="D135" s="492" t="s">
        <v>2954</v>
      </c>
      <c r="E135" s="492" t="s">
        <v>743</v>
      </c>
      <c r="F135" s="492" t="s">
        <v>744</v>
      </c>
      <c r="G135" s="492" t="s">
        <v>34</v>
      </c>
      <c r="H135" s="492" t="s">
        <v>835</v>
      </c>
      <c r="I135" s="492" t="s">
        <v>4270</v>
      </c>
      <c r="J135" s="492" t="s">
        <v>1103</v>
      </c>
      <c r="K135" s="492" t="s">
        <v>1330</v>
      </c>
      <c r="L135" s="492" t="s">
        <v>1331</v>
      </c>
      <c r="M135" s="492" t="s">
        <v>1332</v>
      </c>
      <c r="N135" s="492" t="s">
        <v>1333</v>
      </c>
      <c r="O135" s="492" t="s">
        <v>4271</v>
      </c>
      <c r="P135" s="492" t="s">
        <v>1034</v>
      </c>
      <c r="Q135" s="492" t="s">
        <v>3501</v>
      </c>
      <c r="R135" s="492" t="s">
        <v>828</v>
      </c>
      <c r="S135" s="492" t="s">
        <v>1334</v>
      </c>
      <c r="T135" s="492">
        <v>1273.3</v>
      </c>
      <c r="U135" s="492" t="s">
        <v>857</v>
      </c>
      <c r="V135" s="492" t="s">
        <v>1248</v>
      </c>
      <c r="W135" s="492" t="s">
        <v>3296</v>
      </c>
      <c r="X135" s="492" t="s">
        <v>3502</v>
      </c>
      <c r="Y135" s="492" t="s">
        <v>3230</v>
      </c>
      <c r="Z135" s="492" t="s">
        <v>3297</v>
      </c>
      <c r="AA135" s="492" t="s">
        <v>3502</v>
      </c>
      <c r="AB135" s="492" t="s">
        <v>4112</v>
      </c>
      <c r="AC135" s="492" t="s">
        <v>830</v>
      </c>
      <c r="AD135" s="492" t="s">
        <v>831</v>
      </c>
      <c r="AE135" s="492" t="s">
        <v>612</v>
      </c>
      <c r="AF135" s="492">
        <v>36</v>
      </c>
      <c r="AG135" s="492">
        <v>360</v>
      </c>
      <c r="AH135" s="492">
        <v>60</v>
      </c>
      <c r="AI135" s="492" t="s">
        <v>34</v>
      </c>
      <c r="AJ135" s="492" t="s">
        <v>34</v>
      </c>
      <c r="AK135" s="492" t="s">
        <v>832</v>
      </c>
      <c r="AL135" s="492" t="s">
        <v>2432</v>
      </c>
      <c r="AM135" s="61" t="s">
        <v>3448</v>
      </c>
      <c r="AN135" s="490">
        <v>1.4583333333333332E-2</v>
      </c>
      <c r="AO135" s="490">
        <v>2.1527777777777781E-2</v>
      </c>
      <c r="AP135" s="61"/>
    </row>
    <row r="136" spans="1:42" x14ac:dyDescent="0.2">
      <c r="A136" s="61">
        <v>135</v>
      </c>
      <c r="B136" s="491" t="s">
        <v>362</v>
      </c>
      <c r="C136" s="492" t="s">
        <v>1307</v>
      </c>
      <c r="D136" s="492" t="s">
        <v>2968</v>
      </c>
      <c r="E136" s="492" t="s">
        <v>743</v>
      </c>
      <c r="F136" s="492" t="s">
        <v>744</v>
      </c>
      <c r="G136" s="492" t="s">
        <v>34</v>
      </c>
      <c r="H136" s="492" t="s">
        <v>835</v>
      </c>
      <c r="I136" s="492" t="s">
        <v>4270</v>
      </c>
      <c r="J136" s="492" t="s">
        <v>1103</v>
      </c>
      <c r="K136" s="492" t="s">
        <v>1305</v>
      </c>
      <c r="L136" s="492" t="s">
        <v>1306</v>
      </c>
      <c r="M136" s="492">
        <v>2615</v>
      </c>
      <c r="N136" s="492" t="s">
        <v>1307</v>
      </c>
      <c r="O136" s="492" t="s">
        <v>4271</v>
      </c>
      <c r="P136" s="492" t="s">
        <v>1308</v>
      </c>
      <c r="Q136" s="492" t="s">
        <v>3501</v>
      </c>
      <c r="R136" s="492" t="s">
        <v>828</v>
      </c>
      <c r="S136" s="492" t="s">
        <v>1309</v>
      </c>
      <c r="T136" s="492">
        <v>400.9</v>
      </c>
      <c r="U136" s="492" t="s">
        <v>855</v>
      </c>
      <c r="V136" s="492" t="s">
        <v>1248</v>
      </c>
      <c r="W136" s="492" t="s">
        <v>3550</v>
      </c>
      <c r="X136" s="492" t="s">
        <v>3502</v>
      </c>
      <c r="Y136" s="492" t="s">
        <v>1310</v>
      </c>
      <c r="Z136" s="492" t="s">
        <v>1311</v>
      </c>
      <c r="AA136" s="492" t="s">
        <v>3502</v>
      </c>
      <c r="AB136" s="492" t="s">
        <v>3563</v>
      </c>
      <c r="AC136" s="492" t="s">
        <v>830</v>
      </c>
      <c r="AD136" s="492" t="s">
        <v>831</v>
      </c>
      <c r="AE136" s="492" t="s">
        <v>612</v>
      </c>
      <c r="AF136" s="492">
        <v>8.4</v>
      </c>
      <c r="AG136" s="492">
        <v>105</v>
      </c>
      <c r="AH136" s="492">
        <v>18</v>
      </c>
      <c r="AI136" s="492" t="s">
        <v>34</v>
      </c>
      <c r="AJ136" s="492" t="s">
        <v>34</v>
      </c>
      <c r="AK136" s="492" t="s">
        <v>832</v>
      </c>
      <c r="AL136" s="492" t="s">
        <v>2432</v>
      </c>
      <c r="AM136" s="61" t="s">
        <v>3448</v>
      </c>
      <c r="AN136" s="490">
        <v>1.4583333333333332E-2</v>
      </c>
      <c r="AO136" s="490">
        <v>2.1527777777777781E-2</v>
      </c>
      <c r="AP136" s="61"/>
    </row>
    <row r="137" spans="1:42" x14ac:dyDescent="0.2">
      <c r="A137" s="61">
        <v>136</v>
      </c>
      <c r="B137" s="491" t="s">
        <v>362</v>
      </c>
      <c r="C137" s="492" t="s">
        <v>3154</v>
      </c>
      <c r="D137" s="492" t="s">
        <v>3155</v>
      </c>
      <c r="E137" s="492" t="s">
        <v>743</v>
      </c>
      <c r="F137" s="492" t="s">
        <v>744</v>
      </c>
      <c r="G137" s="492" t="s">
        <v>34</v>
      </c>
      <c r="H137" s="492" t="s">
        <v>835</v>
      </c>
      <c r="I137" s="492" t="s">
        <v>4270</v>
      </c>
      <c r="J137" s="492" t="s">
        <v>1103</v>
      </c>
      <c r="K137" s="492" t="s">
        <v>897</v>
      </c>
      <c r="L137" s="492" t="s">
        <v>1316</v>
      </c>
      <c r="M137" s="492">
        <v>207049</v>
      </c>
      <c r="N137" s="492" t="s">
        <v>1317</v>
      </c>
      <c r="O137" s="492" t="s">
        <v>4293</v>
      </c>
      <c r="P137" s="492" t="s">
        <v>3009</v>
      </c>
      <c r="Q137" s="492" t="s">
        <v>3510</v>
      </c>
      <c r="R137" s="492" t="s">
        <v>828</v>
      </c>
      <c r="S137" s="492" t="s">
        <v>1319</v>
      </c>
      <c r="T137" s="492">
        <v>156</v>
      </c>
      <c r="U137" s="492" t="s">
        <v>855</v>
      </c>
      <c r="V137" s="492" t="s">
        <v>1320</v>
      </c>
      <c r="W137" s="492">
        <v>7083003</v>
      </c>
      <c r="X137" s="492" t="s">
        <v>3502</v>
      </c>
      <c r="Y137" s="492" t="s">
        <v>3228</v>
      </c>
      <c r="Z137" s="492" t="s">
        <v>3229</v>
      </c>
      <c r="AA137" s="492" t="s">
        <v>3502</v>
      </c>
      <c r="AB137" s="492" t="s">
        <v>1321</v>
      </c>
      <c r="AC137" s="492" t="s">
        <v>830</v>
      </c>
      <c r="AD137" s="492" t="s">
        <v>831</v>
      </c>
      <c r="AE137" s="492" t="s">
        <v>612</v>
      </c>
      <c r="AF137" s="492" t="s">
        <v>2514</v>
      </c>
      <c r="AG137" s="492" t="s">
        <v>2515</v>
      </c>
      <c r="AH137" s="492" t="s">
        <v>2562</v>
      </c>
      <c r="AI137" s="492" t="s">
        <v>2971</v>
      </c>
      <c r="AJ137" s="492" t="s">
        <v>34</v>
      </c>
      <c r="AK137" s="492" t="s">
        <v>832</v>
      </c>
      <c r="AL137" s="492" t="s">
        <v>2432</v>
      </c>
      <c r="AM137" s="61" t="s">
        <v>3441</v>
      </c>
      <c r="AN137" s="490">
        <v>0</v>
      </c>
      <c r="AO137" s="490">
        <v>0</v>
      </c>
      <c r="AP137" s="61"/>
    </row>
    <row r="138" spans="1:42" x14ac:dyDescent="0.2">
      <c r="A138" s="61">
        <v>137</v>
      </c>
      <c r="B138" s="491" t="s">
        <v>362</v>
      </c>
      <c r="C138" s="492" t="s">
        <v>3156</v>
      </c>
      <c r="D138" s="492" t="s">
        <v>3157</v>
      </c>
      <c r="E138" s="492" t="s">
        <v>743</v>
      </c>
      <c r="F138" s="492" t="s">
        <v>744</v>
      </c>
      <c r="G138" s="492" t="s">
        <v>34</v>
      </c>
      <c r="H138" s="492" t="s">
        <v>835</v>
      </c>
      <c r="I138" s="492" t="s">
        <v>4270</v>
      </c>
      <c r="J138" s="492" t="s">
        <v>1103</v>
      </c>
      <c r="K138" s="492" t="s">
        <v>897</v>
      </c>
      <c r="L138" s="492" t="s">
        <v>1316</v>
      </c>
      <c r="M138" s="492">
        <v>207049</v>
      </c>
      <c r="N138" s="492" t="s">
        <v>1317</v>
      </c>
      <c r="O138" s="492" t="s">
        <v>4293</v>
      </c>
      <c r="P138" s="492" t="s">
        <v>3009</v>
      </c>
      <c r="Q138" s="492" t="s">
        <v>3510</v>
      </c>
      <c r="R138" s="492" t="s">
        <v>828</v>
      </c>
      <c r="S138" s="492" t="s">
        <v>1319</v>
      </c>
      <c r="T138" s="492">
        <v>156</v>
      </c>
      <c r="U138" s="492" t="s">
        <v>857</v>
      </c>
      <c r="V138" s="492" t="s">
        <v>1320</v>
      </c>
      <c r="W138" s="492">
        <v>7083003</v>
      </c>
      <c r="X138" s="492" t="s">
        <v>3502</v>
      </c>
      <c r="Y138" s="492" t="s">
        <v>3230</v>
      </c>
      <c r="Z138" s="492" t="s">
        <v>3229</v>
      </c>
      <c r="AA138" s="492" t="s">
        <v>3502</v>
      </c>
      <c r="AB138" s="492" t="s">
        <v>1321</v>
      </c>
      <c r="AC138" s="492" t="s">
        <v>830</v>
      </c>
      <c r="AD138" s="492" t="s">
        <v>831</v>
      </c>
      <c r="AE138" s="492" t="s">
        <v>612</v>
      </c>
      <c r="AF138" s="492" t="s">
        <v>2514</v>
      </c>
      <c r="AG138" s="492" t="s">
        <v>2515</v>
      </c>
      <c r="AH138" s="492" t="s">
        <v>2562</v>
      </c>
      <c r="AI138" s="492" t="s">
        <v>2971</v>
      </c>
      <c r="AJ138" s="492" t="s">
        <v>34</v>
      </c>
      <c r="AK138" s="492" t="s">
        <v>832</v>
      </c>
      <c r="AL138" s="492" t="s">
        <v>2432</v>
      </c>
      <c r="AM138" s="61" t="s">
        <v>3441</v>
      </c>
      <c r="AN138" s="490">
        <v>0</v>
      </c>
      <c r="AO138" s="490">
        <v>0</v>
      </c>
      <c r="AP138" s="61"/>
    </row>
    <row r="139" spans="1:42" x14ac:dyDescent="0.2">
      <c r="A139" s="61">
        <v>138</v>
      </c>
      <c r="B139" s="491" t="s">
        <v>362</v>
      </c>
      <c r="C139" s="492" t="s">
        <v>3298</v>
      </c>
      <c r="D139" s="492" t="s">
        <v>3299</v>
      </c>
      <c r="E139" s="492" t="s">
        <v>743</v>
      </c>
      <c r="F139" s="492" t="s">
        <v>744</v>
      </c>
      <c r="G139" s="492" t="s">
        <v>34</v>
      </c>
      <c r="H139" s="492" t="s">
        <v>835</v>
      </c>
      <c r="I139" s="492" t="s">
        <v>4270</v>
      </c>
      <c r="J139" s="492" t="s">
        <v>1103</v>
      </c>
      <c r="K139" s="492" t="s">
        <v>897</v>
      </c>
      <c r="L139" s="492" t="s">
        <v>1316</v>
      </c>
      <c r="M139" s="492">
        <v>207049</v>
      </c>
      <c r="N139" s="492" t="s">
        <v>1317</v>
      </c>
      <c r="O139" s="492" t="s">
        <v>4293</v>
      </c>
      <c r="P139" s="492" t="s">
        <v>3009</v>
      </c>
      <c r="Q139" s="492" t="s">
        <v>3510</v>
      </c>
      <c r="R139" s="492" t="s">
        <v>828</v>
      </c>
      <c r="S139" s="492" t="s">
        <v>1319</v>
      </c>
      <c r="T139" s="492">
        <v>156</v>
      </c>
      <c r="U139" s="492" t="s">
        <v>858</v>
      </c>
      <c r="V139" s="492" t="s">
        <v>1320</v>
      </c>
      <c r="W139" s="492">
        <v>7083003</v>
      </c>
      <c r="X139" s="492" t="s">
        <v>3502</v>
      </c>
      <c r="Y139" s="492" t="s">
        <v>3230</v>
      </c>
      <c r="Z139" s="492" t="s">
        <v>3229</v>
      </c>
      <c r="AA139" s="492" t="s">
        <v>3502</v>
      </c>
      <c r="AB139" s="492" t="s">
        <v>1321</v>
      </c>
      <c r="AC139" s="492" t="s">
        <v>830</v>
      </c>
      <c r="AD139" s="492" t="s">
        <v>831</v>
      </c>
      <c r="AE139" s="492" t="s">
        <v>612</v>
      </c>
      <c r="AF139" s="492" t="s">
        <v>2514</v>
      </c>
      <c r="AG139" s="492" t="s">
        <v>2515</v>
      </c>
      <c r="AH139" s="492" t="s">
        <v>2562</v>
      </c>
      <c r="AI139" s="492" t="s">
        <v>2971</v>
      </c>
      <c r="AJ139" s="492" t="s">
        <v>34</v>
      </c>
      <c r="AK139" s="492" t="s">
        <v>832</v>
      </c>
      <c r="AL139" s="492" t="s">
        <v>2432</v>
      </c>
      <c r="AM139" s="61" t="s">
        <v>3441</v>
      </c>
      <c r="AN139" s="490">
        <v>0</v>
      </c>
      <c r="AO139" s="490">
        <v>0</v>
      </c>
      <c r="AP139" s="61"/>
    </row>
    <row r="140" spans="1:42" x14ac:dyDescent="0.2">
      <c r="A140" s="61">
        <v>139</v>
      </c>
      <c r="B140" s="491" t="s">
        <v>362</v>
      </c>
      <c r="C140" s="492" t="s">
        <v>2468</v>
      </c>
      <c r="D140" s="492" t="s">
        <v>2969</v>
      </c>
      <c r="E140" s="492" t="s">
        <v>743</v>
      </c>
      <c r="F140" s="492" t="s">
        <v>744</v>
      </c>
      <c r="G140" s="492" t="s">
        <v>34</v>
      </c>
      <c r="H140" s="492" t="s">
        <v>835</v>
      </c>
      <c r="I140" s="492" t="s">
        <v>4270</v>
      </c>
      <c r="J140" s="492" t="s">
        <v>1103</v>
      </c>
      <c r="K140" s="492" t="s">
        <v>1322</v>
      </c>
      <c r="L140" s="492" t="s">
        <v>1323</v>
      </c>
      <c r="M140" s="492" t="s">
        <v>1324</v>
      </c>
      <c r="N140" s="492" t="s">
        <v>2468</v>
      </c>
      <c r="O140" s="492" t="s">
        <v>4277</v>
      </c>
      <c r="P140" s="492" t="s">
        <v>3422</v>
      </c>
      <c r="Q140" s="492" t="s">
        <v>3499</v>
      </c>
      <c r="R140" s="492" t="s">
        <v>828</v>
      </c>
      <c r="S140" s="492" t="s">
        <v>3423</v>
      </c>
      <c r="T140" s="492">
        <v>105.59</v>
      </c>
      <c r="U140" s="492" t="s">
        <v>857</v>
      </c>
      <c r="V140" s="492" t="s">
        <v>1325</v>
      </c>
      <c r="W140" s="492" t="s">
        <v>1326</v>
      </c>
      <c r="X140" s="492" t="s">
        <v>3502</v>
      </c>
      <c r="Y140" s="492" t="s">
        <v>1325</v>
      </c>
      <c r="Z140" s="492" t="s">
        <v>1326</v>
      </c>
      <c r="AA140" s="492" t="s">
        <v>3502</v>
      </c>
      <c r="AB140" s="492" t="s">
        <v>4319</v>
      </c>
      <c r="AC140" s="492" t="s">
        <v>830</v>
      </c>
      <c r="AD140" s="492" t="s">
        <v>831</v>
      </c>
      <c r="AE140" s="492" t="s">
        <v>612</v>
      </c>
      <c r="AF140" s="492">
        <v>1.6</v>
      </c>
      <c r="AG140" s="492" t="s">
        <v>3424</v>
      </c>
      <c r="AH140" s="492" t="s">
        <v>3425</v>
      </c>
      <c r="AI140" s="492" t="s">
        <v>3426</v>
      </c>
      <c r="AJ140" s="492" t="s">
        <v>34</v>
      </c>
      <c r="AK140" s="492" t="s">
        <v>832</v>
      </c>
      <c r="AL140" s="492" t="s">
        <v>2432</v>
      </c>
      <c r="AM140" s="61" t="s">
        <v>3448</v>
      </c>
      <c r="AN140" s="490">
        <v>0</v>
      </c>
      <c r="AO140" s="490">
        <v>0</v>
      </c>
      <c r="AP140" s="61"/>
    </row>
    <row r="141" spans="1:42" x14ac:dyDescent="0.2">
      <c r="A141" s="61">
        <v>140</v>
      </c>
      <c r="B141" s="491" t="s">
        <v>367</v>
      </c>
      <c r="C141" s="492" t="s">
        <v>1394</v>
      </c>
      <c r="D141" s="492" t="s">
        <v>3300</v>
      </c>
      <c r="E141" s="492" t="s">
        <v>746</v>
      </c>
      <c r="F141" s="492" t="s">
        <v>747</v>
      </c>
      <c r="G141" s="492" t="s">
        <v>34</v>
      </c>
      <c r="H141" s="492" t="s">
        <v>835</v>
      </c>
      <c r="I141" s="492" t="s">
        <v>4270</v>
      </c>
      <c r="J141" s="492" t="s">
        <v>1103</v>
      </c>
      <c r="K141" s="492" t="s">
        <v>372</v>
      </c>
      <c r="L141" s="492" t="s">
        <v>1393</v>
      </c>
      <c r="M141" s="492" t="s">
        <v>1394</v>
      </c>
      <c r="N141" s="492" t="s">
        <v>372</v>
      </c>
      <c r="O141" s="492" t="s">
        <v>4294</v>
      </c>
      <c r="P141" s="492" t="s">
        <v>1388</v>
      </c>
      <c r="Q141" s="492" t="s">
        <v>3499</v>
      </c>
      <c r="R141" s="492" t="s">
        <v>828</v>
      </c>
      <c r="S141" s="492" t="s">
        <v>1395</v>
      </c>
      <c r="T141" s="492">
        <v>80</v>
      </c>
      <c r="U141" s="492" t="s">
        <v>857</v>
      </c>
      <c r="V141" s="492" t="s">
        <v>1396</v>
      </c>
      <c r="W141" s="492" t="s">
        <v>1397</v>
      </c>
      <c r="X141" s="492" t="s">
        <v>3612</v>
      </c>
      <c r="Y141" s="492" t="s">
        <v>3230</v>
      </c>
      <c r="Z141" s="492" t="s">
        <v>3229</v>
      </c>
      <c r="AA141" s="492" t="s">
        <v>3612</v>
      </c>
      <c r="AB141" s="492" t="s">
        <v>34</v>
      </c>
      <c r="AC141" s="492" t="s">
        <v>830</v>
      </c>
      <c r="AD141" s="492" t="s">
        <v>831</v>
      </c>
      <c r="AE141" s="492" t="s">
        <v>612</v>
      </c>
      <c r="AF141" s="492" t="s">
        <v>2518</v>
      </c>
      <c r="AG141" s="492" t="s">
        <v>2519</v>
      </c>
      <c r="AH141" s="492" t="s">
        <v>2519</v>
      </c>
      <c r="AI141" s="492" t="s">
        <v>2567</v>
      </c>
      <c r="AJ141" s="492" t="s">
        <v>34</v>
      </c>
      <c r="AK141" s="492" t="s">
        <v>832</v>
      </c>
      <c r="AL141" s="492" t="s">
        <v>34</v>
      </c>
      <c r="AM141" s="61" t="s">
        <v>3444</v>
      </c>
      <c r="AN141" s="490">
        <v>0</v>
      </c>
      <c r="AO141" s="490">
        <v>0</v>
      </c>
      <c r="AP141" s="61"/>
    </row>
    <row r="142" spans="1:42" x14ac:dyDescent="0.2">
      <c r="A142" s="61">
        <v>141</v>
      </c>
      <c r="B142" s="491" t="s">
        <v>367</v>
      </c>
      <c r="C142" s="492" t="s">
        <v>371</v>
      </c>
      <c r="D142" s="492" t="s">
        <v>2999</v>
      </c>
      <c r="E142" s="492" t="s">
        <v>746</v>
      </c>
      <c r="F142" s="492" t="s">
        <v>747</v>
      </c>
      <c r="G142" s="492" t="s">
        <v>34</v>
      </c>
      <c r="H142" s="492" t="s">
        <v>835</v>
      </c>
      <c r="I142" s="492" t="s">
        <v>4270</v>
      </c>
      <c r="J142" s="492" t="s">
        <v>613</v>
      </c>
      <c r="K142" s="492" t="s">
        <v>1363</v>
      </c>
      <c r="L142" s="492" t="s">
        <v>3000</v>
      </c>
      <c r="M142" s="492">
        <v>145627</v>
      </c>
      <c r="N142" s="492" t="s">
        <v>371</v>
      </c>
      <c r="O142" s="492" t="s">
        <v>305</v>
      </c>
      <c r="P142" s="492" t="s">
        <v>1426</v>
      </c>
      <c r="Q142" s="492" t="s">
        <v>833</v>
      </c>
      <c r="R142" s="492" t="s">
        <v>828</v>
      </c>
      <c r="S142" s="492" t="s">
        <v>1369</v>
      </c>
      <c r="T142" s="492" t="s">
        <v>108</v>
      </c>
      <c r="U142" s="492" t="s">
        <v>858</v>
      </c>
      <c r="V142" s="492" t="s">
        <v>1370</v>
      </c>
      <c r="W142" s="492" t="s">
        <v>1371</v>
      </c>
      <c r="X142" s="492" t="s">
        <v>1372</v>
      </c>
      <c r="Y142" s="492" t="s">
        <v>108</v>
      </c>
      <c r="Z142" s="492" t="s">
        <v>108</v>
      </c>
      <c r="AA142" s="492" t="s">
        <v>108</v>
      </c>
      <c r="AB142" s="492" t="s">
        <v>34</v>
      </c>
      <c r="AC142" s="492" t="s">
        <v>830</v>
      </c>
      <c r="AD142" s="492" t="s">
        <v>831</v>
      </c>
      <c r="AE142" s="492" t="s">
        <v>612</v>
      </c>
      <c r="AF142" s="492" t="s">
        <v>2054</v>
      </c>
      <c r="AG142" s="492" t="s">
        <v>34</v>
      </c>
      <c r="AH142" s="492" t="s">
        <v>34</v>
      </c>
      <c r="AI142" s="492" t="s">
        <v>34</v>
      </c>
      <c r="AJ142" s="492" t="s">
        <v>34</v>
      </c>
      <c r="AK142" s="492" t="s">
        <v>832</v>
      </c>
      <c r="AL142" s="492" t="s">
        <v>34</v>
      </c>
      <c r="AM142" s="61" t="s">
        <v>3441</v>
      </c>
      <c r="AN142" s="490">
        <v>0</v>
      </c>
      <c r="AO142" s="490">
        <v>0</v>
      </c>
      <c r="AP142" s="61"/>
    </row>
    <row r="143" spans="1:42" x14ac:dyDescent="0.2">
      <c r="A143" s="61">
        <v>142</v>
      </c>
      <c r="B143" s="491" t="s">
        <v>367</v>
      </c>
      <c r="C143" s="492" t="s">
        <v>370</v>
      </c>
      <c r="D143" s="492" t="s">
        <v>2718</v>
      </c>
      <c r="E143" s="492" t="s">
        <v>746</v>
      </c>
      <c r="F143" s="492" t="s">
        <v>747</v>
      </c>
      <c r="G143" s="492" t="s">
        <v>34</v>
      </c>
      <c r="H143" s="492" t="s">
        <v>835</v>
      </c>
      <c r="I143" s="492" t="s">
        <v>4270</v>
      </c>
      <c r="J143" s="492" t="s">
        <v>613</v>
      </c>
      <c r="K143" s="492" t="s">
        <v>1363</v>
      </c>
      <c r="L143" s="492" t="s">
        <v>1364</v>
      </c>
      <c r="M143" s="492">
        <v>31191</v>
      </c>
      <c r="N143" s="492" t="s">
        <v>370</v>
      </c>
      <c r="O143" s="492" t="s">
        <v>305</v>
      </c>
      <c r="P143" s="492" t="s">
        <v>1366</v>
      </c>
      <c r="Q143" s="492" t="s">
        <v>833</v>
      </c>
      <c r="R143" s="492" t="s">
        <v>828</v>
      </c>
      <c r="S143" s="492" t="s">
        <v>1369</v>
      </c>
      <c r="T143" s="492" t="s">
        <v>108</v>
      </c>
      <c r="U143" s="492" t="s">
        <v>858</v>
      </c>
      <c r="V143" s="492" t="s">
        <v>1370</v>
      </c>
      <c r="W143" s="492" t="s">
        <v>1371</v>
      </c>
      <c r="X143" s="492" t="s">
        <v>1372</v>
      </c>
      <c r="Y143" s="492" t="s">
        <v>108</v>
      </c>
      <c r="Z143" s="492" t="s">
        <v>108</v>
      </c>
      <c r="AA143" s="492" t="s">
        <v>108</v>
      </c>
      <c r="AB143" s="492" t="s">
        <v>34</v>
      </c>
      <c r="AC143" s="492" t="s">
        <v>830</v>
      </c>
      <c r="AD143" s="492" t="s">
        <v>831</v>
      </c>
      <c r="AE143" s="492" t="s">
        <v>612</v>
      </c>
      <c r="AF143" s="492" t="s">
        <v>2054</v>
      </c>
      <c r="AG143" s="492" t="s">
        <v>34</v>
      </c>
      <c r="AH143" s="492" t="s">
        <v>34</v>
      </c>
      <c r="AI143" s="492" t="s">
        <v>34</v>
      </c>
      <c r="AJ143" s="492" t="s">
        <v>34</v>
      </c>
      <c r="AK143" s="492" t="s">
        <v>832</v>
      </c>
      <c r="AL143" s="492" t="s">
        <v>34</v>
      </c>
      <c r="AM143" s="61" t="s">
        <v>3441</v>
      </c>
      <c r="AN143" s="490">
        <v>0</v>
      </c>
      <c r="AO143" s="490">
        <v>0</v>
      </c>
      <c r="AP143" s="61"/>
    </row>
    <row r="144" spans="1:42" x14ac:dyDescent="0.2">
      <c r="A144" s="61">
        <v>143</v>
      </c>
      <c r="B144" s="491" t="s">
        <v>367</v>
      </c>
      <c r="C144" s="492" t="s">
        <v>369</v>
      </c>
      <c r="D144" s="492" t="s">
        <v>2719</v>
      </c>
      <c r="E144" s="492" t="s">
        <v>746</v>
      </c>
      <c r="F144" s="492" t="s">
        <v>747</v>
      </c>
      <c r="G144" s="492" t="s">
        <v>34</v>
      </c>
      <c r="H144" s="492" t="s">
        <v>835</v>
      </c>
      <c r="I144" s="492" t="s">
        <v>4270</v>
      </c>
      <c r="J144" s="492" t="s">
        <v>613</v>
      </c>
      <c r="K144" s="492" t="s">
        <v>1363</v>
      </c>
      <c r="L144" s="492" t="s">
        <v>1364</v>
      </c>
      <c r="M144" s="492" t="s">
        <v>1365</v>
      </c>
      <c r="N144" s="492" t="s">
        <v>369</v>
      </c>
      <c r="O144" s="492" t="s">
        <v>305</v>
      </c>
      <c r="P144" s="492" t="s">
        <v>1366</v>
      </c>
      <c r="Q144" s="492" t="s">
        <v>833</v>
      </c>
      <c r="R144" s="492" t="s">
        <v>828</v>
      </c>
      <c r="S144" s="492" t="s">
        <v>1367</v>
      </c>
      <c r="T144" s="492" t="s">
        <v>108</v>
      </c>
      <c r="U144" s="492" t="s">
        <v>858</v>
      </c>
      <c r="V144" s="492" t="s">
        <v>1368</v>
      </c>
      <c r="W144" s="492" t="s">
        <v>368</v>
      </c>
      <c r="X144" s="492" t="s">
        <v>908</v>
      </c>
      <c r="Y144" s="492" t="s">
        <v>108</v>
      </c>
      <c r="Z144" s="492" t="s">
        <v>108</v>
      </c>
      <c r="AA144" s="492" t="s">
        <v>108</v>
      </c>
      <c r="AB144" s="492" t="s">
        <v>34</v>
      </c>
      <c r="AC144" s="492" t="s">
        <v>830</v>
      </c>
      <c r="AD144" s="492" t="s">
        <v>831</v>
      </c>
      <c r="AE144" s="492" t="s">
        <v>612</v>
      </c>
      <c r="AF144" s="492" t="s">
        <v>2054</v>
      </c>
      <c r="AG144" s="492" t="s">
        <v>34</v>
      </c>
      <c r="AH144" s="492" t="s">
        <v>34</v>
      </c>
      <c r="AI144" s="492" t="s">
        <v>34</v>
      </c>
      <c r="AJ144" s="492" t="s">
        <v>34</v>
      </c>
      <c r="AK144" s="492" t="s">
        <v>832</v>
      </c>
      <c r="AL144" s="492" t="s">
        <v>34</v>
      </c>
      <c r="AM144" s="61" t="s">
        <v>3441</v>
      </c>
      <c r="AN144" s="490">
        <v>0</v>
      </c>
      <c r="AO144" s="490">
        <v>0</v>
      </c>
      <c r="AP144" s="61"/>
    </row>
    <row r="145" spans="1:42" x14ac:dyDescent="0.2">
      <c r="A145" s="61">
        <v>144</v>
      </c>
      <c r="B145" s="491" t="s">
        <v>367</v>
      </c>
      <c r="C145" s="492" t="s">
        <v>377</v>
      </c>
      <c r="D145" s="492" t="s">
        <v>2720</v>
      </c>
      <c r="E145" s="492" t="s">
        <v>746</v>
      </c>
      <c r="F145" s="492" t="s">
        <v>747</v>
      </c>
      <c r="G145" s="492" t="s">
        <v>34</v>
      </c>
      <c r="H145" s="492" t="s">
        <v>835</v>
      </c>
      <c r="I145" s="492" t="s">
        <v>4270</v>
      </c>
      <c r="J145" s="492" t="s">
        <v>1103</v>
      </c>
      <c r="K145" s="492" t="s">
        <v>366</v>
      </c>
      <c r="L145" s="492" t="s">
        <v>1379</v>
      </c>
      <c r="M145" s="492" t="s">
        <v>377</v>
      </c>
      <c r="N145" s="492" t="s">
        <v>377</v>
      </c>
      <c r="O145" s="492" t="s">
        <v>305</v>
      </c>
      <c r="P145" s="492" t="s">
        <v>896</v>
      </c>
      <c r="Q145" s="492" t="s">
        <v>3514</v>
      </c>
      <c r="R145" s="492" t="s">
        <v>993</v>
      </c>
      <c r="S145" s="492" t="s">
        <v>1380</v>
      </c>
      <c r="T145" s="492">
        <v>450</v>
      </c>
      <c r="U145" s="492" t="s">
        <v>858</v>
      </c>
      <c r="V145" s="492" t="s">
        <v>1381</v>
      </c>
      <c r="W145" s="492" t="s">
        <v>377</v>
      </c>
      <c r="X145" s="492" t="s">
        <v>3502</v>
      </c>
      <c r="Y145" s="492" t="s">
        <v>108</v>
      </c>
      <c r="Z145" s="492" t="s">
        <v>108</v>
      </c>
      <c r="AA145" s="492" t="s">
        <v>108</v>
      </c>
      <c r="AB145" s="492" t="s">
        <v>1382</v>
      </c>
      <c r="AC145" s="492" t="s">
        <v>830</v>
      </c>
      <c r="AD145" s="492" t="s">
        <v>831</v>
      </c>
      <c r="AE145" s="492" t="s">
        <v>612</v>
      </c>
      <c r="AF145" s="492">
        <v>78</v>
      </c>
      <c r="AG145" s="492">
        <v>66</v>
      </c>
      <c r="AH145" s="492">
        <v>11</v>
      </c>
      <c r="AI145" s="492" t="s">
        <v>34</v>
      </c>
      <c r="AJ145" s="492" t="s">
        <v>34</v>
      </c>
      <c r="AK145" s="492" t="s">
        <v>832</v>
      </c>
      <c r="AL145" s="492" t="s">
        <v>34</v>
      </c>
      <c r="AM145" s="61" t="s">
        <v>3441</v>
      </c>
      <c r="AN145" s="490">
        <v>0</v>
      </c>
      <c r="AO145" s="490">
        <v>0</v>
      </c>
      <c r="AP145" s="61"/>
    </row>
    <row r="146" spans="1:42" x14ac:dyDescent="0.2">
      <c r="A146" s="61">
        <v>145</v>
      </c>
      <c r="B146" s="491" t="s">
        <v>367</v>
      </c>
      <c r="C146" s="492" t="s">
        <v>376</v>
      </c>
      <c r="D146" s="492" t="s">
        <v>2721</v>
      </c>
      <c r="E146" s="492" t="s">
        <v>746</v>
      </c>
      <c r="F146" s="492" t="s">
        <v>747</v>
      </c>
      <c r="G146" s="492" t="s">
        <v>34</v>
      </c>
      <c r="H146" s="492" t="s">
        <v>835</v>
      </c>
      <c r="I146" s="492" t="s">
        <v>4270</v>
      </c>
      <c r="J146" s="492" t="s">
        <v>1103</v>
      </c>
      <c r="K146" s="492" t="s">
        <v>366</v>
      </c>
      <c r="L146" s="492" t="s">
        <v>1383</v>
      </c>
      <c r="M146" s="492">
        <v>2605</v>
      </c>
      <c r="N146" s="492" t="s">
        <v>376</v>
      </c>
      <c r="O146" s="492" t="s">
        <v>4275</v>
      </c>
      <c r="P146" s="492" t="s">
        <v>1384</v>
      </c>
      <c r="Q146" s="492" t="s">
        <v>3501</v>
      </c>
      <c r="R146" s="492" t="s">
        <v>993</v>
      </c>
      <c r="S146" s="492" t="s">
        <v>1385</v>
      </c>
      <c r="T146" s="492">
        <v>693</v>
      </c>
      <c r="U146" s="492" t="s">
        <v>855</v>
      </c>
      <c r="V146" s="492" t="s">
        <v>3465</v>
      </c>
      <c r="W146" s="492">
        <v>547274</v>
      </c>
      <c r="X146" s="492" t="s">
        <v>3502</v>
      </c>
      <c r="Y146" s="492" t="s">
        <v>3757</v>
      </c>
      <c r="Z146" s="492" t="s">
        <v>3758</v>
      </c>
      <c r="AA146" s="492" t="s">
        <v>3502</v>
      </c>
      <c r="AB146" s="492" t="s">
        <v>1386</v>
      </c>
      <c r="AC146" s="492" t="s">
        <v>830</v>
      </c>
      <c r="AD146" s="492" t="s">
        <v>831</v>
      </c>
      <c r="AE146" s="492" t="s">
        <v>612</v>
      </c>
      <c r="AF146" s="492">
        <v>26</v>
      </c>
      <c r="AG146" s="492">
        <v>152</v>
      </c>
      <c r="AH146" s="492">
        <v>25</v>
      </c>
      <c r="AI146" s="492" t="s">
        <v>34</v>
      </c>
      <c r="AJ146" s="492" t="s">
        <v>34</v>
      </c>
      <c r="AK146" s="492" t="s">
        <v>832</v>
      </c>
      <c r="AL146" s="492" t="s">
        <v>34</v>
      </c>
      <c r="AM146" s="61" t="s">
        <v>3443</v>
      </c>
      <c r="AN146" s="490">
        <v>0</v>
      </c>
      <c r="AO146" s="490">
        <v>0</v>
      </c>
      <c r="AP146" s="61"/>
    </row>
    <row r="147" spans="1:42" x14ac:dyDescent="0.2">
      <c r="A147" s="61">
        <v>146</v>
      </c>
      <c r="B147" s="491" t="s">
        <v>367</v>
      </c>
      <c r="C147" s="492" t="s">
        <v>368</v>
      </c>
      <c r="D147" s="492" t="s">
        <v>2722</v>
      </c>
      <c r="E147" s="492" t="s">
        <v>746</v>
      </c>
      <c r="F147" s="492" t="s">
        <v>747</v>
      </c>
      <c r="G147" s="492" t="s">
        <v>34</v>
      </c>
      <c r="H147" s="492" t="s">
        <v>835</v>
      </c>
      <c r="I147" s="492" t="s">
        <v>4270</v>
      </c>
      <c r="J147" s="492" t="s">
        <v>613</v>
      </c>
      <c r="K147" s="492" t="s">
        <v>1363</v>
      </c>
      <c r="L147" s="492" t="s">
        <v>1373</v>
      </c>
      <c r="M147" s="492">
        <v>159874</v>
      </c>
      <c r="N147" s="492" t="s">
        <v>368</v>
      </c>
      <c r="O147" s="492" t="s">
        <v>305</v>
      </c>
      <c r="P147" s="492" t="s">
        <v>1374</v>
      </c>
      <c r="Q147" s="492" t="s">
        <v>833</v>
      </c>
      <c r="R147" s="492" t="s">
        <v>892</v>
      </c>
      <c r="S147" s="492" t="s">
        <v>1245</v>
      </c>
      <c r="T147" s="492" t="s">
        <v>108</v>
      </c>
      <c r="U147" s="492" t="s">
        <v>858</v>
      </c>
      <c r="V147" s="492" t="s">
        <v>1375</v>
      </c>
      <c r="W147" s="492" t="s">
        <v>374</v>
      </c>
      <c r="X147" s="492" t="s">
        <v>908</v>
      </c>
      <c r="Y147" s="492" t="s">
        <v>108</v>
      </c>
      <c r="Z147" s="492" t="s">
        <v>108</v>
      </c>
      <c r="AA147" s="492" t="s">
        <v>108</v>
      </c>
      <c r="AB147" s="492" t="s">
        <v>34</v>
      </c>
      <c r="AC147" s="492" t="s">
        <v>830</v>
      </c>
      <c r="AD147" s="492" t="s">
        <v>831</v>
      </c>
      <c r="AE147" s="492" t="s">
        <v>612</v>
      </c>
      <c r="AF147" s="492" t="s">
        <v>2054</v>
      </c>
      <c r="AG147" s="492" t="s">
        <v>34</v>
      </c>
      <c r="AH147" s="492" t="s">
        <v>34</v>
      </c>
      <c r="AI147" s="492" t="s">
        <v>34</v>
      </c>
      <c r="AJ147" s="492" t="s">
        <v>34</v>
      </c>
      <c r="AK147" s="492" t="s">
        <v>832</v>
      </c>
      <c r="AL147" s="492" t="s">
        <v>34</v>
      </c>
      <c r="AM147" s="61" t="s">
        <v>3441</v>
      </c>
      <c r="AN147" s="490">
        <v>0</v>
      </c>
      <c r="AO147" s="490">
        <v>0</v>
      </c>
      <c r="AP147" s="61"/>
    </row>
    <row r="148" spans="1:42" x14ac:dyDescent="0.2">
      <c r="A148" s="61">
        <v>147</v>
      </c>
      <c r="B148" s="491" t="s">
        <v>367</v>
      </c>
      <c r="C148" s="492" t="s">
        <v>693</v>
      </c>
      <c r="D148" s="492" t="s">
        <v>2723</v>
      </c>
      <c r="E148" s="492" t="s">
        <v>746</v>
      </c>
      <c r="F148" s="492" t="s">
        <v>747</v>
      </c>
      <c r="G148" s="492" t="s">
        <v>34</v>
      </c>
      <c r="H148" s="492" t="s">
        <v>835</v>
      </c>
      <c r="I148" s="492" t="s">
        <v>3801</v>
      </c>
      <c r="J148" s="492" t="s">
        <v>1103</v>
      </c>
      <c r="K148" s="492" t="s">
        <v>1409</v>
      </c>
      <c r="L148" s="492" t="s">
        <v>1410</v>
      </c>
      <c r="M148" s="492" t="s">
        <v>1410</v>
      </c>
      <c r="N148" s="492" t="s">
        <v>1409</v>
      </c>
      <c r="O148" s="492" t="s">
        <v>305</v>
      </c>
      <c r="P148" s="492" t="s">
        <v>4034</v>
      </c>
      <c r="Q148" s="492" t="s">
        <v>3514</v>
      </c>
      <c r="R148" s="492" t="s">
        <v>828</v>
      </c>
      <c r="S148" s="492" t="s">
        <v>1176</v>
      </c>
      <c r="T148" s="492">
        <v>97.8</v>
      </c>
      <c r="U148" s="492" t="s">
        <v>857</v>
      </c>
      <c r="V148" s="492" t="s">
        <v>1411</v>
      </c>
      <c r="W148" s="492" t="s">
        <v>108</v>
      </c>
      <c r="X148" s="492" t="s">
        <v>911</v>
      </c>
      <c r="Y148" s="492" t="s">
        <v>108</v>
      </c>
      <c r="Z148" s="492" t="s">
        <v>108</v>
      </c>
      <c r="AA148" s="492" t="s">
        <v>108</v>
      </c>
      <c r="AB148" s="492" t="s">
        <v>3128</v>
      </c>
      <c r="AC148" s="492" t="s">
        <v>830</v>
      </c>
      <c r="AD148" s="492" t="s">
        <v>831</v>
      </c>
      <c r="AE148" s="492" t="s">
        <v>612</v>
      </c>
      <c r="AF148" s="492" t="s">
        <v>2054</v>
      </c>
      <c r="AG148" s="492" t="s">
        <v>34</v>
      </c>
      <c r="AH148" s="492" t="s">
        <v>34</v>
      </c>
      <c r="AI148" s="492" t="s">
        <v>34</v>
      </c>
      <c r="AJ148" s="492" t="s">
        <v>34</v>
      </c>
      <c r="AK148" s="492" t="s">
        <v>832</v>
      </c>
      <c r="AL148" s="492" t="s">
        <v>34</v>
      </c>
      <c r="AM148" s="61" t="s">
        <v>3441</v>
      </c>
      <c r="AN148" s="490">
        <v>0</v>
      </c>
      <c r="AO148" s="490">
        <v>0</v>
      </c>
      <c r="AP148" s="61"/>
    </row>
    <row r="149" spans="1:42" x14ac:dyDescent="0.2">
      <c r="A149" s="61">
        <v>148</v>
      </c>
      <c r="B149" s="491" t="s">
        <v>367</v>
      </c>
      <c r="C149" s="492" t="s">
        <v>373</v>
      </c>
      <c r="D149" s="492" t="s">
        <v>2724</v>
      </c>
      <c r="E149" s="492" t="s">
        <v>746</v>
      </c>
      <c r="F149" s="492" t="s">
        <v>747</v>
      </c>
      <c r="G149" s="492" t="s">
        <v>34</v>
      </c>
      <c r="H149" s="492" t="s">
        <v>835</v>
      </c>
      <c r="I149" s="492" t="s">
        <v>4270</v>
      </c>
      <c r="J149" s="492" t="s">
        <v>1103</v>
      </c>
      <c r="K149" s="492" t="s">
        <v>372</v>
      </c>
      <c r="L149" s="492" t="s">
        <v>1387</v>
      </c>
      <c r="M149" s="492">
        <v>609</v>
      </c>
      <c r="N149" s="492" t="s">
        <v>373</v>
      </c>
      <c r="O149" s="492" t="s">
        <v>4294</v>
      </c>
      <c r="P149" s="492" t="s">
        <v>1388</v>
      </c>
      <c r="Q149" s="492" t="s">
        <v>3499</v>
      </c>
      <c r="R149" s="492" t="s">
        <v>828</v>
      </c>
      <c r="S149" s="492" t="s">
        <v>1389</v>
      </c>
      <c r="T149" s="492">
        <v>98.6</v>
      </c>
      <c r="U149" s="492" t="s">
        <v>857</v>
      </c>
      <c r="V149" s="492" t="s">
        <v>1390</v>
      </c>
      <c r="W149" s="492">
        <v>1796423</v>
      </c>
      <c r="X149" s="492" t="s">
        <v>3599</v>
      </c>
      <c r="Y149" s="492" t="s">
        <v>1391</v>
      </c>
      <c r="Z149" s="492" t="s">
        <v>1392</v>
      </c>
      <c r="AA149" s="492" t="s">
        <v>3599</v>
      </c>
      <c r="AB149" s="492" t="s">
        <v>34</v>
      </c>
      <c r="AC149" s="492" t="s">
        <v>830</v>
      </c>
      <c r="AD149" s="492" t="s">
        <v>831</v>
      </c>
      <c r="AE149" s="492" t="s">
        <v>612</v>
      </c>
      <c r="AF149" s="492" t="s">
        <v>2516</v>
      </c>
      <c r="AG149" s="492" t="s">
        <v>2517</v>
      </c>
      <c r="AH149" s="492">
        <v>44106</v>
      </c>
      <c r="AI149" s="492" t="s">
        <v>34</v>
      </c>
      <c r="AJ149" s="492" t="s">
        <v>34</v>
      </c>
      <c r="AK149" s="492" t="s">
        <v>832</v>
      </c>
      <c r="AL149" s="492" t="s">
        <v>34</v>
      </c>
      <c r="AM149" s="61" t="s">
        <v>3444</v>
      </c>
      <c r="AN149" s="490">
        <v>0</v>
      </c>
      <c r="AO149" s="490">
        <v>0</v>
      </c>
      <c r="AP149" s="61"/>
    </row>
    <row r="150" spans="1:42" x14ac:dyDescent="0.2">
      <c r="A150" s="61">
        <v>149</v>
      </c>
      <c r="B150" s="491" t="s">
        <v>367</v>
      </c>
      <c r="C150" s="492" t="s">
        <v>3449</v>
      </c>
      <c r="D150" s="492" t="s">
        <v>3450</v>
      </c>
      <c r="E150" s="492" t="s">
        <v>746</v>
      </c>
      <c r="F150" s="492" t="s">
        <v>747</v>
      </c>
      <c r="G150" s="492" t="s">
        <v>34</v>
      </c>
      <c r="H150" s="492" t="s">
        <v>835</v>
      </c>
      <c r="I150" s="492" t="s">
        <v>4270</v>
      </c>
      <c r="J150" s="492" t="s">
        <v>613</v>
      </c>
      <c r="K150" s="492" t="s">
        <v>1363</v>
      </c>
      <c r="L150" s="492" t="s">
        <v>3451</v>
      </c>
      <c r="M150" s="492" t="s">
        <v>3452</v>
      </c>
      <c r="N150" s="492" t="s">
        <v>3449</v>
      </c>
      <c r="O150" s="492" t="s">
        <v>305</v>
      </c>
      <c r="P150" s="492" t="s">
        <v>1378</v>
      </c>
      <c r="Q150" s="492" t="s">
        <v>833</v>
      </c>
      <c r="R150" s="492" t="s">
        <v>3317</v>
      </c>
      <c r="S150" s="492" t="s">
        <v>1369</v>
      </c>
      <c r="T150" s="492" t="s">
        <v>108</v>
      </c>
      <c r="U150" s="492" t="s">
        <v>858</v>
      </c>
      <c r="V150" s="492" t="s">
        <v>3453</v>
      </c>
      <c r="W150" s="492" t="s">
        <v>1371</v>
      </c>
      <c r="X150" s="492" t="s">
        <v>1372</v>
      </c>
      <c r="Y150" s="492" t="s">
        <v>108</v>
      </c>
      <c r="Z150" s="492" t="s">
        <v>108</v>
      </c>
      <c r="AA150" s="492" t="s">
        <v>108</v>
      </c>
      <c r="AB150" s="492" t="s">
        <v>34</v>
      </c>
      <c r="AC150" s="492" t="s">
        <v>830</v>
      </c>
      <c r="AD150" s="492" t="s">
        <v>831</v>
      </c>
      <c r="AE150" s="492" t="s">
        <v>612</v>
      </c>
      <c r="AF150" s="492" t="s">
        <v>2054</v>
      </c>
      <c r="AG150" s="492" t="s">
        <v>34</v>
      </c>
      <c r="AH150" s="492" t="s">
        <v>34</v>
      </c>
      <c r="AI150" s="492" t="s">
        <v>34</v>
      </c>
      <c r="AJ150" s="492" t="s">
        <v>34</v>
      </c>
      <c r="AK150" s="492" t="s">
        <v>832</v>
      </c>
      <c r="AL150" s="492" t="s">
        <v>34</v>
      </c>
      <c r="AM150" s="61" t="s">
        <v>3441</v>
      </c>
      <c r="AN150" s="490">
        <v>0</v>
      </c>
      <c r="AO150" s="490">
        <v>0</v>
      </c>
      <c r="AP150" s="61"/>
    </row>
    <row r="151" spans="1:42" x14ac:dyDescent="0.2">
      <c r="A151" s="61">
        <v>150</v>
      </c>
      <c r="B151" s="491" t="s">
        <v>367</v>
      </c>
      <c r="C151" s="492" t="s">
        <v>374</v>
      </c>
      <c r="D151" s="492" t="s">
        <v>2725</v>
      </c>
      <c r="E151" s="492" t="s">
        <v>746</v>
      </c>
      <c r="F151" s="492" t="s">
        <v>747</v>
      </c>
      <c r="G151" s="492" t="s">
        <v>34</v>
      </c>
      <c r="H151" s="492" t="s">
        <v>835</v>
      </c>
      <c r="I151" s="492" t="s">
        <v>4270</v>
      </c>
      <c r="J151" s="492" t="s">
        <v>613</v>
      </c>
      <c r="K151" s="492" t="s">
        <v>1363</v>
      </c>
      <c r="L151" s="492" t="s">
        <v>1376</v>
      </c>
      <c r="M151" s="492" t="s">
        <v>1377</v>
      </c>
      <c r="N151" s="492" t="s">
        <v>374</v>
      </c>
      <c r="O151" s="492" t="s">
        <v>305</v>
      </c>
      <c r="P151" s="492" t="s">
        <v>1378</v>
      </c>
      <c r="Q151" s="492" t="s">
        <v>833</v>
      </c>
      <c r="R151" s="492" t="s">
        <v>892</v>
      </c>
      <c r="S151" s="492" t="s">
        <v>3820</v>
      </c>
      <c r="T151" s="492" t="s">
        <v>108</v>
      </c>
      <c r="U151" s="492" t="s">
        <v>858</v>
      </c>
      <c r="V151" s="492" t="s">
        <v>3821</v>
      </c>
      <c r="W151" s="492" t="s">
        <v>1371</v>
      </c>
      <c r="X151" s="492" t="s">
        <v>1372</v>
      </c>
      <c r="Y151" s="492" t="s">
        <v>108</v>
      </c>
      <c r="Z151" s="492" t="s">
        <v>108</v>
      </c>
      <c r="AA151" s="492" t="s">
        <v>108</v>
      </c>
      <c r="AB151" s="492" t="s">
        <v>34</v>
      </c>
      <c r="AC151" s="492" t="s">
        <v>830</v>
      </c>
      <c r="AD151" s="492" t="s">
        <v>831</v>
      </c>
      <c r="AE151" s="492" t="s">
        <v>612</v>
      </c>
      <c r="AF151" s="492" t="s">
        <v>2054</v>
      </c>
      <c r="AG151" s="492" t="s">
        <v>34</v>
      </c>
      <c r="AH151" s="492" t="s">
        <v>34</v>
      </c>
      <c r="AI151" s="492" t="s">
        <v>34</v>
      </c>
      <c r="AJ151" s="492" t="s">
        <v>34</v>
      </c>
      <c r="AK151" s="492" t="s">
        <v>832</v>
      </c>
      <c r="AL151" s="492" t="s">
        <v>34</v>
      </c>
      <c r="AM151" s="61" t="s">
        <v>3441</v>
      </c>
      <c r="AN151" s="490">
        <v>0</v>
      </c>
      <c r="AO151" s="490">
        <v>0</v>
      </c>
      <c r="AP151" s="61"/>
    </row>
    <row r="152" spans="1:42" x14ac:dyDescent="0.2">
      <c r="A152" s="61">
        <v>151</v>
      </c>
      <c r="B152" s="491" t="s">
        <v>367</v>
      </c>
      <c r="C152" s="492" t="s">
        <v>375</v>
      </c>
      <c r="D152" s="492" t="s">
        <v>2726</v>
      </c>
      <c r="E152" s="492" t="s">
        <v>746</v>
      </c>
      <c r="F152" s="492" t="s">
        <v>747</v>
      </c>
      <c r="G152" s="492" t="s">
        <v>34</v>
      </c>
      <c r="H152" s="492" t="s">
        <v>835</v>
      </c>
      <c r="I152" s="492" t="s">
        <v>4270</v>
      </c>
      <c r="J152" s="492">
        <v>0</v>
      </c>
      <c r="K152" s="492">
        <v>0</v>
      </c>
      <c r="L152" s="492">
        <v>0</v>
      </c>
      <c r="M152" s="492">
        <v>0</v>
      </c>
      <c r="N152" s="492">
        <v>0</v>
      </c>
      <c r="O152" s="492">
        <v>0</v>
      </c>
      <c r="P152" s="492">
        <v>0</v>
      </c>
      <c r="Q152" s="492">
        <v>0</v>
      </c>
      <c r="R152" s="492">
        <v>0</v>
      </c>
      <c r="S152" s="492">
        <v>0</v>
      </c>
      <c r="T152" s="492">
        <v>0</v>
      </c>
      <c r="U152" s="492">
        <v>0</v>
      </c>
      <c r="V152" s="492">
        <v>0</v>
      </c>
      <c r="W152" s="492">
        <v>0</v>
      </c>
      <c r="X152" s="492">
        <v>0</v>
      </c>
      <c r="Y152" s="492">
        <v>0</v>
      </c>
      <c r="Z152" s="492">
        <v>0</v>
      </c>
      <c r="AA152" s="492">
        <v>0</v>
      </c>
      <c r="AB152" s="492" t="s">
        <v>34</v>
      </c>
      <c r="AC152" s="492" t="s">
        <v>830</v>
      </c>
      <c r="AD152" s="492" t="s">
        <v>831</v>
      </c>
      <c r="AE152" s="492" t="s">
        <v>612</v>
      </c>
      <c r="AF152" s="492">
        <v>6</v>
      </c>
      <c r="AG152" s="492">
        <v>1</v>
      </c>
      <c r="AH152" s="492">
        <v>8</v>
      </c>
      <c r="AI152" s="492" t="s">
        <v>34</v>
      </c>
      <c r="AJ152" s="492" t="s">
        <v>34</v>
      </c>
      <c r="AK152" s="492" t="s">
        <v>832</v>
      </c>
      <c r="AL152" s="492" t="s">
        <v>34</v>
      </c>
      <c r="AM152" s="61" t="s">
        <v>3441</v>
      </c>
      <c r="AN152" s="490">
        <v>0</v>
      </c>
      <c r="AO152" s="490">
        <v>0</v>
      </c>
      <c r="AP152" s="61"/>
    </row>
    <row r="153" spans="1:42" x14ac:dyDescent="0.2">
      <c r="A153" s="61">
        <v>152</v>
      </c>
      <c r="B153" s="491" t="s">
        <v>367</v>
      </c>
      <c r="C153" s="492" t="s">
        <v>3945</v>
      </c>
      <c r="D153" s="492" t="s">
        <v>3946</v>
      </c>
      <c r="E153" s="492" t="s">
        <v>746</v>
      </c>
      <c r="F153" s="492" t="s">
        <v>747</v>
      </c>
      <c r="G153" s="492" t="s">
        <v>34</v>
      </c>
      <c r="H153" s="492" t="s">
        <v>835</v>
      </c>
      <c r="I153" s="492" t="s">
        <v>4270</v>
      </c>
      <c r="J153" s="492" t="s">
        <v>613</v>
      </c>
      <c r="K153" s="492" t="s">
        <v>3947</v>
      </c>
      <c r="L153" s="492" t="s">
        <v>962</v>
      </c>
      <c r="M153" s="492" t="s">
        <v>3948</v>
      </c>
      <c r="N153" s="492" t="s">
        <v>3945</v>
      </c>
      <c r="O153" s="492" t="s">
        <v>1106</v>
      </c>
      <c r="P153" s="492" t="s">
        <v>3949</v>
      </c>
      <c r="Q153" s="492" t="s">
        <v>3503</v>
      </c>
      <c r="R153" s="492" t="s">
        <v>828</v>
      </c>
      <c r="S153" s="492" t="s">
        <v>3950</v>
      </c>
      <c r="T153" s="492">
        <v>176.5</v>
      </c>
      <c r="U153" s="492" t="s">
        <v>108</v>
      </c>
      <c r="V153" s="492" t="s">
        <v>3951</v>
      </c>
      <c r="W153" s="492">
        <v>479797</v>
      </c>
      <c r="X153" s="492" t="s">
        <v>3504</v>
      </c>
      <c r="Y153" s="492" t="s">
        <v>3952</v>
      </c>
      <c r="Z153" s="492" t="s">
        <v>3953</v>
      </c>
      <c r="AA153" s="492" t="s">
        <v>3504</v>
      </c>
      <c r="AB153" s="492" t="s">
        <v>3954</v>
      </c>
      <c r="AC153" s="492" t="s">
        <v>830</v>
      </c>
      <c r="AD153" s="492" t="s">
        <v>831</v>
      </c>
      <c r="AE153" s="492" t="s">
        <v>612</v>
      </c>
      <c r="AF153" s="492" t="s">
        <v>2054</v>
      </c>
      <c r="AG153" s="492" t="s">
        <v>34</v>
      </c>
      <c r="AH153" s="492" t="s">
        <v>34</v>
      </c>
      <c r="AI153" s="492" t="s">
        <v>34</v>
      </c>
      <c r="AJ153" s="492" t="s">
        <v>34</v>
      </c>
      <c r="AK153" s="492" t="s">
        <v>832</v>
      </c>
      <c r="AL153" s="492" t="s">
        <v>34</v>
      </c>
      <c r="AM153" s="61" t="s">
        <v>3441</v>
      </c>
      <c r="AN153" s="490"/>
      <c r="AO153" s="490"/>
      <c r="AP153" s="61"/>
    </row>
    <row r="154" spans="1:42" x14ac:dyDescent="0.2">
      <c r="A154" s="61">
        <v>153</v>
      </c>
      <c r="B154" s="491" t="s">
        <v>367</v>
      </c>
      <c r="C154" s="492" t="s">
        <v>619</v>
      </c>
      <c r="D154" s="492" t="s">
        <v>2727</v>
      </c>
      <c r="E154" s="492" t="s">
        <v>746</v>
      </c>
      <c r="F154" s="492" t="s">
        <v>747</v>
      </c>
      <c r="G154" s="492" t="s">
        <v>34</v>
      </c>
      <c r="H154" s="492" t="s">
        <v>835</v>
      </c>
      <c r="I154" s="492" t="s">
        <v>4270</v>
      </c>
      <c r="J154" s="492" t="s">
        <v>1103</v>
      </c>
      <c r="K154" s="492" t="s">
        <v>1403</v>
      </c>
      <c r="L154" s="492" t="s">
        <v>1404</v>
      </c>
      <c r="M154" s="492">
        <v>1705</v>
      </c>
      <c r="N154" s="492" t="s">
        <v>619</v>
      </c>
      <c r="O154" s="492" t="s">
        <v>4294</v>
      </c>
      <c r="P154" s="492" t="s">
        <v>1388</v>
      </c>
      <c r="Q154" s="492" t="s">
        <v>3499</v>
      </c>
      <c r="R154" s="492" t="s">
        <v>828</v>
      </c>
      <c r="S154" s="492" t="s">
        <v>1405</v>
      </c>
      <c r="T154" s="492">
        <v>93.8</v>
      </c>
      <c r="U154" s="492" t="s">
        <v>857</v>
      </c>
      <c r="V154" s="492" t="s">
        <v>1406</v>
      </c>
      <c r="W154" s="492">
        <v>2467302</v>
      </c>
      <c r="X154" s="492" t="s">
        <v>3599</v>
      </c>
      <c r="Y154" s="492" t="s">
        <v>1407</v>
      </c>
      <c r="Z154" s="492" t="s">
        <v>1408</v>
      </c>
      <c r="AA154" s="492" t="s">
        <v>3599</v>
      </c>
      <c r="AB154" s="492" t="s">
        <v>34</v>
      </c>
      <c r="AC154" s="492" t="s">
        <v>830</v>
      </c>
      <c r="AD154" s="492" t="s">
        <v>831</v>
      </c>
      <c r="AE154" s="492" t="s">
        <v>612</v>
      </c>
      <c r="AF154" s="492">
        <v>1</v>
      </c>
      <c r="AG154" s="492">
        <v>390</v>
      </c>
      <c r="AH154" s="492">
        <v>8</v>
      </c>
      <c r="AI154" s="492" t="s">
        <v>34</v>
      </c>
      <c r="AJ154" s="492" t="s">
        <v>34</v>
      </c>
      <c r="AK154" s="492" t="s">
        <v>832</v>
      </c>
      <c r="AL154" s="492" t="s">
        <v>34</v>
      </c>
      <c r="AM154" s="61" t="s">
        <v>3444</v>
      </c>
      <c r="AN154" s="490">
        <v>0</v>
      </c>
      <c r="AO154" s="490">
        <v>0</v>
      </c>
      <c r="AP154" s="61"/>
    </row>
    <row r="155" spans="1:42" x14ac:dyDescent="0.2">
      <c r="A155" s="61">
        <v>154</v>
      </c>
      <c r="B155" s="491" t="s">
        <v>367</v>
      </c>
      <c r="C155" s="492" t="s">
        <v>631</v>
      </c>
      <c r="D155" s="492" t="s">
        <v>2728</v>
      </c>
      <c r="E155" s="492" t="s">
        <v>746</v>
      </c>
      <c r="F155" s="492" t="s">
        <v>747</v>
      </c>
      <c r="G155" s="492" t="s">
        <v>34</v>
      </c>
      <c r="H155" s="492" t="s">
        <v>835</v>
      </c>
      <c r="I155" s="492" t="s">
        <v>4270</v>
      </c>
      <c r="J155" s="492" t="s">
        <v>613</v>
      </c>
      <c r="K155" s="492" t="s">
        <v>3463</v>
      </c>
      <c r="L155" s="492" t="s">
        <v>962</v>
      </c>
      <c r="M155" s="492">
        <v>7852</v>
      </c>
      <c r="N155" s="492" t="s">
        <v>631</v>
      </c>
      <c r="O155" s="492" t="s">
        <v>305</v>
      </c>
      <c r="P155" s="492" t="s">
        <v>3464</v>
      </c>
      <c r="Q155" s="492" t="s">
        <v>908</v>
      </c>
      <c r="R155" s="492" t="s">
        <v>892</v>
      </c>
      <c r="S155" s="492" t="s">
        <v>1245</v>
      </c>
      <c r="T155" s="492">
        <v>420</v>
      </c>
      <c r="U155" s="492" t="s">
        <v>108</v>
      </c>
      <c r="V155" s="492" t="s">
        <v>3465</v>
      </c>
      <c r="W155" s="492" t="s">
        <v>1401</v>
      </c>
      <c r="X155" s="492" t="s">
        <v>968</v>
      </c>
      <c r="Y155" s="492" t="s">
        <v>108</v>
      </c>
      <c r="Z155" s="492" t="s">
        <v>108</v>
      </c>
      <c r="AA155" s="492" t="s">
        <v>108</v>
      </c>
      <c r="AB155" s="492" t="s">
        <v>3467</v>
      </c>
      <c r="AC155" s="492" t="s">
        <v>3020</v>
      </c>
      <c r="AD155" s="492" t="s">
        <v>3466</v>
      </c>
      <c r="AE155" s="492" t="s">
        <v>611</v>
      </c>
      <c r="AF155" s="492" t="s">
        <v>2054</v>
      </c>
      <c r="AG155" s="492" t="s">
        <v>34</v>
      </c>
      <c r="AH155" s="492" t="s">
        <v>34</v>
      </c>
      <c r="AI155" s="492" t="s">
        <v>34</v>
      </c>
      <c r="AJ155" s="492" t="s">
        <v>34</v>
      </c>
      <c r="AK155" s="492" t="s">
        <v>832</v>
      </c>
      <c r="AL155" s="492" t="s">
        <v>34</v>
      </c>
      <c r="AM155" s="61" t="s">
        <v>3448</v>
      </c>
      <c r="AN155" s="490">
        <v>0</v>
      </c>
      <c r="AO155" s="490">
        <v>0</v>
      </c>
      <c r="AP155" s="61"/>
    </row>
    <row r="156" spans="1:42" x14ac:dyDescent="0.2">
      <c r="A156" s="61">
        <v>155</v>
      </c>
      <c r="B156" s="491" t="s">
        <v>367</v>
      </c>
      <c r="C156" s="492" t="s">
        <v>629</v>
      </c>
      <c r="D156" s="492" t="s">
        <v>2729</v>
      </c>
      <c r="E156" s="492" t="s">
        <v>746</v>
      </c>
      <c r="F156" s="492" t="s">
        <v>747</v>
      </c>
      <c r="G156" s="492" t="s">
        <v>34</v>
      </c>
      <c r="H156" s="492" t="s">
        <v>835</v>
      </c>
      <c r="I156" s="492" t="s">
        <v>4270</v>
      </c>
      <c r="J156" s="492" t="s">
        <v>613</v>
      </c>
      <c r="K156" s="492" t="s">
        <v>1424</v>
      </c>
      <c r="L156" s="492" t="s">
        <v>950</v>
      </c>
      <c r="M156" s="492" t="s">
        <v>629</v>
      </c>
      <c r="N156" s="492" t="s">
        <v>629</v>
      </c>
      <c r="O156" s="492" t="s">
        <v>305</v>
      </c>
      <c r="P156" s="492" t="s">
        <v>1425</v>
      </c>
      <c r="Q156" s="492" t="s">
        <v>908</v>
      </c>
      <c r="R156" s="492" t="s">
        <v>892</v>
      </c>
      <c r="S156" s="492" t="s">
        <v>1414</v>
      </c>
      <c r="T156" s="492">
        <v>420</v>
      </c>
      <c r="U156" s="492" t="s">
        <v>108</v>
      </c>
      <c r="V156" s="492" t="s">
        <v>1400</v>
      </c>
      <c r="W156" s="492" t="s">
        <v>1415</v>
      </c>
      <c r="X156" s="492" t="s">
        <v>829</v>
      </c>
      <c r="Y156" s="492" t="s">
        <v>1400</v>
      </c>
      <c r="Z156" s="492" t="s">
        <v>1415</v>
      </c>
      <c r="AA156" s="492" t="s">
        <v>829</v>
      </c>
      <c r="AB156" s="492" t="s">
        <v>1416</v>
      </c>
      <c r="AC156" s="492" t="s">
        <v>830</v>
      </c>
      <c r="AD156" s="492" t="s">
        <v>831</v>
      </c>
      <c r="AE156" s="492" t="s">
        <v>612</v>
      </c>
      <c r="AF156" s="492" t="s">
        <v>34</v>
      </c>
      <c r="AG156" s="492" t="s">
        <v>34</v>
      </c>
      <c r="AH156" s="492" t="s">
        <v>34</v>
      </c>
      <c r="AI156" s="492" t="s">
        <v>34</v>
      </c>
      <c r="AJ156" s="492" t="s">
        <v>34</v>
      </c>
      <c r="AK156" s="492" t="s">
        <v>832</v>
      </c>
      <c r="AL156" s="492" t="s">
        <v>34</v>
      </c>
      <c r="AM156" s="61" t="s">
        <v>3454</v>
      </c>
      <c r="AN156" s="490">
        <v>0</v>
      </c>
      <c r="AO156" s="490">
        <v>0</v>
      </c>
      <c r="AP156" s="61"/>
    </row>
    <row r="157" spans="1:42" x14ac:dyDescent="0.2">
      <c r="A157" s="61">
        <v>156</v>
      </c>
      <c r="B157" s="491" t="s">
        <v>367</v>
      </c>
      <c r="C157" s="492" t="s">
        <v>630</v>
      </c>
      <c r="D157" s="492" t="s">
        <v>2730</v>
      </c>
      <c r="E157" s="492" t="s">
        <v>746</v>
      </c>
      <c r="F157" s="492" t="s">
        <v>747</v>
      </c>
      <c r="G157" s="492" t="s">
        <v>34</v>
      </c>
      <c r="H157" s="492" t="s">
        <v>835</v>
      </c>
      <c r="I157" s="492" t="s">
        <v>4270</v>
      </c>
      <c r="J157" s="492" t="s">
        <v>613</v>
      </c>
      <c r="K157" s="492" t="s">
        <v>1427</v>
      </c>
      <c r="L157" s="492" t="s">
        <v>950</v>
      </c>
      <c r="M157" s="492" t="s">
        <v>630</v>
      </c>
      <c r="N157" s="492" t="s">
        <v>630</v>
      </c>
      <c r="O157" s="492" t="s">
        <v>305</v>
      </c>
      <c r="P157" s="492" t="s">
        <v>1428</v>
      </c>
      <c r="Q157" s="492" t="s">
        <v>908</v>
      </c>
      <c r="R157" s="492" t="s">
        <v>892</v>
      </c>
      <c r="S157" s="492" t="s">
        <v>1414</v>
      </c>
      <c r="T157" s="492">
        <v>420</v>
      </c>
      <c r="U157" s="492" t="s">
        <v>108</v>
      </c>
      <c r="V157" s="492" t="s">
        <v>1400</v>
      </c>
      <c r="W157" s="492" t="s">
        <v>1415</v>
      </c>
      <c r="X157" s="492" t="s">
        <v>829</v>
      </c>
      <c r="Y157" s="492" t="s">
        <v>1400</v>
      </c>
      <c r="Z157" s="492" t="s">
        <v>1415</v>
      </c>
      <c r="AA157" s="492" t="s">
        <v>829</v>
      </c>
      <c r="AB157" s="492" t="s">
        <v>1416</v>
      </c>
      <c r="AC157" s="492" t="s">
        <v>830</v>
      </c>
      <c r="AD157" s="492" t="s">
        <v>831</v>
      </c>
      <c r="AE157" s="492" t="s">
        <v>612</v>
      </c>
      <c r="AF157" s="492" t="s">
        <v>34</v>
      </c>
      <c r="AG157" s="492" t="s">
        <v>34</v>
      </c>
      <c r="AH157" s="492" t="s">
        <v>34</v>
      </c>
      <c r="AI157" s="492" t="s">
        <v>34</v>
      </c>
      <c r="AJ157" s="492" t="s">
        <v>34</v>
      </c>
      <c r="AK157" s="492" t="s">
        <v>832</v>
      </c>
      <c r="AL157" s="492" t="s">
        <v>34</v>
      </c>
      <c r="AM157" s="61" t="s">
        <v>3441</v>
      </c>
      <c r="AN157" s="490">
        <v>0</v>
      </c>
      <c r="AO157" s="490">
        <v>0</v>
      </c>
      <c r="AP157" s="61"/>
    </row>
    <row r="158" spans="1:42" x14ac:dyDescent="0.2">
      <c r="A158" s="61">
        <v>157</v>
      </c>
      <c r="B158" s="491" t="s">
        <v>367</v>
      </c>
      <c r="C158" s="492" t="s">
        <v>628</v>
      </c>
      <c r="D158" s="492" t="s">
        <v>2731</v>
      </c>
      <c r="E158" s="492" t="s">
        <v>746</v>
      </c>
      <c r="F158" s="492" t="s">
        <v>747</v>
      </c>
      <c r="G158" s="492" t="s">
        <v>34</v>
      </c>
      <c r="H158" s="492" t="s">
        <v>835</v>
      </c>
      <c r="I158" s="492" t="s">
        <v>4270</v>
      </c>
      <c r="J158" s="492" t="s">
        <v>613</v>
      </c>
      <c r="K158" s="492" t="s">
        <v>1412</v>
      </c>
      <c r="L158" s="492" t="s">
        <v>950</v>
      </c>
      <c r="M158" s="492" t="s">
        <v>628</v>
      </c>
      <c r="N158" s="492" t="s">
        <v>628</v>
      </c>
      <c r="O158" s="492" t="s">
        <v>305</v>
      </c>
      <c r="P158" s="492" t="s">
        <v>1413</v>
      </c>
      <c r="Q158" s="492" t="s">
        <v>908</v>
      </c>
      <c r="R158" s="492" t="s">
        <v>892</v>
      </c>
      <c r="S158" s="492" t="s">
        <v>1414</v>
      </c>
      <c r="T158" s="492">
        <v>420</v>
      </c>
      <c r="U158" s="492" t="s">
        <v>108</v>
      </c>
      <c r="V158" s="492" t="s">
        <v>1400</v>
      </c>
      <c r="W158" s="492" t="s">
        <v>1415</v>
      </c>
      <c r="X158" s="492" t="s">
        <v>829</v>
      </c>
      <c r="Y158" s="492" t="s">
        <v>1400</v>
      </c>
      <c r="Z158" s="492" t="s">
        <v>1415</v>
      </c>
      <c r="AA158" s="492" t="s">
        <v>829</v>
      </c>
      <c r="AB158" s="492" t="s">
        <v>1416</v>
      </c>
      <c r="AC158" s="492" t="s">
        <v>830</v>
      </c>
      <c r="AD158" s="492" t="s">
        <v>831</v>
      </c>
      <c r="AE158" s="492" t="s">
        <v>612</v>
      </c>
      <c r="AF158" s="492" t="s">
        <v>34</v>
      </c>
      <c r="AG158" s="492" t="s">
        <v>34</v>
      </c>
      <c r="AH158" s="492" t="s">
        <v>34</v>
      </c>
      <c r="AI158" s="492" t="s">
        <v>34</v>
      </c>
      <c r="AJ158" s="492" t="s">
        <v>34</v>
      </c>
      <c r="AK158" s="492" t="s">
        <v>832</v>
      </c>
      <c r="AL158" s="492" t="s">
        <v>34</v>
      </c>
      <c r="AM158" s="61" t="s">
        <v>3441</v>
      </c>
      <c r="AN158" s="490">
        <v>0</v>
      </c>
      <c r="AO158" s="490">
        <v>0</v>
      </c>
      <c r="AP158" s="61"/>
    </row>
    <row r="159" spans="1:42" x14ac:dyDescent="0.2">
      <c r="A159" s="61">
        <v>158</v>
      </c>
      <c r="B159" s="491" t="s">
        <v>367</v>
      </c>
      <c r="C159" s="492" t="s">
        <v>627</v>
      </c>
      <c r="D159" s="492" t="s">
        <v>2732</v>
      </c>
      <c r="E159" s="492" t="s">
        <v>746</v>
      </c>
      <c r="F159" s="492" t="s">
        <v>747</v>
      </c>
      <c r="G159" s="492" t="s">
        <v>34</v>
      </c>
      <c r="H159" s="492" t="s">
        <v>835</v>
      </c>
      <c r="I159" s="492" t="s">
        <v>4270</v>
      </c>
      <c r="J159" s="492" t="s">
        <v>613</v>
      </c>
      <c r="K159" s="492" t="s">
        <v>1398</v>
      </c>
      <c r="L159" s="492" t="s">
        <v>950</v>
      </c>
      <c r="M159" s="492" t="s">
        <v>627</v>
      </c>
      <c r="N159" s="492" t="s">
        <v>627</v>
      </c>
      <c r="O159" s="492" t="s">
        <v>305</v>
      </c>
      <c r="P159" s="492" t="s">
        <v>952</v>
      </c>
      <c r="Q159" s="492" t="s">
        <v>827</v>
      </c>
      <c r="R159" s="492" t="s">
        <v>828</v>
      </c>
      <c r="S159" s="492" t="s">
        <v>1399</v>
      </c>
      <c r="T159" s="492">
        <v>147.6</v>
      </c>
      <c r="U159" s="492" t="s">
        <v>857</v>
      </c>
      <c r="V159" s="492" t="s">
        <v>1400</v>
      </c>
      <c r="W159" s="492" t="s">
        <v>1401</v>
      </c>
      <c r="X159" s="492" t="s">
        <v>988</v>
      </c>
      <c r="Y159" s="492" t="s">
        <v>1400</v>
      </c>
      <c r="Z159" s="492" t="s">
        <v>1401</v>
      </c>
      <c r="AA159" s="492" t="s">
        <v>988</v>
      </c>
      <c r="AB159" s="492" t="s">
        <v>1402</v>
      </c>
      <c r="AC159" s="492" t="s">
        <v>830</v>
      </c>
      <c r="AD159" s="492" t="s">
        <v>831</v>
      </c>
      <c r="AE159" s="492" t="s">
        <v>612</v>
      </c>
      <c r="AF159" s="492" t="s">
        <v>2054</v>
      </c>
      <c r="AG159" s="492" t="s">
        <v>34</v>
      </c>
      <c r="AH159" s="492" t="s">
        <v>34</v>
      </c>
      <c r="AI159" s="492" t="s">
        <v>34</v>
      </c>
      <c r="AJ159" s="492" t="s">
        <v>34</v>
      </c>
      <c r="AK159" s="492" t="s">
        <v>832</v>
      </c>
      <c r="AL159" s="492" t="s">
        <v>34</v>
      </c>
      <c r="AM159" s="61" t="s">
        <v>3444</v>
      </c>
      <c r="AN159" s="490">
        <v>0</v>
      </c>
      <c r="AO159" s="490">
        <v>0</v>
      </c>
      <c r="AP159" s="61"/>
    </row>
    <row r="160" spans="1:42" x14ac:dyDescent="0.2">
      <c r="A160" s="61">
        <v>159</v>
      </c>
      <c r="B160" s="491" t="s">
        <v>367</v>
      </c>
      <c r="C160" s="492" t="s">
        <v>668</v>
      </c>
      <c r="D160" s="492" t="s">
        <v>2733</v>
      </c>
      <c r="E160" s="492" t="s">
        <v>746</v>
      </c>
      <c r="F160" s="492" t="s">
        <v>747</v>
      </c>
      <c r="G160" s="492" t="s">
        <v>34</v>
      </c>
      <c r="H160" s="492" t="s">
        <v>835</v>
      </c>
      <c r="I160" s="492" t="s">
        <v>4284</v>
      </c>
      <c r="J160" s="492" t="s">
        <v>1103</v>
      </c>
      <c r="K160" s="492" t="s">
        <v>366</v>
      </c>
      <c r="L160" s="492" t="s">
        <v>1417</v>
      </c>
      <c r="M160" s="492" t="s">
        <v>1418</v>
      </c>
      <c r="N160" s="492" t="s">
        <v>668</v>
      </c>
      <c r="O160" s="492" t="s">
        <v>4295</v>
      </c>
      <c r="P160" s="492" t="s">
        <v>918</v>
      </c>
      <c r="Q160" s="492" t="s">
        <v>3501</v>
      </c>
      <c r="R160" s="492" t="s">
        <v>1002</v>
      </c>
      <c r="S160" s="492" t="s">
        <v>1419</v>
      </c>
      <c r="T160" s="492">
        <v>567</v>
      </c>
      <c r="U160" s="492" t="s">
        <v>855</v>
      </c>
      <c r="V160" s="492" t="s">
        <v>1420</v>
      </c>
      <c r="W160" s="492">
        <v>62523275</v>
      </c>
      <c r="X160" s="492" t="s">
        <v>3502</v>
      </c>
      <c r="Y160" s="492" t="s">
        <v>1421</v>
      </c>
      <c r="Z160" s="492" t="s">
        <v>1422</v>
      </c>
      <c r="AA160" s="492" t="s">
        <v>3502</v>
      </c>
      <c r="AB160" s="492" t="s">
        <v>1423</v>
      </c>
      <c r="AC160" s="492" t="s">
        <v>830</v>
      </c>
      <c r="AD160" s="492" t="s">
        <v>831</v>
      </c>
      <c r="AE160" s="492" t="s">
        <v>612</v>
      </c>
      <c r="AF160" s="492" t="s">
        <v>2054</v>
      </c>
      <c r="AG160" s="492" t="s">
        <v>34</v>
      </c>
      <c r="AH160" s="492" t="s">
        <v>34</v>
      </c>
      <c r="AI160" s="492" t="s">
        <v>34</v>
      </c>
      <c r="AJ160" s="492" t="s">
        <v>34</v>
      </c>
      <c r="AK160" s="492" t="s">
        <v>832</v>
      </c>
      <c r="AL160" s="492" t="s">
        <v>34</v>
      </c>
      <c r="AM160" s="61" t="s">
        <v>3441</v>
      </c>
      <c r="AN160" s="490">
        <v>0</v>
      </c>
      <c r="AO160" s="490">
        <v>0</v>
      </c>
      <c r="AP160" s="61"/>
    </row>
    <row r="161" spans="1:42" x14ac:dyDescent="0.2">
      <c r="A161" s="61">
        <v>160</v>
      </c>
      <c r="B161" s="491" t="s">
        <v>367</v>
      </c>
      <c r="C161" s="492" t="s">
        <v>3167</v>
      </c>
      <c r="D161" s="492" t="s">
        <v>3168</v>
      </c>
      <c r="E161" s="492" t="s">
        <v>746</v>
      </c>
      <c r="F161" s="492" t="s">
        <v>747</v>
      </c>
      <c r="G161" s="492" t="s">
        <v>34</v>
      </c>
      <c r="H161" s="492" t="s">
        <v>835</v>
      </c>
      <c r="I161" s="492" t="s">
        <v>4270</v>
      </c>
      <c r="J161" s="492" t="s">
        <v>613</v>
      </c>
      <c r="K161" s="492" t="s">
        <v>3169</v>
      </c>
      <c r="L161" s="492" t="s">
        <v>3170</v>
      </c>
      <c r="M161" s="492">
        <v>159874</v>
      </c>
      <c r="N161" s="492" t="s">
        <v>3167</v>
      </c>
      <c r="O161" s="492" t="s">
        <v>305</v>
      </c>
      <c r="P161" s="492" t="s">
        <v>1374</v>
      </c>
      <c r="Q161" s="492" t="s">
        <v>833</v>
      </c>
      <c r="R161" s="492" t="s">
        <v>828</v>
      </c>
      <c r="S161" s="492" t="s">
        <v>1369</v>
      </c>
      <c r="T161" s="492" t="s">
        <v>108</v>
      </c>
      <c r="U161" s="492" t="s">
        <v>858</v>
      </c>
      <c r="V161" s="492" t="s">
        <v>3171</v>
      </c>
      <c r="W161" s="492" t="s">
        <v>3167</v>
      </c>
      <c r="X161" s="492" t="s">
        <v>908</v>
      </c>
      <c r="Y161" s="492" t="s">
        <v>108</v>
      </c>
      <c r="Z161" s="492" t="s">
        <v>108</v>
      </c>
      <c r="AA161" s="492" t="s">
        <v>108</v>
      </c>
      <c r="AB161" s="492" t="s">
        <v>34</v>
      </c>
      <c r="AC161" s="492" t="s">
        <v>830</v>
      </c>
      <c r="AD161" s="492" t="s">
        <v>831</v>
      </c>
      <c r="AE161" s="492" t="s">
        <v>612</v>
      </c>
      <c r="AF161" s="492" t="s">
        <v>2054</v>
      </c>
      <c r="AG161" s="492" t="s">
        <v>34</v>
      </c>
      <c r="AH161" s="492" t="s">
        <v>34</v>
      </c>
      <c r="AI161" s="492" t="s">
        <v>34</v>
      </c>
      <c r="AJ161" s="492" t="s">
        <v>34</v>
      </c>
      <c r="AK161" s="492" t="s">
        <v>832</v>
      </c>
      <c r="AL161" s="492" t="s">
        <v>34</v>
      </c>
      <c r="AM161" s="61" t="s">
        <v>3441</v>
      </c>
      <c r="AN161" s="490">
        <v>0</v>
      </c>
      <c r="AO161" s="490">
        <v>0</v>
      </c>
      <c r="AP161" s="61"/>
    </row>
    <row r="162" spans="1:42" x14ac:dyDescent="0.2">
      <c r="A162" s="61">
        <v>161</v>
      </c>
      <c r="B162" s="491" t="s">
        <v>378</v>
      </c>
      <c r="C162" s="492">
        <v>588</v>
      </c>
      <c r="D162" s="492" t="s">
        <v>2734</v>
      </c>
      <c r="E162" s="492" t="s">
        <v>748</v>
      </c>
      <c r="F162" s="492" t="s">
        <v>749</v>
      </c>
      <c r="G162" s="492" t="s">
        <v>34</v>
      </c>
      <c r="H162" s="492" t="s">
        <v>835</v>
      </c>
      <c r="I162" s="492" t="s">
        <v>1429</v>
      </c>
      <c r="J162" s="492" t="s">
        <v>613</v>
      </c>
      <c r="K162" s="492" t="s">
        <v>921</v>
      </c>
      <c r="L162" s="492" t="s">
        <v>1436</v>
      </c>
      <c r="M162" s="492">
        <v>588</v>
      </c>
      <c r="N162" s="492">
        <v>588</v>
      </c>
      <c r="O162" s="492" t="s">
        <v>305</v>
      </c>
      <c r="P162" s="492" t="s">
        <v>1437</v>
      </c>
      <c r="Q162" s="492" t="s">
        <v>1438</v>
      </c>
      <c r="R162" s="492" t="s">
        <v>828</v>
      </c>
      <c r="S162" s="492" t="s">
        <v>1439</v>
      </c>
      <c r="T162" s="492">
        <v>5.04</v>
      </c>
      <c r="U162" s="492" t="s">
        <v>687</v>
      </c>
      <c r="V162" s="492" t="s">
        <v>1440</v>
      </c>
      <c r="W162" s="492">
        <v>588</v>
      </c>
      <c r="X162" s="492" t="s">
        <v>1441</v>
      </c>
      <c r="Y162" s="492" t="s">
        <v>108</v>
      </c>
      <c r="Z162" s="492" t="s">
        <v>108</v>
      </c>
      <c r="AA162" s="492" t="s">
        <v>108</v>
      </c>
      <c r="AB162" s="492" t="s">
        <v>899</v>
      </c>
      <c r="AC162" s="492" t="s">
        <v>830</v>
      </c>
      <c r="AD162" s="492" t="s">
        <v>831</v>
      </c>
      <c r="AE162" s="492" t="s">
        <v>612</v>
      </c>
      <c r="AF162" s="492">
        <v>32</v>
      </c>
      <c r="AG162" s="492">
        <v>0</v>
      </c>
      <c r="AH162" s="492" t="s">
        <v>2054</v>
      </c>
      <c r="AI162" s="492" t="s">
        <v>3002</v>
      </c>
      <c r="AJ162" s="492" t="s">
        <v>3003</v>
      </c>
      <c r="AK162" s="492" t="s">
        <v>832</v>
      </c>
      <c r="AL162" s="492" t="s">
        <v>34</v>
      </c>
      <c r="AM162" s="61" t="s">
        <v>3441</v>
      </c>
      <c r="AN162" s="490">
        <v>0</v>
      </c>
      <c r="AO162" s="490">
        <v>0</v>
      </c>
      <c r="AP162" s="61"/>
    </row>
    <row r="163" spans="1:42" x14ac:dyDescent="0.2">
      <c r="A163" s="61">
        <v>162</v>
      </c>
      <c r="B163" s="491" t="s">
        <v>378</v>
      </c>
      <c r="C163" s="492">
        <v>12004</v>
      </c>
      <c r="D163" s="492" t="s">
        <v>2735</v>
      </c>
      <c r="E163" s="492" t="s">
        <v>748</v>
      </c>
      <c r="F163" s="492" t="s">
        <v>749</v>
      </c>
      <c r="G163" s="492" t="s">
        <v>34</v>
      </c>
      <c r="H163" s="492" t="s">
        <v>835</v>
      </c>
      <c r="I163" s="492" t="s">
        <v>4270</v>
      </c>
      <c r="J163" s="492" t="s">
        <v>613</v>
      </c>
      <c r="K163" s="492" t="s">
        <v>365</v>
      </c>
      <c r="L163" s="492" t="s">
        <v>1442</v>
      </c>
      <c r="M163" s="492" t="s">
        <v>1443</v>
      </c>
      <c r="N163" s="492">
        <v>12004</v>
      </c>
      <c r="O163" s="492" t="s">
        <v>305</v>
      </c>
      <c r="P163" s="492" t="s">
        <v>896</v>
      </c>
      <c r="Q163" s="492" t="s">
        <v>833</v>
      </c>
      <c r="R163" s="492" t="s">
        <v>828</v>
      </c>
      <c r="S163" s="492" t="s">
        <v>1444</v>
      </c>
      <c r="T163" s="492">
        <v>1.3</v>
      </c>
      <c r="U163" s="492" t="s">
        <v>687</v>
      </c>
      <c r="V163" s="492" t="s">
        <v>903</v>
      </c>
      <c r="W163" s="492" t="s">
        <v>1443</v>
      </c>
      <c r="X163" s="492" t="s">
        <v>1445</v>
      </c>
      <c r="Y163" s="492" t="s">
        <v>108</v>
      </c>
      <c r="Z163" s="492" t="s">
        <v>108</v>
      </c>
      <c r="AA163" s="492" t="s">
        <v>108</v>
      </c>
      <c r="AB163" s="492" t="s">
        <v>1446</v>
      </c>
      <c r="AC163" s="492" t="s">
        <v>830</v>
      </c>
      <c r="AD163" s="492" t="s">
        <v>831</v>
      </c>
      <c r="AE163" s="492" t="s">
        <v>612</v>
      </c>
      <c r="AF163" s="492" t="s">
        <v>2054</v>
      </c>
      <c r="AG163" s="492" t="s">
        <v>34</v>
      </c>
      <c r="AH163" s="492" t="s">
        <v>34</v>
      </c>
      <c r="AI163" s="492" t="s">
        <v>34</v>
      </c>
      <c r="AJ163" s="492" t="s">
        <v>34</v>
      </c>
      <c r="AK163" s="492" t="s">
        <v>832</v>
      </c>
      <c r="AL163" s="492" t="s">
        <v>34</v>
      </c>
      <c r="AM163" s="61" t="s">
        <v>3441</v>
      </c>
      <c r="AN163" s="490">
        <v>0</v>
      </c>
      <c r="AO163" s="490">
        <v>0</v>
      </c>
      <c r="AP163" s="61"/>
    </row>
    <row r="164" spans="1:42" x14ac:dyDescent="0.2">
      <c r="A164" s="61">
        <v>163</v>
      </c>
      <c r="B164" s="491" t="s">
        <v>378</v>
      </c>
      <c r="C164" s="492" t="s">
        <v>380</v>
      </c>
      <c r="D164" s="492" t="s">
        <v>2736</v>
      </c>
      <c r="E164" s="492" t="s">
        <v>748</v>
      </c>
      <c r="F164" s="492" t="s">
        <v>749</v>
      </c>
      <c r="G164" s="492" t="s">
        <v>34</v>
      </c>
      <c r="H164" s="492" t="s">
        <v>835</v>
      </c>
      <c r="I164" s="492" t="s">
        <v>4270</v>
      </c>
      <c r="J164" s="492" t="s">
        <v>1447</v>
      </c>
      <c r="K164" s="492" t="s">
        <v>434</v>
      </c>
      <c r="L164" s="492" t="s">
        <v>1448</v>
      </c>
      <c r="M164" s="492" t="s">
        <v>1449</v>
      </c>
      <c r="N164" s="492" t="s">
        <v>380</v>
      </c>
      <c r="O164" s="492" t="s">
        <v>305</v>
      </c>
      <c r="P164" s="492" t="s">
        <v>1450</v>
      </c>
      <c r="Q164" s="492" t="s">
        <v>833</v>
      </c>
      <c r="R164" s="492" t="s">
        <v>929</v>
      </c>
      <c r="S164" s="492" t="s">
        <v>1451</v>
      </c>
      <c r="T164" s="492">
        <v>1.04</v>
      </c>
      <c r="U164" s="492" t="s">
        <v>687</v>
      </c>
      <c r="V164" s="492" t="s">
        <v>1448</v>
      </c>
      <c r="W164" s="492" t="s">
        <v>1449</v>
      </c>
      <c r="X164" s="492" t="s">
        <v>898</v>
      </c>
      <c r="Y164" s="492" t="s">
        <v>108</v>
      </c>
      <c r="Z164" s="492" t="s">
        <v>108</v>
      </c>
      <c r="AA164" s="492" t="s">
        <v>108</v>
      </c>
      <c r="AB164" s="492" t="s">
        <v>3353</v>
      </c>
      <c r="AC164" s="492" t="s">
        <v>830</v>
      </c>
      <c r="AD164" s="492" t="s">
        <v>831</v>
      </c>
      <c r="AE164" s="492" t="s">
        <v>612</v>
      </c>
      <c r="AF164" s="492" t="s">
        <v>2054</v>
      </c>
      <c r="AG164" s="492" t="s">
        <v>34</v>
      </c>
      <c r="AH164" s="492" t="s">
        <v>34</v>
      </c>
      <c r="AI164" s="492" t="s">
        <v>34</v>
      </c>
      <c r="AJ164" s="492" t="s">
        <v>34</v>
      </c>
      <c r="AK164" s="492" t="s">
        <v>832</v>
      </c>
      <c r="AL164" s="492" t="s">
        <v>34</v>
      </c>
      <c r="AM164" s="61" t="s">
        <v>3441</v>
      </c>
      <c r="AN164" s="490">
        <v>0</v>
      </c>
      <c r="AO164" s="490">
        <v>0</v>
      </c>
      <c r="AP164" s="61"/>
    </row>
    <row r="165" spans="1:42" x14ac:dyDescent="0.2">
      <c r="A165" s="61">
        <v>164</v>
      </c>
      <c r="B165" s="491" t="s">
        <v>378</v>
      </c>
      <c r="C165" s="492" t="s">
        <v>4035</v>
      </c>
      <c r="D165" s="492" t="s">
        <v>4036</v>
      </c>
      <c r="E165" s="492" t="s">
        <v>748</v>
      </c>
      <c r="F165" s="492" t="s">
        <v>749</v>
      </c>
      <c r="G165" s="492" t="s">
        <v>34</v>
      </c>
      <c r="H165" s="492" t="s">
        <v>835</v>
      </c>
      <c r="I165" s="492" t="s">
        <v>1429</v>
      </c>
      <c r="J165" s="492" t="s">
        <v>613</v>
      </c>
      <c r="K165" s="492" t="s">
        <v>670</v>
      </c>
      <c r="L165" s="492" t="s">
        <v>4037</v>
      </c>
      <c r="M165" s="492" t="s">
        <v>4038</v>
      </c>
      <c r="N165" s="492" t="s">
        <v>4035</v>
      </c>
      <c r="O165" s="492" t="s">
        <v>305</v>
      </c>
      <c r="P165" s="492" t="s">
        <v>4039</v>
      </c>
      <c r="Q165" s="492" t="s">
        <v>911</v>
      </c>
      <c r="R165" s="492" t="s">
        <v>828</v>
      </c>
      <c r="S165" s="492" t="s">
        <v>4040</v>
      </c>
      <c r="T165" s="492">
        <v>4.13</v>
      </c>
      <c r="U165" s="492" t="s">
        <v>687</v>
      </c>
      <c r="V165" s="492" t="s">
        <v>4041</v>
      </c>
      <c r="W165" s="492" t="s">
        <v>4042</v>
      </c>
      <c r="X165" s="492" t="s">
        <v>829</v>
      </c>
      <c r="Y165" s="492" t="s">
        <v>108</v>
      </c>
      <c r="Z165" s="492" t="s">
        <v>108</v>
      </c>
      <c r="AA165" s="492" t="s">
        <v>108</v>
      </c>
      <c r="AB165" s="492" t="s">
        <v>34</v>
      </c>
      <c r="AC165" s="492" t="s">
        <v>830</v>
      </c>
      <c r="AD165" s="492" t="s">
        <v>831</v>
      </c>
      <c r="AE165" s="492" t="s">
        <v>612</v>
      </c>
      <c r="AF165" s="492" t="s">
        <v>2054</v>
      </c>
      <c r="AG165" s="492" t="s">
        <v>34</v>
      </c>
      <c r="AH165" s="492" t="s">
        <v>34</v>
      </c>
      <c r="AI165" s="492" t="s">
        <v>34</v>
      </c>
      <c r="AJ165" s="492" t="s">
        <v>34</v>
      </c>
      <c r="AK165" s="492" t="s">
        <v>832</v>
      </c>
      <c r="AL165" s="492" t="s">
        <v>34</v>
      </c>
      <c r="AM165" s="61" t="s">
        <v>3441</v>
      </c>
      <c r="AN165" s="490"/>
      <c r="AO165" s="490"/>
      <c r="AP165" s="61"/>
    </row>
    <row r="166" spans="1:42" x14ac:dyDescent="0.2">
      <c r="A166" s="61">
        <v>165</v>
      </c>
      <c r="B166" s="491" t="s">
        <v>378</v>
      </c>
      <c r="C166" s="492" t="s">
        <v>3760</v>
      </c>
      <c r="D166" s="492" t="s">
        <v>3761</v>
      </c>
      <c r="E166" s="492" t="s">
        <v>748</v>
      </c>
      <c r="F166" s="492" t="s">
        <v>749</v>
      </c>
      <c r="G166" s="492" t="s">
        <v>34</v>
      </c>
      <c r="H166" s="492" t="s">
        <v>835</v>
      </c>
      <c r="I166" s="492" t="s">
        <v>1429</v>
      </c>
      <c r="J166" s="492" t="s">
        <v>613</v>
      </c>
      <c r="K166" s="492" t="s">
        <v>3707</v>
      </c>
      <c r="L166" s="492" t="s">
        <v>3762</v>
      </c>
      <c r="M166" s="492">
        <v>15791</v>
      </c>
      <c r="N166" s="492" t="s">
        <v>3760</v>
      </c>
      <c r="O166" s="492" t="s">
        <v>1106</v>
      </c>
      <c r="P166" s="492" t="s">
        <v>3763</v>
      </c>
      <c r="Q166" s="492" t="s">
        <v>833</v>
      </c>
      <c r="R166" s="492" t="s">
        <v>828</v>
      </c>
      <c r="S166" s="492" t="s">
        <v>1493</v>
      </c>
      <c r="T166" s="492">
        <v>8</v>
      </c>
      <c r="U166" s="492" t="s">
        <v>687</v>
      </c>
      <c r="V166" s="492" t="s">
        <v>3764</v>
      </c>
      <c r="W166" s="492" t="s">
        <v>3765</v>
      </c>
      <c r="X166" s="492" t="s">
        <v>829</v>
      </c>
      <c r="Y166" s="492" t="s">
        <v>108</v>
      </c>
      <c r="Z166" s="492" t="s">
        <v>108</v>
      </c>
      <c r="AA166" s="492" t="s">
        <v>108</v>
      </c>
      <c r="AB166" s="492" t="s">
        <v>34</v>
      </c>
      <c r="AC166" s="492" t="s">
        <v>830</v>
      </c>
      <c r="AD166" s="492" t="s">
        <v>3766</v>
      </c>
      <c r="AE166" s="492" t="s">
        <v>612</v>
      </c>
      <c r="AF166" s="492">
        <v>2.06</v>
      </c>
      <c r="AG166" s="492" t="s">
        <v>3767</v>
      </c>
      <c r="AH166" s="492" t="s">
        <v>3768</v>
      </c>
      <c r="AI166" s="492" t="s">
        <v>3769</v>
      </c>
      <c r="AJ166" s="492" t="s">
        <v>34</v>
      </c>
      <c r="AK166" s="492" t="s">
        <v>832</v>
      </c>
      <c r="AL166" s="492" t="s">
        <v>34</v>
      </c>
      <c r="AM166" s="61" t="s">
        <v>3442</v>
      </c>
      <c r="AN166" s="490"/>
      <c r="AO166" s="490"/>
      <c r="AP166" s="61"/>
    </row>
    <row r="167" spans="1:42" x14ac:dyDescent="0.2">
      <c r="A167" s="61">
        <v>166</v>
      </c>
      <c r="B167" s="491" t="s">
        <v>378</v>
      </c>
      <c r="C167" s="492" t="s">
        <v>3980</v>
      </c>
      <c r="D167" s="492" t="s">
        <v>3981</v>
      </c>
      <c r="E167" s="492" t="s">
        <v>748</v>
      </c>
      <c r="F167" s="492" t="s">
        <v>749</v>
      </c>
      <c r="G167" s="492" t="s">
        <v>34</v>
      </c>
      <c r="H167" s="492" t="s">
        <v>835</v>
      </c>
      <c r="I167" s="492" t="s">
        <v>1429</v>
      </c>
      <c r="J167" s="492" t="s">
        <v>613</v>
      </c>
      <c r="K167" s="492" t="s">
        <v>3707</v>
      </c>
      <c r="L167" s="492" t="s">
        <v>3982</v>
      </c>
      <c r="M167" s="492">
        <v>187</v>
      </c>
      <c r="N167" s="492" t="s">
        <v>3980</v>
      </c>
      <c r="O167" s="492" t="s">
        <v>1106</v>
      </c>
      <c r="P167" s="492" t="s">
        <v>3983</v>
      </c>
      <c r="Q167" s="492" t="s">
        <v>833</v>
      </c>
      <c r="R167" s="492" t="s">
        <v>892</v>
      </c>
      <c r="S167" s="492" t="s">
        <v>3984</v>
      </c>
      <c r="T167" s="492">
        <v>10.16</v>
      </c>
      <c r="U167" s="492" t="s">
        <v>687</v>
      </c>
      <c r="V167" s="492" t="s">
        <v>3985</v>
      </c>
      <c r="W167" s="492">
        <v>187</v>
      </c>
      <c r="X167" s="492" t="s">
        <v>829</v>
      </c>
      <c r="Y167" s="492" t="s">
        <v>108</v>
      </c>
      <c r="Z167" s="492" t="s">
        <v>108</v>
      </c>
      <c r="AA167" s="492" t="s">
        <v>108</v>
      </c>
      <c r="AB167" s="492" t="s">
        <v>34</v>
      </c>
      <c r="AC167" s="492" t="s">
        <v>830</v>
      </c>
      <c r="AD167" s="492" t="s">
        <v>3775</v>
      </c>
      <c r="AE167" s="492" t="s">
        <v>612</v>
      </c>
      <c r="AF167" s="492">
        <v>2.5</v>
      </c>
      <c r="AG167" s="492">
        <v>0.28000000000000003</v>
      </c>
      <c r="AH167" s="492">
        <v>0.88</v>
      </c>
      <c r="AI167" s="492" t="s">
        <v>3986</v>
      </c>
      <c r="AJ167" s="492" t="s">
        <v>34</v>
      </c>
      <c r="AK167" s="492" t="s">
        <v>832</v>
      </c>
      <c r="AL167" s="492" t="s">
        <v>34</v>
      </c>
      <c r="AM167" s="61" t="s">
        <v>3442</v>
      </c>
      <c r="AN167" s="490"/>
      <c r="AO167" s="490"/>
      <c r="AP167" s="61"/>
    </row>
    <row r="168" spans="1:42" x14ac:dyDescent="0.2">
      <c r="A168" s="61">
        <v>167</v>
      </c>
      <c r="B168" s="491" t="s">
        <v>378</v>
      </c>
      <c r="C168" s="492" t="s">
        <v>3770</v>
      </c>
      <c r="D168" s="492" t="s">
        <v>3771</v>
      </c>
      <c r="E168" s="492" t="s">
        <v>748</v>
      </c>
      <c r="F168" s="492" t="s">
        <v>749</v>
      </c>
      <c r="G168" s="492" t="s">
        <v>34</v>
      </c>
      <c r="H168" s="492" t="s">
        <v>835</v>
      </c>
      <c r="I168" s="492" t="s">
        <v>1429</v>
      </c>
      <c r="J168" s="492" t="s">
        <v>613</v>
      </c>
      <c r="K168" s="492" t="s">
        <v>3707</v>
      </c>
      <c r="L168" s="492" t="s">
        <v>3772</v>
      </c>
      <c r="M168" s="492">
        <v>75143</v>
      </c>
      <c r="N168" s="492" t="s">
        <v>3770</v>
      </c>
      <c r="O168" s="492" t="s">
        <v>1106</v>
      </c>
      <c r="P168" s="492" t="s">
        <v>1170</v>
      </c>
      <c r="Q168" s="492" t="s">
        <v>833</v>
      </c>
      <c r="R168" s="492" t="s">
        <v>828</v>
      </c>
      <c r="S168" s="492" t="s">
        <v>3773</v>
      </c>
      <c r="T168" s="492">
        <v>37.4</v>
      </c>
      <c r="U168" s="492" t="s">
        <v>687</v>
      </c>
      <c r="V168" s="492" t="s">
        <v>3774</v>
      </c>
      <c r="W168" s="492">
        <v>7243169</v>
      </c>
      <c r="X168" s="492" t="s">
        <v>1445</v>
      </c>
      <c r="Y168" s="492" t="s">
        <v>108</v>
      </c>
      <c r="Z168" s="492" t="s">
        <v>108</v>
      </c>
      <c r="AA168" s="492" t="s">
        <v>108</v>
      </c>
      <c r="AB168" s="492" t="s">
        <v>3776</v>
      </c>
      <c r="AC168" s="492" t="s">
        <v>830</v>
      </c>
      <c r="AD168" s="492" t="s">
        <v>3775</v>
      </c>
      <c r="AE168" s="492" t="s">
        <v>612</v>
      </c>
      <c r="AF168" s="492" t="s">
        <v>2054</v>
      </c>
      <c r="AG168" s="492" t="s">
        <v>34</v>
      </c>
      <c r="AH168" s="492" t="s">
        <v>34</v>
      </c>
      <c r="AI168" s="492" t="s">
        <v>34</v>
      </c>
      <c r="AJ168" s="492" t="s">
        <v>34</v>
      </c>
      <c r="AK168" s="492" t="s">
        <v>832</v>
      </c>
      <c r="AL168" s="492" t="s">
        <v>34</v>
      </c>
      <c r="AM168" s="61" t="s">
        <v>3444</v>
      </c>
      <c r="AN168" s="490"/>
      <c r="AO168" s="490"/>
      <c r="AP168" s="61"/>
    </row>
    <row r="169" spans="1:42" x14ac:dyDescent="0.2">
      <c r="A169" s="61">
        <v>168</v>
      </c>
      <c r="B169" s="491" t="s">
        <v>378</v>
      </c>
      <c r="C169" s="492" t="s">
        <v>694</v>
      </c>
      <c r="D169" s="492" t="s">
        <v>2737</v>
      </c>
      <c r="E169" s="492" t="s">
        <v>748</v>
      </c>
      <c r="F169" s="492" t="s">
        <v>749</v>
      </c>
      <c r="G169" s="492" t="s">
        <v>34</v>
      </c>
      <c r="H169" s="492" t="s">
        <v>835</v>
      </c>
      <c r="I169" s="492" t="s">
        <v>1429</v>
      </c>
      <c r="J169" s="492" t="s">
        <v>613</v>
      </c>
      <c r="K169" s="492" t="s">
        <v>921</v>
      </c>
      <c r="L169" s="492" t="s">
        <v>1430</v>
      </c>
      <c r="M169" s="492">
        <v>482</v>
      </c>
      <c r="N169" s="492" t="s">
        <v>694</v>
      </c>
      <c r="O169" s="492" t="s">
        <v>305</v>
      </c>
      <c r="P169" s="492" t="s">
        <v>1431</v>
      </c>
      <c r="Q169" s="492" t="s">
        <v>908</v>
      </c>
      <c r="R169" s="492" t="s">
        <v>828</v>
      </c>
      <c r="S169" s="492" t="s">
        <v>1432</v>
      </c>
      <c r="T169" s="492">
        <v>6.16</v>
      </c>
      <c r="U169" s="492" t="s">
        <v>687</v>
      </c>
      <c r="V169" s="492" t="s">
        <v>1433</v>
      </c>
      <c r="W169" s="492" t="s">
        <v>1095</v>
      </c>
      <c r="X169" s="492" t="s">
        <v>1434</v>
      </c>
      <c r="Y169" s="492" t="s">
        <v>108</v>
      </c>
      <c r="Z169" s="492" t="s">
        <v>108</v>
      </c>
      <c r="AA169" s="492" t="s">
        <v>108</v>
      </c>
      <c r="AB169" s="492" t="s">
        <v>1435</v>
      </c>
      <c r="AC169" s="492" t="s">
        <v>830</v>
      </c>
      <c r="AD169" s="492" t="s">
        <v>831</v>
      </c>
      <c r="AE169" s="492" t="s">
        <v>612</v>
      </c>
      <c r="AF169" s="492" t="s">
        <v>2054</v>
      </c>
      <c r="AG169" s="492" t="s">
        <v>34</v>
      </c>
      <c r="AH169" s="492" t="s">
        <v>34</v>
      </c>
      <c r="AI169" s="492" t="s">
        <v>34</v>
      </c>
      <c r="AJ169" s="492" t="s">
        <v>34</v>
      </c>
      <c r="AK169" s="492" t="s">
        <v>832</v>
      </c>
      <c r="AL169" s="492" t="s">
        <v>34</v>
      </c>
      <c r="AM169" s="61" t="s">
        <v>3441</v>
      </c>
      <c r="AN169" s="490">
        <v>0</v>
      </c>
      <c r="AO169" s="490">
        <v>0</v>
      </c>
      <c r="AP169" s="61"/>
    </row>
    <row r="170" spans="1:42" x14ac:dyDescent="0.2">
      <c r="A170" s="61">
        <v>169</v>
      </c>
      <c r="B170" s="491" t="s">
        <v>378</v>
      </c>
      <c r="C170" s="492" t="s">
        <v>379</v>
      </c>
      <c r="D170" s="492" t="s">
        <v>2738</v>
      </c>
      <c r="E170" s="492" t="s">
        <v>748</v>
      </c>
      <c r="F170" s="492" t="s">
        <v>749</v>
      </c>
      <c r="G170" s="492" t="s">
        <v>34</v>
      </c>
      <c r="H170" s="492" t="s">
        <v>835</v>
      </c>
      <c r="I170" s="492" t="s">
        <v>4270</v>
      </c>
      <c r="J170" s="492" t="s">
        <v>1447</v>
      </c>
      <c r="K170" s="492" t="s">
        <v>1452</v>
      </c>
      <c r="L170" s="492" t="s">
        <v>1176</v>
      </c>
      <c r="M170" s="492" t="s">
        <v>379</v>
      </c>
      <c r="N170" s="492" t="s">
        <v>379</v>
      </c>
      <c r="O170" s="492" t="s">
        <v>305</v>
      </c>
      <c r="P170" s="492" t="s">
        <v>1453</v>
      </c>
      <c r="Q170" s="492" t="s">
        <v>911</v>
      </c>
      <c r="R170" s="492" t="s">
        <v>892</v>
      </c>
      <c r="S170" s="492" t="s">
        <v>1454</v>
      </c>
      <c r="T170" s="492">
        <v>18.8</v>
      </c>
      <c r="U170" s="492" t="s">
        <v>858</v>
      </c>
      <c r="V170" s="492" t="s">
        <v>1455</v>
      </c>
      <c r="W170" s="492" t="s">
        <v>1457</v>
      </c>
      <c r="X170" s="492" t="s">
        <v>1456</v>
      </c>
      <c r="Y170" s="492" t="s">
        <v>1455</v>
      </c>
      <c r="Z170" s="492" t="s">
        <v>1457</v>
      </c>
      <c r="AA170" s="492" t="s">
        <v>937</v>
      </c>
      <c r="AB170" s="492" t="s">
        <v>1458</v>
      </c>
      <c r="AC170" s="492" t="s">
        <v>830</v>
      </c>
      <c r="AD170" s="492" t="s">
        <v>831</v>
      </c>
      <c r="AE170" s="492" t="s">
        <v>612</v>
      </c>
      <c r="AF170" s="492" t="s">
        <v>2054</v>
      </c>
      <c r="AG170" s="492" t="s">
        <v>34</v>
      </c>
      <c r="AH170" s="492" t="s">
        <v>34</v>
      </c>
      <c r="AI170" s="492" t="s">
        <v>34</v>
      </c>
      <c r="AJ170" s="492" t="s">
        <v>34</v>
      </c>
      <c r="AK170" s="492" t="s">
        <v>832</v>
      </c>
      <c r="AL170" s="492" t="s">
        <v>34</v>
      </c>
      <c r="AM170" s="61" t="s">
        <v>3441</v>
      </c>
      <c r="AN170" s="490">
        <v>0</v>
      </c>
      <c r="AO170" s="490">
        <v>0</v>
      </c>
      <c r="AP170" s="61"/>
    </row>
    <row r="171" spans="1:42" x14ac:dyDescent="0.2">
      <c r="A171" s="61">
        <v>170</v>
      </c>
      <c r="B171" s="491" t="s">
        <v>378</v>
      </c>
      <c r="C171" s="492" t="s">
        <v>3960</v>
      </c>
      <c r="D171" s="492" t="s">
        <v>3961</v>
      </c>
      <c r="E171" s="492" t="s">
        <v>748</v>
      </c>
      <c r="F171" s="492" t="s">
        <v>749</v>
      </c>
      <c r="G171" s="492" t="s">
        <v>34</v>
      </c>
      <c r="H171" s="492" t="s">
        <v>835</v>
      </c>
      <c r="I171" s="492" t="s">
        <v>1429</v>
      </c>
      <c r="J171" s="492" t="s">
        <v>613</v>
      </c>
      <c r="K171" s="492" t="s">
        <v>670</v>
      </c>
      <c r="L171" s="492" t="s">
        <v>3962</v>
      </c>
      <c r="M171" s="492" t="s">
        <v>3963</v>
      </c>
      <c r="N171" s="492" t="s">
        <v>3960</v>
      </c>
      <c r="O171" s="492" t="s">
        <v>305</v>
      </c>
      <c r="P171" s="492" t="s">
        <v>3964</v>
      </c>
      <c r="Q171" s="492" t="s">
        <v>833</v>
      </c>
      <c r="R171" s="492" t="s">
        <v>828</v>
      </c>
      <c r="S171" s="492" t="s">
        <v>3965</v>
      </c>
      <c r="T171" s="492">
        <v>9.76</v>
      </c>
      <c r="U171" s="492" t="s">
        <v>687</v>
      </c>
      <c r="V171" s="492" t="s">
        <v>3966</v>
      </c>
      <c r="W171" s="492" t="s">
        <v>3967</v>
      </c>
      <c r="X171" s="492" t="s">
        <v>829</v>
      </c>
      <c r="Y171" s="492" t="s">
        <v>108</v>
      </c>
      <c r="Z171" s="492" t="s">
        <v>108</v>
      </c>
      <c r="AA171" s="492" t="s">
        <v>108</v>
      </c>
      <c r="AB171" s="492" t="s">
        <v>34</v>
      </c>
      <c r="AC171" s="492" t="s">
        <v>830</v>
      </c>
      <c r="AD171" s="492" t="s">
        <v>831</v>
      </c>
      <c r="AE171" s="492" t="s">
        <v>612</v>
      </c>
      <c r="AF171" s="492" t="s">
        <v>2054</v>
      </c>
      <c r="AG171" s="492" t="s">
        <v>34</v>
      </c>
      <c r="AH171" s="492" t="s">
        <v>34</v>
      </c>
      <c r="AI171" s="492" t="s">
        <v>34</v>
      </c>
      <c r="AJ171" s="492" t="s">
        <v>34</v>
      </c>
      <c r="AK171" s="492" t="s">
        <v>832</v>
      </c>
      <c r="AL171" s="492" t="s">
        <v>34</v>
      </c>
      <c r="AM171" s="61" t="s">
        <v>3441</v>
      </c>
      <c r="AN171" s="490"/>
      <c r="AO171" s="490"/>
      <c r="AP171" s="61"/>
    </row>
    <row r="172" spans="1:42" x14ac:dyDescent="0.2">
      <c r="A172" s="61">
        <v>171</v>
      </c>
      <c r="B172" s="491" t="s">
        <v>378</v>
      </c>
      <c r="C172" s="492" t="s">
        <v>3968</v>
      </c>
      <c r="D172" s="492" t="s">
        <v>3969</v>
      </c>
      <c r="E172" s="492" t="s">
        <v>748</v>
      </c>
      <c r="F172" s="492" t="s">
        <v>749</v>
      </c>
      <c r="G172" s="492" t="s">
        <v>34</v>
      </c>
      <c r="H172" s="492" t="s">
        <v>835</v>
      </c>
      <c r="I172" s="492" t="s">
        <v>1429</v>
      </c>
      <c r="J172" s="492" t="s">
        <v>613</v>
      </c>
      <c r="K172" s="492" t="s">
        <v>670</v>
      </c>
      <c r="L172" s="492" t="s">
        <v>3962</v>
      </c>
      <c r="M172" s="492" t="s">
        <v>3970</v>
      </c>
      <c r="N172" s="492" t="s">
        <v>3968</v>
      </c>
      <c r="O172" s="492" t="s">
        <v>305</v>
      </c>
      <c r="P172" s="492" t="s">
        <v>3964</v>
      </c>
      <c r="Q172" s="492" t="s">
        <v>833</v>
      </c>
      <c r="R172" s="492" t="s">
        <v>828</v>
      </c>
      <c r="S172" s="492" t="s">
        <v>3965</v>
      </c>
      <c r="T172" s="492">
        <v>9.76</v>
      </c>
      <c r="U172" s="492" t="s">
        <v>687</v>
      </c>
      <c r="V172" s="492" t="s">
        <v>3966</v>
      </c>
      <c r="W172" s="492" t="s">
        <v>3971</v>
      </c>
      <c r="X172" s="492" t="s">
        <v>829</v>
      </c>
      <c r="Y172" s="492" t="s">
        <v>108</v>
      </c>
      <c r="Z172" s="492" t="s">
        <v>108</v>
      </c>
      <c r="AA172" s="492" t="s">
        <v>108</v>
      </c>
      <c r="AB172" s="492" t="s">
        <v>34</v>
      </c>
      <c r="AC172" s="492" t="s">
        <v>830</v>
      </c>
      <c r="AD172" s="492" t="s">
        <v>831</v>
      </c>
      <c r="AE172" s="492" t="s">
        <v>612</v>
      </c>
      <c r="AF172" s="492" t="s">
        <v>2054</v>
      </c>
      <c r="AG172" s="492" t="s">
        <v>34</v>
      </c>
      <c r="AH172" s="492" t="s">
        <v>34</v>
      </c>
      <c r="AI172" s="492" t="s">
        <v>34</v>
      </c>
      <c r="AJ172" s="492" t="s">
        <v>34</v>
      </c>
      <c r="AK172" s="492" t="s">
        <v>832</v>
      </c>
      <c r="AL172" s="492" t="s">
        <v>34</v>
      </c>
      <c r="AM172" s="61" t="s">
        <v>3441</v>
      </c>
      <c r="AN172" s="490"/>
      <c r="AO172" s="490"/>
      <c r="AP172" s="61"/>
    </row>
    <row r="173" spans="1:42" x14ac:dyDescent="0.2">
      <c r="A173" s="61">
        <v>172</v>
      </c>
      <c r="B173" s="491" t="s">
        <v>378</v>
      </c>
      <c r="C173" s="492" t="s">
        <v>3972</v>
      </c>
      <c r="D173" s="492" t="s">
        <v>3973</v>
      </c>
      <c r="E173" s="492" t="s">
        <v>748</v>
      </c>
      <c r="F173" s="492" t="s">
        <v>749</v>
      </c>
      <c r="G173" s="492" t="s">
        <v>34</v>
      </c>
      <c r="H173" s="492" t="s">
        <v>835</v>
      </c>
      <c r="I173" s="492" t="s">
        <v>1429</v>
      </c>
      <c r="J173" s="492" t="s">
        <v>613</v>
      </c>
      <c r="K173" s="492" t="s">
        <v>670</v>
      </c>
      <c r="L173" s="492" t="s">
        <v>3974</v>
      </c>
      <c r="M173" s="492">
        <v>13271</v>
      </c>
      <c r="N173" s="492" t="s">
        <v>3972</v>
      </c>
      <c r="O173" s="492" t="s">
        <v>305</v>
      </c>
      <c r="P173" s="492" t="s">
        <v>3975</v>
      </c>
      <c r="Q173" s="492" t="s">
        <v>833</v>
      </c>
      <c r="R173" s="492" t="s">
        <v>828</v>
      </c>
      <c r="S173" s="492" t="s">
        <v>1493</v>
      </c>
      <c r="T173" s="492">
        <v>8</v>
      </c>
      <c r="U173" s="492" t="s">
        <v>687</v>
      </c>
      <c r="V173" s="492" t="s">
        <v>2295</v>
      </c>
      <c r="W173" s="492" t="s">
        <v>3976</v>
      </c>
      <c r="X173" s="492" t="s">
        <v>829</v>
      </c>
      <c r="Y173" s="492" t="s">
        <v>108</v>
      </c>
      <c r="Z173" s="492" t="s">
        <v>108</v>
      </c>
      <c r="AA173" s="492" t="s">
        <v>108</v>
      </c>
      <c r="AB173" s="492" t="s">
        <v>34</v>
      </c>
      <c r="AC173" s="492" t="s">
        <v>830</v>
      </c>
      <c r="AD173" s="492" t="s">
        <v>831</v>
      </c>
      <c r="AE173" s="492" t="s">
        <v>612</v>
      </c>
      <c r="AF173" s="492">
        <v>1.7</v>
      </c>
      <c r="AG173" s="492">
        <v>1.1200000000000001</v>
      </c>
      <c r="AH173" s="492">
        <v>0.7</v>
      </c>
      <c r="AI173" s="492" t="s">
        <v>3977</v>
      </c>
      <c r="AJ173" s="492" t="s">
        <v>34</v>
      </c>
      <c r="AK173" s="492" t="s">
        <v>832</v>
      </c>
      <c r="AL173" s="492" t="s">
        <v>34</v>
      </c>
      <c r="AM173" s="61" t="s">
        <v>3441</v>
      </c>
      <c r="AN173" s="490"/>
      <c r="AO173" s="490"/>
      <c r="AP173" s="61"/>
    </row>
    <row r="174" spans="1:42" x14ac:dyDescent="0.2">
      <c r="A174" s="61">
        <v>173</v>
      </c>
      <c r="B174" s="491" t="s">
        <v>378</v>
      </c>
      <c r="C174" s="492" t="s">
        <v>4043</v>
      </c>
      <c r="D174" s="492" t="s">
        <v>4044</v>
      </c>
      <c r="E174" s="492" t="s">
        <v>748</v>
      </c>
      <c r="F174" s="492" t="s">
        <v>749</v>
      </c>
      <c r="G174" s="492" t="s">
        <v>34</v>
      </c>
      <c r="H174" s="492" t="s">
        <v>835</v>
      </c>
      <c r="I174" s="492" t="s">
        <v>1429</v>
      </c>
      <c r="J174" s="492" t="s">
        <v>613</v>
      </c>
      <c r="K174" s="492" t="s">
        <v>4045</v>
      </c>
      <c r="L174" s="492" t="s">
        <v>4046</v>
      </c>
      <c r="M174" s="492">
        <v>14835</v>
      </c>
      <c r="N174" s="492" t="s">
        <v>4043</v>
      </c>
      <c r="O174" s="492" t="s">
        <v>305</v>
      </c>
      <c r="P174" s="492" t="s">
        <v>4047</v>
      </c>
      <c r="Q174" s="492" t="s">
        <v>833</v>
      </c>
      <c r="R174" s="492" t="s">
        <v>828</v>
      </c>
      <c r="S174" s="492" t="s">
        <v>1493</v>
      </c>
      <c r="T174" s="492">
        <v>8</v>
      </c>
      <c r="U174" s="492" t="s">
        <v>687</v>
      </c>
      <c r="V174" s="492" t="s">
        <v>2295</v>
      </c>
      <c r="W174" s="492" t="s">
        <v>4048</v>
      </c>
      <c r="X174" s="492" t="s">
        <v>829</v>
      </c>
      <c r="Y174" s="492" t="s">
        <v>108</v>
      </c>
      <c r="Z174" s="492" t="s">
        <v>108</v>
      </c>
      <c r="AA174" s="492" t="s">
        <v>108</v>
      </c>
      <c r="AB174" s="492" t="s">
        <v>34</v>
      </c>
      <c r="AC174" s="492" t="s">
        <v>830</v>
      </c>
      <c r="AD174" s="492" t="s">
        <v>831</v>
      </c>
      <c r="AE174" s="492" t="s">
        <v>612</v>
      </c>
      <c r="AF174" s="492" t="s">
        <v>2054</v>
      </c>
      <c r="AG174" s="492" t="s">
        <v>34</v>
      </c>
      <c r="AH174" s="492" t="s">
        <v>34</v>
      </c>
      <c r="AI174" s="492" t="s">
        <v>34</v>
      </c>
      <c r="AJ174" s="492" t="s">
        <v>34</v>
      </c>
      <c r="AK174" s="492" t="s">
        <v>832</v>
      </c>
      <c r="AL174" s="492" t="s">
        <v>34</v>
      </c>
      <c r="AM174" s="61" t="s">
        <v>3441</v>
      </c>
      <c r="AN174" s="490"/>
      <c r="AO174" s="490"/>
      <c r="AP174" s="61"/>
    </row>
    <row r="175" spans="1:42" x14ac:dyDescent="0.2">
      <c r="A175" s="61">
        <v>174</v>
      </c>
      <c r="B175" s="491" t="s">
        <v>378</v>
      </c>
      <c r="C175" s="492" t="s">
        <v>4049</v>
      </c>
      <c r="D175" s="492" t="s">
        <v>4050</v>
      </c>
      <c r="E175" s="492" t="s">
        <v>748</v>
      </c>
      <c r="F175" s="492" t="s">
        <v>749</v>
      </c>
      <c r="G175" s="492" t="s">
        <v>34</v>
      </c>
      <c r="H175" s="492" t="s">
        <v>835</v>
      </c>
      <c r="I175" s="492" t="s">
        <v>4270</v>
      </c>
      <c r="J175" s="492" t="s">
        <v>1447</v>
      </c>
      <c r="K175" s="492" t="s">
        <v>4051</v>
      </c>
      <c r="L175" s="492" t="s">
        <v>4052</v>
      </c>
      <c r="M175" s="492" t="s">
        <v>4053</v>
      </c>
      <c r="N175" s="492" t="s">
        <v>4049</v>
      </c>
      <c r="O175" s="492" t="s">
        <v>305</v>
      </c>
      <c r="P175" s="492" t="s">
        <v>4054</v>
      </c>
      <c r="Q175" s="492" t="s">
        <v>4055</v>
      </c>
      <c r="R175" s="492" t="s">
        <v>929</v>
      </c>
      <c r="S175" s="492" t="s">
        <v>1451</v>
      </c>
      <c r="T175" s="492">
        <v>1.04</v>
      </c>
      <c r="U175" s="492" t="s">
        <v>687</v>
      </c>
      <c r="V175" s="492" t="s">
        <v>4052</v>
      </c>
      <c r="W175" s="492" t="s">
        <v>4053</v>
      </c>
      <c r="X175" s="492" t="s">
        <v>4056</v>
      </c>
      <c r="Y175" s="492" t="s">
        <v>108</v>
      </c>
      <c r="Z175" s="492" t="s">
        <v>108</v>
      </c>
      <c r="AA175" s="492" t="s">
        <v>108</v>
      </c>
      <c r="AB175" s="492" t="s">
        <v>3353</v>
      </c>
      <c r="AC175" s="492" t="s">
        <v>830</v>
      </c>
      <c r="AD175" s="492" t="s">
        <v>831</v>
      </c>
      <c r="AE175" s="492" t="s">
        <v>612</v>
      </c>
      <c r="AF175" s="492" t="s">
        <v>2054</v>
      </c>
      <c r="AG175" s="492" t="s">
        <v>34</v>
      </c>
      <c r="AH175" s="492" t="s">
        <v>34</v>
      </c>
      <c r="AI175" s="492" t="s">
        <v>34</v>
      </c>
      <c r="AJ175" s="492" t="s">
        <v>34</v>
      </c>
      <c r="AK175" s="492" t="s">
        <v>832</v>
      </c>
      <c r="AL175" s="492" t="s">
        <v>34</v>
      </c>
      <c r="AM175" s="61" t="s">
        <v>3441</v>
      </c>
      <c r="AN175" s="490"/>
      <c r="AO175" s="490"/>
      <c r="AP175" s="61"/>
    </row>
    <row r="176" spans="1:42" x14ac:dyDescent="0.2">
      <c r="A176" s="61">
        <v>175</v>
      </c>
      <c r="B176" s="491" t="s">
        <v>378</v>
      </c>
      <c r="C176" s="492" t="s">
        <v>3703</v>
      </c>
      <c r="D176" s="492" t="s">
        <v>3704</v>
      </c>
      <c r="E176" s="492" t="s">
        <v>3705</v>
      </c>
      <c r="F176" s="492" t="s">
        <v>3706</v>
      </c>
      <c r="G176" s="492" t="s">
        <v>34</v>
      </c>
      <c r="H176" s="492" t="s">
        <v>835</v>
      </c>
      <c r="I176" s="492" t="s">
        <v>4270</v>
      </c>
      <c r="J176" s="492" t="s">
        <v>613</v>
      </c>
      <c r="K176" s="492" t="s">
        <v>3707</v>
      </c>
      <c r="L176" s="492" t="s">
        <v>1176</v>
      </c>
      <c r="M176" s="492">
        <v>851899</v>
      </c>
      <c r="N176" s="492" t="s">
        <v>3703</v>
      </c>
      <c r="O176" s="492" t="s">
        <v>3708</v>
      </c>
      <c r="P176" s="492" t="s">
        <v>2208</v>
      </c>
      <c r="Q176" s="492" t="s">
        <v>2209</v>
      </c>
      <c r="R176" s="492" t="s">
        <v>3709</v>
      </c>
      <c r="S176" s="492" t="s">
        <v>3710</v>
      </c>
      <c r="T176" s="492">
        <v>2.75</v>
      </c>
      <c r="U176" s="492" t="s">
        <v>687</v>
      </c>
      <c r="V176" s="492" t="s">
        <v>3711</v>
      </c>
      <c r="W176" s="492" t="s">
        <v>3712</v>
      </c>
      <c r="X176" s="492" t="s">
        <v>2016</v>
      </c>
      <c r="Y176" s="492" t="s">
        <v>108</v>
      </c>
      <c r="Z176" s="492" t="s">
        <v>108</v>
      </c>
      <c r="AA176" s="492" t="s">
        <v>108</v>
      </c>
      <c r="AB176" s="492" t="s">
        <v>3713</v>
      </c>
      <c r="AC176" s="492" t="s">
        <v>3084</v>
      </c>
      <c r="AD176" s="492" t="s">
        <v>3714</v>
      </c>
      <c r="AE176" s="492" t="s">
        <v>612</v>
      </c>
      <c r="AF176" s="492" t="s">
        <v>108</v>
      </c>
      <c r="AG176" s="492" t="s">
        <v>108</v>
      </c>
      <c r="AH176" s="492" t="s">
        <v>108</v>
      </c>
      <c r="AI176" s="492" t="s">
        <v>108</v>
      </c>
      <c r="AJ176" s="492" t="s">
        <v>108</v>
      </c>
      <c r="AK176" s="492" t="s">
        <v>832</v>
      </c>
      <c r="AL176" s="492" t="s">
        <v>108</v>
      </c>
      <c r="AM176" s="61" t="s">
        <v>3444</v>
      </c>
      <c r="AN176" s="490"/>
      <c r="AO176" s="490"/>
      <c r="AP176" s="61"/>
    </row>
    <row r="177" spans="1:42" x14ac:dyDescent="0.2">
      <c r="A177" s="61">
        <v>176</v>
      </c>
      <c r="B177" s="491" t="s">
        <v>378</v>
      </c>
      <c r="C177" s="492" t="s">
        <v>4168</v>
      </c>
      <c r="D177" s="492" t="s">
        <v>4169</v>
      </c>
      <c r="E177" s="492" t="s">
        <v>748</v>
      </c>
      <c r="F177" s="492" t="s">
        <v>749</v>
      </c>
      <c r="G177" s="492" t="s">
        <v>34</v>
      </c>
      <c r="H177" s="492" t="s">
        <v>835</v>
      </c>
      <c r="I177" s="492" t="s">
        <v>1429</v>
      </c>
      <c r="J177" s="492" t="s">
        <v>613</v>
      </c>
      <c r="K177" s="492" t="s">
        <v>4168</v>
      </c>
      <c r="L177" s="492" t="s">
        <v>4170</v>
      </c>
      <c r="M177" s="492">
        <v>141000305</v>
      </c>
      <c r="N177" s="492" t="s">
        <v>4171</v>
      </c>
      <c r="O177" s="492" t="s">
        <v>1106</v>
      </c>
      <c r="P177" s="492" t="s">
        <v>4172</v>
      </c>
      <c r="Q177" s="492" t="s">
        <v>1438</v>
      </c>
      <c r="R177" s="492" t="s">
        <v>828</v>
      </c>
      <c r="S177" s="492" t="s">
        <v>4173</v>
      </c>
      <c r="T177" s="492">
        <v>3.41</v>
      </c>
      <c r="U177" s="492" t="s">
        <v>687</v>
      </c>
      <c r="V177" s="492" t="s">
        <v>4174</v>
      </c>
      <c r="W177" s="492">
        <v>141000305</v>
      </c>
      <c r="X177" s="492" t="s">
        <v>1441</v>
      </c>
      <c r="Y177" s="492" t="s">
        <v>4174</v>
      </c>
      <c r="Z177" s="492">
        <v>141000305</v>
      </c>
      <c r="AA177" s="492" t="s">
        <v>1441</v>
      </c>
      <c r="AB177" s="492" t="s">
        <v>4175</v>
      </c>
      <c r="AC177" s="492" t="s">
        <v>830</v>
      </c>
      <c r="AD177" s="492" t="s">
        <v>3766</v>
      </c>
      <c r="AE177" s="492" t="s">
        <v>612</v>
      </c>
      <c r="AF177" s="492" t="s">
        <v>2054</v>
      </c>
      <c r="AG177" s="492" t="s">
        <v>34</v>
      </c>
      <c r="AH177" s="492" t="s">
        <v>34</v>
      </c>
      <c r="AI177" s="492" t="s">
        <v>34</v>
      </c>
      <c r="AJ177" s="492" t="s">
        <v>34</v>
      </c>
      <c r="AK177" s="492" t="s">
        <v>832</v>
      </c>
      <c r="AL177" s="492" t="s">
        <v>34</v>
      </c>
      <c r="AM177" s="61" t="s">
        <v>3441</v>
      </c>
      <c r="AN177" s="490">
        <v>0</v>
      </c>
      <c r="AO177" s="490">
        <v>0</v>
      </c>
      <c r="AP177" s="61"/>
    </row>
    <row r="178" spans="1:42" x14ac:dyDescent="0.2">
      <c r="A178" s="61">
        <v>177</v>
      </c>
      <c r="B178" s="491" t="s">
        <v>2408</v>
      </c>
      <c r="C178" s="492" t="s">
        <v>670</v>
      </c>
      <c r="D178" s="492" t="s">
        <v>2739</v>
      </c>
      <c r="E178" s="492" t="s">
        <v>2409</v>
      </c>
      <c r="F178" s="492" t="s">
        <v>2410</v>
      </c>
      <c r="G178" s="492" t="s">
        <v>34</v>
      </c>
      <c r="H178" s="492" t="s">
        <v>835</v>
      </c>
      <c r="I178" s="492" t="s">
        <v>4270</v>
      </c>
      <c r="J178" s="492" t="s">
        <v>1447</v>
      </c>
      <c r="K178" s="492" t="s">
        <v>839</v>
      </c>
      <c r="L178" s="492" t="s">
        <v>1198</v>
      </c>
      <c r="M178" s="492" t="s">
        <v>2411</v>
      </c>
      <c r="N178" s="492" t="s">
        <v>648</v>
      </c>
      <c r="O178" s="492" t="s">
        <v>305</v>
      </c>
      <c r="P178" s="492" t="s">
        <v>894</v>
      </c>
      <c r="Q178" s="492" t="s">
        <v>911</v>
      </c>
      <c r="R178" s="492" t="s">
        <v>892</v>
      </c>
      <c r="S178" s="492" t="s">
        <v>2412</v>
      </c>
      <c r="T178" s="492">
        <v>15.6</v>
      </c>
      <c r="U178" s="492" t="s">
        <v>687</v>
      </c>
      <c r="V178" s="492" t="s">
        <v>2413</v>
      </c>
      <c r="W178" s="492" t="s">
        <v>2414</v>
      </c>
      <c r="X178" s="492" t="s">
        <v>829</v>
      </c>
      <c r="Y178" s="492" t="s">
        <v>2415</v>
      </c>
      <c r="Z178" s="492" t="s">
        <v>2416</v>
      </c>
      <c r="AA178" s="492" t="s">
        <v>829</v>
      </c>
      <c r="AB178" s="492" t="s">
        <v>34</v>
      </c>
      <c r="AC178" s="492" t="s">
        <v>830</v>
      </c>
      <c r="AD178" s="492" t="s">
        <v>831</v>
      </c>
      <c r="AE178" s="492" t="s">
        <v>612</v>
      </c>
      <c r="AF178" s="492" t="s">
        <v>2054</v>
      </c>
      <c r="AG178" s="492" t="s">
        <v>34</v>
      </c>
      <c r="AH178" s="492" t="s">
        <v>34</v>
      </c>
      <c r="AI178" s="492" t="s">
        <v>34</v>
      </c>
      <c r="AJ178" s="492" t="s">
        <v>34</v>
      </c>
      <c r="AK178" s="492" t="s">
        <v>832</v>
      </c>
      <c r="AL178" s="492" t="s">
        <v>34</v>
      </c>
      <c r="AM178" s="61" t="s">
        <v>3441</v>
      </c>
      <c r="AN178" s="490">
        <v>0</v>
      </c>
      <c r="AO178" s="490">
        <v>0</v>
      </c>
      <c r="AP178" s="61"/>
    </row>
    <row r="179" spans="1:42" x14ac:dyDescent="0.2">
      <c r="A179" s="61">
        <v>178</v>
      </c>
      <c r="B179" s="491" t="s">
        <v>381</v>
      </c>
      <c r="C179" s="492" t="s">
        <v>382</v>
      </c>
      <c r="D179" s="492" t="s">
        <v>3587</v>
      </c>
      <c r="E179" s="492" t="s">
        <v>3588</v>
      </c>
      <c r="F179" s="492" t="s">
        <v>3589</v>
      </c>
      <c r="G179" s="492" t="s">
        <v>34</v>
      </c>
      <c r="H179" s="492" t="s">
        <v>835</v>
      </c>
      <c r="I179" s="492" t="s">
        <v>4270</v>
      </c>
      <c r="J179" s="492" t="s">
        <v>613</v>
      </c>
      <c r="K179" s="492" t="s">
        <v>3590</v>
      </c>
      <c r="L179" s="492" t="s">
        <v>3591</v>
      </c>
      <c r="M179" s="492" t="s">
        <v>3592</v>
      </c>
      <c r="N179" s="492" t="s">
        <v>3593</v>
      </c>
      <c r="O179" s="492" t="s">
        <v>305</v>
      </c>
      <c r="P179" s="492" t="s">
        <v>3594</v>
      </c>
      <c r="Q179" s="492" t="s">
        <v>911</v>
      </c>
      <c r="R179" s="492" t="s">
        <v>828</v>
      </c>
      <c r="S179" s="492" t="s">
        <v>3595</v>
      </c>
      <c r="T179" s="492">
        <v>13.125</v>
      </c>
      <c r="U179" s="492" t="s">
        <v>858</v>
      </c>
      <c r="V179" s="492" t="s">
        <v>3596</v>
      </c>
      <c r="W179" s="492" t="s">
        <v>3597</v>
      </c>
      <c r="X179" s="492" t="s">
        <v>829</v>
      </c>
      <c r="Y179" s="492" t="s">
        <v>108</v>
      </c>
      <c r="Z179" s="492" t="s">
        <v>108</v>
      </c>
      <c r="AA179" s="492" t="s">
        <v>108</v>
      </c>
      <c r="AB179" s="492" t="s">
        <v>34</v>
      </c>
      <c r="AC179" s="492" t="s">
        <v>830</v>
      </c>
      <c r="AD179" s="492" t="s">
        <v>3145</v>
      </c>
      <c r="AE179" s="492" t="s">
        <v>612</v>
      </c>
      <c r="AF179" s="492" t="s">
        <v>2054</v>
      </c>
      <c r="AG179" s="492" t="s">
        <v>34</v>
      </c>
      <c r="AH179" s="492" t="s">
        <v>34</v>
      </c>
      <c r="AI179" s="492" t="s">
        <v>34</v>
      </c>
      <c r="AJ179" s="492" t="s">
        <v>34</v>
      </c>
      <c r="AK179" s="492" t="s">
        <v>832</v>
      </c>
      <c r="AL179" s="492" t="s">
        <v>34</v>
      </c>
      <c r="AM179" s="61" t="s">
        <v>3442</v>
      </c>
      <c r="AN179" s="490"/>
      <c r="AO179" s="490"/>
      <c r="AP179" s="61"/>
    </row>
    <row r="180" spans="1:42" x14ac:dyDescent="0.2">
      <c r="A180" s="61">
        <v>179</v>
      </c>
      <c r="B180" s="491" t="s">
        <v>4114</v>
      </c>
      <c r="C180" s="492" t="s">
        <v>4131</v>
      </c>
      <c r="D180" s="492" t="s">
        <v>4132</v>
      </c>
      <c r="E180" s="492" t="s">
        <v>4115</v>
      </c>
      <c r="F180" s="492" t="s">
        <v>4116</v>
      </c>
      <c r="G180" s="492"/>
      <c r="H180" s="492" t="s">
        <v>835</v>
      </c>
      <c r="I180" s="492" t="s">
        <v>4270</v>
      </c>
      <c r="J180" s="492" t="s">
        <v>823</v>
      </c>
      <c r="K180" s="492" t="s">
        <v>4131</v>
      </c>
      <c r="L180" s="492" t="s">
        <v>4118</v>
      </c>
      <c r="M180" s="492" t="s">
        <v>4119</v>
      </c>
      <c r="N180" s="492" t="s">
        <v>4133</v>
      </c>
      <c r="O180" s="492" t="s">
        <v>4288</v>
      </c>
      <c r="P180" s="492" t="s">
        <v>1426</v>
      </c>
      <c r="Q180" s="492" t="s">
        <v>833</v>
      </c>
      <c r="R180" s="492" t="s">
        <v>1002</v>
      </c>
      <c r="S180" s="492" t="s">
        <v>4120</v>
      </c>
      <c r="T180" s="492">
        <v>26.8125</v>
      </c>
      <c r="U180" s="492" t="s">
        <v>857</v>
      </c>
      <c r="V180" s="492" t="s">
        <v>4134</v>
      </c>
      <c r="W180" s="492">
        <v>63613055</v>
      </c>
      <c r="X180" s="492" t="s">
        <v>4122</v>
      </c>
      <c r="Y180" s="492" t="s">
        <v>4123</v>
      </c>
      <c r="Z180" s="492" t="s">
        <v>4124</v>
      </c>
      <c r="AA180" s="492" t="s">
        <v>4122</v>
      </c>
      <c r="AB180" s="492" t="s">
        <v>34</v>
      </c>
      <c r="AC180" s="492" t="s">
        <v>830</v>
      </c>
      <c r="AD180" s="492" t="s">
        <v>4125</v>
      </c>
      <c r="AE180" s="492" t="s">
        <v>4126</v>
      </c>
      <c r="AF180" s="492">
        <v>6</v>
      </c>
      <c r="AG180" s="492">
        <v>64</v>
      </c>
      <c r="AH180" s="492">
        <v>15</v>
      </c>
      <c r="AI180" s="492" t="s">
        <v>34</v>
      </c>
      <c r="AJ180" s="492" t="s">
        <v>34</v>
      </c>
      <c r="AK180" s="492" t="s">
        <v>832</v>
      </c>
      <c r="AL180" s="492" t="s">
        <v>4129</v>
      </c>
      <c r="AM180" s="61" t="s">
        <v>3444</v>
      </c>
      <c r="AN180" s="490"/>
      <c r="AO180" s="490"/>
      <c r="AP180" s="61"/>
    </row>
    <row r="181" spans="1:42" x14ac:dyDescent="0.2">
      <c r="A181" s="61">
        <v>180</v>
      </c>
      <c r="B181" s="491" t="s">
        <v>4114</v>
      </c>
      <c r="C181" s="492" t="s">
        <v>436</v>
      </c>
      <c r="D181" s="492" t="s">
        <v>4135</v>
      </c>
      <c r="E181" s="492" t="s">
        <v>4115</v>
      </c>
      <c r="F181" s="492" t="s">
        <v>4116</v>
      </c>
      <c r="G181" s="492" t="s">
        <v>3381</v>
      </c>
      <c r="H181" s="492" t="s">
        <v>835</v>
      </c>
      <c r="I181" s="492" t="s">
        <v>4270</v>
      </c>
      <c r="J181" s="492" t="s">
        <v>823</v>
      </c>
      <c r="K181" s="492" t="s">
        <v>436</v>
      </c>
      <c r="L181" s="492" t="s">
        <v>4118</v>
      </c>
      <c r="M181" s="493" t="s">
        <v>4136</v>
      </c>
      <c r="N181" s="492" t="s">
        <v>4137</v>
      </c>
      <c r="O181" s="492" t="s">
        <v>4288</v>
      </c>
      <c r="P181" s="492" t="s">
        <v>1426</v>
      </c>
      <c r="Q181" s="492" t="s">
        <v>833</v>
      </c>
      <c r="R181" s="492" t="s">
        <v>1002</v>
      </c>
      <c r="S181" s="492" t="s">
        <v>4120</v>
      </c>
      <c r="T181" s="492">
        <v>26.8125</v>
      </c>
      <c r="U181" s="492" t="s">
        <v>857</v>
      </c>
      <c r="V181" s="492" t="s">
        <v>4134</v>
      </c>
      <c r="W181" s="492">
        <v>63613055</v>
      </c>
      <c r="X181" s="492" t="s">
        <v>4122</v>
      </c>
      <c r="Y181" s="492" t="s">
        <v>4123</v>
      </c>
      <c r="Z181" s="492" t="s">
        <v>4124</v>
      </c>
      <c r="AA181" s="492" t="s">
        <v>4122</v>
      </c>
      <c r="AB181" s="492" t="s">
        <v>34</v>
      </c>
      <c r="AC181" s="492" t="s">
        <v>830</v>
      </c>
      <c r="AD181" s="492" t="s">
        <v>4125</v>
      </c>
      <c r="AE181" s="492" t="s">
        <v>4126</v>
      </c>
      <c r="AF181" s="492">
        <v>17</v>
      </c>
      <c r="AG181" s="492">
        <v>40</v>
      </c>
      <c r="AH181" s="492">
        <v>13</v>
      </c>
      <c r="AI181" s="492" t="s">
        <v>4138</v>
      </c>
      <c r="AJ181" s="492" t="s">
        <v>34</v>
      </c>
      <c r="AK181" s="492" t="s">
        <v>832</v>
      </c>
      <c r="AL181" s="492" t="s">
        <v>34</v>
      </c>
      <c r="AM181" s="61" t="s">
        <v>3444</v>
      </c>
      <c r="AN181" s="490"/>
      <c r="AO181" s="490"/>
      <c r="AP181" s="61"/>
    </row>
    <row r="182" spans="1:42" x14ac:dyDescent="0.2">
      <c r="A182" s="61">
        <v>181</v>
      </c>
      <c r="B182" s="491" t="s">
        <v>4114</v>
      </c>
      <c r="C182" s="492" t="s">
        <v>4117</v>
      </c>
      <c r="D182" s="492" t="s">
        <v>4130</v>
      </c>
      <c r="E182" s="492" t="s">
        <v>4115</v>
      </c>
      <c r="F182" s="492" t="s">
        <v>4116</v>
      </c>
      <c r="G182" s="492"/>
      <c r="H182" s="492" t="s">
        <v>835</v>
      </c>
      <c r="I182" s="492" t="s">
        <v>4270</v>
      </c>
      <c r="J182" s="492" t="s">
        <v>823</v>
      </c>
      <c r="K182" s="492" t="s">
        <v>4117</v>
      </c>
      <c r="L182" s="492" t="s">
        <v>4118</v>
      </c>
      <c r="M182" s="492" t="s">
        <v>4119</v>
      </c>
      <c r="N182" s="492" t="s">
        <v>4117</v>
      </c>
      <c r="O182" s="492" t="s">
        <v>4288</v>
      </c>
      <c r="P182" s="492" t="s">
        <v>1426</v>
      </c>
      <c r="Q182" s="492" t="s">
        <v>833</v>
      </c>
      <c r="R182" s="492" t="s">
        <v>1002</v>
      </c>
      <c r="S182" s="492" t="s">
        <v>4120</v>
      </c>
      <c r="T182" s="492">
        <v>26.8125</v>
      </c>
      <c r="U182" s="492" t="s">
        <v>857</v>
      </c>
      <c r="V182" s="492" t="s">
        <v>4121</v>
      </c>
      <c r="W182" s="492">
        <v>63619041</v>
      </c>
      <c r="X182" s="492" t="s">
        <v>4122</v>
      </c>
      <c r="Y182" s="492" t="s">
        <v>4123</v>
      </c>
      <c r="Z182" s="492" t="s">
        <v>4124</v>
      </c>
      <c r="AA182" s="492" t="s">
        <v>4122</v>
      </c>
      <c r="AB182" s="492" t="s">
        <v>34</v>
      </c>
      <c r="AC182" s="492" t="s">
        <v>830</v>
      </c>
      <c r="AD182" s="492" t="s">
        <v>4125</v>
      </c>
      <c r="AE182" s="492" t="s">
        <v>4126</v>
      </c>
      <c r="AF182" s="492">
        <v>17</v>
      </c>
      <c r="AG182" s="492">
        <v>40</v>
      </c>
      <c r="AH182" s="492">
        <v>13</v>
      </c>
      <c r="AI182" s="492" t="s">
        <v>4127</v>
      </c>
      <c r="AJ182" s="492" t="s">
        <v>4128</v>
      </c>
      <c r="AK182" s="492" t="s">
        <v>832</v>
      </c>
      <c r="AL182" s="492" t="s">
        <v>4129</v>
      </c>
      <c r="AM182" s="61" t="s">
        <v>3444</v>
      </c>
      <c r="AN182" s="490"/>
      <c r="AO182" s="490"/>
      <c r="AP182" s="61"/>
    </row>
    <row r="183" spans="1:42" x14ac:dyDescent="0.2">
      <c r="A183" s="61">
        <v>182</v>
      </c>
      <c r="B183" s="491" t="s">
        <v>383</v>
      </c>
      <c r="C183" s="492" t="s">
        <v>385</v>
      </c>
      <c r="D183" s="492" t="s">
        <v>2740</v>
      </c>
      <c r="E183" s="492" t="s">
        <v>750</v>
      </c>
      <c r="F183" s="492" t="s">
        <v>715</v>
      </c>
      <c r="G183" s="492" t="s">
        <v>34</v>
      </c>
      <c r="H183" s="492" t="s">
        <v>835</v>
      </c>
      <c r="I183" s="492" t="s">
        <v>4284</v>
      </c>
      <c r="J183" s="492" t="s">
        <v>1447</v>
      </c>
      <c r="K183" s="492" t="s">
        <v>1482</v>
      </c>
      <c r="L183" s="492" t="s">
        <v>950</v>
      </c>
      <c r="M183" s="493" t="s">
        <v>1483</v>
      </c>
      <c r="N183" s="492" t="s">
        <v>385</v>
      </c>
      <c r="O183" s="492" t="s">
        <v>3822</v>
      </c>
      <c r="P183" s="492" t="s">
        <v>3532</v>
      </c>
      <c r="Q183" s="492" t="s">
        <v>898</v>
      </c>
      <c r="R183" s="492" t="s">
        <v>828</v>
      </c>
      <c r="S183" s="492" t="s">
        <v>3823</v>
      </c>
      <c r="T183" s="492">
        <v>1056</v>
      </c>
      <c r="U183" s="492" t="s">
        <v>858</v>
      </c>
      <c r="V183" s="492" t="s">
        <v>1467</v>
      </c>
      <c r="W183" s="492">
        <v>1281</v>
      </c>
      <c r="X183" s="492" t="s">
        <v>1470</v>
      </c>
      <c r="Y183" s="492" t="s">
        <v>1471</v>
      </c>
      <c r="Z183" s="492" t="s">
        <v>1472</v>
      </c>
      <c r="AA183" s="492" t="s">
        <v>829</v>
      </c>
      <c r="AB183" s="492" t="s">
        <v>3824</v>
      </c>
      <c r="AC183" s="492" t="s">
        <v>830</v>
      </c>
      <c r="AD183" s="492" t="s">
        <v>831</v>
      </c>
      <c r="AE183" s="492" t="s">
        <v>612</v>
      </c>
      <c r="AF183" s="492">
        <v>5</v>
      </c>
      <c r="AG183" s="492">
        <v>240</v>
      </c>
      <c r="AH183" s="492">
        <v>60</v>
      </c>
      <c r="AI183" s="492" t="s">
        <v>34</v>
      </c>
      <c r="AJ183" s="492" t="s">
        <v>34</v>
      </c>
      <c r="AK183" s="492" t="s">
        <v>832</v>
      </c>
      <c r="AL183" s="492" t="s">
        <v>34</v>
      </c>
      <c r="AM183" s="61" t="s">
        <v>3441</v>
      </c>
      <c r="AN183" s="490">
        <v>0</v>
      </c>
      <c r="AO183" s="490">
        <v>0</v>
      </c>
      <c r="AP183" s="61"/>
    </row>
    <row r="184" spans="1:42" x14ac:dyDescent="0.2">
      <c r="A184" s="61">
        <v>183</v>
      </c>
      <c r="B184" s="491" t="s">
        <v>383</v>
      </c>
      <c r="C184" s="492" t="s">
        <v>386</v>
      </c>
      <c r="D184" s="492" t="s">
        <v>2741</v>
      </c>
      <c r="E184" s="492" t="s">
        <v>750</v>
      </c>
      <c r="F184" s="492" t="s">
        <v>715</v>
      </c>
      <c r="G184" s="492" t="s">
        <v>34</v>
      </c>
      <c r="H184" s="492" t="s">
        <v>835</v>
      </c>
      <c r="I184" s="492" t="s">
        <v>4284</v>
      </c>
      <c r="J184" s="492" t="s">
        <v>1103</v>
      </c>
      <c r="K184" s="492" t="s">
        <v>1480</v>
      </c>
      <c r="L184" s="492" t="s">
        <v>950</v>
      </c>
      <c r="M184" s="493" t="s">
        <v>1481</v>
      </c>
      <c r="N184" s="492" t="s">
        <v>386</v>
      </c>
      <c r="O184" s="492" t="s">
        <v>3822</v>
      </c>
      <c r="P184" s="492" t="s">
        <v>3533</v>
      </c>
      <c r="Q184" s="492" t="s">
        <v>898</v>
      </c>
      <c r="R184" s="492" t="s">
        <v>828</v>
      </c>
      <c r="S184" s="492" t="s">
        <v>3823</v>
      </c>
      <c r="T184" s="492">
        <v>1056</v>
      </c>
      <c r="U184" s="492" t="s">
        <v>858</v>
      </c>
      <c r="V184" s="492" t="s">
        <v>1467</v>
      </c>
      <c r="W184" s="492">
        <v>1280</v>
      </c>
      <c r="X184" s="492" t="s">
        <v>1470</v>
      </c>
      <c r="Y184" s="492" t="s">
        <v>1471</v>
      </c>
      <c r="Z184" s="492" t="s">
        <v>1472</v>
      </c>
      <c r="AA184" s="492" t="s">
        <v>829</v>
      </c>
      <c r="AB184" s="492" t="s">
        <v>3825</v>
      </c>
      <c r="AC184" s="492" t="s">
        <v>830</v>
      </c>
      <c r="AD184" s="492" t="s">
        <v>831</v>
      </c>
      <c r="AE184" s="492" t="s">
        <v>612</v>
      </c>
      <c r="AF184" s="492">
        <v>5</v>
      </c>
      <c r="AG184" s="492">
        <v>240</v>
      </c>
      <c r="AH184" s="492">
        <v>60</v>
      </c>
      <c r="AI184" s="492" t="s">
        <v>34</v>
      </c>
      <c r="AJ184" s="492" t="s">
        <v>34</v>
      </c>
      <c r="AK184" s="492" t="s">
        <v>832</v>
      </c>
      <c r="AL184" s="492" t="s">
        <v>34</v>
      </c>
      <c r="AM184" s="61" t="s">
        <v>3441</v>
      </c>
      <c r="AN184" s="490">
        <v>0</v>
      </c>
      <c r="AO184" s="490">
        <v>0</v>
      </c>
      <c r="AP184" s="61"/>
    </row>
    <row r="185" spans="1:42" x14ac:dyDescent="0.2">
      <c r="A185" s="61">
        <v>184</v>
      </c>
      <c r="B185" s="491" t="s">
        <v>383</v>
      </c>
      <c r="C185" s="492" t="s">
        <v>384</v>
      </c>
      <c r="D185" s="492" t="s">
        <v>2742</v>
      </c>
      <c r="E185" s="492" t="s">
        <v>750</v>
      </c>
      <c r="F185" s="492" t="s">
        <v>715</v>
      </c>
      <c r="G185" s="492" t="s">
        <v>34</v>
      </c>
      <c r="H185" s="492" t="s">
        <v>835</v>
      </c>
      <c r="I185" s="492" t="s">
        <v>4284</v>
      </c>
      <c r="J185" s="492" t="s">
        <v>1103</v>
      </c>
      <c r="K185" s="492" t="s">
        <v>1485</v>
      </c>
      <c r="L185" s="492" t="s">
        <v>950</v>
      </c>
      <c r="M185" s="493" t="s">
        <v>1486</v>
      </c>
      <c r="N185" s="492" t="s">
        <v>384</v>
      </c>
      <c r="O185" s="492" t="s">
        <v>3822</v>
      </c>
      <c r="P185" s="492" t="s">
        <v>986</v>
      </c>
      <c r="Q185" s="492" t="s">
        <v>898</v>
      </c>
      <c r="R185" s="492" t="s">
        <v>828</v>
      </c>
      <c r="S185" s="492" t="s">
        <v>3823</v>
      </c>
      <c r="T185" s="492">
        <v>1056</v>
      </c>
      <c r="U185" s="492" t="s">
        <v>858</v>
      </c>
      <c r="V185" s="492" t="s">
        <v>1467</v>
      </c>
      <c r="W185" s="492">
        <v>15590</v>
      </c>
      <c r="X185" s="492" t="s">
        <v>1470</v>
      </c>
      <c r="Y185" s="492" t="s">
        <v>1471</v>
      </c>
      <c r="Z185" s="492" t="s">
        <v>1472</v>
      </c>
      <c r="AA185" s="492" t="s">
        <v>829</v>
      </c>
      <c r="AB185" s="492" t="s">
        <v>3826</v>
      </c>
      <c r="AC185" s="492" t="s">
        <v>830</v>
      </c>
      <c r="AD185" s="492" t="s">
        <v>831</v>
      </c>
      <c r="AE185" s="492" t="s">
        <v>612</v>
      </c>
      <c r="AF185" s="492" t="s">
        <v>2054</v>
      </c>
      <c r="AG185" s="492" t="s">
        <v>34</v>
      </c>
      <c r="AH185" s="492" t="s">
        <v>34</v>
      </c>
      <c r="AI185" s="492" t="s">
        <v>34</v>
      </c>
      <c r="AJ185" s="492" t="s">
        <v>34</v>
      </c>
      <c r="AK185" s="492" t="s">
        <v>832</v>
      </c>
      <c r="AL185" s="492" t="s">
        <v>34</v>
      </c>
      <c r="AM185" s="61" t="s">
        <v>3441</v>
      </c>
      <c r="AN185" s="490">
        <v>0</v>
      </c>
      <c r="AO185" s="490">
        <v>0</v>
      </c>
      <c r="AP185" s="61"/>
    </row>
    <row r="186" spans="1:42" x14ac:dyDescent="0.2">
      <c r="A186" s="61">
        <v>185</v>
      </c>
      <c r="B186" s="491" t="s">
        <v>383</v>
      </c>
      <c r="C186" s="492" t="s">
        <v>388</v>
      </c>
      <c r="D186" s="492" t="s">
        <v>2743</v>
      </c>
      <c r="E186" s="492" t="s">
        <v>750</v>
      </c>
      <c r="F186" s="492" t="s">
        <v>715</v>
      </c>
      <c r="G186" s="492" t="s">
        <v>34</v>
      </c>
      <c r="H186" s="492" t="s">
        <v>835</v>
      </c>
      <c r="I186" s="492" t="s">
        <v>4284</v>
      </c>
      <c r="J186" s="492" t="s">
        <v>1103</v>
      </c>
      <c r="K186" s="492" t="s">
        <v>1473</v>
      </c>
      <c r="L186" s="492" t="s">
        <v>950</v>
      </c>
      <c r="M186" s="492" t="s">
        <v>1474</v>
      </c>
      <c r="N186" s="492" t="s">
        <v>388</v>
      </c>
      <c r="O186" s="492" t="s">
        <v>3822</v>
      </c>
      <c r="P186" s="492" t="s">
        <v>1475</v>
      </c>
      <c r="Q186" s="492" t="s">
        <v>898</v>
      </c>
      <c r="R186" s="492" t="s">
        <v>828</v>
      </c>
      <c r="S186" s="492" t="s">
        <v>3823</v>
      </c>
      <c r="T186" s="492">
        <v>1056</v>
      </c>
      <c r="U186" s="492" t="s">
        <v>858</v>
      </c>
      <c r="V186" s="492" t="s">
        <v>1467</v>
      </c>
      <c r="W186" s="492">
        <v>996</v>
      </c>
      <c r="X186" s="492" t="s">
        <v>1470</v>
      </c>
      <c r="Y186" s="492" t="s">
        <v>1471</v>
      </c>
      <c r="Z186" s="492" t="s">
        <v>1472</v>
      </c>
      <c r="AA186" s="492" t="s">
        <v>829</v>
      </c>
      <c r="AB186" s="492" t="s">
        <v>3827</v>
      </c>
      <c r="AC186" s="492" t="s">
        <v>830</v>
      </c>
      <c r="AD186" s="492" t="s">
        <v>831</v>
      </c>
      <c r="AE186" s="492" t="s">
        <v>612</v>
      </c>
      <c r="AF186" s="492">
        <v>5</v>
      </c>
      <c r="AG186" s="492">
        <v>240</v>
      </c>
      <c r="AH186" s="492">
        <v>60</v>
      </c>
      <c r="AI186" s="492" t="s">
        <v>34</v>
      </c>
      <c r="AJ186" s="492" t="s">
        <v>34</v>
      </c>
      <c r="AK186" s="492" t="s">
        <v>832</v>
      </c>
      <c r="AL186" s="492" t="s">
        <v>34</v>
      </c>
      <c r="AM186" s="61" t="s">
        <v>3441</v>
      </c>
      <c r="AN186" s="490">
        <v>0</v>
      </c>
      <c r="AO186" s="490">
        <v>0</v>
      </c>
      <c r="AP186" s="61"/>
    </row>
    <row r="187" spans="1:42" x14ac:dyDescent="0.2">
      <c r="A187" s="61">
        <v>186</v>
      </c>
      <c r="B187" s="491" t="s">
        <v>383</v>
      </c>
      <c r="C187" s="492" t="s">
        <v>387</v>
      </c>
      <c r="D187" s="492" t="s">
        <v>2744</v>
      </c>
      <c r="E187" s="492" t="s">
        <v>750</v>
      </c>
      <c r="F187" s="492" t="s">
        <v>715</v>
      </c>
      <c r="G187" s="492" t="s">
        <v>34</v>
      </c>
      <c r="H187" s="492" t="s">
        <v>835</v>
      </c>
      <c r="I187" s="492" t="s">
        <v>4284</v>
      </c>
      <c r="J187" s="492" t="s">
        <v>1103</v>
      </c>
      <c r="K187" s="492" t="s">
        <v>1476</v>
      </c>
      <c r="L187" s="492" t="s">
        <v>950</v>
      </c>
      <c r="M187" s="492" t="s">
        <v>1477</v>
      </c>
      <c r="N187" s="492" t="s">
        <v>387</v>
      </c>
      <c r="O187" s="492" t="s">
        <v>3822</v>
      </c>
      <c r="P187" s="492" t="s">
        <v>1870</v>
      </c>
      <c r="Q187" s="492" t="s">
        <v>898</v>
      </c>
      <c r="R187" s="492" t="s">
        <v>828</v>
      </c>
      <c r="S187" s="492" t="s">
        <v>3823</v>
      </c>
      <c r="T187" s="492">
        <v>1056</v>
      </c>
      <c r="U187" s="492" t="s">
        <v>858</v>
      </c>
      <c r="V187" s="492" t="s">
        <v>1467</v>
      </c>
      <c r="W187" s="492" t="s">
        <v>1479</v>
      </c>
      <c r="X187" s="492" t="s">
        <v>1470</v>
      </c>
      <c r="Y187" s="492" t="s">
        <v>1471</v>
      </c>
      <c r="Z187" s="492" t="s">
        <v>1472</v>
      </c>
      <c r="AA187" s="492" t="s">
        <v>829</v>
      </c>
      <c r="AB187" s="492" t="s">
        <v>3828</v>
      </c>
      <c r="AC187" s="492" t="s">
        <v>830</v>
      </c>
      <c r="AD187" s="492" t="s">
        <v>831</v>
      </c>
      <c r="AE187" s="492" t="s">
        <v>612</v>
      </c>
      <c r="AF187" s="492" t="s">
        <v>2054</v>
      </c>
      <c r="AG187" s="492" t="s">
        <v>34</v>
      </c>
      <c r="AH187" s="492" t="s">
        <v>34</v>
      </c>
      <c r="AI187" s="492" t="s">
        <v>34</v>
      </c>
      <c r="AJ187" s="492" t="s">
        <v>34</v>
      </c>
      <c r="AK187" s="492" t="s">
        <v>832</v>
      </c>
      <c r="AL187" s="492" t="s">
        <v>34</v>
      </c>
      <c r="AM187" s="61" t="s">
        <v>3441</v>
      </c>
      <c r="AN187" s="490">
        <v>0</v>
      </c>
      <c r="AO187" s="490">
        <v>0</v>
      </c>
      <c r="AP187" s="61"/>
    </row>
    <row r="188" spans="1:42" x14ac:dyDescent="0.2">
      <c r="A188" s="61">
        <v>187</v>
      </c>
      <c r="B188" s="491" t="s">
        <v>383</v>
      </c>
      <c r="C188" s="492" t="s">
        <v>389</v>
      </c>
      <c r="D188" s="492" t="s">
        <v>2745</v>
      </c>
      <c r="E188" s="492" t="s">
        <v>750</v>
      </c>
      <c r="F188" s="492" t="s">
        <v>715</v>
      </c>
      <c r="G188" s="492" t="s">
        <v>34</v>
      </c>
      <c r="H188" s="492" t="s">
        <v>835</v>
      </c>
      <c r="I188" s="492" t="s">
        <v>4284</v>
      </c>
      <c r="J188" s="492" t="s">
        <v>1103</v>
      </c>
      <c r="K188" s="492" t="s">
        <v>1468</v>
      </c>
      <c r="L188" s="492" t="s">
        <v>950</v>
      </c>
      <c r="M188" s="492" t="s">
        <v>1469</v>
      </c>
      <c r="N188" s="492" t="s">
        <v>389</v>
      </c>
      <c r="O188" s="492" t="s">
        <v>3822</v>
      </c>
      <c r="P188" s="492" t="s">
        <v>2364</v>
      </c>
      <c r="Q188" s="492" t="s">
        <v>898</v>
      </c>
      <c r="R188" s="492" t="s">
        <v>828</v>
      </c>
      <c r="S188" s="492" t="s">
        <v>3823</v>
      </c>
      <c r="T188" s="492">
        <v>1056</v>
      </c>
      <c r="U188" s="492" t="s">
        <v>858</v>
      </c>
      <c r="V188" s="492" t="s">
        <v>1467</v>
      </c>
      <c r="W188" s="492">
        <v>979</v>
      </c>
      <c r="X188" s="492" t="s">
        <v>1470</v>
      </c>
      <c r="Y188" s="492" t="s">
        <v>1471</v>
      </c>
      <c r="Z188" s="492" t="s">
        <v>1472</v>
      </c>
      <c r="AA188" s="492" t="s">
        <v>829</v>
      </c>
      <c r="AB188" s="492" t="s">
        <v>3829</v>
      </c>
      <c r="AC188" s="492" t="s">
        <v>830</v>
      </c>
      <c r="AD188" s="492" t="s">
        <v>831</v>
      </c>
      <c r="AE188" s="492" t="s">
        <v>612</v>
      </c>
      <c r="AF188" s="492">
        <v>5</v>
      </c>
      <c r="AG188" s="492">
        <v>240</v>
      </c>
      <c r="AH188" s="492">
        <v>60</v>
      </c>
      <c r="AI188" s="492" t="s">
        <v>34</v>
      </c>
      <c r="AJ188" s="492" t="s">
        <v>34</v>
      </c>
      <c r="AK188" s="492" t="s">
        <v>832</v>
      </c>
      <c r="AL188" s="492" t="s">
        <v>34</v>
      </c>
      <c r="AM188" s="61" t="s">
        <v>3441</v>
      </c>
      <c r="AN188" s="490">
        <v>0</v>
      </c>
      <c r="AO188" s="490">
        <v>0</v>
      </c>
      <c r="AP188" s="61"/>
    </row>
    <row r="189" spans="1:42" x14ac:dyDescent="0.2">
      <c r="A189" s="61">
        <v>188</v>
      </c>
      <c r="B189" s="491" t="s">
        <v>383</v>
      </c>
      <c r="C189" s="492" t="s">
        <v>3830</v>
      </c>
      <c r="D189" s="492" t="s">
        <v>3831</v>
      </c>
      <c r="E189" s="492" t="s">
        <v>750</v>
      </c>
      <c r="F189" s="492" t="s">
        <v>715</v>
      </c>
      <c r="G189" s="492" t="s">
        <v>34</v>
      </c>
      <c r="H189" s="492" t="s">
        <v>835</v>
      </c>
      <c r="I189" s="492" t="s">
        <v>4284</v>
      </c>
      <c r="J189" s="492" t="s">
        <v>1103</v>
      </c>
      <c r="K189" s="492" t="s">
        <v>3832</v>
      </c>
      <c r="L189" s="492" t="s">
        <v>950</v>
      </c>
      <c r="M189" s="492" t="s">
        <v>3833</v>
      </c>
      <c r="N189" s="492" t="s">
        <v>3830</v>
      </c>
      <c r="O189" s="492" t="s">
        <v>3881</v>
      </c>
      <c r="P189" s="492" t="s">
        <v>3834</v>
      </c>
      <c r="Q189" s="492" t="s">
        <v>898</v>
      </c>
      <c r="R189" s="492" t="s">
        <v>828</v>
      </c>
      <c r="S189" s="492" t="s">
        <v>3823</v>
      </c>
      <c r="T189" s="492">
        <v>1056</v>
      </c>
      <c r="U189" s="492" t="s">
        <v>858</v>
      </c>
      <c r="V189" s="492" t="s">
        <v>108</v>
      </c>
      <c r="W189" s="492" t="s">
        <v>108</v>
      </c>
      <c r="X189" s="492" t="s">
        <v>108</v>
      </c>
      <c r="Y189" s="492" t="s">
        <v>1471</v>
      </c>
      <c r="Z189" s="492" t="s">
        <v>1472</v>
      </c>
      <c r="AA189" s="492" t="s">
        <v>829</v>
      </c>
      <c r="AB189" s="492" t="s">
        <v>3835</v>
      </c>
      <c r="AC189" s="492" t="s">
        <v>830</v>
      </c>
      <c r="AD189" s="492" t="s">
        <v>831</v>
      </c>
      <c r="AE189" s="492" t="s">
        <v>612</v>
      </c>
      <c r="AF189" s="492" t="s">
        <v>3748</v>
      </c>
      <c r="AG189" s="492" t="s">
        <v>34</v>
      </c>
      <c r="AH189" s="492" t="s">
        <v>34</v>
      </c>
      <c r="AI189" s="492" t="s">
        <v>34</v>
      </c>
      <c r="AJ189" s="492" t="s">
        <v>34</v>
      </c>
      <c r="AK189" s="492" t="s">
        <v>832</v>
      </c>
      <c r="AL189" s="492" t="s">
        <v>34</v>
      </c>
      <c r="AM189" s="61" t="s">
        <v>3441</v>
      </c>
      <c r="AN189" s="490"/>
      <c r="AO189" s="490"/>
      <c r="AP189" s="61"/>
    </row>
    <row r="190" spans="1:42" x14ac:dyDescent="0.2">
      <c r="A190" s="61">
        <v>189</v>
      </c>
      <c r="B190" s="491" t="s">
        <v>383</v>
      </c>
      <c r="C190" s="492" t="s">
        <v>3836</v>
      </c>
      <c r="D190" s="492" t="s">
        <v>3837</v>
      </c>
      <c r="E190" s="492" t="s">
        <v>750</v>
      </c>
      <c r="F190" s="492" t="s">
        <v>715</v>
      </c>
      <c r="G190" s="492" t="s">
        <v>34</v>
      </c>
      <c r="H190" s="492" t="s">
        <v>835</v>
      </c>
      <c r="I190" s="492" t="s">
        <v>4284</v>
      </c>
      <c r="J190" s="492" t="s">
        <v>1103</v>
      </c>
      <c r="K190" s="492" t="s">
        <v>3838</v>
      </c>
      <c r="L190" s="492" t="s">
        <v>950</v>
      </c>
      <c r="M190" s="492" t="s">
        <v>3839</v>
      </c>
      <c r="N190" s="492" t="s">
        <v>3836</v>
      </c>
      <c r="O190" s="492" t="s">
        <v>3881</v>
      </c>
      <c r="P190" s="492" t="s">
        <v>3840</v>
      </c>
      <c r="Q190" s="492" t="s">
        <v>898</v>
      </c>
      <c r="R190" s="492" t="s">
        <v>828</v>
      </c>
      <c r="S190" s="492" t="s">
        <v>3823</v>
      </c>
      <c r="T190" s="492">
        <v>1056</v>
      </c>
      <c r="U190" s="492" t="s">
        <v>858</v>
      </c>
      <c r="V190" s="492" t="s">
        <v>108</v>
      </c>
      <c r="W190" s="492" t="s">
        <v>108</v>
      </c>
      <c r="X190" s="492" t="s">
        <v>108</v>
      </c>
      <c r="Y190" s="492" t="s">
        <v>1471</v>
      </c>
      <c r="Z190" s="492" t="s">
        <v>1472</v>
      </c>
      <c r="AA190" s="492" t="s">
        <v>829</v>
      </c>
      <c r="AB190" s="492" t="s">
        <v>3841</v>
      </c>
      <c r="AC190" s="492" t="s">
        <v>830</v>
      </c>
      <c r="AD190" s="492" t="s">
        <v>831</v>
      </c>
      <c r="AE190" s="492" t="s">
        <v>612</v>
      </c>
      <c r="AF190" s="492" t="s">
        <v>3748</v>
      </c>
      <c r="AG190" s="492" t="s">
        <v>34</v>
      </c>
      <c r="AH190" s="492" t="s">
        <v>34</v>
      </c>
      <c r="AI190" s="492" t="s">
        <v>34</v>
      </c>
      <c r="AJ190" s="492" t="s">
        <v>34</v>
      </c>
      <c r="AK190" s="492" t="s">
        <v>832</v>
      </c>
      <c r="AL190" s="492" t="s">
        <v>34</v>
      </c>
      <c r="AM190" s="61" t="s">
        <v>3441</v>
      </c>
      <c r="AN190" s="490"/>
      <c r="AO190" s="490"/>
      <c r="AP190" s="61"/>
    </row>
    <row r="191" spans="1:42" x14ac:dyDescent="0.2">
      <c r="A191" s="61">
        <v>190</v>
      </c>
      <c r="B191" s="491" t="s">
        <v>383</v>
      </c>
      <c r="C191" s="492" t="s">
        <v>3842</v>
      </c>
      <c r="D191" s="492" t="s">
        <v>3843</v>
      </c>
      <c r="E191" s="492" t="s">
        <v>750</v>
      </c>
      <c r="F191" s="492" t="s">
        <v>715</v>
      </c>
      <c r="G191" s="492" t="s">
        <v>34</v>
      </c>
      <c r="H191" s="492" t="s">
        <v>835</v>
      </c>
      <c r="I191" s="492" t="s">
        <v>4284</v>
      </c>
      <c r="J191" s="492" t="s">
        <v>1103</v>
      </c>
      <c r="K191" s="492" t="s">
        <v>3844</v>
      </c>
      <c r="L191" s="492" t="s">
        <v>950</v>
      </c>
      <c r="M191" s="492" t="s">
        <v>3845</v>
      </c>
      <c r="N191" s="492" t="s">
        <v>3842</v>
      </c>
      <c r="O191" s="492" t="s">
        <v>3822</v>
      </c>
      <c r="P191" s="492" t="s">
        <v>3846</v>
      </c>
      <c r="Q191" s="492" t="s">
        <v>898</v>
      </c>
      <c r="R191" s="492" t="s">
        <v>828</v>
      </c>
      <c r="S191" s="492" t="s">
        <v>3823</v>
      </c>
      <c r="T191" s="492">
        <v>1056</v>
      </c>
      <c r="U191" s="492" t="s">
        <v>858</v>
      </c>
      <c r="V191" s="492" t="s">
        <v>1467</v>
      </c>
      <c r="W191" s="492">
        <v>0</v>
      </c>
      <c r="X191" s="492" t="s">
        <v>1470</v>
      </c>
      <c r="Y191" s="492" t="s">
        <v>108</v>
      </c>
      <c r="Z191" s="492" t="s">
        <v>108</v>
      </c>
      <c r="AA191" s="492" t="s">
        <v>108</v>
      </c>
      <c r="AB191" s="492" t="s">
        <v>3847</v>
      </c>
      <c r="AC191" s="492" t="s">
        <v>830</v>
      </c>
      <c r="AD191" s="492" t="s">
        <v>831</v>
      </c>
      <c r="AE191" s="492" t="s">
        <v>612</v>
      </c>
      <c r="AF191" s="492" t="s">
        <v>3748</v>
      </c>
      <c r="AG191" s="492" t="s">
        <v>34</v>
      </c>
      <c r="AH191" s="492" t="s">
        <v>34</v>
      </c>
      <c r="AI191" s="492" t="s">
        <v>34</v>
      </c>
      <c r="AJ191" s="492" t="s">
        <v>34</v>
      </c>
      <c r="AK191" s="492" t="s">
        <v>832</v>
      </c>
      <c r="AL191" s="492" t="s">
        <v>34</v>
      </c>
      <c r="AM191" s="61" t="s">
        <v>3441</v>
      </c>
      <c r="AN191" s="490"/>
      <c r="AO191" s="490"/>
      <c r="AP191" s="61"/>
    </row>
    <row r="192" spans="1:42" x14ac:dyDescent="0.2">
      <c r="A192" s="61">
        <v>191</v>
      </c>
      <c r="B192" s="491" t="s">
        <v>383</v>
      </c>
      <c r="C192" s="492" t="s">
        <v>3741</v>
      </c>
      <c r="D192" s="492" t="s">
        <v>3742</v>
      </c>
      <c r="E192" s="492" t="s">
        <v>750</v>
      </c>
      <c r="F192" s="492" t="s">
        <v>715</v>
      </c>
      <c r="G192" s="492" t="s">
        <v>34</v>
      </c>
      <c r="H192" s="492" t="s">
        <v>835</v>
      </c>
      <c r="I192" s="492" t="s">
        <v>4270</v>
      </c>
      <c r="J192" s="492" t="s">
        <v>1447</v>
      </c>
      <c r="K192" s="492" t="s">
        <v>3848</v>
      </c>
      <c r="L192" s="492">
        <v>206</v>
      </c>
      <c r="M192" s="493">
        <v>206</v>
      </c>
      <c r="N192" s="492" t="s">
        <v>3849</v>
      </c>
      <c r="O192" s="492" t="s">
        <v>305</v>
      </c>
      <c r="P192" s="492" t="s">
        <v>1465</v>
      </c>
      <c r="Q192" s="492" t="s">
        <v>911</v>
      </c>
      <c r="R192" s="492" t="s">
        <v>892</v>
      </c>
      <c r="S192" s="492" t="s">
        <v>1466</v>
      </c>
      <c r="T192" s="492">
        <v>189</v>
      </c>
      <c r="U192" s="492" t="s">
        <v>857</v>
      </c>
      <c r="V192" s="492" t="s">
        <v>1467</v>
      </c>
      <c r="W192" s="492">
        <v>15590</v>
      </c>
      <c r="X192" s="492" t="s">
        <v>829</v>
      </c>
      <c r="Y192" s="492" t="s">
        <v>108</v>
      </c>
      <c r="Z192" s="492" t="s">
        <v>108</v>
      </c>
      <c r="AA192" s="492" t="s">
        <v>108</v>
      </c>
      <c r="AB192" s="492" t="s">
        <v>34</v>
      </c>
      <c r="AC192" s="492" t="s">
        <v>830</v>
      </c>
      <c r="AD192" s="492" t="s">
        <v>831</v>
      </c>
      <c r="AE192" s="492" t="s">
        <v>612</v>
      </c>
      <c r="AF192" s="492" t="s">
        <v>2054</v>
      </c>
      <c r="AG192" s="492" t="s">
        <v>34</v>
      </c>
      <c r="AH192" s="492" t="s">
        <v>34</v>
      </c>
      <c r="AI192" s="492" t="s">
        <v>34</v>
      </c>
      <c r="AJ192" s="492" t="s">
        <v>34</v>
      </c>
      <c r="AK192" s="492" t="s">
        <v>832</v>
      </c>
      <c r="AL192" s="492" t="s">
        <v>34</v>
      </c>
      <c r="AM192" s="61" t="s">
        <v>3441</v>
      </c>
      <c r="AN192" s="490"/>
      <c r="AO192" s="490"/>
      <c r="AP192" s="61"/>
    </row>
    <row r="193" spans="1:42" x14ac:dyDescent="0.2">
      <c r="A193" s="61">
        <v>192</v>
      </c>
      <c r="B193" s="491" t="s">
        <v>383</v>
      </c>
      <c r="C193" s="492" t="s">
        <v>3994</v>
      </c>
      <c r="D193" s="492" t="s">
        <v>3995</v>
      </c>
      <c r="E193" s="492" t="s">
        <v>750</v>
      </c>
      <c r="F193" s="492" t="s">
        <v>715</v>
      </c>
      <c r="G193" s="492" t="s">
        <v>34</v>
      </c>
      <c r="H193" s="492" t="s">
        <v>835</v>
      </c>
      <c r="I193" s="492" t="s">
        <v>4270</v>
      </c>
      <c r="J193" s="492" t="s">
        <v>1447</v>
      </c>
      <c r="K193" s="492" t="s">
        <v>434</v>
      </c>
      <c r="L193" s="492" t="s">
        <v>3613</v>
      </c>
      <c r="M193" s="492">
        <v>160720124</v>
      </c>
      <c r="N193" s="492" t="s">
        <v>3996</v>
      </c>
      <c r="O193" s="492" t="s">
        <v>305</v>
      </c>
      <c r="P193" s="492" t="s">
        <v>3614</v>
      </c>
      <c r="Q193" s="492" t="s">
        <v>911</v>
      </c>
      <c r="R193" s="492" t="s">
        <v>892</v>
      </c>
      <c r="S193" s="492" t="s">
        <v>3615</v>
      </c>
      <c r="T193" s="492">
        <v>1.17</v>
      </c>
      <c r="U193" s="492" t="s">
        <v>858</v>
      </c>
      <c r="V193" s="492" t="s">
        <v>1095</v>
      </c>
      <c r="W193" s="492">
        <v>160720124</v>
      </c>
      <c r="X193" s="492" t="s">
        <v>829</v>
      </c>
      <c r="Y193" s="492" t="s">
        <v>108</v>
      </c>
      <c r="Z193" s="492" t="s">
        <v>108</v>
      </c>
      <c r="AA193" s="492" t="s">
        <v>108</v>
      </c>
      <c r="AB193" s="492" t="s">
        <v>34</v>
      </c>
      <c r="AC193" s="492" t="s">
        <v>830</v>
      </c>
      <c r="AD193" s="492" t="s">
        <v>3616</v>
      </c>
      <c r="AE193" s="492" t="s">
        <v>612</v>
      </c>
      <c r="AF193" s="492" t="s">
        <v>2054</v>
      </c>
      <c r="AG193" s="492" t="s">
        <v>34</v>
      </c>
      <c r="AH193" s="492" t="s">
        <v>34</v>
      </c>
      <c r="AI193" s="492" t="s">
        <v>34</v>
      </c>
      <c r="AJ193" s="492" t="s">
        <v>34</v>
      </c>
      <c r="AK193" s="492" t="s">
        <v>832</v>
      </c>
      <c r="AL193" s="492" t="s">
        <v>34</v>
      </c>
      <c r="AM193" s="61" t="s">
        <v>3442</v>
      </c>
      <c r="AN193" s="490"/>
      <c r="AO193" s="490"/>
      <c r="AP193" s="61"/>
    </row>
    <row r="194" spans="1:42" x14ac:dyDescent="0.2">
      <c r="A194" s="61">
        <v>193</v>
      </c>
      <c r="B194" s="491" t="s">
        <v>383</v>
      </c>
      <c r="C194" s="492" t="s">
        <v>390</v>
      </c>
      <c r="D194" s="492" t="s">
        <v>2746</v>
      </c>
      <c r="E194" s="492" t="s">
        <v>750</v>
      </c>
      <c r="F194" s="492" t="s">
        <v>715</v>
      </c>
      <c r="G194" s="492" t="s">
        <v>34</v>
      </c>
      <c r="H194" s="492" t="s">
        <v>835</v>
      </c>
      <c r="I194" s="492" t="s">
        <v>4270</v>
      </c>
      <c r="J194" s="492" t="s">
        <v>1447</v>
      </c>
      <c r="K194" s="492" t="s">
        <v>1459</v>
      </c>
      <c r="L194" s="492" t="s">
        <v>1460</v>
      </c>
      <c r="M194" s="492" t="s">
        <v>1461</v>
      </c>
      <c r="N194" s="492" t="s">
        <v>390</v>
      </c>
      <c r="O194" s="492" t="s">
        <v>305</v>
      </c>
      <c r="P194" s="492" t="s">
        <v>1357</v>
      </c>
      <c r="Q194" s="492" t="s">
        <v>833</v>
      </c>
      <c r="R194" s="492" t="s">
        <v>828</v>
      </c>
      <c r="S194" s="492" t="s">
        <v>1462</v>
      </c>
      <c r="T194" s="492">
        <v>2352</v>
      </c>
      <c r="U194" s="492" t="s">
        <v>858</v>
      </c>
      <c r="V194" s="492" t="s">
        <v>913</v>
      </c>
      <c r="W194" s="492" t="s">
        <v>1463</v>
      </c>
      <c r="X194" s="492" t="s">
        <v>829</v>
      </c>
      <c r="Y194" s="492" t="s">
        <v>1464</v>
      </c>
      <c r="Z194" s="492">
        <v>55565489</v>
      </c>
      <c r="AA194" s="492" t="s">
        <v>829</v>
      </c>
      <c r="AB194" s="492" t="s">
        <v>34</v>
      </c>
      <c r="AC194" s="492" t="s">
        <v>830</v>
      </c>
      <c r="AD194" s="492" t="s">
        <v>831</v>
      </c>
      <c r="AE194" s="492" t="s">
        <v>612</v>
      </c>
      <c r="AF194" s="492" t="s">
        <v>2054</v>
      </c>
      <c r="AG194" s="492" t="s">
        <v>34</v>
      </c>
      <c r="AH194" s="492" t="s">
        <v>34</v>
      </c>
      <c r="AI194" s="492" t="s">
        <v>34</v>
      </c>
      <c r="AJ194" s="492" t="s">
        <v>34</v>
      </c>
      <c r="AK194" s="492" t="s">
        <v>832</v>
      </c>
      <c r="AL194" s="492" t="s">
        <v>34</v>
      </c>
      <c r="AM194" s="61" t="s">
        <v>3441</v>
      </c>
      <c r="AN194" s="490">
        <v>0</v>
      </c>
      <c r="AO194" s="490">
        <v>0</v>
      </c>
      <c r="AP194" s="61"/>
    </row>
    <row r="195" spans="1:42" x14ac:dyDescent="0.2">
      <c r="A195" s="61">
        <v>194</v>
      </c>
      <c r="B195" s="491" t="s">
        <v>391</v>
      </c>
      <c r="C195" s="492" t="s">
        <v>278</v>
      </c>
      <c r="D195" s="492" t="s">
        <v>2747</v>
      </c>
      <c r="E195" s="492" t="s">
        <v>751</v>
      </c>
      <c r="F195" s="492" t="s">
        <v>752</v>
      </c>
      <c r="G195" s="492" t="s">
        <v>34</v>
      </c>
      <c r="H195" s="492" t="s">
        <v>835</v>
      </c>
      <c r="I195" s="492" t="s">
        <v>4270</v>
      </c>
      <c r="J195" s="492" t="s">
        <v>1447</v>
      </c>
      <c r="K195" s="492" t="s">
        <v>1487</v>
      </c>
      <c r="L195" s="492" t="s">
        <v>1488</v>
      </c>
      <c r="M195" s="492" t="s">
        <v>1489</v>
      </c>
      <c r="N195" s="492" t="s">
        <v>278</v>
      </c>
      <c r="O195" s="492" t="s">
        <v>305</v>
      </c>
      <c r="P195" s="492" t="s">
        <v>1490</v>
      </c>
      <c r="Q195" s="492" t="s">
        <v>908</v>
      </c>
      <c r="R195" s="492" t="s">
        <v>828</v>
      </c>
      <c r="S195" s="492" t="s">
        <v>1491</v>
      </c>
      <c r="T195" s="492">
        <v>19.399999999999999</v>
      </c>
      <c r="U195" s="492" t="s">
        <v>858</v>
      </c>
      <c r="V195" s="492" t="s">
        <v>1110</v>
      </c>
      <c r="W195" s="492">
        <v>33095</v>
      </c>
      <c r="X195" s="492" t="s">
        <v>829</v>
      </c>
      <c r="Y195" s="492" t="s">
        <v>1341</v>
      </c>
      <c r="Z195" s="492" t="s">
        <v>3201</v>
      </c>
      <c r="AA195" s="492" t="s">
        <v>829</v>
      </c>
      <c r="AB195" s="492" t="s">
        <v>34</v>
      </c>
      <c r="AC195" s="492" t="s">
        <v>830</v>
      </c>
      <c r="AD195" s="492" t="s">
        <v>831</v>
      </c>
      <c r="AE195" s="492" t="s">
        <v>612</v>
      </c>
      <c r="AF195" s="492">
        <v>1.5</v>
      </c>
      <c r="AG195" s="492">
        <v>0.2</v>
      </c>
      <c r="AH195" s="492">
        <v>0</v>
      </c>
      <c r="AI195" s="492" t="s">
        <v>34</v>
      </c>
      <c r="AJ195" s="492" t="s">
        <v>34</v>
      </c>
      <c r="AK195" s="492" t="s">
        <v>832</v>
      </c>
      <c r="AL195" s="492" t="s">
        <v>34</v>
      </c>
      <c r="AM195" s="61" t="s">
        <v>3443</v>
      </c>
      <c r="AN195" s="490">
        <v>0</v>
      </c>
      <c r="AO195" s="490">
        <v>0</v>
      </c>
      <c r="AP195" s="61"/>
    </row>
    <row r="196" spans="1:42" x14ac:dyDescent="0.2">
      <c r="A196" s="61">
        <v>195</v>
      </c>
      <c r="B196" s="491" t="s">
        <v>391</v>
      </c>
      <c r="C196" s="492" t="s">
        <v>625</v>
      </c>
      <c r="D196" s="492" t="s">
        <v>3270</v>
      </c>
      <c r="E196" s="492" t="s">
        <v>751</v>
      </c>
      <c r="F196" s="492" t="s">
        <v>752</v>
      </c>
      <c r="G196" s="492" t="s">
        <v>34</v>
      </c>
      <c r="H196" s="492" t="s">
        <v>835</v>
      </c>
      <c r="I196" s="492" t="s">
        <v>4270</v>
      </c>
      <c r="J196" s="492" t="s">
        <v>613</v>
      </c>
      <c r="K196" s="492" t="s">
        <v>625</v>
      </c>
      <c r="L196" s="492" t="s">
        <v>2140</v>
      </c>
      <c r="M196" s="492" t="s">
        <v>2141</v>
      </c>
      <c r="N196" s="492" t="s">
        <v>625</v>
      </c>
      <c r="O196" s="492" t="s">
        <v>1106</v>
      </c>
      <c r="P196" s="492" t="s">
        <v>2271</v>
      </c>
      <c r="Q196" s="492" t="s">
        <v>2271</v>
      </c>
      <c r="R196" s="492" t="s">
        <v>892</v>
      </c>
      <c r="S196" s="492" t="s">
        <v>2272</v>
      </c>
      <c r="T196" s="492">
        <v>653.29999999999995</v>
      </c>
      <c r="U196" s="492" t="s">
        <v>687</v>
      </c>
      <c r="V196" s="492" t="s">
        <v>903</v>
      </c>
      <c r="W196" s="492" t="s">
        <v>2141</v>
      </c>
      <c r="X196" s="492" t="s">
        <v>1445</v>
      </c>
      <c r="Y196" s="492" t="s">
        <v>108</v>
      </c>
      <c r="Z196" s="492" t="s">
        <v>108</v>
      </c>
      <c r="AA196" s="492" t="s">
        <v>108</v>
      </c>
      <c r="AB196" s="492" t="s">
        <v>3276</v>
      </c>
      <c r="AC196" s="492" t="s">
        <v>830</v>
      </c>
      <c r="AD196" s="492" t="s">
        <v>831</v>
      </c>
      <c r="AE196" s="492" t="s">
        <v>612</v>
      </c>
      <c r="AF196" s="492" t="s">
        <v>34</v>
      </c>
      <c r="AG196" s="492" t="s">
        <v>34</v>
      </c>
      <c r="AH196" s="492" t="s">
        <v>34</v>
      </c>
      <c r="AI196" s="492" t="s">
        <v>34</v>
      </c>
      <c r="AJ196" s="492" t="s">
        <v>34</v>
      </c>
      <c r="AK196" s="492" t="s">
        <v>832</v>
      </c>
      <c r="AL196" s="492" t="s">
        <v>34</v>
      </c>
      <c r="AM196" s="61" t="s">
        <v>3445</v>
      </c>
      <c r="AN196" s="490">
        <v>0</v>
      </c>
      <c r="AO196" s="490">
        <v>0</v>
      </c>
      <c r="AP196" s="61"/>
    </row>
    <row r="197" spans="1:42" x14ac:dyDescent="0.2">
      <c r="A197" s="61">
        <v>196</v>
      </c>
      <c r="B197" s="491" t="s">
        <v>392</v>
      </c>
      <c r="C197" s="492" t="s">
        <v>393</v>
      </c>
      <c r="D197" s="492" t="s">
        <v>2748</v>
      </c>
      <c r="E197" s="492" t="s">
        <v>753</v>
      </c>
      <c r="F197" s="492" t="s">
        <v>754</v>
      </c>
      <c r="G197" s="492" t="s">
        <v>34</v>
      </c>
      <c r="H197" s="492" t="s">
        <v>835</v>
      </c>
      <c r="I197" s="492" t="s">
        <v>4270</v>
      </c>
      <c r="J197" s="492" t="s">
        <v>1447</v>
      </c>
      <c r="K197" s="492" t="s">
        <v>393</v>
      </c>
      <c r="L197" s="492" t="s">
        <v>1494</v>
      </c>
      <c r="M197" s="493">
        <v>1432</v>
      </c>
      <c r="N197" s="492" t="s">
        <v>393</v>
      </c>
      <c r="O197" s="492" t="s">
        <v>305</v>
      </c>
      <c r="P197" s="492" t="s">
        <v>1495</v>
      </c>
      <c r="Q197" s="492" t="s">
        <v>908</v>
      </c>
      <c r="R197" s="492" t="s">
        <v>828</v>
      </c>
      <c r="S197" s="492" t="s">
        <v>1496</v>
      </c>
      <c r="T197" s="492">
        <v>138.5</v>
      </c>
      <c r="U197" s="492" t="s">
        <v>687</v>
      </c>
      <c r="V197" s="492" t="s">
        <v>1467</v>
      </c>
      <c r="W197" s="492">
        <v>181319</v>
      </c>
      <c r="X197" s="492" t="s">
        <v>829</v>
      </c>
      <c r="Y197" s="492" t="s">
        <v>108</v>
      </c>
      <c r="Z197" s="492" t="s">
        <v>108</v>
      </c>
      <c r="AA197" s="492" t="s">
        <v>108</v>
      </c>
      <c r="AB197" s="492" t="s">
        <v>34</v>
      </c>
      <c r="AC197" s="492" t="s">
        <v>830</v>
      </c>
      <c r="AD197" s="492" t="s">
        <v>831</v>
      </c>
      <c r="AE197" s="492" t="s">
        <v>612</v>
      </c>
      <c r="AF197" s="492" t="s">
        <v>34</v>
      </c>
      <c r="AG197" s="492" t="s">
        <v>34</v>
      </c>
      <c r="AH197" s="492" t="s">
        <v>34</v>
      </c>
      <c r="AI197" s="492" t="s">
        <v>34</v>
      </c>
      <c r="AJ197" s="492" t="s">
        <v>34</v>
      </c>
      <c r="AK197" s="492" t="s">
        <v>832</v>
      </c>
      <c r="AL197" s="492" t="s">
        <v>34</v>
      </c>
      <c r="AM197" s="61" t="s">
        <v>3441</v>
      </c>
      <c r="AN197" s="490">
        <v>0</v>
      </c>
      <c r="AO197" s="490">
        <v>0</v>
      </c>
      <c r="AP197" s="61"/>
    </row>
    <row r="198" spans="1:42" x14ac:dyDescent="0.2">
      <c r="A198" s="61">
        <v>197</v>
      </c>
      <c r="B198" s="491" t="s">
        <v>3644</v>
      </c>
      <c r="C198" s="492" t="s">
        <v>3645</v>
      </c>
      <c r="D198" s="492" t="s">
        <v>3646</v>
      </c>
      <c r="E198" s="492" t="s">
        <v>3647</v>
      </c>
      <c r="F198" s="492" t="s">
        <v>3648</v>
      </c>
      <c r="G198" s="492" t="s">
        <v>34</v>
      </c>
      <c r="H198" s="492" t="s">
        <v>835</v>
      </c>
      <c r="I198" s="492" t="s">
        <v>4270</v>
      </c>
      <c r="J198" s="492" t="s">
        <v>613</v>
      </c>
      <c r="K198" s="492" t="s">
        <v>3649</v>
      </c>
      <c r="L198" s="492" t="s">
        <v>3650</v>
      </c>
      <c r="M198" s="492" t="s">
        <v>3651</v>
      </c>
      <c r="N198" s="492" t="s">
        <v>3649</v>
      </c>
      <c r="O198" s="492" t="s">
        <v>3652</v>
      </c>
      <c r="P198" s="492" t="s">
        <v>3653</v>
      </c>
      <c r="Q198" s="492" t="s">
        <v>833</v>
      </c>
      <c r="R198" s="492" t="s">
        <v>828</v>
      </c>
      <c r="S198" s="492" t="s">
        <v>3654</v>
      </c>
      <c r="T198" s="492">
        <v>25</v>
      </c>
      <c r="U198" s="492" t="s">
        <v>687</v>
      </c>
      <c r="V198" s="492" t="s">
        <v>3655</v>
      </c>
      <c r="W198" s="492" t="s">
        <v>3656</v>
      </c>
      <c r="X198" s="492" t="s">
        <v>3502</v>
      </c>
      <c r="Y198" s="492" t="s">
        <v>108</v>
      </c>
      <c r="Z198" s="492" t="s">
        <v>108</v>
      </c>
      <c r="AA198" s="492" t="s">
        <v>108</v>
      </c>
      <c r="AB198" s="492" t="s">
        <v>34</v>
      </c>
      <c r="AC198" s="492" t="s">
        <v>830</v>
      </c>
      <c r="AD198" s="492" t="s">
        <v>831</v>
      </c>
      <c r="AE198" s="492" t="s">
        <v>612</v>
      </c>
      <c r="AF198" s="492">
        <v>0</v>
      </c>
      <c r="AG198" s="492">
        <v>0</v>
      </c>
      <c r="AH198" s="492">
        <v>0</v>
      </c>
      <c r="AI198" s="492">
        <v>0</v>
      </c>
      <c r="AJ198" s="492">
        <v>0</v>
      </c>
      <c r="AK198" s="492" t="s">
        <v>832</v>
      </c>
      <c r="AL198" s="492" t="s">
        <v>34</v>
      </c>
      <c r="AM198" s="61" t="s">
        <v>3441</v>
      </c>
      <c r="AN198" s="490"/>
      <c r="AO198" s="490"/>
      <c r="AP198" s="61"/>
    </row>
    <row r="199" spans="1:42" x14ac:dyDescent="0.2">
      <c r="A199" s="61">
        <v>198</v>
      </c>
      <c r="B199" s="491" t="s">
        <v>695</v>
      </c>
      <c r="C199" s="492" t="s">
        <v>696</v>
      </c>
      <c r="D199" s="492" t="s">
        <v>2749</v>
      </c>
      <c r="E199" s="492" t="s">
        <v>755</v>
      </c>
      <c r="F199" s="492" t="s">
        <v>756</v>
      </c>
      <c r="G199" s="492" t="s">
        <v>34</v>
      </c>
      <c r="H199" s="492" t="s">
        <v>835</v>
      </c>
      <c r="I199" s="492" t="s">
        <v>4270</v>
      </c>
      <c r="J199" s="492" t="s">
        <v>1447</v>
      </c>
      <c r="K199" s="492" t="s">
        <v>365</v>
      </c>
      <c r="L199" s="492" t="s">
        <v>1497</v>
      </c>
      <c r="M199" s="493">
        <v>30901</v>
      </c>
      <c r="N199" s="492" t="s">
        <v>696</v>
      </c>
      <c r="O199" s="492" t="s">
        <v>305</v>
      </c>
      <c r="P199" s="492" t="s">
        <v>1498</v>
      </c>
      <c r="Q199" s="492" t="s">
        <v>911</v>
      </c>
      <c r="R199" s="492" t="s">
        <v>1002</v>
      </c>
      <c r="S199" s="492" t="s">
        <v>1499</v>
      </c>
      <c r="T199" s="492">
        <v>864</v>
      </c>
      <c r="U199" s="492" t="s">
        <v>687</v>
      </c>
      <c r="V199" s="492" t="s">
        <v>1500</v>
      </c>
      <c r="W199" s="492">
        <v>3.03</v>
      </c>
      <c r="X199" s="492" t="s">
        <v>829</v>
      </c>
      <c r="Y199" s="492" t="s">
        <v>1501</v>
      </c>
      <c r="Z199" s="492" t="s">
        <v>1502</v>
      </c>
      <c r="AA199" s="492" t="s">
        <v>829</v>
      </c>
      <c r="AB199" s="492" t="s">
        <v>34</v>
      </c>
      <c r="AC199" s="492" t="s">
        <v>830</v>
      </c>
      <c r="AD199" s="492" t="s">
        <v>831</v>
      </c>
      <c r="AE199" s="492" t="s">
        <v>612</v>
      </c>
      <c r="AF199" s="492">
        <v>2.7</v>
      </c>
      <c r="AG199" s="492">
        <v>4</v>
      </c>
      <c r="AH199" s="492">
        <v>1</v>
      </c>
      <c r="AI199" s="492" t="s">
        <v>2565</v>
      </c>
      <c r="AJ199" s="492" t="s">
        <v>34</v>
      </c>
      <c r="AK199" s="492" t="s">
        <v>832</v>
      </c>
      <c r="AL199" s="492" t="s">
        <v>34</v>
      </c>
      <c r="AM199" s="61" t="s">
        <v>3441</v>
      </c>
      <c r="AN199" s="490">
        <v>0</v>
      </c>
      <c r="AO199" s="490">
        <v>0</v>
      </c>
      <c r="AP199" s="61"/>
    </row>
    <row r="200" spans="1:42" x14ac:dyDescent="0.2">
      <c r="A200" s="61">
        <v>199</v>
      </c>
      <c r="B200" s="491" t="s">
        <v>695</v>
      </c>
      <c r="C200" s="492" t="s">
        <v>697</v>
      </c>
      <c r="D200" s="492" t="s">
        <v>2750</v>
      </c>
      <c r="E200" s="492" t="s">
        <v>755</v>
      </c>
      <c r="F200" s="492" t="s">
        <v>756</v>
      </c>
      <c r="G200" s="492" t="s">
        <v>34</v>
      </c>
      <c r="H200" s="492" t="s">
        <v>835</v>
      </c>
      <c r="I200" s="492" t="s">
        <v>4270</v>
      </c>
      <c r="J200" s="492" t="s">
        <v>1447</v>
      </c>
      <c r="K200" s="492" t="s">
        <v>365</v>
      </c>
      <c r="L200" s="492" t="s">
        <v>1503</v>
      </c>
      <c r="M200" s="492" t="s">
        <v>1504</v>
      </c>
      <c r="N200" s="492" t="s">
        <v>697</v>
      </c>
      <c r="O200" s="492" t="s">
        <v>305</v>
      </c>
      <c r="P200" s="492" t="s">
        <v>1498</v>
      </c>
      <c r="Q200" s="492" t="s">
        <v>911</v>
      </c>
      <c r="R200" s="492" t="s">
        <v>1002</v>
      </c>
      <c r="S200" s="492" t="s">
        <v>1505</v>
      </c>
      <c r="T200" s="492">
        <v>630</v>
      </c>
      <c r="U200" s="492" t="s">
        <v>687</v>
      </c>
      <c r="V200" s="492" t="s">
        <v>1506</v>
      </c>
      <c r="W200" s="492" t="s">
        <v>1507</v>
      </c>
      <c r="X200" s="492" t="s">
        <v>829</v>
      </c>
      <c r="Y200" s="492" t="s">
        <v>1508</v>
      </c>
      <c r="Z200" s="492" t="s">
        <v>1509</v>
      </c>
      <c r="AA200" s="492" t="s">
        <v>829</v>
      </c>
      <c r="AB200" s="492" t="s">
        <v>34</v>
      </c>
      <c r="AC200" s="492" t="s">
        <v>830</v>
      </c>
      <c r="AD200" s="492" t="s">
        <v>831</v>
      </c>
      <c r="AE200" s="492" t="s">
        <v>612</v>
      </c>
      <c r="AF200" s="492">
        <v>5</v>
      </c>
      <c r="AG200" s="492">
        <v>20</v>
      </c>
      <c r="AH200" s="492">
        <v>2</v>
      </c>
      <c r="AI200" s="492" t="s">
        <v>2569</v>
      </c>
      <c r="AJ200" s="492" t="s">
        <v>34</v>
      </c>
      <c r="AK200" s="492" t="s">
        <v>832</v>
      </c>
      <c r="AL200" s="492" t="s">
        <v>34</v>
      </c>
      <c r="AM200" s="61" t="s">
        <v>3441</v>
      </c>
      <c r="AN200" s="490">
        <v>0</v>
      </c>
      <c r="AO200" s="490">
        <v>0</v>
      </c>
      <c r="AP200" s="61"/>
    </row>
    <row r="201" spans="1:42" x14ac:dyDescent="0.2">
      <c r="A201" s="61">
        <v>200</v>
      </c>
      <c r="B201" s="491" t="s">
        <v>394</v>
      </c>
      <c r="C201" s="492" t="s">
        <v>3231</v>
      </c>
      <c r="D201" s="492" t="s">
        <v>3235</v>
      </c>
      <c r="E201" s="492" t="s">
        <v>757</v>
      </c>
      <c r="F201" s="492" t="s">
        <v>758</v>
      </c>
      <c r="G201" s="492" t="s">
        <v>34</v>
      </c>
      <c r="H201" s="492" t="s">
        <v>835</v>
      </c>
      <c r="I201" s="492" t="s">
        <v>4270</v>
      </c>
      <c r="J201" s="492" t="s">
        <v>1103</v>
      </c>
      <c r="K201" s="492" t="s">
        <v>349</v>
      </c>
      <c r="L201" s="492" t="s">
        <v>1524</v>
      </c>
      <c r="M201" s="492">
        <v>14572</v>
      </c>
      <c r="N201" s="492" t="s">
        <v>3231</v>
      </c>
      <c r="O201" s="492" t="s">
        <v>4273</v>
      </c>
      <c r="P201" s="492" t="s">
        <v>1030</v>
      </c>
      <c r="Q201" s="492" t="s">
        <v>3503</v>
      </c>
      <c r="R201" s="492" t="s">
        <v>828</v>
      </c>
      <c r="S201" s="492" t="s">
        <v>1525</v>
      </c>
      <c r="T201" s="492">
        <v>277.39999999999998</v>
      </c>
      <c r="U201" s="492" t="s">
        <v>855</v>
      </c>
      <c r="V201" s="492" t="s">
        <v>913</v>
      </c>
      <c r="W201" s="492" t="s">
        <v>1526</v>
      </c>
      <c r="X201" s="492" t="s">
        <v>3502</v>
      </c>
      <c r="Y201" s="492" t="s">
        <v>1514</v>
      </c>
      <c r="Z201" s="492" t="s">
        <v>1515</v>
      </c>
      <c r="AA201" s="492" t="s">
        <v>3502</v>
      </c>
      <c r="AB201" s="492" t="s">
        <v>34</v>
      </c>
      <c r="AC201" s="492" t="s">
        <v>830</v>
      </c>
      <c r="AD201" s="492" t="s">
        <v>831</v>
      </c>
      <c r="AE201" s="492" t="s">
        <v>612</v>
      </c>
      <c r="AF201" s="492">
        <v>14.5</v>
      </c>
      <c r="AG201" s="492">
        <v>267</v>
      </c>
      <c r="AH201" s="492">
        <v>43</v>
      </c>
      <c r="AI201" s="492" t="s">
        <v>34</v>
      </c>
      <c r="AJ201" s="492" t="s">
        <v>34</v>
      </c>
      <c r="AK201" s="492" t="s">
        <v>832</v>
      </c>
      <c r="AL201" s="492" t="s">
        <v>34</v>
      </c>
      <c r="AM201" s="61" t="s">
        <v>3441</v>
      </c>
      <c r="AN201" s="490">
        <v>1.4583333333333332E-2</v>
      </c>
      <c r="AO201" s="490">
        <v>0</v>
      </c>
      <c r="AP201" s="61"/>
    </row>
    <row r="202" spans="1:42" x14ac:dyDescent="0.2">
      <c r="A202" s="61">
        <v>201</v>
      </c>
      <c r="B202" s="491" t="s">
        <v>394</v>
      </c>
      <c r="C202" s="492" t="s">
        <v>3232</v>
      </c>
      <c r="D202" s="492" t="s">
        <v>3236</v>
      </c>
      <c r="E202" s="492" t="s">
        <v>757</v>
      </c>
      <c r="F202" s="492" t="s">
        <v>758</v>
      </c>
      <c r="G202" s="492" t="s">
        <v>34</v>
      </c>
      <c r="H202" s="492" t="s">
        <v>835</v>
      </c>
      <c r="I202" s="492" t="s">
        <v>4270</v>
      </c>
      <c r="J202" s="492" t="s">
        <v>1103</v>
      </c>
      <c r="K202" s="492" t="s">
        <v>349</v>
      </c>
      <c r="L202" s="492" t="s">
        <v>1510</v>
      </c>
      <c r="M202" s="492" t="s">
        <v>1511</v>
      </c>
      <c r="N202" s="492" t="s">
        <v>3232</v>
      </c>
      <c r="O202" s="492" t="s">
        <v>4273</v>
      </c>
      <c r="P202" s="492" t="s">
        <v>1030</v>
      </c>
      <c r="Q202" s="492" t="s">
        <v>3503</v>
      </c>
      <c r="R202" s="492" t="s">
        <v>828</v>
      </c>
      <c r="S202" s="492" t="s">
        <v>1512</v>
      </c>
      <c r="T202" s="492">
        <v>20</v>
      </c>
      <c r="U202" s="492" t="s">
        <v>855</v>
      </c>
      <c r="V202" s="492" t="s">
        <v>1110</v>
      </c>
      <c r="W202" s="492" t="s">
        <v>1513</v>
      </c>
      <c r="X202" s="492" t="s">
        <v>3502</v>
      </c>
      <c r="Y202" s="492" t="s">
        <v>1514</v>
      </c>
      <c r="Z202" s="492" t="s">
        <v>1515</v>
      </c>
      <c r="AA202" s="492" t="s">
        <v>3502</v>
      </c>
      <c r="AB202" s="492" t="s">
        <v>34</v>
      </c>
      <c r="AC202" s="492" t="s">
        <v>830</v>
      </c>
      <c r="AD202" s="492" t="s">
        <v>831</v>
      </c>
      <c r="AE202" s="492" t="s">
        <v>612</v>
      </c>
      <c r="AF202" s="492">
        <v>1</v>
      </c>
      <c r="AG202" s="492">
        <v>0.04</v>
      </c>
      <c r="AH202" s="492">
        <v>0.21</v>
      </c>
      <c r="AI202" s="492" t="s">
        <v>34</v>
      </c>
      <c r="AJ202" s="492" t="s">
        <v>34</v>
      </c>
      <c r="AK202" s="492" t="s">
        <v>832</v>
      </c>
      <c r="AL202" s="492" t="s">
        <v>34</v>
      </c>
      <c r="AM202" s="61" t="s">
        <v>3442</v>
      </c>
      <c r="AN202" s="490">
        <v>1.4583333333333332E-2</v>
      </c>
      <c r="AO202" s="490">
        <v>0</v>
      </c>
      <c r="AP202" s="61"/>
    </row>
    <row r="203" spans="1:42" x14ac:dyDescent="0.2">
      <c r="A203" s="61">
        <v>202</v>
      </c>
      <c r="B203" s="491" t="s">
        <v>394</v>
      </c>
      <c r="C203" s="492" t="s">
        <v>395</v>
      </c>
      <c r="D203" s="492" t="s">
        <v>2751</v>
      </c>
      <c r="E203" s="492" t="s">
        <v>757</v>
      </c>
      <c r="F203" s="492" t="s">
        <v>758</v>
      </c>
      <c r="G203" s="492" t="s">
        <v>34</v>
      </c>
      <c r="H203" s="492" t="s">
        <v>835</v>
      </c>
      <c r="I203" s="492" t="s">
        <v>4270</v>
      </c>
      <c r="J203" s="492" t="s">
        <v>1103</v>
      </c>
      <c r="K203" s="492" t="s">
        <v>1564</v>
      </c>
      <c r="L203" s="492" t="s">
        <v>1251</v>
      </c>
      <c r="M203" s="492">
        <v>116668</v>
      </c>
      <c r="N203" s="492" t="s">
        <v>395</v>
      </c>
      <c r="O203" s="492" t="s">
        <v>4271</v>
      </c>
      <c r="P203" s="492" t="s">
        <v>1565</v>
      </c>
      <c r="Q203" s="492" t="s">
        <v>3501</v>
      </c>
      <c r="R203" s="492" t="s">
        <v>828</v>
      </c>
      <c r="S203" s="492" t="s">
        <v>1566</v>
      </c>
      <c r="T203" s="492">
        <v>258.5</v>
      </c>
      <c r="U203" s="492" t="s">
        <v>855</v>
      </c>
      <c r="V203" s="492" t="s">
        <v>1543</v>
      </c>
      <c r="W203" s="492" t="s">
        <v>1567</v>
      </c>
      <c r="X203" s="492" t="s">
        <v>3511</v>
      </c>
      <c r="Y203" s="492" t="s">
        <v>1543</v>
      </c>
      <c r="Z203" s="492" t="s">
        <v>1567</v>
      </c>
      <c r="AA203" s="492" t="s">
        <v>3511</v>
      </c>
      <c r="AB203" s="492" t="s">
        <v>34</v>
      </c>
      <c r="AC203" s="492" t="s">
        <v>830</v>
      </c>
      <c r="AD203" s="492" t="s">
        <v>831</v>
      </c>
      <c r="AE203" s="492" t="s">
        <v>612</v>
      </c>
      <c r="AF203" s="492" t="s">
        <v>3073</v>
      </c>
      <c r="AG203" s="492" t="s">
        <v>2521</v>
      </c>
      <c r="AH203" s="492" t="s">
        <v>2571</v>
      </c>
      <c r="AI203" s="492" t="s">
        <v>2572</v>
      </c>
      <c r="AJ203" s="492" t="s">
        <v>34</v>
      </c>
      <c r="AK203" s="492" t="s">
        <v>832</v>
      </c>
      <c r="AL203" s="492" t="s">
        <v>34</v>
      </c>
      <c r="AM203" s="61" t="s">
        <v>3444</v>
      </c>
      <c r="AN203" s="490">
        <v>1.4583333333333332E-2</v>
      </c>
      <c r="AO203" s="490">
        <v>2.1527777777777781E-2</v>
      </c>
      <c r="AP203" s="61"/>
    </row>
    <row r="204" spans="1:42" x14ac:dyDescent="0.2">
      <c r="A204" s="61">
        <v>203</v>
      </c>
      <c r="B204" s="491" t="s">
        <v>394</v>
      </c>
      <c r="C204" s="492" t="s">
        <v>399</v>
      </c>
      <c r="D204" s="492" t="s">
        <v>2752</v>
      </c>
      <c r="E204" s="492" t="s">
        <v>757</v>
      </c>
      <c r="F204" s="492" t="s">
        <v>758</v>
      </c>
      <c r="G204" s="492" t="s">
        <v>34</v>
      </c>
      <c r="H204" s="492" t="s">
        <v>835</v>
      </c>
      <c r="I204" s="492" t="s">
        <v>4270</v>
      </c>
      <c r="J204" s="492" t="s">
        <v>1103</v>
      </c>
      <c r="K204" s="492" t="s">
        <v>1558</v>
      </c>
      <c r="L204" s="492" t="s">
        <v>1559</v>
      </c>
      <c r="M204" s="492">
        <v>173757</v>
      </c>
      <c r="N204" s="492" t="s">
        <v>399</v>
      </c>
      <c r="O204" s="492" t="s">
        <v>4271</v>
      </c>
      <c r="P204" s="492" t="s">
        <v>1560</v>
      </c>
      <c r="Q204" s="492" t="s">
        <v>3501</v>
      </c>
      <c r="R204" s="492" t="s">
        <v>828</v>
      </c>
      <c r="S204" s="492" t="s">
        <v>1561</v>
      </c>
      <c r="T204" s="492">
        <v>115</v>
      </c>
      <c r="U204" s="492" t="s">
        <v>855</v>
      </c>
      <c r="V204" s="492" t="s">
        <v>1562</v>
      </c>
      <c r="W204" s="492" t="s">
        <v>1563</v>
      </c>
      <c r="X204" s="492" t="s">
        <v>3511</v>
      </c>
      <c r="Y204" s="492" t="s">
        <v>1562</v>
      </c>
      <c r="Z204" s="492" t="s">
        <v>1563</v>
      </c>
      <c r="AA204" s="492" t="s">
        <v>3511</v>
      </c>
      <c r="AB204" s="492" t="s">
        <v>34</v>
      </c>
      <c r="AC204" s="492" t="s">
        <v>830</v>
      </c>
      <c r="AD204" s="492" t="s">
        <v>831</v>
      </c>
      <c r="AE204" s="492" t="s">
        <v>612</v>
      </c>
      <c r="AF204" s="492" t="s">
        <v>3074</v>
      </c>
      <c r="AG204" s="492" t="s">
        <v>2521</v>
      </c>
      <c r="AH204" s="492" t="s">
        <v>2571</v>
      </c>
      <c r="AI204" s="492" t="s">
        <v>2572</v>
      </c>
      <c r="AJ204" s="492" t="s">
        <v>34</v>
      </c>
      <c r="AK204" s="492" t="s">
        <v>832</v>
      </c>
      <c r="AL204" s="492" t="s">
        <v>34</v>
      </c>
      <c r="AM204" s="61" t="s">
        <v>3444</v>
      </c>
      <c r="AN204" s="490">
        <v>1.4583333333333332E-2</v>
      </c>
      <c r="AO204" s="490">
        <v>2.1527777777777781E-2</v>
      </c>
      <c r="AP204" s="61"/>
    </row>
    <row r="205" spans="1:42" x14ac:dyDescent="0.2">
      <c r="A205" s="61">
        <v>204</v>
      </c>
      <c r="B205" s="491" t="s">
        <v>394</v>
      </c>
      <c r="C205" s="492" t="s">
        <v>401</v>
      </c>
      <c r="D205" s="492" t="s">
        <v>2753</v>
      </c>
      <c r="E205" s="492" t="s">
        <v>757</v>
      </c>
      <c r="F205" s="492" t="s">
        <v>758</v>
      </c>
      <c r="G205" s="492" t="s">
        <v>34</v>
      </c>
      <c r="H205" s="492" t="s">
        <v>835</v>
      </c>
      <c r="I205" s="492" t="s">
        <v>4270</v>
      </c>
      <c r="J205" s="492" t="s">
        <v>1103</v>
      </c>
      <c r="K205" s="492" t="s">
        <v>349</v>
      </c>
      <c r="L205" s="492" t="s">
        <v>1527</v>
      </c>
      <c r="M205" s="492" t="s">
        <v>1528</v>
      </c>
      <c r="N205" s="492" t="s">
        <v>401</v>
      </c>
      <c r="O205" s="492" t="s">
        <v>4296</v>
      </c>
      <c r="P205" s="492" t="s">
        <v>1529</v>
      </c>
      <c r="Q205" s="492" t="s">
        <v>3512</v>
      </c>
      <c r="R205" s="492" t="s">
        <v>1002</v>
      </c>
      <c r="S205" s="492" t="s">
        <v>1530</v>
      </c>
      <c r="T205" s="492">
        <v>545.79999999999995</v>
      </c>
      <c r="U205" s="492" t="s">
        <v>855</v>
      </c>
      <c r="V205" s="492" t="s">
        <v>1110</v>
      </c>
      <c r="W205" s="492" t="s">
        <v>3069</v>
      </c>
      <c r="X205" s="492" t="s">
        <v>3502</v>
      </c>
      <c r="Y205" s="492" t="s">
        <v>1514</v>
      </c>
      <c r="Z205" s="492" t="s">
        <v>1515</v>
      </c>
      <c r="AA205" s="492" t="s">
        <v>3502</v>
      </c>
      <c r="AB205" s="492" t="s">
        <v>3854</v>
      </c>
      <c r="AC205" s="492" t="s">
        <v>830</v>
      </c>
      <c r="AD205" s="492" t="s">
        <v>831</v>
      </c>
      <c r="AE205" s="492" t="s">
        <v>612</v>
      </c>
      <c r="AF205" s="492">
        <v>10</v>
      </c>
      <c r="AG205" s="492">
        <v>0.2</v>
      </c>
      <c r="AH205" s="492">
        <v>0.2</v>
      </c>
      <c r="AI205" s="492" t="s">
        <v>34</v>
      </c>
      <c r="AJ205" s="492" t="s">
        <v>34</v>
      </c>
      <c r="AK205" s="492" t="s">
        <v>832</v>
      </c>
      <c r="AL205" s="492" t="s">
        <v>34</v>
      </c>
      <c r="AM205" s="61" t="s">
        <v>3441</v>
      </c>
      <c r="AN205" s="490">
        <v>1.4583333333333332E-2</v>
      </c>
      <c r="AO205" s="490">
        <v>0</v>
      </c>
      <c r="AP205" s="61"/>
    </row>
    <row r="206" spans="1:42" x14ac:dyDescent="0.2">
      <c r="A206" s="61">
        <v>205</v>
      </c>
      <c r="B206" s="491" t="s">
        <v>394</v>
      </c>
      <c r="C206" s="492" t="s">
        <v>404</v>
      </c>
      <c r="D206" s="492" t="s">
        <v>2754</v>
      </c>
      <c r="E206" s="492" t="s">
        <v>757</v>
      </c>
      <c r="F206" s="492" t="s">
        <v>758</v>
      </c>
      <c r="G206" s="492" t="s">
        <v>34</v>
      </c>
      <c r="H206" s="492" t="s">
        <v>835</v>
      </c>
      <c r="I206" s="492" t="s">
        <v>4270</v>
      </c>
      <c r="J206" s="492" t="s">
        <v>1103</v>
      </c>
      <c r="K206" s="492" t="s">
        <v>1550</v>
      </c>
      <c r="L206" s="492" t="s">
        <v>837</v>
      </c>
      <c r="M206" s="492" t="s">
        <v>1551</v>
      </c>
      <c r="N206" s="492" t="s">
        <v>404</v>
      </c>
      <c r="O206" s="492" t="s">
        <v>4297</v>
      </c>
      <c r="P206" s="492" t="s">
        <v>1552</v>
      </c>
      <c r="Q206" s="492" t="s">
        <v>3513</v>
      </c>
      <c r="R206" s="492" t="s">
        <v>828</v>
      </c>
      <c r="S206" s="492" t="s">
        <v>1553</v>
      </c>
      <c r="T206" s="492">
        <v>26.7</v>
      </c>
      <c r="U206" s="492" t="s">
        <v>855</v>
      </c>
      <c r="V206" s="492" t="s">
        <v>1110</v>
      </c>
      <c r="W206" s="492" t="s">
        <v>1554</v>
      </c>
      <c r="X206" s="492" t="s">
        <v>3502</v>
      </c>
      <c r="Y206" s="492" t="s">
        <v>1514</v>
      </c>
      <c r="Z206" s="492" t="s">
        <v>1515</v>
      </c>
      <c r="AA206" s="492" t="s">
        <v>3502</v>
      </c>
      <c r="AB206" s="492" t="s">
        <v>34</v>
      </c>
      <c r="AC206" s="492" t="s">
        <v>830</v>
      </c>
      <c r="AD206" s="492" t="s">
        <v>831</v>
      </c>
      <c r="AE206" s="492" t="s">
        <v>612</v>
      </c>
      <c r="AF206" s="492">
        <v>5</v>
      </c>
      <c r="AG206" s="492">
        <v>0.75</v>
      </c>
      <c r="AH206" s="492">
        <v>1</v>
      </c>
      <c r="AI206" s="492" t="s">
        <v>34</v>
      </c>
      <c r="AJ206" s="492" t="s">
        <v>34</v>
      </c>
      <c r="AK206" s="492" t="s">
        <v>832</v>
      </c>
      <c r="AL206" s="492" t="s">
        <v>34</v>
      </c>
      <c r="AM206" s="61" t="s">
        <v>3442</v>
      </c>
      <c r="AN206" s="490">
        <v>1.4583333333333332E-2</v>
      </c>
      <c r="AO206" s="490">
        <v>0</v>
      </c>
      <c r="AP206" s="61"/>
    </row>
    <row r="207" spans="1:42" x14ac:dyDescent="0.2">
      <c r="A207" s="61">
        <v>206</v>
      </c>
      <c r="B207" s="491" t="s">
        <v>394</v>
      </c>
      <c r="C207" s="492" t="s">
        <v>402</v>
      </c>
      <c r="D207" s="492" t="s">
        <v>2755</v>
      </c>
      <c r="E207" s="492" t="s">
        <v>757</v>
      </c>
      <c r="F207" s="492" t="s">
        <v>758</v>
      </c>
      <c r="G207" s="492" t="s">
        <v>34</v>
      </c>
      <c r="H207" s="492" t="s">
        <v>835</v>
      </c>
      <c r="I207" s="492" t="s">
        <v>4270</v>
      </c>
      <c r="J207" s="492" t="s">
        <v>1103</v>
      </c>
      <c r="K207" s="492" t="s">
        <v>349</v>
      </c>
      <c r="L207" s="492" t="s">
        <v>1520</v>
      </c>
      <c r="M207" s="492" t="s">
        <v>1521</v>
      </c>
      <c r="N207" s="492" t="s">
        <v>402</v>
      </c>
      <c r="O207" s="492" t="s">
        <v>4273</v>
      </c>
      <c r="P207" s="492" t="s">
        <v>1128</v>
      </c>
      <c r="Q207" s="492" t="s">
        <v>3503</v>
      </c>
      <c r="R207" s="492" t="s">
        <v>828</v>
      </c>
      <c r="S207" s="492" t="s">
        <v>1522</v>
      </c>
      <c r="T207" s="492">
        <v>20</v>
      </c>
      <c r="U207" s="492" t="s">
        <v>855</v>
      </c>
      <c r="V207" s="492" t="s">
        <v>1110</v>
      </c>
      <c r="W207" s="492" t="s">
        <v>4164</v>
      </c>
      <c r="X207" s="492" t="s">
        <v>3502</v>
      </c>
      <c r="Y207" s="492" t="s">
        <v>1514</v>
      </c>
      <c r="Z207" s="492" t="s">
        <v>1515</v>
      </c>
      <c r="AA207" s="492" t="s">
        <v>3502</v>
      </c>
      <c r="AB207" s="492" t="s">
        <v>34</v>
      </c>
      <c r="AC207" s="492" t="s">
        <v>830</v>
      </c>
      <c r="AD207" s="492" t="s">
        <v>831</v>
      </c>
      <c r="AE207" s="492" t="s">
        <v>612</v>
      </c>
      <c r="AF207" s="492">
        <v>4</v>
      </c>
      <c r="AG207" s="492">
        <v>53</v>
      </c>
      <c r="AH207" s="492">
        <v>9</v>
      </c>
      <c r="AI207" s="492" t="s">
        <v>34</v>
      </c>
      <c r="AJ207" s="492" t="s">
        <v>34</v>
      </c>
      <c r="AK207" s="492" t="s">
        <v>832</v>
      </c>
      <c r="AL207" s="492" t="s">
        <v>34</v>
      </c>
      <c r="AM207" s="61" t="s">
        <v>3442</v>
      </c>
      <c r="AN207" s="490">
        <v>1.4583333333333332E-2</v>
      </c>
      <c r="AO207" s="490">
        <v>0</v>
      </c>
      <c r="AP207" s="61"/>
    </row>
    <row r="208" spans="1:42" x14ac:dyDescent="0.2">
      <c r="A208" s="61">
        <v>207</v>
      </c>
      <c r="B208" s="491" t="s">
        <v>394</v>
      </c>
      <c r="C208" s="492" t="s">
        <v>400</v>
      </c>
      <c r="D208" s="492" t="s">
        <v>2756</v>
      </c>
      <c r="E208" s="492" t="s">
        <v>757</v>
      </c>
      <c r="F208" s="492" t="s">
        <v>758</v>
      </c>
      <c r="G208" s="492" t="s">
        <v>34</v>
      </c>
      <c r="H208" s="492" t="s">
        <v>835</v>
      </c>
      <c r="I208" s="492" t="s">
        <v>4270</v>
      </c>
      <c r="J208" s="492" t="s">
        <v>1103</v>
      </c>
      <c r="K208" s="492" t="s">
        <v>1550</v>
      </c>
      <c r="L208" s="492" t="s">
        <v>1555</v>
      </c>
      <c r="M208" s="492" t="s">
        <v>1556</v>
      </c>
      <c r="N208" s="492" t="s">
        <v>400</v>
      </c>
      <c r="O208" s="492" t="s">
        <v>4298</v>
      </c>
      <c r="P208" s="492" t="s">
        <v>1529</v>
      </c>
      <c r="Q208" s="492" t="s">
        <v>3513</v>
      </c>
      <c r="R208" s="492" t="s">
        <v>828</v>
      </c>
      <c r="S208" s="492" t="s">
        <v>1557</v>
      </c>
      <c r="T208" s="492">
        <v>445.5</v>
      </c>
      <c r="U208" s="492" t="s">
        <v>855</v>
      </c>
      <c r="V208" s="492" t="s">
        <v>1110</v>
      </c>
      <c r="W208" s="492" t="s">
        <v>3070</v>
      </c>
      <c r="X208" s="492" t="s">
        <v>3502</v>
      </c>
      <c r="Y208" s="492" t="s">
        <v>1514</v>
      </c>
      <c r="Z208" s="492" t="s">
        <v>1515</v>
      </c>
      <c r="AA208" s="492" t="s">
        <v>3502</v>
      </c>
      <c r="AB208" s="492" t="s">
        <v>34</v>
      </c>
      <c r="AC208" s="492" t="s">
        <v>830</v>
      </c>
      <c r="AD208" s="492" t="s">
        <v>831</v>
      </c>
      <c r="AE208" s="492" t="s">
        <v>612</v>
      </c>
      <c r="AF208" s="492">
        <v>15</v>
      </c>
      <c r="AG208" s="492">
        <v>0.43</v>
      </c>
      <c r="AH208" s="492">
        <v>0.1</v>
      </c>
      <c r="AI208" s="492" t="s">
        <v>34</v>
      </c>
      <c r="AJ208" s="492" t="s">
        <v>34</v>
      </c>
      <c r="AK208" s="492" t="s">
        <v>832</v>
      </c>
      <c r="AL208" s="492" t="s">
        <v>34</v>
      </c>
      <c r="AM208" s="61" t="s">
        <v>3441</v>
      </c>
      <c r="AN208" s="490">
        <v>1.4583333333333332E-2</v>
      </c>
      <c r="AO208" s="490">
        <v>0</v>
      </c>
      <c r="AP208" s="61"/>
    </row>
    <row r="209" spans="1:42" x14ac:dyDescent="0.2">
      <c r="A209" s="61">
        <v>208</v>
      </c>
      <c r="B209" s="491" t="s">
        <v>394</v>
      </c>
      <c r="C209" s="492" t="s">
        <v>403</v>
      </c>
      <c r="D209" s="492" t="s">
        <v>2757</v>
      </c>
      <c r="E209" s="492" t="s">
        <v>757</v>
      </c>
      <c r="F209" s="492" t="s">
        <v>758</v>
      </c>
      <c r="G209" s="492" t="s">
        <v>34</v>
      </c>
      <c r="H209" s="492" t="s">
        <v>835</v>
      </c>
      <c r="I209" s="492" t="s">
        <v>4270</v>
      </c>
      <c r="J209" s="492" t="s">
        <v>1103</v>
      </c>
      <c r="K209" s="492" t="s">
        <v>349</v>
      </c>
      <c r="L209" s="492" t="s">
        <v>1516</v>
      </c>
      <c r="M209" s="492" t="s">
        <v>1517</v>
      </c>
      <c r="N209" s="492" t="s">
        <v>403</v>
      </c>
      <c r="O209" s="492" t="s">
        <v>4271</v>
      </c>
      <c r="P209" s="492" t="s">
        <v>1518</v>
      </c>
      <c r="Q209" s="492" t="s">
        <v>3501</v>
      </c>
      <c r="R209" s="492" t="s">
        <v>828</v>
      </c>
      <c r="S209" s="492" t="s">
        <v>1519</v>
      </c>
      <c r="T209" s="492">
        <v>18.7</v>
      </c>
      <c r="U209" s="492" t="s">
        <v>855</v>
      </c>
      <c r="V209" s="492" t="s">
        <v>1110</v>
      </c>
      <c r="W209" s="492" t="s">
        <v>3071</v>
      </c>
      <c r="X209" s="492" t="s">
        <v>3502</v>
      </c>
      <c r="Y209" s="492" t="s">
        <v>1514</v>
      </c>
      <c r="Z209" s="492" t="s">
        <v>1515</v>
      </c>
      <c r="AA209" s="492" t="s">
        <v>3502</v>
      </c>
      <c r="AB209" s="492" t="s">
        <v>34</v>
      </c>
      <c r="AC209" s="492" t="s">
        <v>830</v>
      </c>
      <c r="AD209" s="492" t="s">
        <v>831</v>
      </c>
      <c r="AE209" s="492" t="s">
        <v>612</v>
      </c>
      <c r="AF209" s="492">
        <v>4</v>
      </c>
      <c r="AG209" s="492">
        <v>1</v>
      </c>
      <c r="AH209" s="492">
        <v>0.8</v>
      </c>
      <c r="AI209" s="492" t="s">
        <v>34</v>
      </c>
      <c r="AJ209" s="492" t="s">
        <v>34</v>
      </c>
      <c r="AK209" s="492" t="s">
        <v>832</v>
      </c>
      <c r="AL209" s="492" t="s">
        <v>34</v>
      </c>
      <c r="AM209" s="61" t="s">
        <v>3442</v>
      </c>
      <c r="AN209" s="490">
        <v>1.4583333333333332E-2</v>
      </c>
      <c r="AO209" s="490">
        <v>0</v>
      </c>
      <c r="AP209" s="61"/>
    </row>
    <row r="210" spans="1:42" x14ac:dyDescent="0.2">
      <c r="A210" s="61">
        <v>209</v>
      </c>
      <c r="B210" s="491" t="s">
        <v>394</v>
      </c>
      <c r="C210" s="492" t="s">
        <v>398</v>
      </c>
      <c r="D210" s="492" t="s">
        <v>2758</v>
      </c>
      <c r="E210" s="492" t="s">
        <v>757</v>
      </c>
      <c r="F210" s="492" t="s">
        <v>758</v>
      </c>
      <c r="G210" s="492" t="s">
        <v>34</v>
      </c>
      <c r="H210" s="492" t="s">
        <v>835</v>
      </c>
      <c r="I210" s="492" t="s">
        <v>4299</v>
      </c>
      <c r="J210" s="492" t="s">
        <v>1103</v>
      </c>
      <c r="K210" s="492" t="s">
        <v>409</v>
      </c>
      <c r="L210" s="492" t="s">
        <v>950</v>
      </c>
      <c r="M210" s="492" t="s">
        <v>398</v>
      </c>
      <c r="N210" s="492" t="s">
        <v>398</v>
      </c>
      <c r="O210" s="492" t="s">
        <v>3549</v>
      </c>
      <c r="P210" s="492" t="s">
        <v>1546</v>
      </c>
      <c r="Q210" s="492" t="s">
        <v>3514</v>
      </c>
      <c r="R210" s="492" t="s">
        <v>828</v>
      </c>
      <c r="S210" s="492" t="s">
        <v>1547</v>
      </c>
      <c r="T210" s="492">
        <v>120</v>
      </c>
      <c r="U210" s="492" t="s">
        <v>857</v>
      </c>
      <c r="V210" s="492" t="s">
        <v>1548</v>
      </c>
      <c r="W210" s="492" t="s">
        <v>1549</v>
      </c>
      <c r="X210" s="492" t="s">
        <v>3715</v>
      </c>
      <c r="Y210" s="492" t="s">
        <v>108</v>
      </c>
      <c r="Z210" s="492" t="s">
        <v>108</v>
      </c>
      <c r="AA210" s="492" t="s">
        <v>108</v>
      </c>
      <c r="AB210" s="492" t="s">
        <v>3716</v>
      </c>
      <c r="AC210" s="492" t="s">
        <v>830</v>
      </c>
      <c r="AD210" s="492" t="s">
        <v>831</v>
      </c>
      <c r="AE210" s="492" t="s">
        <v>612</v>
      </c>
      <c r="AF210" s="492">
        <v>0</v>
      </c>
      <c r="AG210" s="492">
        <v>0</v>
      </c>
      <c r="AH210" s="492">
        <v>0.15</v>
      </c>
      <c r="AI210" s="492" t="s">
        <v>2570</v>
      </c>
      <c r="AJ210" s="492" t="s">
        <v>34</v>
      </c>
      <c r="AK210" s="492" t="s">
        <v>832</v>
      </c>
      <c r="AL210" s="492" t="s">
        <v>34</v>
      </c>
      <c r="AM210" s="61" t="s">
        <v>3444</v>
      </c>
      <c r="AN210" s="490">
        <v>0</v>
      </c>
      <c r="AO210" s="490">
        <v>0</v>
      </c>
      <c r="AP210" s="61"/>
    </row>
    <row r="211" spans="1:42" x14ac:dyDescent="0.2">
      <c r="A211" s="61">
        <v>210</v>
      </c>
      <c r="B211" s="491" t="s">
        <v>394</v>
      </c>
      <c r="C211" s="492" t="s">
        <v>3370</v>
      </c>
      <c r="D211" s="492" t="s">
        <v>3371</v>
      </c>
      <c r="E211" s="492" t="s">
        <v>757</v>
      </c>
      <c r="F211" s="492" t="s">
        <v>758</v>
      </c>
      <c r="G211" s="492" t="s">
        <v>34</v>
      </c>
      <c r="H211" s="492" t="s">
        <v>835</v>
      </c>
      <c r="I211" s="492" t="s">
        <v>4270</v>
      </c>
      <c r="J211" s="492" t="s">
        <v>1103</v>
      </c>
      <c r="K211" s="492" t="s">
        <v>1523</v>
      </c>
      <c r="L211" s="492" t="s">
        <v>1538</v>
      </c>
      <c r="M211" s="492" t="s">
        <v>1539</v>
      </c>
      <c r="N211" s="492" t="s">
        <v>396</v>
      </c>
      <c r="O211" s="492" t="s">
        <v>4296</v>
      </c>
      <c r="P211" s="492" t="s">
        <v>1540</v>
      </c>
      <c r="Q211" s="492" t="s">
        <v>3512</v>
      </c>
      <c r="R211" s="492" t="s">
        <v>828</v>
      </c>
      <c r="S211" s="492" t="s">
        <v>1541</v>
      </c>
      <c r="T211" s="492">
        <v>29.8</v>
      </c>
      <c r="U211" s="492" t="s">
        <v>855</v>
      </c>
      <c r="V211" s="492" t="s">
        <v>1172</v>
      </c>
      <c r="W211" s="492" t="s">
        <v>1542</v>
      </c>
      <c r="X211" s="492" t="s">
        <v>3511</v>
      </c>
      <c r="Y211" s="492" t="s">
        <v>1543</v>
      </c>
      <c r="Z211" s="492" t="s">
        <v>1544</v>
      </c>
      <c r="AA211" s="492" t="s">
        <v>3511</v>
      </c>
      <c r="AB211" s="492" t="s">
        <v>1545</v>
      </c>
      <c r="AC211" s="492" t="s">
        <v>830</v>
      </c>
      <c r="AD211" s="492" t="s">
        <v>831</v>
      </c>
      <c r="AE211" s="492" t="s">
        <v>612</v>
      </c>
      <c r="AF211" s="492" t="s">
        <v>2054</v>
      </c>
      <c r="AG211" s="492" t="s">
        <v>34</v>
      </c>
      <c r="AH211" s="492" t="s">
        <v>34</v>
      </c>
      <c r="AI211" s="492" t="s">
        <v>34</v>
      </c>
      <c r="AJ211" s="492" t="s">
        <v>34</v>
      </c>
      <c r="AK211" s="492" t="s">
        <v>832</v>
      </c>
      <c r="AL211" s="492" t="s">
        <v>34</v>
      </c>
      <c r="AM211" s="61" t="s">
        <v>3448</v>
      </c>
      <c r="AN211" s="490">
        <v>0</v>
      </c>
      <c r="AO211" s="490">
        <v>0</v>
      </c>
      <c r="AP211" s="61"/>
    </row>
    <row r="212" spans="1:42" x14ac:dyDescent="0.2">
      <c r="A212" s="61">
        <v>211</v>
      </c>
      <c r="B212" s="491" t="s">
        <v>394</v>
      </c>
      <c r="C212" s="492" t="s">
        <v>3372</v>
      </c>
      <c r="D212" s="492" t="s">
        <v>3373</v>
      </c>
      <c r="E212" s="492" t="s">
        <v>757</v>
      </c>
      <c r="F212" s="492" t="s">
        <v>758</v>
      </c>
      <c r="G212" s="492" t="s">
        <v>34</v>
      </c>
      <c r="H212" s="492" t="s">
        <v>835</v>
      </c>
      <c r="I212" s="492" t="s">
        <v>4270</v>
      </c>
      <c r="J212" s="492" t="s">
        <v>1103</v>
      </c>
      <c r="K212" s="492" t="s">
        <v>1523</v>
      </c>
      <c r="L212" s="492" t="s">
        <v>1538</v>
      </c>
      <c r="M212" s="492" t="s">
        <v>1539</v>
      </c>
      <c r="N212" s="492" t="s">
        <v>396</v>
      </c>
      <c r="O212" s="492" t="s">
        <v>4296</v>
      </c>
      <c r="P212" s="492" t="s">
        <v>1540</v>
      </c>
      <c r="Q212" s="492" t="s">
        <v>3512</v>
      </c>
      <c r="R212" s="492" t="s">
        <v>828</v>
      </c>
      <c r="S212" s="492" t="s">
        <v>1541</v>
      </c>
      <c r="T212" s="492">
        <v>29.8</v>
      </c>
      <c r="U212" s="492" t="s">
        <v>857</v>
      </c>
      <c r="V212" s="492" t="s">
        <v>1172</v>
      </c>
      <c r="W212" s="492" t="s">
        <v>1542</v>
      </c>
      <c r="X212" s="492" t="s">
        <v>3511</v>
      </c>
      <c r="Y212" s="492" t="s">
        <v>1543</v>
      </c>
      <c r="Z212" s="492" t="s">
        <v>1544</v>
      </c>
      <c r="AA212" s="492" t="s">
        <v>3511</v>
      </c>
      <c r="AB212" s="492" t="s">
        <v>1545</v>
      </c>
      <c r="AC212" s="492" t="s">
        <v>830</v>
      </c>
      <c r="AD212" s="492" t="s">
        <v>831</v>
      </c>
      <c r="AE212" s="492" t="s">
        <v>612</v>
      </c>
      <c r="AF212" s="492" t="s">
        <v>2054</v>
      </c>
      <c r="AG212" s="492" t="s">
        <v>34</v>
      </c>
      <c r="AH212" s="492" t="s">
        <v>34</v>
      </c>
      <c r="AI212" s="492" t="s">
        <v>34</v>
      </c>
      <c r="AJ212" s="492" t="s">
        <v>34</v>
      </c>
      <c r="AK212" s="492" t="s">
        <v>832</v>
      </c>
      <c r="AL212" s="492" t="s">
        <v>34</v>
      </c>
      <c r="AM212" s="61" t="s">
        <v>3448</v>
      </c>
      <c r="AN212" s="490">
        <v>0</v>
      </c>
      <c r="AO212" s="490">
        <v>0</v>
      </c>
      <c r="AP212" s="61"/>
    </row>
    <row r="213" spans="1:42" x14ac:dyDescent="0.2">
      <c r="A213" s="61">
        <v>212</v>
      </c>
      <c r="B213" s="491" t="s">
        <v>394</v>
      </c>
      <c r="C213" s="492" t="s">
        <v>397</v>
      </c>
      <c r="D213" s="492" t="s">
        <v>2759</v>
      </c>
      <c r="E213" s="492" t="s">
        <v>757</v>
      </c>
      <c r="F213" s="492" t="s">
        <v>758</v>
      </c>
      <c r="G213" s="492" t="s">
        <v>34</v>
      </c>
      <c r="H213" s="492" t="s">
        <v>835</v>
      </c>
      <c r="I213" s="492" t="s">
        <v>4270</v>
      </c>
      <c r="J213" s="492" t="s">
        <v>1103</v>
      </c>
      <c r="K213" s="492" t="s">
        <v>1523</v>
      </c>
      <c r="L213" s="492" t="s">
        <v>1531</v>
      </c>
      <c r="M213" s="492" t="s">
        <v>1532</v>
      </c>
      <c r="N213" s="492" t="s">
        <v>397</v>
      </c>
      <c r="O213" s="492" t="s">
        <v>4300</v>
      </c>
      <c r="P213" s="492" t="s">
        <v>1533</v>
      </c>
      <c r="Q213" s="492" t="s">
        <v>3514</v>
      </c>
      <c r="R213" s="492" t="s">
        <v>828</v>
      </c>
      <c r="S213" s="492" t="s">
        <v>3564</v>
      </c>
      <c r="T213" s="492">
        <v>91.8</v>
      </c>
      <c r="U213" s="492" t="s">
        <v>857</v>
      </c>
      <c r="V213" s="492" t="s">
        <v>1172</v>
      </c>
      <c r="W213" s="492" t="s">
        <v>1534</v>
      </c>
      <c r="X213" s="492" t="s">
        <v>3511</v>
      </c>
      <c r="Y213" s="492" t="s">
        <v>1535</v>
      </c>
      <c r="Z213" s="492" t="s">
        <v>1536</v>
      </c>
      <c r="AA213" s="492" t="s">
        <v>3511</v>
      </c>
      <c r="AB213" s="492" t="s">
        <v>1537</v>
      </c>
      <c r="AC213" s="492" t="s">
        <v>830</v>
      </c>
      <c r="AD213" s="492" t="s">
        <v>831</v>
      </c>
      <c r="AE213" s="492" t="s">
        <v>612</v>
      </c>
      <c r="AF213" s="492">
        <v>13.25</v>
      </c>
      <c r="AG213" s="492">
        <v>2.75</v>
      </c>
      <c r="AH213" s="492">
        <v>0.8</v>
      </c>
      <c r="AI213" s="492" t="s">
        <v>34</v>
      </c>
      <c r="AJ213" s="492" t="s">
        <v>34</v>
      </c>
      <c r="AK213" s="492" t="s">
        <v>832</v>
      </c>
      <c r="AL213" s="492" t="s">
        <v>34</v>
      </c>
      <c r="AM213" s="61" t="s">
        <v>3448</v>
      </c>
      <c r="AN213" s="490">
        <v>0</v>
      </c>
      <c r="AO213" s="490">
        <v>0</v>
      </c>
      <c r="AP213" s="61"/>
    </row>
    <row r="214" spans="1:42" x14ac:dyDescent="0.2">
      <c r="A214" s="61">
        <v>213</v>
      </c>
      <c r="B214" s="491" t="s">
        <v>405</v>
      </c>
      <c r="C214" s="492" t="s">
        <v>407</v>
      </c>
      <c r="D214" s="492" t="s">
        <v>2760</v>
      </c>
      <c r="E214" s="492" t="s">
        <v>759</v>
      </c>
      <c r="F214" s="492" t="s">
        <v>760</v>
      </c>
      <c r="G214" s="492" t="s">
        <v>34</v>
      </c>
      <c r="H214" s="492" t="s">
        <v>835</v>
      </c>
      <c r="I214" s="492" t="s">
        <v>4270</v>
      </c>
      <c r="J214" s="492" t="s">
        <v>1447</v>
      </c>
      <c r="K214" s="492" t="s">
        <v>957</v>
      </c>
      <c r="L214" s="492" t="s">
        <v>1568</v>
      </c>
      <c r="M214" s="492">
        <v>966014</v>
      </c>
      <c r="N214" s="492" t="s">
        <v>407</v>
      </c>
      <c r="O214" s="492" t="s">
        <v>305</v>
      </c>
      <c r="P214" s="492" t="s">
        <v>1569</v>
      </c>
      <c r="Q214" s="492" t="s">
        <v>911</v>
      </c>
      <c r="R214" s="492" t="s">
        <v>892</v>
      </c>
      <c r="S214" s="492" t="s">
        <v>1570</v>
      </c>
      <c r="T214" s="492">
        <v>6.25</v>
      </c>
      <c r="U214" s="492" t="s">
        <v>687</v>
      </c>
      <c r="V214" s="492" t="s">
        <v>1571</v>
      </c>
      <c r="W214" s="492">
        <v>306253</v>
      </c>
      <c r="X214" s="492" t="s">
        <v>977</v>
      </c>
      <c r="Y214" s="492" t="s">
        <v>108</v>
      </c>
      <c r="Z214" s="492" t="s">
        <v>108</v>
      </c>
      <c r="AA214" s="492" t="s">
        <v>108</v>
      </c>
      <c r="AB214" s="492" t="s">
        <v>4057</v>
      </c>
      <c r="AC214" s="492" t="s">
        <v>830</v>
      </c>
      <c r="AD214" s="492" t="s">
        <v>831</v>
      </c>
      <c r="AE214" s="492" t="s">
        <v>612</v>
      </c>
      <c r="AF214" s="492">
        <v>2.1</v>
      </c>
      <c r="AG214" s="492">
        <v>1.2</v>
      </c>
      <c r="AH214" s="492">
        <v>0.2</v>
      </c>
      <c r="AI214" s="492" t="s">
        <v>2573</v>
      </c>
      <c r="AJ214" s="492" t="s">
        <v>2574</v>
      </c>
      <c r="AK214" s="492" t="s">
        <v>832</v>
      </c>
      <c r="AL214" s="492" t="s">
        <v>2432</v>
      </c>
      <c r="AM214" s="61" t="s">
        <v>3441</v>
      </c>
      <c r="AN214" s="490">
        <v>0</v>
      </c>
      <c r="AO214" s="490">
        <v>0</v>
      </c>
      <c r="AP214" s="61"/>
    </row>
    <row r="215" spans="1:42" x14ac:dyDescent="0.2">
      <c r="A215" s="61">
        <v>214</v>
      </c>
      <c r="B215" s="491" t="s">
        <v>405</v>
      </c>
      <c r="C215" s="492" t="s">
        <v>406</v>
      </c>
      <c r="D215" s="492" t="s">
        <v>2761</v>
      </c>
      <c r="E215" s="492" t="s">
        <v>759</v>
      </c>
      <c r="F215" s="492" t="s">
        <v>760</v>
      </c>
      <c r="G215" s="492" t="s">
        <v>34</v>
      </c>
      <c r="H215" s="492" t="s">
        <v>835</v>
      </c>
      <c r="I215" s="492" t="s">
        <v>4270</v>
      </c>
      <c r="J215" s="492" t="s">
        <v>1447</v>
      </c>
      <c r="K215" s="492" t="s">
        <v>670</v>
      </c>
      <c r="L215" s="492" t="s">
        <v>1572</v>
      </c>
      <c r="M215" s="492" t="s">
        <v>1573</v>
      </c>
      <c r="N215" s="492" t="s">
        <v>406</v>
      </c>
      <c r="O215" s="492" t="s">
        <v>305</v>
      </c>
      <c r="P215" s="492" t="s">
        <v>1229</v>
      </c>
      <c r="Q215" s="492" t="s">
        <v>911</v>
      </c>
      <c r="R215" s="492" t="s">
        <v>828</v>
      </c>
      <c r="S215" s="492" t="s">
        <v>1574</v>
      </c>
      <c r="T215" s="492">
        <v>10.1</v>
      </c>
      <c r="U215" s="492" t="s">
        <v>687</v>
      </c>
      <c r="V215" s="492" t="s">
        <v>1110</v>
      </c>
      <c r="W215" s="492" t="s">
        <v>3997</v>
      </c>
      <c r="X215" s="492" t="s">
        <v>829</v>
      </c>
      <c r="Y215" s="492" t="s">
        <v>108</v>
      </c>
      <c r="Z215" s="492" t="s">
        <v>108</v>
      </c>
      <c r="AA215" s="492" t="s">
        <v>108</v>
      </c>
      <c r="AB215" s="492" t="s">
        <v>34</v>
      </c>
      <c r="AC215" s="492" t="s">
        <v>830</v>
      </c>
      <c r="AD215" s="492" t="s">
        <v>831</v>
      </c>
      <c r="AE215" s="492" t="s">
        <v>612</v>
      </c>
      <c r="AF215" s="492">
        <v>5</v>
      </c>
      <c r="AG215" s="492">
        <v>0.4</v>
      </c>
      <c r="AH215" s="492">
        <v>0.05</v>
      </c>
      <c r="AI215" s="492" t="s">
        <v>34</v>
      </c>
      <c r="AJ215" s="492" t="s">
        <v>34</v>
      </c>
      <c r="AK215" s="492" t="s">
        <v>832</v>
      </c>
      <c r="AL215" s="492" t="s">
        <v>2432</v>
      </c>
      <c r="AM215" s="61" t="s">
        <v>3442</v>
      </c>
      <c r="AN215" s="490">
        <v>0</v>
      </c>
      <c r="AO215" s="490">
        <v>0</v>
      </c>
      <c r="AP215" s="61"/>
    </row>
    <row r="216" spans="1:42" x14ac:dyDescent="0.2">
      <c r="A216" s="61">
        <v>215</v>
      </c>
      <c r="B216" s="491" t="s">
        <v>405</v>
      </c>
      <c r="C216" s="492" t="s">
        <v>698</v>
      </c>
      <c r="D216" s="492" t="s">
        <v>2762</v>
      </c>
      <c r="E216" s="492" t="s">
        <v>759</v>
      </c>
      <c r="F216" s="492" t="s">
        <v>760</v>
      </c>
      <c r="G216" s="492" t="s">
        <v>34</v>
      </c>
      <c r="H216" s="492" t="s">
        <v>835</v>
      </c>
      <c r="I216" s="492" t="s">
        <v>4270</v>
      </c>
      <c r="J216" s="492" t="s">
        <v>1447</v>
      </c>
      <c r="K216" s="492" t="s">
        <v>1575</v>
      </c>
      <c r="L216" s="492" t="s">
        <v>950</v>
      </c>
      <c r="M216" s="492">
        <v>156014</v>
      </c>
      <c r="N216" s="492" t="s">
        <v>698</v>
      </c>
      <c r="O216" s="492" t="s">
        <v>305</v>
      </c>
      <c r="P216" s="492" t="s">
        <v>952</v>
      </c>
      <c r="Q216" s="492" t="s">
        <v>911</v>
      </c>
      <c r="R216" s="492" t="s">
        <v>828</v>
      </c>
      <c r="S216" s="492" t="s">
        <v>1576</v>
      </c>
      <c r="T216" s="492">
        <v>10.4</v>
      </c>
      <c r="U216" s="492" t="s">
        <v>687</v>
      </c>
      <c r="V216" s="492" t="s">
        <v>1577</v>
      </c>
      <c r="W216" s="492" t="s">
        <v>1578</v>
      </c>
      <c r="X216" s="492" t="s">
        <v>977</v>
      </c>
      <c r="Y216" s="492" t="s">
        <v>108</v>
      </c>
      <c r="Z216" s="492" t="s">
        <v>108</v>
      </c>
      <c r="AA216" s="492" t="s">
        <v>108</v>
      </c>
      <c r="AB216" s="492" t="s">
        <v>1838</v>
      </c>
      <c r="AC216" s="492" t="s">
        <v>830</v>
      </c>
      <c r="AD216" s="492" t="s">
        <v>831</v>
      </c>
      <c r="AE216" s="492" t="s">
        <v>612</v>
      </c>
      <c r="AF216" s="492" t="s">
        <v>2054</v>
      </c>
      <c r="AG216" s="492" t="s">
        <v>34</v>
      </c>
      <c r="AH216" s="492" t="s">
        <v>34</v>
      </c>
      <c r="AI216" s="492" t="s">
        <v>34</v>
      </c>
      <c r="AJ216" s="492" t="s">
        <v>34</v>
      </c>
      <c r="AK216" s="492" t="s">
        <v>832</v>
      </c>
      <c r="AL216" s="492" t="s">
        <v>2432</v>
      </c>
      <c r="AM216" s="61" t="s">
        <v>3441</v>
      </c>
      <c r="AN216" s="490">
        <v>0</v>
      </c>
      <c r="AO216" s="490">
        <v>0</v>
      </c>
      <c r="AP216" s="61"/>
    </row>
    <row r="217" spans="1:42" x14ac:dyDescent="0.2">
      <c r="A217" s="61">
        <v>216</v>
      </c>
      <c r="B217" s="491" t="s">
        <v>3376</v>
      </c>
      <c r="C217" s="492" t="s">
        <v>3377</v>
      </c>
      <c r="D217" s="492" t="s">
        <v>3378</v>
      </c>
      <c r="E217" s="492" t="s">
        <v>3379</v>
      </c>
      <c r="F217" s="492" t="s">
        <v>3380</v>
      </c>
      <c r="G217" s="492" t="s">
        <v>3381</v>
      </c>
      <c r="H217" s="492" t="s">
        <v>835</v>
      </c>
      <c r="I217" s="492" t="s">
        <v>4270</v>
      </c>
      <c r="J217" s="492" t="s">
        <v>613</v>
      </c>
      <c r="K217" s="492" t="s">
        <v>921</v>
      </c>
      <c r="L217" s="492" t="s">
        <v>3382</v>
      </c>
      <c r="M217" s="492">
        <v>24005</v>
      </c>
      <c r="N217" s="492" t="s">
        <v>3383</v>
      </c>
      <c r="O217" s="492" t="s">
        <v>108</v>
      </c>
      <c r="P217" s="492" t="s">
        <v>3384</v>
      </c>
      <c r="Q217" s="492" t="s">
        <v>3385</v>
      </c>
      <c r="R217" s="492" t="s">
        <v>3386</v>
      </c>
      <c r="S217" s="492" t="s">
        <v>3387</v>
      </c>
      <c r="T217" s="492">
        <v>488.2</v>
      </c>
      <c r="U217" s="492" t="s">
        <v>3150</v>
      </c>
      <c r="V217" s="492" t="s">
        <v>3388</v>
      </c>
      <c r="W217" s="492">
        <v>224109</v>
      </c>
      <c r="X217" s="492" t="s">
        <v>937</v>
      </c>
      <c r="Y217" s="492" t="s">
        <v>3389</v>
      </c>
      <c r="Z217" s="492">
        <v>8134133</v>
      </c>
      <c r="AA217" s="492" t="s">
        <v>937</v>
      </c>
      <c r="AB217" s="492" t="s">
        <v>3390</v>
      </c>
      <c r="AC217" s="492" t="s">
        <v>830</v>
      </c>
      <c r="AD217" s="492" t="s">
        <v>3145</v>
      </c>
      <c r="AE217" s="492" t="s">
        <v>612</v>
      </c>
      <c r="AF217" s="492" t="s">
        <v>34</v>
      </c>
      <c r="AG217" s="492" t="s">
        <v>34</v>
      </c>
      <c r="AH217" s="492" t="s">
        <v>34</v>
      </c>
      <c r="AI217" s="492" t="s">
        <v>34</v>
      </c>
      <c r="AJ217" s="492" t="s">
        <v>34</v>
      </c>
      <c r="AK217" s="492" t="s">
        <v>832</v>
      </c>
      <c r="AL217" s="492" t="s">
        <v>34</v>
      </c>
      <c r="AM217" s="61" t="s">
        <v>3441</v>
      </c>
      <c r="AN217" s="490">
        <v>0</v>
      </c>
      <c r="AO217" s="490">
        <v>0</v>
      </c>
      <c r="AP217" s="61"/>
    </row>
    <row r="218" spans="1:42" x14ac:dyDescent="0.2">
      <c r="A218" s="61">
        <v>217</v>
      </c>
      <c r="B218" s="491" t="s">
        <v>620</v>
      </c>
      <c r="C218" s="492" t="s">
        <v>621</v>
      </c>
      <c r="D218" s="492" t="s">
        <v>2763</v>
      </c>
      <c r="E218" s="492" t="s">
        <v>1579</v>
      </c>
      <c r="F218" s="492" t="s">
        <v>761</v>
      </c>
      <c r="G218" s="492" t="s">
        <v>34</v>
      </c>
      <c r="H218" s="492" t="s">
        <v>835</v>
      </c>
      <c r="I218" s="492" t="s">
        <v>4270</v>
      </c>
      <c r="J218" s="492" t="s">
        <v>1447</v>
      </c>
      <c r="K218" s="492" t="s">
        <v>670</v>
      </c>
      <c r="L218" s="492" t="s">
        <v>1580</v>
      </c>
      <c r="M218" s="493" t="s">
        <v>621</v>
      </c>
      <c r="N218" s="492" t="s">
        <v>621</v>
      </c>
      <c r="O218" s="492" t="s">
        <v>305</v>
      </c>
      <c r="P218" s="492" t="s">
        <v>1581</v>
      </c>
      <c r="Q218" s="492" t="s">
        <v>911</v>
      </c>
      <c r="R218" s="492" t="s">
        <v>892</v>
      </c>
      <c r="S218" s="492" t="s">
        <v>1582</v>
      </c>
      <c r="T218" s="492">
        <v>192.5</v>
      </c>
      <c r="U218" s="492" t="s">
        <v>687</v>
      </c>
      <c r="V218" s="492" t="s">
        <v>1583</v>
      </c>
      <c r="W218" s="492">
        <v>11110683</v>
      </c>
      <c r="X218" s="492" t="s">
        <v>829</v>
      </c>
      <c r="Y218" s="492" t="s">
        <v>1584</v>
      </c>
      <c r="Z218" s="492">
        <v>16282890</v>
      </c>
      <c r="AA218" s="492" t="s">
        <v>829</v>
      </c>
      <c r="AB218" s="492" t="s">
        <v>34</v>
      </c>
      <c r="AC218" s="492" t="s">
        <v>830</v>
      </c>
      <c r="AD218" s="492" t="s">
        <v>831</v>
      </c>
      <c r="AE218" s="492" t="s">
        <v>612</v>
      </c>
      <c r="AF218" s="492" t="s">
        <v>34</v>
      </c>
      <c r="AG218" s="492" t="s">
        <v>34</v>
      </c>
      <c r="AH218" s="492" t="s">
        <v>34</v>
      </c>
      <c r="AI218" s="492" t="s">
        <v>34</v>
      </c>
      <c r="AJ218" s="492" t="s">
        <v>34</v>
      </c>
      <c r="AK218" s="492" t="s">
        <v>832</v>
      </c>
      <c r="AL218" s="492" t="s">
        <v>34</v>
      </c>
      <c r="AM218" s="61" t="s">
        <v>3444</v>
      </c>
      <c r="AN218" s="490">
        <v>0</v>
      </c>
      <c r="AO218" s="490">
        <v>0</v>
      </c>
      <c r="AP218" s="61"/>
    </row>
    <row r="219" spans="1:42" x14ac:dyDescent="0.2">
      <c r="A219" s="61">
        <v>218</v>
      </c>
      <c r="B219" s="491" t="s">
        <v>408</v>
      </c>
      <c r="C219" s="492" t="s">
        <v>3301</v>
      </c>
      <c r="D219" s="492" t="s">
        <v>3302</v>
      </c>
      <c r="E219" s="492" t="s">
        <v>1585</v>
      </c>
      <c r="F219" s="492" t="s">
        <v>1586</v>
      </c>
      <c r="G219" s="492" t="s">
        <v>34</v>
      </c>
      <c r="H219" s="492" t="s">
        <v>835</v>
      </c>
      <c r="I219" s="492" t="s">
        <v>3303</v>
      </c>
      <c r="J219" s="492" t="s">
        <v>1103</v>
      </c>
      <c r="K219" s="492" t="s">
        <v>3301</v>
      </c>
      <c r="L219" s="492" t="s">
        <v>3304</v>
      </c>
      <c r="M219" s="493">
        <v>13849</v>
      </c>
      <c r="N219" s="492" t="s">
        <v>3301</v>
      </c>
      <c r="O219" s="492" t="s">
        <v>305</v>
      </c>
      <c r="P219" s="492" t="s">
        <v>3305</v>
      </c>
      <c r="Q219" s="492" t="s">
        <v>911</v>
      </c>
      <c r="R219" s="492" t="s">
        <v>892</v>
      </c>
      <c r="S219" s="492" t="s">
        <v>2283</v>
      </c>
      <c r="T219" s="492">
        <v>6</v>
      </c>
      <c r="U219" s="492" t="s">
        <v>858</v>
      </c>
      <c r="V219" s="492" t="s">
        <v>1927</v>
      </c>
      <c r="W219" s="492" t="s">
        <v>3306</v>
      </c>
      <c r="X219" s="492" t="s">
        <v>829</v>
      </c>
      <c r="Y219" s="492" t="s">
        <v>1341</v>
      </c>
      <c r="Z219" s="492" t="s">
        <v>3307</v>
      </c>
      <c r="AA219" s="492" t="s">
        <v>829</v>
      </c>
      <c r="AB219" s="492" t="s">
        <v>34</v>
      </c>
      <c r="AC219" s="492" t="s">
        <v>830</v>
      </c>
      <c r="AD219" s="492" t="s">
        <v>831</v>
      </c>
      <c r="AE219" s="492" t="s">
        <v>612</v>
      </c>
      <c r="AF219" s="492" t="s">
        <v>3308</v>
      </c>
      <c r="AG219" s="492" t="s">
        <v>3309</v>
      </c>
      <c r="AH219" s="492" t="s">
        <v>3310</v>
      </c>
      <c r="AI219" s="492" t="s">
        <v>34</v>
      </c>
      <c r="AJ219" s="492" t="s">
        <v>34</v>
      </c>
      <c r="AK219" s="492" t="s">
        <v>832</v>
      </c>
      <c r="AL219" s="492" t="s">
        <v>34</v>
      </c>
      <c r="AM219" s="61" t="s">
        <v>3455</v>
      </c>
      <c r="AN219" s="490">
        <v>0</v>
      </c>
      <c r="AO219" s="490">
        <v>0</v>
      </c>
      <c r="AP219" s="61"/>
    </row>
    <row r="220" spans="1:42" x14ac:dyDescent="0.2">
      <c r="A220" s="61">
        <v>219</v>
      </c>
      <c r="B220" s="491" t="s">
        <v>408</v>
      </c>
      <c r="C220" s="492" t="s">
        <v>3354</v>
      </c>
      <c r="D220" s="492" t="s">
        <v>3355</v>
      </c>
      <c r="E220" s="492" t="s">
        <v>1585</v>
      </c>
      <c r="F220" s="492" t="s">
        <v>1586</v>
      </c>
      <c r="G220" s="492" t="s">
        <v>34</v>
      </c>
      <c r="H220" s="492" t="s">
        <v>835</v>
      </c>
      <c r="I220" s="492" t="s">
        <v>3303</v>
      </c>
      <c r="J220" s="492" t="s">
        <v>1103</v>
      </c>
      <c r="K220" s="492" t="s">
        <v>3354</v>
      </c>
      <c r="L220" s="492" t="s">
        <v>3369</v>
      </c>
      <c r="M220" s="493">
        <v>1184</v>
      </c>
      <c r="N220" s="492" t="s">
        <v>3354</v>
      </c>
      <c r="O220" s="492" t="s">
        <v>305</v>
      </c>
      <c r="P220" s="492" t="s">
        <v>1078</v>
      </c>
      <c r="Q220" s="492" t="s">
        <v>1078</v>
      </c>
      <c r="R220" s="492" t="s">
        <v>892</v>
      </c>
      <c r="S220" s="492" t="s">
        <v>3356</v>
      </c>
      <c r="T220" s="492">
        <v>16.25</v>
      </c>
      <c r="U220" s="492" t="s">
        <v>108</v>
      </c>
      <c r="V220" s="492" t="s">
        <v>1095</v>
      </c>
      <c r="W220" s="492" t="s">
        <v>3306</v>
      </c>
      <c r="X220" s="492" t="s">
        <v>1445</v>
      </c>
      <c r="Y220" s="492" t="s">
        <v>3357</v>
      </c>
      <c r="Z220" s="492" t="s">
        <v>3358</v>
      </c>
      <c r="AA220" s="492" t="s">
        <v>829</v>
      </c>
      <c r="AB220" s="492" t="s">
        <v>3359</v>
      </c>
      <c r="AC220" s="492" t="s">
        <v>830</v>
      </c>
      <c r="AD220" s="492" t="s">
        <v>831</v>
      </c>
      <c r="AE220" s="492" t="s">
        <v>612</v>
      </c>
      <c r="AF220" s="492" t="s">
        <v>108</v>
      </c>
      <c r="AG220" s="492" t="s">
        <v>108</v>
      </c>
      <c r="AH220" s="492" t="s">
        <v>108</v>
      </c>
      <c r="AI220" s="492" t="s">
        <v>34</v>
      </c>
      <c r="AJ220" s="492" t="s">
        <v>34</v>
      </c>
      <c r="AK220" s="492" t="s">
        <v>832</v>
      </c>
      <c r="AL220" s="492" t="s">
        <v>34</v>
      </c>
      <c r="AM220" s="61" t="s">
        <v>3445</v>
      </c>
      <c r="AN220" s="490">
        <v>0</v>
      </c>
      <c r="AO220" s="490">
        <v>0</v>
      </c>
      <c r="AP220" s="61"/>
    </row>
    <row r="221" spans="1:42" x14ac:dyDescent="0.2">
      <c r="A221" s="61">
        <v>220</v>
      </c>
      <c r="B221" s="491" t="s">
        <v>408</v>
      </c>
      <c r="C221" s="492" t="s">
        <v>410</v>
      </c>
      <c r="D221" s="492" t="s">
        <v>2764</v>
      </c>
      <c r="E221" s="492" t="s">
        <v>1585</v>
      </c>
      <c r="F221" s="492" t="s">
        <v>1586</v>
      </c>
      <c r="G221" s="492" t="s">
        <v>34</v>
      </c>
      <c r="H221" s="492" t="s">
        <v>835</v>
      </c>
      <c r="I221" s="492" t="s">
        <v>4270</v>
      </c>
      <c r="J221" s="492" t="s">
        <v>1447</v>
      </c>
      <c r="K221" s="492" t="s">
        <v>366</v>
      </c>
      <c r="L221" s="492" t="s">
        <v>1587</v>
      </c>
      <c r="M221" s="493">
        <v>51811</v>
      </c>
      <c r="N221" s="492" t="s">
        <v>410</v>
      </c>
      <c r="O221" s="492" t="s">
        <v>305</v>
      </c>
      <c r="P221" s="492" t="s">
        <v>1588</v>
      </c>
      <c r="Q221" s="492" t="s">
        <v>833</v>
      </c>
      <c r="R221" s="492" t="s">
        <v>993</v>
      </c>
      <c r="S221" s="492" t="s">
        <v>1589</v>
      </c>
      <c r="T221" s="492">
        <v>132.5</v>
      </c>
      <c r="U221" s="492" t="s">
        <v>857</v>
      </c>
      <c r="V221" s="492" t="s">
        <v>1590</v>
      </c>
      <c r="W221" s="492">
        <v>11019002</v>
      </c>
      <c r="X221" s="492" t="s">
        <v>829</v>
      </c>
      <c r="Y221" s="492" t="s">
        <v>1341</v>
      </c>
      <c r="Z221" s="492" t="s">
        <v>1591</v>
      </c>
      <c r="AA221" s="492" t="s">
        <v>829</v>
      </c>
      <c r="AB221" s="492" t="s">
        <v>34</v>
      </c>
      <c r="AC221" s="492" t="s">
        <v>830</v>
      </c>
      <c r="AD221" s="492" t="s">
        <v>831</v>
      </c>
      <c r="AE221" s="492" t="s">
        <v>612</v>
      </c>
      <c r="AF221" s="492" t="s">
        <v>2054</v>
      </c>
      <c r="AG221" s="492" t="s">
        <v>34</v>
      </c>
      <c r="AH221" s="492" t="s">
        <v>34</v>
      </c>
      <c r="AI221" s="492" t="s">
        <v>34</v>
      </c>
      <c r="AJ221" s="492" t="s">
        <v>34</v>
      </c>
      <c r="AK221" s="492" t="s">
        <v>832</v>
      </c>
      <c r="AL221" s="492" t="s">
        <v>34</v>
      </c>
      <c r="AM221" s="61" t="s">
        <v>3441</v>
      </c>
      <c r="AN221" s="490">
        <v>0</v>
      </c>
      <c r="AO221" s="490">
        <v>0</v>
      </c>
      <c r="AP221" s="61"/>
    </row>
    <row r="222" spans="1:42" x14ac:dyDescent="0.2">
      <c r="A222" s="61">
        <v>221</v>
      </c>
      <c r="B222" s="491" t="s">
        <v>408</v>
      </c>
      <c r="C222" s="492" t="s">
        <v>409</v>
      </c>
      <c r="D222" s="492" t="s">
        <v>2765</v>
      </c>
      <c r="E222" s="492" t="s">
        <v>1585</v>
      </c>
      <c r="F222" s="492" t="s">
        <v>1586</v>
      </c>
      <c r="G222" s="492" t="s">
        <v>34</v>
      </c>
      <c r="H222" s="492" t="s">
        <v>835</v>
      </c>
      <c r="I222" s="492" t="s">
        <v>4270</v>
      </c>
      <c r="J222" s="492" t="s">
        <v>1447</v>
      </c>
      <c r="K222" s="492" t="s">
        <v>957</v>
      </c>
      <c r="L222" s="492" t="s">
        <v>826</v>
      </c>
      <c r="M222" s="493">
        <v>111297</v>
      </c>
      <c r="N222" s="492" t="s">
        <v>409</v>
      </c>
      <c r="O222" s="492" t="s">
        <v>305</v>
      </c>
      <c r="P222" s="492" t="s">
        <v>1465</v>
      </c>
      <c r="Q222" s="492" t="s">
        <v>911</v>
      </c>
      <c r="R222" s="492" t="s">
        <v>892</v>
      </c>
      <c r="S222" s="492" t="s">
        <v>1592</v>
      </c>
      <c r="T222" s="492">
        <v>28</v>
      </c>
      <c r="U222" s="492" t="s">
        <v>858</v>
      </c>
      <c r="V222" s="492" t="s">
        <v>1593</v>
      </c>
      <c r="W222" s="492">
        <v>431103000</v>
      </c>
      <c r="X222" s="492" t="s">
        <v>829</v>
      </c>
      <c r="Y222" s="492" t="s">
        <v>1594</v>
      </c>
      <c r="Z222" s="492">
        <v>994010</v>
      </c>
      <c r="AA222" s="492" t="s">
        <v>937</v>
      </c>
      <c r="AB222" s="492" t="s">
        <v>1595</v>
      </c>
      <c r="AC222" s="492" t="s">
        <v>830</v>
      </c>
      <c r="AD222" s="492" t="s">
        <v>831</v>
      </c>
      <c r="AE222" s="492" t="s">
        <v>612</v>
      </c>
      <c r="AF222" s="492">
        <v>1</v>
      </c>
      <c r="AG222" s="492">
        <v>8</v>
      </c>
      <c r="AH222" s="492">
        <v>4.25</v>
      </c>
      <c r="AI222" s="492" t="s">
        <v>2544</v>
      </c>
      <c r="AJ222" s="492" t="s">
        <v>2575</v>
      </c>
      <c r="AK222" s="492" t="s">
        <v>832</v>
      </c>
      <c r="AL222" s="492" t="s">
        <v>34</v>
      </c>
      <c r="AM222" s="61" t="s">
        <v>3441</v>
      </c>
      <c r="AN222" s="490">
        <v>0</v>
      </c>
      <c r="AO222" s="490">
        <v>0</v>
      </c>
      <c r="AP222" s="61"/>
    </row>
    <row r="223" spans="1:42" x14ac:dyDescent="0.2">
      <c r="A223" s="61">
        <v>222</v>
      </c>
      <c r="B223" s="491" t="s">
        <v>411</v>
      </c>
      <c r="C223" s="492" t="s">
        <v>412</v>
      </c>
      <c r="D223" s="492" t="s">
        <v>2766</v>
      </c>
      <c r="E223" s="492" t="s">
        <v>762</v>
      </c>
      <c r="F223" s="492" t="s">
        <v>763</v>
      </c>
      <c r="G223" s="492" t="s">
        <v>34</v>
      </c>
      <c r="H223" s="492" t="s">
        <v>835</v>
      </c>
      <c r="I223" s="492" t="s">
        <v>4270</v>
      </c>
      <c r="J223" s="492" t="s">
        <v>1103</v>
      </c>
      <c r="K223" s="492" t="s">
        <v>1523</v>
      </c>
      <c r="L223" s="492" t="s">
        <v>1596</v>
      </c>
      <c r="M223" s="493">
        <v>332372</v>
      </c>
      <c r="N223" s="492" t="s">
        <v>412</v>
      </c>
      <c r="O223" s="492" t="s">
        <v>4301</v>
      </c>
      <c r="P223" s="492" t="s">
        <v>1597</v>
      </c>
      <c r="Q223" s="492" t="s">
        <v>3501</v>
      </c>
      <c r="R223" s="492" t="s">
        <v>828</v>
      </c>
      <c r="S223" s="492" t="s">
        <v>1598</v>
      </c>
      <c r="T223" s="492">
        <v>13</v>
      </c>
      <c r="U223" s="492" t="s">
        <v>857</v>
      </c>
      <c r="V223" s="492" t="s">
        <v>1599</v>
      </c>
      <c r="W223" s="492" t="s">
        <v>1600</v>
      </c>
      <c r="X223" s="492" t="s">
        <v>3511</v>
      </c>
      <c r="Y223" s="492" t="s">
        <v>1599</v>
      </c>
      <c r="Z223" s="492" t="s">
        <v>1600</v>
      </c>
      <c r="AA223" s="492" t="s">
        <v>3511</v>
      </c>
      <c r="AB223" s="492" t="s">
        <v>34</v>
      </c>
      <c r="AC223" s="492" t="s">
        <v>830</v>
      </c>
      <c r="AD223" s="492" t="s">
        <v>831</v>
      </c>
      <c r="AE223" s="492" t="s">
        <v>612</v>
      </c>
      <c r="AF223" s="492">
        <v>1</v>
      </c>
      <c r="AG223" s="492">
        <v>360</v>
      </c>
      <c r="AH223" s="492">
        <v>45</v>
      </c>
      <c r="AI223" s="492" t="s">
        <v>2576</v>
      </c>
      <c r="AJ223" s="492" t="s">
        <v>2577</v>
      </c>
      <c r="AK223" s="492" t="s">
        <v>832</v>
      </c>
      <c r="AL223" s="492" t="s">
        <v>34</v>
      </c>
      <c r="AM223" s="61" t="s">
        <v>3456</v>
      </c>
      <c r="AN223" s="490">
        <v>0</v>
      </c>
      <c r="AO223" s="490">
        <v>0</v>
      </c>
      <c r="AP223" s="61"/>
    </row>
    <row r="224" spans="1:42" x14ac:dyDescent="0.2">
      <c r="A224" s="61">
        <v>223</v>
      </c>
      <c r="B224" s="491" t="s">
        <v>413</v>
      </c>
      <c r="C224" s="492" t="s">
        <v>269</v>
      </c>
      <c r="D224" s="492" t="s">
        <v>2767</v>
      </c>
      <c r="E224" s="492" t="s">
        <v>764</v>
      </c>
      <c r="F224" s="492" t="s">
        <v>765</v>
      </c>
      <c r="G224" s="492" t="s">
        <v>34</v>
      </c>
      <c r="H224" s="492" t="s">
        <v>835</v>
      </c>
      <c r="I224" s="492" t="s">
        <v>4270</v>
      </c>
      <c r="J224" s="492" t="s">
        <v>1103</v>
      </c>
      <c r="K224" s="492" t="s">
        <v>269</v>
      </c>
      <c r="L224" s="492" t="s">
        <v>1601</v>
      </c>
      <c r="M224" s="493" t="s">
        <v>1602</v>
      </c>
      <c r="N224" s="492" t="s">
        <v>269</v>
      </c>
      <c r="O224" s="492">
        <v>0</v>
      </c>
      <c r="P224" s="492">
        <v>0</v>
      </c>
      <c r="Q224" s="492">
        <v>0</v>
      </c>
      <c r="R224" s="492">
        <v>0</v>
      </c>
      <c r="S224" s="492">
        <v>0</v>
      </c>
      <c r="T224" s="492">
        <v>0</v>
      </c>
      <c r="U224" s="492">
        <v>0</v>
      </c>
      <c r="V224" s="492">
        <v>0</v>
      </c>
      <c r="W224" s="492">
        <v>0</v>
      </c>
      <c r="X224" s="492">
        <v>0</v>
      </c>
      <c r="Y224" s="492">
        <v>0</v>
      </c>
      <c r="Z224" s="492">
        <v>0</v>
      </c>
      <c r="AA224" s="492">
        <v>0</v>
      </c>
      <c r="AB224" s="492" t="s">
        <v>34</v>
      </c>
      <c r="AC224" s="492" t="s">
        <v>830</v>
      </c>
      <c r="AD224" s="492" t="s">
        <v>831</v>
      </c>
      <c r="AE224" s="492" t="s">
        <v>612</v>
      </c>
      <c r="AF224" s="492" t="s">
        <v>34</v>
      </c>
      <c r="AG224" s="492" t="s">
        <v>34</v>
      </c>
      <c r="AH224" s="492" t="s">
        <v>34</v>
      </c>
      <c r="AI224" s="492" t="s">
        <v>34</v>
      </c>
      <c r="AJ224" s="492" t="s">
        <v>34</v>
      </c>
      <c r="AK224" s="492" t="s">
        <v>832</v>
      </c>
      <c r="AL224" s="492" t="s">
        <v>34</v>
      </c>
      <c r="AM224" s="61" t="s">
        <v>3441</v>
      </c>
      <c r="AN224" s="490">
        <v>0</v>
      </c>
      <c r="AO224" s="490">
        <v>0</v>
      </c>
      <c r="AP224" s="61"/>
    </row>
    <row r="225" spans="1:42" x14ac:dyDescent="0.2">
      <c r="A225" s="61">
        <v>224</v>
      </c>
      <c r="B225" s="491" t="s">
        <v>414</v>
      </c>
      <c r="C225" s="492" t="s">
        <v>415</v>
      </c>
      <c r="D225" s="492" t="s">
        <v>2768</v>
      </c>
      <c r="E225" s="492" t="s">
        <v>1603</v>
      </c>
      <c r="F225" s="492" t="s">
        <v>766</v>
      </c>
      <c r="G225" s="492" t="s">
        <v>34</v>
      </c>
      <c r="H225" s="492" t="s">
        <v>835</v>
      </c>
      <c r="I225" s="492" t="s">
        <v>4270</v>
      </c>
      <c r="J225" s="492" t="s">
        <v>1447</v>
      </c>
      <c r="K225" s="492" t="s">
        <v>1452</v>
      </c>
      <c r="L225" s="492" t="s">
        <v>950</v>
      </c>
      <c r="M225" s="493" t="s">
        <v>415</v>
      </c>
      <c r="N225" s="492" t="s">
        <v>415</v>
      </c>
      <c r="O225" s="492" t="s">
        <v>305</v>
      </c>
      <c r="P225" s="492" t="s">
        <v>1604</v>
      </c>
      <c r="Q225" s="492" t="s">
        <v>3806</v>
      </c>
      <c r="R225" s="492" t="s">
        <v>828</v>
      </c>
      <c r="S225" s="492" t="s">
        <v>3807</v>
      </c>
      <c r="T225" s="492">
        <v>1.59</v>
      </c>
      <c r="U225" s="492" t="s">
        <v>687</v>
      </c>
      <c r="V225" s="492" t="s">
        <v>1253</v>
      </c>
      <c r="W225" s="492" t="s">
        <v>1605</v>
      </c>
      <c r="X225" s="492" t="s">
        <v>829</v>
      </c>
      <c r="Y225" s="492" t="s">
        <v>108</v>
      </c>
      <c r="Z225" s="492" t="s">
        <v>108</v>
      </c>
      <c r="AA225" s="492" t="s">
        <v>108</v>
      </c>
      <c r="AB225" s="492" t="s">
        <v>3808</v>
      </c>
      <c r="AC225" s="492" t="s">
        <v>830</v>
      </c>
      <c r="AD225" s="492" t="s">
        <v>831</v>
      </c>
      <c r="AE225" s="492" t="s">
        <v>612</v>
      </c>
      <c r="AF225" s="492">
        <v>2</v>
      </c>
      <c r="AG225" s="492">
        <v>100</v>
      </c>
      <c r="AH225" s="492">
        <v>10</v>
      </c>
      <c r="AI225" s="492" t="s">
        <v>2578</v>
      </c>
      <c r="AJ225" s="492" t="s">
        <v>34</v>
      </c>
      <c r="AK225" s="492" t="s">
        <v>832</v>
      </c>
      <c r="AL225" s="492" t="s">
        <v>34</v>
      </c>
      <c r="AM225" s="61" t="s">
        <v>3441</v>
      </c>
      <c r="AN225" s="490">
        <v>0</v>
      </c>
      <c r="AO225" s="490">
        <v>0</v>
      </c>
      <c r="AP225" s="61"/>
    </row>
    <row r="226" spans="1:42" x14ac:dyDescent="0.2">
      <c r="A226" s="61">
        <v>225</v>
      </c>
      <c r="B226" s="491" t="s">
        <v>651</v>
      </c>
      <c r="C226" s="492" t="s">
        <v>652</v>
      </c>
      <c r="D226" s="492" t="s">
        <v>2769</v>
      </c>
      <c r="E226" s="492" t="s">
        <v>767</v>
      </c>
      <c r="F226" s="492" t="s">
        <v>711</v>
      </c>
      <c r="G226" s="492" t="s">
        <v>34</v>
      </c>
      <c r="H226" s="492" t="s">
        <v>835</v>
      </c>
      <c r="I226" s="492" t="s">
        <v>4270</v>
      </c>
      <c r="J226" s="492" t="s">
        <v>1447</v>
      </c>
      <c r="K226" s="492" t="s">
        <v>1606</v>
      </c>
      <c r="L226" s="492" t="s">
        <v>1607</v>
      </c>
      <c r="M226" s="493">
        <v>9493308</v>
      </c>
      <c r="N226" s="492" t="s">
        <v>3402</v>
      </c>
      <c r="O226" s="492" t="s">
        <v>305</v>
      </c>
      <c r="P226" s="492" t="s">
        <v>1608</v>
      </c>
      <c r="Q226" s="492" t="s">
        <v>833</v>
      </c>
      <c r="R226" s="492" t="s">
        <v>828</v>
      </c>
      <c r="S226" s="492" t="s">
        <v>1609</v>
      </c>
      <c r="T226" s="492">
        <v>0.1</v>
      </c>
      <c r="U226" s="492" t="s">
        <v>687</v>
      </c>
      <c r="V226" s="492" t="s">
        <v>3403</v>
      </c>
      <c r="W226" s="492">
        <v>9493308</v>
      </c>
      <c r="X226" s="492" t="s">
        <v>908</v>
      </c>
      <c r="Y226" s="492" t="s">
        <v>108</v>
      </c>
      <c r="Z226" s="492" t="s">
        <v>108</v>
      </c>
      <c r="AA226" s="492" t="s">
        <v>108</v>
      </c>
      <c r="AB226" s="492" t="s">
        <v>3404</v>
      </c>
      <c r="AC226" s="492" t="s">
        <v>830</v>
      </c>
      <c r="AD226" s="492" t="s">
        <v>831</v>
      </c>
      <c r="AE226" s="492" t="s">
        <v>612</v>
      </c>
      <c r="AF226" s="492" t="s">
        <v>2054</v>
      </c>
      <c r="AG226" s="492" t="s">
        <v>34</v>
      </c>
      <c r="AH226" s="492" t="s">
        <v>34</v>
      </c>
      <c r="AI226" s="492" t="s">
        <v>34</v>
      </c>
      <c r="AJ226" s="492" t="s">
        <v>34</v>
      </c>
      <c r="AK226" s="492" t="s">
        <v>832</v>
      </c>
      <c r="AL226" s="492" t="s">
        <v>34</v>
      </c>
      <c r="AM226" s="61" t="s">
        <v>3441</v>
      </c>
      <c r="AN226" s="490">
        <v>0</v>
      </c>
      <c r="AO226" s="490">
        <v>0</v>
      </c>
      <c r="AP226" s="61"/>
    </row>
    <row r="227" spans="1:42" x14ac:dyDescent="0.2">
      <c r="A227" s="61">
        <v>226</v>
      </c>
      <c r="B227" s="491" t="s">
        <v>416</v>
      </c>
      <c r="C227" s="492">
        <v>1209</v>
      </c>
      <c r="D227" s="492" t="s">
        <v>2770</v>
      </c>
      <c r="E227" s="492" t="s">
        <v>1610</v>
      </c>
      <c r="F227" s="492" t="s">
        <v>711</v>
      </c>
      <c r="G227" s="492" t="s">
        <v>34</v>
      </c>
      <c r="H227" s="492" t="s">
        <v>835</v>
      </c>
      <c r="I227" s="492" t="s">
        <v>4270</v>
      </c>
      <c r="J227" s="492" t="s">
        <v>1447</v>
      </c>
      <c r="K227" s="492" t="s">
        <v>1621</v>
      </c>
      <c r="L227" s="492" t="s">
        <v>1622</v>
      </c>
      <c r="M227" s="493">
        <v>107350701</v>
      </c>
      <c r="N227" s="492">
        <v>1209</v>
      </c>
      <c r="O227" s="492" t="s">
        <v>305</v>
      </c>
      <c r="P227" s="492" t="s">
        <v>893</v>
      </c>
      <c r="Q227" s="492" t="s">
        <v>908</v>
      </c>
      <c r="R227" s="492" t="s">
        <v>828</v>
      </c>
      <c r="S227" s="492" t="s">
        <v>1623</v>
      </c>
      <c r="T227" s="492">
        <v>1196</v>
      </c>
      <c r="U227" s="492" t="s">
        <v>687</v>
      </c>
      <c r="V227" s="492" t="s">
        <v>1615</v>
      </c>
      <c r="W227" s="492" t="s">
        <v>1624</v>
      </c>
      <c r="X227" s="492" t="s">
        <v>829</v>
      </c>
      <c r="Y227" s="492" t="s">
        <v>1625</v>
      </c>
      <c r="Z227" s="492" t="s">
        <v>1626</v>
      </c>
      <c r="AA227" s="492" t="s">
        <v>829</v>
      </c>
      <c r="AB227" s="492" t="s">
        <v>34</v>
      </c>
      <c r="AC227" s="492" t="s">
        <v>830</v>
      </c>
      <c r="AD227" s="492" t="s">
        <v>831</v>
      </c>
      <c r="AE227" s="492" t="s">
        <v>612</v>
      </c>
      <c r="AF227" s="492">
        <v>6</v>
      </c>
      <c r="AG227" s="492">
        <v>0.49</v>
      </c>
      <c r="AH227" s="492">
        <v>0.05</v>
      </c>
      <c r="AI227" s="492" t="s">
        <v>34</v>
      </c>
      <c r="AJ227" s="492" t="s">
        <v>34</v>
      </c>
      <c r="AK227" s="492" t="s">
        <v>832</v>
      </c>
      <c r="AL227" s="492" t="s">
        <v>34</v>
      </c>
      <c r="AM227" s="61" t="s">
        <v>3441</v>
      </c>
      <c r="AN227" s="490">
        <v>0</v>
      </c>
      <c r="AO227" s="490">
        <v>0</v>
      </c>
      <c r="AP227" s="61"/>
    </row>
    <row r="228" spans="1:42" x14ac:dyDescent="0.2">
      <c r="A228" s="61">
        <v>227</v>
      </c>
      <c r="B228" s="491" t="s">
        <v>416</v>
      </c>
      <c r="C228" s="492" t="s">
        <v>417</v>
      </c>
      <c r="D228" s="492" t="s">
        <v>2771</v>
      </c>
      <c r="E228" s="492" t="s">
        <v>1610</v>
      </c>
      <c r="F228" s="492" t="s">
        <v>711</v>
      </c>
      <c r="G228" s="492" t="s">
        <v>34</v>
      </c>
      <c r="H228" s="492" t="s">
        <v>835</v>
      </c>
      <c r="I228" s="492" t="s">
        <v>4279</v>
      </c>
      <c r="J228" s="492" t="s">
        <v>1103</v>
      </c>
      <c r="K228" s="492" t="s">
        <v>839</v>
      </c>
      <c r="L228" s="492" t="s">
        <v>1627</v>
      </c>
      <c r="M228" s="493" t="s">
        <v>1628</v>
      </c>
      <c r="N228" s="492" t="s">
        <v>417</v>
      </c>
      <c r="O228" s="492" t="s">
        <v>305</v>
      </c>
      <c r="P228" s="492" t="s">
        <v>1613</v>
      </c>
      <c r="Q228" s="492" t="s">
        <v>911</v>
      </c>
      <c r="R228" s="492" t="s">
        <v>828</v>
      </c>
      <c r="S228" s="492" t="s">
        <v>1629</v>
      </c>
      <c r="T228" s="492">
        <v>1050</v>
      </c>
      <c r="U228" s="492" t="s">
        <v>687</v>
      </c>
      <c r="V228" s="492" t="s">
        <v>1615</v>
      </c>
      <c r="W228" s="492">
        <v>20327</v>
      </c>
      <c r="X228" s="492" t="s">
        <v>829</v>
      </c>
      <c r="Y228" s="492" t="s">
        <v>108</v>
      </c>
      <c r="Z228" s="492" t="s">
        <v>108</v>
      </c>
      <c r="AA228" s="492" t="s">
        <v>988</v>
      </c>
      <c r="AB228" s="492" t="s">
        <v>1656</v>
      </c>
      <c r="AC228" s="492" t="s">
        <v>830</v>
      </c>
      <c r="AD228" s="492" t="s">
        <v>831</v>
      </c>
      <c r="AE228" s="492" t="s">
        <v>612</v>
      </c>
      <c r="AF228" s="492" t="s">
        <v>2054</v>
      </c>
      <c r="AG228" s="492" t="s">
        <v>34</v>
      </c>
      <c r="AH228" s="492" t="s">
        <v>34</v>
      </c>
      <c r="AI228" s="492" t="s">
        <v>34</v>
      </c>
      <c r="AJ228" s="492" t="s">
        <v>34</v>
      </c>
      <c r="AK228" s="492" t="s">
        <v>832</v>
      </c>
      <c r="AL228" s="492" t="s">
        <v>34</v>
      </c>
      <c r="AM228" s="61" t="s">
        <v>3441</v>
      </c>
      <c r="AN228" s="490">
        <v>0</v>
      </c>
      <c r="AO228" s="490">
        <v>0</v>
      </c>
      <c r="AP228" s="61"/>
    </row>
    <row r="229" spans="1:42" x14ac:dyDescent="0.2">
      <c r="A229" s="61">
        <v>228</v>
      </c>
      <c r="B229" s="491" t="s">
        <v>416</v>
      </c>
      <c r="C229" s="492" t="s">
        <v>295</v>
      </c>
      <c r="D229" s="492" t="s">
        <v>2772</v>
      </c>
      <c r="E229" s="492" t="s">
        <v>1610</v>
      </c>
      <c r="F229" s="492" t="s">
        <v>711</v>
      </c>
      <c r="G229" s="492" t="s">
        <v>34</v>
      </c>
      <c r="H229" s="492" t="s">
        <v>835</v>
      </c>
      <c r="I229" s="492" t="s">
        <v>4279</v>
      </c>
      <c r="J229" s="492" t="s">
        <v>1103</v>
      </c>
      <c r="K229" s="492" t="s">
        <v>1011</v>
      </c>
      <c r="L229" s="492" t="s">
        <v>1176</v>
      </c>
      <c r="M229" s="493" t="s">
        <v>1667</v>
      </c>
      <c r="N229" s="492" t="s">
        <v>295</v>
      </c>
      <c r="O229" s="492" t="s">
        <v>305</v>
      </c>
      <c r="P229" s="492" t="s">
        <v>1613</v>
      </c>
      <c r="Q229" s="492" t="s">
        <v>911</v>
      </c>
      <c r="R229" s="492" t="s">
        <v>828</v>
      </c>
      <c r="S229" s="492" t="s">
        <v>1668</v>
      </c>
      <c r="T229" s="492">
        <v>1011.5</v>
      </c>
      <c r="U229" s="492" t="s">
        <v>687</v>
      </c>
      <c r="V229" s="492" t="s">
        <v>1110</v>
      </c>
      <c r="W229" s="492" t="s">
        <v>1669</v>
      </c>
      <c r="X229" s="492" t="s">
        <v>829</v>
      </c>
      <c r="Y229" s="492" t="s">
        <v>108</v>
      </c>
      <c r="Z229" s="492" t="s">
        <v>108</v>
      </c>
      <c r="AA229" s="492" t="s">
        <v>988</v>
      </c>
      <c r="AB229" s="492" t="s">
        <v>1656</v>
      </c>
      <c r="AC229" s="492" t="s">
        <v>830</v>
      </c>
      <c r="AD229" s="492" t="s">
        <v>831</v>
      </c>
      <c r="AE229" s="492" t="s">
        <v>612</v>
      </c>
      <c r="AF229" s="492">
        <v>10</v>
      </c>
      <c r="AG229" s="492">
        <v>1</v>
      </c>
      <c r="AH229" s="492">
        <v>0</v>
      </c>
      <c r="AI229" s="492" t="s">
        <v>34</v>
      </c>
      <c r="AJ229" s="492" t="s">
        <v>34</v>
      </c>
      <c r="AK229" s="492" t="s">
        <v>832</v>
      </c>
      <c r="AL229" s="492" t="s">
        <v>34</v>
      </c>
      <c r="AM229" s="61" t="s">
        <v>3441</v>
      </c>
      <c r="AN229" s="490">
        <v>0</v>
      </c>
      <c r="AO229" s="490">
        <v>0</v>
      </c>
      <c r="AP229" s="61"/>
    </row>
    <row r="230" spans="1:42" x14ac:dyDescent="0.2">
      <c r="A230" s="61">
        <v>229</v>
      </c>
      <c r="B230" s="491" t="s">
        <v>416</v>
      </c>
      <c r="C230" s="492" t="s">
        <v>607</v>
      </c>
      <c r="D230" s="492" t="s">
        <v>2773</v>
      </c>
      <c r="E230" s="492" t="s">
        <v>1610</v>
      </c>
      <c r="F230" s="492" t="s">
        <v>711</v>
      </c>
      <c r="G230" s="492" t="s">
        <v>34</v>
      </c>
      <c r="H230" s="492" t="s">
        <v>835</v>
      </c>
      <c r="I230" s="492" t="s">
        <v>4302</v>
      </c>
      <c r="J230" s="492" t="s">
        <v>1103</v>
      </c>
      <c r="K230" s="492" t="s">
        <v>1011</v>
      </c>
      <c r="L230" s="492" t="s">
        <v>1176</v>
      </c>
      <c r="M230" s="493" t="s">
        <v>1635</v>
      </c>
      <c r="N230" s="492" t="s">
        <v>1663</v>
      </c>
      <c r="O230" s="492" t="s">
        <v>305</v>
      </c>
      <c r="P230" s="492" t="s">
        <v>1613</v>
      </c>
      <c r="Q230" s="492" t="s">
        <v>911</v>
      </c>
      <c r="R230" s="492" t="s">
        <v>828</v>
      </c>
      <c r="S230" s="492" t="s">
        <v>1664</v>
      </c>
      <c r="T230" s="492">
        <v>531</v>
      </c>
      <c r="U230" s="492" t="s">
        <v>687</v>
      </c>
      <c r="V230" s="492" t="s">
        <v>1665</v>
      </c>
      <c r="W230" s="492" t="s">
        <v>1666</v>
      </c>
      <c r="X230" s="492" t="s">
        <v>829</v>
      </c>
      <c r="Y230" s="492" t="s">
        <v>108</v>
      </c>
      <c r="Z230" s="492" t="s">
        <v>108</v>
      </c>
      <c r="AA230" s="492" t="s">
        <v>988</v>
      </c>
      <c r="AB230" s="492" t="s">
        <v>1656</v>
      </c>
      <c r="AC230" s="492" t="s">
        <v>830</v>
      </c>
      <c r="AD230" s="492" t="s">
        <v>831</v>
      </c>
      <c r="AE230" s="492" t="s">
        <v>612</v>
      </c>
      <c r="AF230" s="492" t="s">
        <v>2054</v>
      </c>
      <c r="AG230" s="492" t="s">
        <v>34</v>
      </c>
      <c r="AH230" s="492" t="s">
        <v>34</v>
      </c>
      <c r="AI230" s="492" t="s">
        <v>34</v>
      </c>
      <c r="AJ230" s="492" t="s">
        <v>34</v>
      </c>
      <c r="AK230" s="492" t="s">
        <v>832</v>
      </c>
      <c r="AL230" s="492" t="s">
        <v>34</v>
      </c>
      <c r="AM230" s="61" t="s">
        <v>3441</v>
      </c>
      <c r="AN230" s="490">
        <v>0</v>
      </c>
      <c r="AO230" s="490">
        <v>0</v>
      </c>
      <c r="AP230" s="61"/>
    </row>
    <row r="231" spans="1:42" x14ac:dyDescent="0.2">
      <c r="A231" s="61">
        <v>230</v>
      </c>
      <c r="B231" s="491" t="s">
        <v>416</v>
      </c>
      <c r="C231" s="492" t="s">
        <v>4358</v>
      </c>
      <c r="D231" s="492" t="s">
        <v>4359</v>
      </c>
      <c r="E231" s="492" t="s">
        <v>1610</v>
      </c>
      <c r="F231" s="492" t="s">
        <v>711</v>
      </c>
      <c r="G231" s="492" t="s">
        <v>34</v>
      </c>
      <c r="H231" s="492" t="s">
        <v>835</v>
      </c>
      <c r="I231" s="492" t="s">
        <v>4279</v>
      </c>
      <c r="J231" s="492" t="s">
        <v>1103</v>
      </c>
      <c r="K231" s="492" t="s">
        <v>1011</v>
      </c>
      <c r="L231" s="492" t="s">
        <v>1653</v>
      </c>
      <c r="M231" s="493" t="s">
        <v>1654</v>
      </c>
      <c r="N231" s="492" t="s">
        <v>4358</v>
      </c>
      <c r="O231" s="492" t="s">
        <v>305</v>
      </c>
      <c r="P231" s="492" t="s">
        <v>1613</v>
      </c>
      <c r="Q231" s="492" t="s">
        <v>911</v>
      </c>
      <c r="R231" s="492" t="s">
        <v>828</v>
      </c>
      <c r="S231" s="492" t="s">
        <v>1655</v>
      </c>
      <c r="T231" s="492">
        <v>1590.4</v>
      </c>
      <c r="U231" s="492" t="s">
        <v>687</v>
      </c>
      <c r="V231" s="492" t="s">
        <v>1110</v>
      </c>
      <c r="W231" s="492" t="s">
        <v>1176</v>
      </c>
      <c r="X231" s="492" t="s">
        <v>829</v>
      </c>
      <c r="Y231" s="492" t="s">
        <v>108</v>
      </c>
      <c r="Z231" s="492" t="s">
        <v>108</v>
      </c>
      <c r="AA231" s="492" t="s">
        <v>988</v>
      </c>
      <c r="AB231" s="492" t="s">
        <v>1656</v>
      </c>
      <c r="AC231" s="492" t="s">
        <v>830</v>
      </c>
      <c r="AD231" s="492" t="s">
        <v>831</v>
      </c>
      <c r="AE231" s="492" t="s">
        <v>612</v>
      </c>
      <c r="AF231" s="492" t="s">
        <v>2054</v>
      </c>
      <c r="AG231" s="492" t="s">
        <v>34</v>
      </c>
      <c r="AH231" s="492" t="s">
        <v>34</v>
      </c>
      <c r="AI231" s="492" t="s">
        <v>34</v>
      </c>
      <c r="AJ231" s="492" t="s">
        <v>34</v>
      </c>
      <c r="AK231" s="492" t="s">
        <v>832</v>
      </c>
      <c r="AL231" s="492" t="s">
        <v>34</v>
      </c>
      <c r="AM231" s="61" t="s">
        <v>3441</v>
      </c>
      <c r="AN231" s="490">
        <v>0</v>
      </c>
      <c r="AO231" s="490">
        <v>0</v>
      </c>
      <c r="AP231" s="61"/>
    </row>
    <row r="232" spans="1:42" x14ac:dyDescent="0.2">
      <c r="A232" s="61">
        <v>231</v>
      </c>
      <c r="B232" s="491" t="s">
        <v>416</v>
      </c>
      <c r="C232" s="492" t="s">
        <v>4329</v>
      </c>
      <c r="D232" s="492" t="s">
        <v>4330</v>
      </c>
      <c r="E232" s="492" t="s">
        <v>1610</v>
      </c>
      <c r="F232" s="492" t="s">
        <v>711</v>
      </c>
      <c r="G232" s="492" t="s">
        <v>34</v>
      </c>
      <c r="H232" s="492" t="s">
        <v>835</v>
      </c>
      <c r="I232" s="492" t="s">
        <v>4302</v>
      </c>
      <c r="J232" s="492" t="s">
        <v>1103</v>
      </c>
      <c r="K232" s="492" t="s">
        <v>1011</v>
      </c>
      <c r="L232" s="492" t="s">
        <v>1633</v>
      </c>
      <c r="M232" s="493" t="s">
        <v>1634</v>
      </c>
      <c r="N232" s="492" t="s">
        <v>4329</v>
      </c>
      <c r="O232" s="492" t="s">
        <v>305</v>
      </c>
      <c r="P232" s="492" t="s">
        <v>1613</v>
      </c>
      <c r="Q232" s="492" t="s">
        <v>1636</v>
      </c>
      <c r="R232" s="492" t="s">
        <v>828</v>
      </c>
      <c r="S232" s="492" t="s">
        <v>1637</v>
      </c>
      <c r="T232" s="492">
        <v>346.4</v>
      </c>
      <c r="U232" s="492" t="s">
        <v>687</v>
      </c>
      <c r="V232" s="492" t="s">
        <v>3465</v>
      </c>
      <c r="W232" s="492">
        <v>5244</v>
      </c>
      <c r="X232" s="492" t="s">
        <v>829</v>
      </c>
      <c r="Y232" s="492" t="s">
        <v>3855</v>
      </c>
      <c r="Z232" s="492" t="s">
        <v>962</v>
      </c>
      <c r="AA232" s="492" t="s">
        <v>829</v>
      </c>
      <c r="AB232" s="492" t="s">
        <v>3856</v>
      </c>
      <c r="AC232" s="492" t="s">
        <v>830</v>
      </c>
      <c r="AD232" s="492" t="s">
        <v>831</v>
      </c>
      <c r="AE232" s="492" t="s">
        <v>612</v>
      </c>
      <c r="AF232" s="492" t="s">
        <v>2054</v>
      </c>
      <c r="AG232" s="492" t="s">
        <v>34</v>
      </c>
      <c r="AH232" s="492" t="s">
        <v>34</v>
      </c>
      <c r="AI232" s="492" t="s">
        <v>34</v>
      </c>
      <c r="AJ232" s="492" t="s">
        <v>34</v>
      </c>
      <c r="AK232" s="492" t="s">
        <v>832</v>
      </c>
      <c r="AL232" s="492" t="s">
        <v>34</v>
      </c>
      <c r="AM232" s="61" t="s">
        <v>3441</v>
      </c>
      <c r="AN232" s="490">
        <v>0</v>
      </c>
      <c r="AO232" s="490">
        <v>0</v>
      </c>
      <c r="AP232" s="61"/>
    </row>
    <row r="233" spans="1:42" x14ac:dyDescent="0.2">
      <c r="A233" s="61">
        <v>232</v>
      </c>
      <c r="B233" s="491" t="s">
        <v>416</v>
      </c>
      <c r="C233" s="492" t="s">
        <v>4331</v>
      </c>
      <c r="D233" s="492" t="s">
        <v>4332</v>
      </c>
      <c r="E233" s="492" t="s">
        <v>1610</v>
      </c>
      <c r="F233" s="492" t="s">
        <v>711</v>
      </c>
      <c r="G233" s="492" t="s">
        <v>34</v>
      </c>
      <c r="H233" s="492" t="s">
        <v>835</v>
      </c>
      <c r="I233" s="492" t="s">
        <v>4279</v>
      </c>
      <c r="J233" s="492" t="s">
        <v>1103</v>
      </c>
      <c r="K233" s="492" t="s">
        <v>1011</v>
      </c>
      <c r="L233" s="492" t="s">
        <v>1630</v>
      </c>
      <c r="M233" s="493" t="s">
        <v>1631</v>
      </c>
      <c r="N233" s="492" t="s">
        <v>4333</v>
      </c>
      <c r="O233" s="492" t="s">
        <v>305</v>
      </c>
      <c r="P233" s="492" t="s">
        <v>1613</v>
      </c>
      <c r="Q233" s="492" t="s">
        <v>911</v>
      </c>
      <c r="R233" s="492" t="s">
        <v>828</v>
      </c>
      <c r="S233" s="492" t="s">
        <v>1245</v>
      </c>
      <c r="T233" s="492">
        <v>990</v>
      </c>
      <c r="U233" s="492" t="s">
        <v>687</v>
      </c>
      <c r="V233" s="492" t="s">
        <v>1632</v>
      </c>
      <c r="W233" s="492" t="s">
        <v>4334</v>
      </c>
      <c r="X233" s="492" t="s">
        <v>829</v>
      </c>
      <c r="Y233" s="492" t="s">
        <v>108</v>
      </c>
      <c r="Z233" s="492" t="s">
        <v>108</v>
      </c>
      <c r="AA233" s="492" t="s">
        <v>988</v>
      </c>
      <c r="AB233" s="492" t="s">
        <v>3328</v>
      </c>
      <c r="AC233" s="492" t="s">
        <v>830</v>
      </c>
      <c r="AD233" s="492" t="s">
        <v>831</v>
      </c>
      <c r="AE233" s="492" t="s">
        <v>612</v>
      </c>
      <c r="AF233" s="492" t="s">
        <v>2054</v>
      </c>
      <c r="AG233" s="492" t="s">
        <v>34</v>
      </c>
      <c r="AH233" s="492" t="s">
        <v>34</v>
      </c>
      <c r="AI233" s="492" t="s">
        <v>34</v>
      </c>
      <c r="AJ233" s="492" t="s">
        <v>34</v>
      </c>
      <c r="AK233" s="492" t="s">
        <v>832</v>
      </c>
      <c r="AL233" s="492" t="s">
        <v>34</v>
      </c>
      <c r="AM233" s="61" t="s">
        <v>3441</v>
      </c>
      <c r="AN233" s="490">
        <v>0</v>
      </c>
      <c r="AO233" s="490">
        <v>0</v>
      </c>
      <c r="AP233" s="61"/>
    </row>
    <row r="234" spans="1:42" x14ac:dyDescent="0.2">
      <c r="A234" s="61">
        <v>233</v>
      </c>
      <c r="B234" s="491" t="s">
        <v>416</v>
      </c>
      <c r="C234" s="492" t="s">
        <v>419</v>
      </c>
      <c r="D234" s="492" t="s">
        <v>2774</v>
      </c>
      <c r="E234" s="492" t="s">
        <v>1610</v>
      </c>
      <c r="F234" s="492" t="s">
        <v>711</v>
      </c>
      <c r="G234" s="492" t="s">
        <v>34</v>
      </c>
      <c r="H234" s="492" t="s">
        <v>835</v>
      </c>
      <c r="I234" s="492" t="s">
        <v>4270</v>
      </c>
      <c r="J234" s="492" t="s">
        <v>1447</v>
      </c>
      <c r="K234" s="492" t="s">
        <v>1452</v>
      </c>
      <c r="L234" s="492" t="s">
        <v>1638</v>
      </c>
      <c r="M234" s="493" t="s">
        <v>1645</v>
      </c>
      <c r="N234" s="492" t="s">
        <v>419</v>
      </c>
      <c r="O234" s="492" t="s">
        <v>305</v>
      </c>
      <c r="P234" s="492" t="s">
        <v>3046</v>
      </c>
      <c r="Q234" s="492" t="s">
        <v>1641</v>
      </c>
      <c r="R234" s="492" t="s">
        <v>892</v>
      </c>
      <c r="S234" s="492" t="s">
        <v>1642</v>
      </c>
      <c r="T234" s="492">
        <v>14</v>
      </c>
      <c r="U234" s="492" t="s">
        <v>687</v>
      </c>
      <c r="V234" s="492" t="s">
        <v>1643</v>
      </c>
      <c r="W234" s="492" t="s">
        <v>1646</v>
      </c>
      <c r="X234" s="492" t="s">
        <v>965</v>
      </c>
      <c r="Y234" s="492" t="s">
        <v>108</v>
      </c>
      <c r="Z234" s="492" t="s">
        <v>108</v>
      </c>
      <c r="AA234" s="492" t="s">
        <v>988</v>
      </c>
      <c r="AB234" s="492" t="s">
        <v>3047</v>
      </c>
      <c r="AC234" s="492" t="s">
        <v>830</v>
      </c>
      <c r="AD234" s="492" t="s">
        <v>831</v>
      </c>
      <c r="AE234" s="492" t="s">
        <v>612</v>
      </c>
      <c r="AF234" s="492" t="s">
        <v>2054</v>
      </c>
      <c r="AG234" s="492" t="s">
        <v>34</v>
      </c>
      <c r="AH234" s="492" t="s">
        <v>34</v>
      </c>
      <c r="AI234" s="492" t="s">
        <v>34</v>
      </c>
      <c r="AJ234" s="492" t="s">
        <v>34</v>
      </c>
      <c r="AK234" s="492" t="s">
        <v>832</v>
      </c>
      <c r="AL234" s="492" t="s">
        <v>34</v>
      </c>
      <c r="AM234" s="61" t="s">
        <v>3442</v>
      </c>
      <c r="AN234" s="490">
        <v>0</v>
      </c>
      <c r="AO234" s="490">
        <v>0</v>
      </c>
      <c r="AP234" s="61"/>
    </row>
    <row r="235" spans="1:42" x14ac:dyDescent="0.2">
      <c r="A235" s="61">
        <v>234</v>
      </c>
      <c r="B235" s="491" t="s">
        <v>416</v>
      </c>
      <c r="C235" s="492" t="s">
        <v>420</v>
      </c>
      <c r="D235" s="492" t="s">
        <v>2775</v>
      </c>
      <c r="E235" s="492" t="s">
        <v>1610</v>
      </c>
      <c r="F235" s="492" t="s">
        <v>711</v>
      </c>
      <c r="G235" s="492" t="s">
        <v>34</v>
      </c>
      <c r="H235" s="492" t="s">
        <v>835</v>
      </c>
      <c r="I235" s="492" t="s">
        <v>4270</v>
      </c>
      <c r="J235" s="492" t="s">
        <v>1447</v>
      </c>
      <c r="K235" s="492" t="s">
        <v>1452</v>
      </c>
      <c r="L235" s="492" t="s">
        <v>1638</v>
      </c>
      <c r="M235" s="493" t="s">
        <v>1639</v>
      </c>
      <c r="N235" s="492" t="s">
        <v>420</v>
      </c>
      <c r="O235" s="492" t="s">
        <v>305</v>
      </c>
      <c r="P235" s="492" t="s">
        <v>1640</v>
      </c>
      <c r="Q235" s="492" t="s">
        <v>1641</v>
      </c>
      <c r="R235" s="492" t="s">
        <v>892</v>
      </c>
      <c r="S235" s="492" t="s">
        <v>1642</v>
      </c>
      <c r="T235" s="492">
        <v>14</v>
      </c>
      <c r="U235" s="492" t="s">
        <v>687</v>
      </c>
      <c r="V235" s="492" t="s">
        <v>1643</v>
      </c>
      <c r="W235" s="492" t="s">
        <v>1644</v>
      </c>
      <c r="X235" s="492" t="s">
        <v>965</v>
      </c>
      <c r="Y235" s="492" t="s">
        <v>108</v>
      </c>
      <c r="Z235" s="492" t="s">
        <v>108</v>
      </c>
      <c r="AA235" s="492" t="s">
        <v>988</v>
      </c>
      <c r="AB235" s="492" t="s">
        <v>3047</v>
      </c>
      <c r="AC235" s="492" t="s">
        <v>830</v>
      </c>
      <c r="AD235" s="492" t="s">
        <v>831</v>
      </c>
      <c r="AE235" s="492" t="s">
        <v>612</v>
      </c>
      <c r="AF235" s="492" t="s">
        <v>2054</v>
      </c>
      <c r="AG235" s="492" t="s">
        <v>34</v>
      </c>
      <c r="AH235" s="492" t="s">
        <v>34</v>
      </c>
      <c r="AI235" s="492" t="s">
        <v>34</v>
      </c>
      <c r="AJ235" s="492" t="s">
        <v>34</v>
      </c>
      <c r="AK235" s="492" t="s">
        <v>832</v>
      </c>
      <c r="AL235" s="492" t="s">
        <v>34</v>
      </c>
      <c r="AM235" s="61" t="s">
        <v>3442</v>
      </c>
      <c r="AN235" s="490">
        <v>0</v>
      </c>
      <c r="AO235" s="490">
        <v>0</v>
      </c>
      <c r="AP235" s="61"/>
    </row>
    <row r="236" spans="1:42" x14ac:dyDescent="0.2">
      <c r="A236" s="61">
        <v>235</v>
      </c>
      <c r="B236" s="491" t="s">
        <v>416</v>
      </c>
      <c r="C236" s="492" t="s">
        <v>3311</v>
      </c>
      <c r="D236" s="492" t="s">
        <v>3534</v>
      </c>
      <c r="E236" s="492" t="s">
        <v>1610</v>
      </c>
      <c r="F236" s="492" t="s">
        <v>711</v>
      </c>
      <c r="G236" s="492" t="s">
        <v>34</v>
      </c>
      <c r="H236" s="492" t="s">
        <v>835</v>
      </c>
      <c r="I236" s="492" t="s">
        <v>4270</v>
      </c>
      <c r="J236" s="492" t="s">
        <v>1103</v>
      </c>
      <c r="K236" s="492" t="s">
        <v>1657</v>
      </c>
      <c r="L236" s="492" t="s">
        <v>1658</v>
      </c>
      <c r="M236" s="493" t="s">
        <v>1659</v>
      </c>
      <c r="N236" s="492" t="s">
        <v>1660</v>
      </c>
      <c r="O236" s="492" t="s">
        <v>305</v>
      </c>
      <c r="P236" s="492" t="s">
        <v>1152</v>
      </c>
      <c r="Q236" s="492" t="s">
        <v>911</v>
      </c>
      <c r="R236" s="492" t="s">
        <v>828</v>
      </c>
      <c r="S236" s="492" t="s">
        <v>1661</v>
      </c>
      <c r="T236" s="492">
        <v>1150</v>
      </c>
      <c r="U236" s="492" t="s">
        <v>857</v>
      </c>
      <c r="V236" s="492" t="s">
        <v>1248</v>
      </c>
      <c r="W236" s="492" t="s">
        <v>1662</v>
      </c>
      <c r="X236" s="492" t="s">
        <v>829</v>
      </c>
      <c r="Y236" s="492" t="s">
        <v>108</v>
      </c>
      <c r="Z236" s="492" t="s">
        <v>108</v>
      </c>
      <c r="AA236" s="492" t="s">
        <v>108</v>
      </c>
      <c r="AB236" s="492" t="s">
        <v>34</v>
      </c>
      <c r="AC236" s="492" t="s">
        <v>830</v>
      </c>
      <c r="AD236" s="492" t="s">
        <v>831</v>
      </c>
      <c r="AE236" s="492" t="s">
        <v>612</v>
      </c>
      <c r="AF236" s="492">
        <v>5</v>
      </c>
      <c r="AG236" s="492">
        <v>85</v>
      </c>
      <c r="AH236" s="492">
        <v>12</v>
      </c>
      <c r="AI236" s="492" t="s">
        <v>34</v>
      </c>
      <c r="AJ236" s="492" t="s">
        <v>34</v>
      </c>
      <c r="AK236" s="492" t="s">
        <v>832</v>
      </c>
      <c r="AL236" s="492" t="s">
        <v>832</v>
      </c>
      <c r="AM236" s="61" t="s">
        <v>3441</v>
      </c>
      <c r="AN236" s="490">
        <v>0</v>
      </c>
      <c r="AO236" s="490">
        <v>0</v>
      </c>
      <c r="AP236" s="61"/>
    </row>
    <row r="237" spans="1:42" x14ac:dyDescent="0.2">
      <c r="A237" s="61">
        <v>236</v>
      </c>
      <c r="B237" s="491" t="s">
        <v>416</v>
      </c>
      <c r="C237" s="492" t="s">
        <v>422</v>
      </c>
      <c r="D237" s="492" t="s">
        <v>2776</v>
      </c>
      <c r="E237" s="492" t="s">
        <v>1610</v>
      </c>
      <c r="F237" s="492" t="s">
        <v>711</v>
      </c>
      <c r="G237" s="492" t="s">
        <v>34</v>
      </c>
      <c r="H237" s="492" t="s">
        <v>835</v>
      </c>
      <c r="I237" s="492" t="s">
        <v>4270</v>
      </c>
      <c r="J237" s="492" t="s">
        <v>1103</v>
      </c>
      <c r="K237" s="492" t="s">
        <v>1616</v>
      </c>
      <c r="L237" s="492" t="s">
        <v>1616</v>
      </c>
      <c r="M237" s="493" t="s">
        <v>1617</v>
      </c>
      <c r="N237" s="492" t="s">
        <v>422</v>
      </c>
      <c r="O237" s="492" t="s">
        <v>305</v>
      </c>
      <c r="P237" s="492" t="s">
        <v>1618</v>
      </c>
      <c r="Q237" s="492" t="s">
        <v>911</v>
      </c>
      <c r="R237" s="492" t="s">
        <v>828</v>
      </c>
      <c r="S237" s="492" t="s">
        <v>1619</v>
      </c>
      <c r="T237" s="492">
        <v>378</v>
      </c>
      <c r="U237" s="492" t="s">
        <v>687</v>
      </c>
      <c r="V237" s="492" t="s">
        <v>1615</v>
      </c>
      <c r="W237" s="492" t="s">
        <v>1620</v>
      </c>
      <c r="X237" s="492" t="s">
        <v>829</v>
      </c>
      <c r="Y237" s="492" t="s">
        <v>108</v>
      </c>
      <c r="Z237" s="492" t="s">
        <v>108</v>
      </c>
      <c r="AA237" s="492" t="s">
        <v>988</v>
      </c>
      <c r="AB237" s="492" t="s">
        <v>1656</v>
      </c>
      <c r="AC237" s="492" t="s">
        <v>830</v>
      </c>
      <c r="AD237" s="492" t="s">
        <v>831</v>
      </c>
      <c r="AE237" s="492" t="s">
        <v>612</v>
      </c>
      <c r="AF237" s="492" t="s">
        <v>2054</v>
      </c>
      <c r="AG237" s="492" t="s">
        <v>34</v>
      </c>
      <c r="AH237" s="492" t="s">
        <v>34</v>
      </c>
      <c r="AI237" s="492" t="s">
        <v>34</v>
      </c>
      <c r="AJ237" s="492" t="s">
        <v>34</v>
      </c>
      <c r="AK237" s="492" t="s">
        <v>832</v>
      </c>
      <c r="AL237" s="492" t="s">
        <v>34</v>
      </c>
      <c r="AM237" s="61" t="s">
        <v>3441</v>
      </c>
      <c r="AN237" s="490">
        <v>0</v>
      </c>
      <c r="AO237" s="490">
        <v>0</v>
      </c>
      <c r="AP237" s="61"/>
    </row>
    <row r="238" spans="1:42" x14ac:dyDescent="0.2">
      <c r="A238" s="61">
        <v>237</v>
      </c>
      <c r="B238" s="491" t="s">
        <v>416</v>
      </c>
      <c r="C238" s="492" t="s">
        <v>418</v>
      </c>
      <c r="D238" s="492" t="s">
        <v>2777</v>
      </c>
      <c r="E238" s="492" t="s">
        <v>1610</v>
      </c>
      <c r="F238" s="492" t="s">
        <v>711</v>
      </c>
      <c r="G238" s="492" t="s">
        <v>34</v>
      </c>
      <c r="H238" s="492" t="s">
        <v>835</v>
      </c>
      <c r="I238" s="492" t="s">
        <v>4270</v>
      </c>
      <c r="J238" s="492" t="s">
        <v>1447</v>
      </c>
      <c r="K238" s="492" t="s">
        <v>839</v>
      </c>
      <c r="L238" s="492" t="s">
        <v>1647</v>
      </c>
      <c r="M238" s="493">
        <v>115130901</v>
      </c>
      <c r="N238" s="492" t="s">
        <v>418</v>
      </c>
      <c r="O238" s="492" t="s">
        <v>305</v>
      </c>
      <c r="P238" s="492" t="s">
        <v>1648</v>
      </c>
      <c r="Q238" s="492" t="s">
        <v>911</v>
      </c>
      <c r="R238" s="492" t="s">
        <v>828</v>
      </c>
      <c r="S238" s="492" t="s">
        <v>1649</v>
      </c>
      <c r="T238" s="492">
        <v>61.3</v>
      </c>
      <c r="U238" s="492" t="s">
        <v>687</v>
      </c>
      <c r="V238" s="492" t="s">
        <v>1110</v>
      </c>
      <c r="W238" s="492" t="s">
        <v>1650</v>
      </c>
      <c r="X238" s="492" t="s">
        <v>829</v>
      </c>
      <c r="Y238" s="492" t="s">
        <v>1651</v>
      </c>
      <c r="Z238" s="492" t="s">
        <v>1652</v>
      </c>
      <c r="AA238" s="492" t="s">
        <v>829</v>
      </c>
      <c r="AB238" s="492" t="s">
        <v>34</v>
      </c>
      <c r="AC238" s="492" t="s">
        <v>830</v>
      </c>
      <c r="AD238" s="492" t="s">
        <v>831</v>
      </c>
      <c r="AE238" s="492" t="s">
        <v>612</v>
      </c>
      <c r="AF238" s="492">
        <v>7</v>
      </c>
      <c r="AG238" s="492">
        <v>0.09</v>
      </c>
      <c r="AH238" s="492">
        <v>0.28999999999999998</v>
      </c>
      <c r="AI238" s="492" t="s">
        <v>34</v>
      </c>
      <c r="AJ238" s="492" t="s">
        <v>34</v>
      </c>
      <c r="AK238" s="492" t="s">
        <v>832</v>
      </c>
      <c r="AL238" s="492" t="s">
        <v>34</v>
      </c>
      <c r="AM238" s="61" t="s">
        <v>3444</v>
      </c>
      <c r="AN238" s="490">
        <v>0</v>
      </c>
      <c r="AO238" s="490">
        <v>0</v>
      </c>
      <c r="AP238" s="61"/>
    </row>
    <row r="239" spans="1:42" x14ac:dyDescent="0.2">
      <c r="A239" s="61">
        <v>238</v>
      </c>
      <c r="B239" s="491" t="s">
        <v>416</v>
      </c>
      <c r="C239" s="492" t="s">
        <v>632</v>
      </c>
      <c r="D239" s="492" t="s">
        <v>2778</v>
      </c>
      <c r="E239" s="492" t="s">
        <v>1610</v>
      </c>
      <c r="F239" s="492" t="s">
        <v>711</v>
      </c>
      <c r="G239" s="492" t="s">
        <v>34</v>
      </c>
      <c r="H239" s="492" t="s">
        <v>835</v>
      </c>
      <c r="I239" s="492" t="s">
        <v>4279</v>
      </c>
      <c r="J239" s="492" t="s">
        <v>1103</v>
      </c>
      <c r="K239" s="492" t="s">
        <v>839</v>
      </c>
      <c r="L239" s="492" t="s">
        <v>1611</v>
      </c>
      <c r="M239" s="493" t="s">
        <v>1612</v>
      </c>
      <c r="N239" s="492" t="s">
        <v>632</v>
      </c>
      <c r="O239" s="492" t="s">
        <v>305</v>
      </c>
      <c r="P239" s="492" t="s">
        <v>1613</v>
      </c>
      <c r="Q239" s="492" t="s">
        <v>911</v>
      </c>
      <c r="R239" s="492" t="s">
        <v>828</v>
      </c>
      <c r="S239" s="492" t="s">
        <v>1614</v>
      </c>
      <c r="T239" s="492">
        <v>588</v>
      </c>
      <c r="U239" s="492" t="s">
        <v>687</v>
      </c>
      <c r="V239" s="492" t="s">
        <v>108</v>
      </c>
      <c r="W239" s="492" t="s">
        <v>108</v>
      </c>
      <c r="X239" s="492" t="s">
        <v>988</v>
      </c>
      <c r="Y239" s="492" t="s">
        <v>108</v>
      </c>
      <c r="Z239" s="492" t="s">
        <v>108</v>
      </c>
      <c r="AA239" s="492" t="s">
        <v>988</v>
      </c>
      <c r="AB239" s="492" t="s">
        <v>4385</v>
      </c>
      <c r="AC239" s="492" t="s">
        <v>830</v>
      </c>
      <c r="AD239" s="492" t="s">
        <v>831</v>
      </c>
      <c r="AE239" s="492" t="s">
        <v>612</v>
      </c>
      <c r="AF239" s="492" t="s">
        <v>2054</v>
      </c>
      <c r="AG239" s="492" t="s">
        <v>34</v>
      </c>
      <c r="AH239" s="492" t="s">
        <v>34</v>
      </c>
      <c r="AI239" s="492" t="s">
        <v>34</v>
      </c>
      <c r="AJ239" s="492" t="s">
        <v>34</v>
      </c>
      <c r="AK239" s="492" t="s">
        <v>832</v>
      </c>
      <c r="AL239" s="492" t="s">
        <v>34</v>
      </c>
      <c r="AM239" s="61" t="s">
        <v>3457</v>
      </c>
      <c r="AN239" s="490">
        <v>0</v>
      </c>
      <c r="AO239" s="490">
        <v>0</v>
      </c>
      <c r="AP239" s="61"/>
    </row>
    <row r="240" spans="1:42" x14ac:dyDescent="0.2">
      <c r="A240" s="61">
        <v>239</v>
      </c>
      <c r="B240" s="491" t="s">
        <v>416</v>
      </c>
      <c r="C240" s="492" t="s">
        <v>3329</v>
      </c>
      <c r="D240" s="492" t="s">
        <v>3330</v>
      </c>
      <c r="E240" s="492" t="s">
        <v>1610</v>
      </c>
      <c r="F240" s="492" t="s">
        <v>711</v>
      </c>
      <c r="G240" s="492" t="s">
        <v>34</v>
      </c>
      <c r="H240" s="492" t="s">
        <v>835</v>
      </c>
      <c r="I240" s="492" t="s">
        <v>4279</v>
      </c>
      <c r="J240" s="492" t="s">
        <v>613</v>
      </c>
      <c r="K240" s="492" t="s">
        <v>3331</v>
      </c>
      <c r="L240" s="492" t="s">
        <v>1106</v>
      </c>
      <c r="M240" s="493" t="s">
        <v>3332</v>
      </c>
      <c r="N240" s="492" t="s">
        <v>3329</v>
      </c>
      <c r="O240" s="492" t="s">
        <v>108</v>
      </c>
      <c r="P240" s="492" t="s">
        <v>3333</v>
      </c>
      <c r="Q240" s="492" t="s">
        <v>908</v>
      </c>
      <c r="R240" s="492" t="s">
        <v>828</v>
      </c>
      <c r="S240" s="492" t="s">
        <v>3334</v>
      </c>
      <c r="T240" s="492">
        <v>896</v>
      </c>
      <c r="U240" s="492" t="s">
        <v>3335</v>
      </c>
      <c r="V240" s="492" t="s">
        <v>108</v>
      </c>
      <c r="W240" s="492" t="s">
        <v>108</v>
      </c>
      <c r="X240" s="492" t="s">
        <v>108</v>
      </c>
      <c r="Y240" s="492" t="s">
        <v>3336</v>
      </c>
      <c r="Z240" s="492" t="s">
        <v>3336</v>
      </c>
      <c r="AA240" s="492" t="s">
        <v>108</v>
      </c>
      <c r="AB240" s="492" t="s">
        <v>3337</v>
      </c>
      <c r="AC240" s="492" t="s">
        <v>830</v>
      </c>
      <c r="AD240" s="492" t="s">
        <v>831</v>
      </c>
      <c r="AE240" s="492" t="s">
        <v>612</v>
      </c>
      <c r="AF240" s="492" t="s">
        <v>2054</v>
      </c>
      <c r="AG240" s="492" t="s">
        <v>34</v>
      </c>
      <c r="AH240" s="492" t="s">
        <v>34</v>
      </c>
      <c r="AI240" s="492" t="s">
        <v>34</v>
      </c>
      <c r="AJ240" s="492" t="s">
        <v>34</v>
      </c>
      <c r="AK240" s="492" t="s">
        <v>832</v>
      </c>
      <c r="AL240" s="492" t="s">
        <v>34</v>
      </c>
      <c r="AM240" s="61" t="s">
        <v>3458</v>
      </c>
      <c r="AN240" s="490">
        <v>0</v>
      </c>
      <c r="AO240" s="490">
        <v>0</v>
      </c>
      <c r="AP240" s="61"/>
    </row>
    <row r="241" spans="1:42" x14ac:dyDescent="0.2">
      <c r="A241" s="61">
        <v>240</v>
      </c>
      <c r="B241" s="491" t="s">
        <v>416</v>
      </c>
      <c r="C241" s="492" t="s">
        <v>3338</v>
      </c>
      <c r="D241" s="492" t="s">
        <v>3339</v>
      </c>
      <c r="E241" s="492" t="s">
        <v>1610</v>
      </c>
      <c r="F241" s="492" t="s">
        <v>711</v>
      </c>
      <c r="G241" s="492" t="s">
        <v>34</v>
      </c>
      <c r="H241" s="492" t="s">
        <v>835</v>
      </c>
      <c r="I241" s="492" t="s">
        <v>4279</v>
      </c>
      <c r="J241" s="492" t="s">
        <v>613</v>
      </c>
      <c r="K241" s="492" t="s">
        <v>3331</v>
      </c>
      <c r="L241" s="492" t="s">
        <v>3340</v>
      </c>
      <c r="M241" s="493" t="s">
        <v>3341</v>
      </c>
      <c r="N241" s="492" t="s">
        <v>3338</v>
      </c>
      <c r="O241" s="492" t="s">
        <v>108</v>
      </c>
      <c r="P241" s="492" t="s">
        <v>3333</v>
      </c>
      <c r="Q241" s="492" t="s">
        <v>908</v>
      </c>
      <c r="R241" s="492" t="s">
        <v>828</v>
      </c>
      <c r="S241" s="492" t="s">
        <v>3342</v>
      </c>
      <c r="T241" s="492">
        <v>245</v>
      </c>
      <c r="U241" s="492" t="s">
        <v>3335</v>
      </c>
      <c r="V241" s="492" t="s">
        <v>108</v>
      </c>
      <c r="W241" s="492" t="s">
        <v>108</v>
      </c>
      <c r="X241" s="492" t="s">
        <v>108</v>
      </c>
      <c r="Y241" s="492" t="s">
        <v>3336</v>
      </c>
      <c r="Z241" s="492" t="s">
        <v>3336</v>
      </c>
      <c r="AA241" s="492" t="s">
        <v>108</v>
      </c>
      <c r="AB241" s="492" t="s">
        <v>3337</v>
      </c>
      <c r="AC241" s="492" t="s">
        <v>830</v>
      </c>
      <c r="AD241" s="492" t="s">
        <v>831</v>
      </c>
      <c r="AE241" s="492" t="s">
        <v>612</v>
      </c>
      <c r="AF241" s="492" t="s">
        <v>2054</v>
      </c>
      <c r="AG241" s="492" t="s">
        <v>34</v>
      </c>
      <c r="AH241" s="492" t="s">
        <v>34</v>
      </c>
      <c r="AI241" s="492" t="s">
        <v>34</v>
      </c>
      <c r="AJ241" s="492" t="s">
        <v>34</v>
      </c>
      <c r="AK241" s="492" t="s">
        <v>832</v>
      </c>
      <c r="AL241" s="492" t="s">
        <v>34</v>
      </c>
      <c r="AM241" s="61" t="s">
        <v>3458</v>
      </c>
      <c r="AN241" s="490">
        <v>0</v>
      </c>
      <c r="AO241" s="490">
        <v>0</v>
      </c>
      <c r="AP241" s="61"/>
    </row>
    <row r="242" spans="1:42" x14ac:dyDescent="0.2">
      <c r="A242" s="61">
        <v>241</v>
      </c>
      <c r="B242" s="491" t="s">
        <v>416</v>
      </c>
      <c r="C242" s="492" t="s">
        <v>3343</v>
      </c>
      <c r="D242" s="492" t="s">
        <v>3344</v>
      </c>
      <c r="E242" s="492" t="s">
        <v>1610</v>
      </c>
      <c r="F242" s="492" t="s">
        <v>711</v>
      </c>
      <c r="G242" s="492" t="s">
        <v>34</v>
      </c>
      <c r="H242" s="492" t="s">
        <v>835</v>
      </c>
      <c r="I242" s="492" t="s">
        <v>4279</v>
      </c>
      <c r="J242" s="492" t="s">
        <v>613</v>
      </c>
      <c r="K242" s="492" t="s">
        <v>3331</v>
      </c>
      <c r="L242" s="492" t="s">
        <v>3345</v>
      </c>
      <c r="M242" s="493" t="s">
        <v>3346</v>
      </c>
      <c r="N242" s="492" t="s">
        <v>3343</v>
      </c>
      <c r="O242" s="492" t="s">
        <v>108</v>
      </c>
      <c r="P242" s="492" t="s">
        <v>3333</v>
      </c>
      <c r="Q242" s="492" t="s">
        <v>908</v>
      </c>
      <c r="R242" s="492" t="s">
        <v>828</v>
      </c>
      <c r="S242" s="492" t="s">
        <v>1245</v>
      </c>
      <c r="T242" s="492">
        <v>4544.1000000000004</v>
      </c>
      <c r="U242" s="492" t="s">
        <v>3335</v>
      </c>
      <c r="V242" s="492" t="s">
        <v>108</v>
      </c>
      <c r="W242" s="492" t="s">
        <v>108</v>
      </c>
      <c r="X242" s="492" t="s">
        <v>108</v>
      </c>
      <c r="Y242" s="492" t="s">
        <v>3336</v>
      </c>
      <c r="Z242" s="492" t="s">
        <v>3336</v>
      </c>
      <c r="AA242" s="492" t="s">
        <v>108</v>
      </c>
      <c r="AB242" s="492" t="s">
        <v>3337</v>
      </c>
      <c r="AC242" s="492" t="s">
        <v>830</v>
      </c>
      <c r="AD242" s="492" t="s">
        <v>831</v>
      </c>
      <c r="AE242" s="492" t="s">
        <v>612</v>
      </c>
      <c r="AF242" s="492" t="s">
        <v>2054</v>
      </c>
      <c r="AG242" s="492" t="s">
        <v>34</v>
      </c>
      <c r="AH242" s="492" t="s">
        <v>34</v>
      </c>
      <c r="AI242" s="492" t="s">
        <v>34</v>
      </c>
      <c r="AJ242" s="492" t="s">
        <v>34</v>
      </c>
      <c r="AK242" s="492" t="s">
        <v>832</v>
      </c>
      <c r="AL242" s="492" t="s">
        <v>34</v>
      </c>
      <c r="AM242" s="61" t="s">
        <v>3458</v>
      </c>
      <c r="AN242" s="490">
        <v>0</v>
      </c>
      <c r="AO242" s="490">
        <v>0</v>
      </c>
      <c r="AP242" s="61"/>
    </row>
    <row r="243" spans="1:42" x14ac:dyDescent="0.2">
      <c r="A243" s="61">
        <v>242</v>
      </c>
      <c r="B243" s="491" t="s">
        <v>423</v>
      </c>
      <c r="C243" s="492" t="s">
        <v>424</v>
      </c>
      <c r="D243" s="492" t="s">
        <v>2779</v>
      </c>
      <c r="E243" s="492" t="s">
        <v>1670</v>
      </c>
      <c r="F243" s="492" t="s">
        <v>715</v>
      </c>
      <c r="G243" s="492" t="s">
        <v>34</v>
      </c>
      <c r="H243" s="492" t="s">
        <v>835</v>
      </c>
      <c r="I243" s="492" t="s">
        <v>4270</v>
      </c>
      <c r="J243" s="492" t="s">
        <v>1447</v>
      </c>
      <c r="K243" s="492" t="s">
        <v>1671</v>
      </c>
      <c r="L243" s="492" t="s">
        <v>1672</v>
      </c>
      <c r="M243" s="493" t="s">
        <v>1673</v>
      </c>
      <c r="N243" s="492" t="s">
        <v>424</v>
      </c>
      <c r="O243" s="492" t="s">
        <v>305</v>
      </c>
      <c r="P243" s="492" t="s">
        <v>1674</v>
      </c>
      <c r="Q243" s="492" t="s">
        <v>908</v>
      </c>
      <c r="R243" s="492" t="s">
        <v>828</v>
      </c>
      <c r="S243" s="492" t="s">
        <v>1675</v>
      </c>
      <c r="T243" s="492">
        <v>0</v>
      </c>
      <c r="U243" s="492" t="s">
        <v>858</v>
      </c>
      <c r="V243" s="492" t="s">
        <v>1676</v>
      </c>
      <c r="W243" s="492" t="s">
        <v>1677</v>
      </c>
      <c r="X243" s="492" t="s">
        <v>829</v>
      </c>
      <c r="Y243" s="492" t="s">
        <v>108</v>
      </c>
      <c r="Z243" s="492" t="s">
        <v>108</v>
      </c>
      <c r="AA243" s="492" t="s">
        <v>108</v>
      </c>
      <c r="AB243" s="492" t="s">
        <v>1678</v>
      </c>
      <c r="AC243" s="492" t="s">
        <v>830</v>
      </c>
      <c r="AD243" s="492" t="s">
        <v>831</v>
      </c>
      <c r="AE243" s="492" t="s">
        <v>612</v>
      </c>
      <c r="AF243" s="492" t="s">
        <v>2054</v>
      </c>
      <c r="AG243" s="492" t="s">
        <v>34</v>
      </c>
      <c r="AH243" s="492" t="s">
        <v>34</v>
      </c>
      <c r="AI243" s="492" t="s">
        <v>34</v>
      </c>
      <c r="AJ243" s="492" t="s">
        <v>34</v>
      </c>
      <c r="AK243" s="492" t="s">
        <v>832</v>
      </c>
      <c r="AL243" s="492" t="s">
        <v>34</v>
      </c>
      <c r="AM243" s="61" t="s">
        <v>3441</v>
      </c>
      <c r="AN243" s="490">
        <v>0</v>
      </c>
      <c r="AO243" s="490">
        <v>0</v>
      </c>
      <c r="AP243" s="61"/>
    </row>
    <row r="244" spans="1:42" x14ac:dyDescent="0.2">
      <c r="A244" s="61">
        <v>243</v>
      </c>
      <c r="B244" s="491" t="s">
        <v>669</v>
      </c>
      <c r="C244" s="492" t="s">
        <v>670</v>
      </c>
      <c r="D244" s="492" t="s">
        <v>2780</v>
      </c>
      <c r="E244" s="492" t="s">
        <v>768</v>
      </c>
      <c r="F244" s="492" t="s">
        <v>711</v>
      </c>
      <c r="G244" s="492" t="s">
        <v>34</v>
      </c>
      <c r="H244" s="492" t="s">
        <v>835</v>
      </c>
      <c r="I244" s="492" t="s">
        <v>4270</v>
      </c>
      <c r="J244" s="492" t="s">
        <v>1447</v>
      </c>
      <c r="K244" s="492" t="s">
        <v>839</v>
      </c>
      <c r="L244" s="492" t="s">
        <v>1679</v>
      </c>
      <c r="M244" s="493" t="s">
        <v>670</v>
      </c>
      <c r="N244" s="492" t="s">
        <v>670</v>
      </c>
      <c r="O244" s="492" t="s">
        <v>305</v>
      </c>
      <c r="P244" s="492" t="s">
        <v>1546</v>
      </c>
      <c r="Q244" s="492" t="s">
        <v>911</v>
      </c>
      <c r="R244" s="492" t="s">
        <v>892</v>
      </c>
      <c r="S244" s="492" t="s">
        <v>1680</v>
      </c>
      <c r="T244" s="492">
        <v>432</v>
      </c>
      <c r="U244" s="492" t="s">
        <v>687</v>
      </c>
      <c r="V244" s="492" t="s">
        <v>1681</v>
      </c>
      <c r="W244" s="492" t="s">
        <v>1682</v>
      </c>
      <c r="X244" s="492" t="s">
        <v>829</v>
      </c>
      <c r="Y244" s="492" t="s">
        <v>108</v>
      </c>
      <c r="Z244" s="492" t="s">
        <v>108</v>
      </c>
      <c r="AA244" s="492" t="s">
        <v>108</v>
      </c>
      <c r="AB244" s="492" t="s">
        <v>4320</v>
      </c>
      <c r="AC244" s="492" t="s">
        <v>830</v>
      </c>
      <c r="AD244" s="492" t="s">
        <v>831</v>
      </c>
      <c r="AE244" s="492" t="s">
        <v>612</v>
      </c>
      <c r="AF244" s="492" t="s">
        <v>2054</v>
      </c>
      <c r="AG244" s="492" t="s">
        <v>34</v>
      </c>
      <c r="AH244" s="492" t="s">
        <v>34</v>
      </c>
      <c r="AI244" s="492" t="s">
        <v>34</v>
      </c>
      <c r="AJ244" s="492" t="s">
        <v>34</v>
      </c>
      <c r="AK244" s="492" t="s">
        <v>832</v>
      </c>
      <c r="AL244" s="492" t="s">
        <v>34</v>
      </c>
      <c r="AM244" s="61" t="s">
        <v>3444</v>
      </c>
      <c r="AN244" s="490">
        <v>0</v>
      </c>
      <c r="AO244" s="490">
        <v>0</v>
      </c>
      <c r="AP244" s="61"/>
    </row>
    <row r="245" spans="1:42" x14ac:dyDescent="0.2">
      <c r="A245" s="61">
        <v>244</v>
      </c>
      <c r="B245" s="491" t="s">
        <v>669</v>
      </c>
      <c r="C245" s="492" t="s">
        <v>425</v>
      </c>
      <c r="D245" s="492" t="s">
        <v>2972</v>
      </c>
      <c r="E245" s="492" t="s">
        <v>768</v>
      </c>
      <c r="F245" s="492" t="s">
        <v>711</v>
      </c>
      <c r="G245" s="492" t="s">
        <v>34</v>
      </c>
      <c r="H245" s="492" t="s">
        <v>835</v>
      </c>
      <c r="I245" s="492" t="s">
        <v>4270</v>
      </c>
      <c r="J245" s="492" t="s">
        <v>1447</v>
      </c>
      <c r="K245" s="492" t="s">
        <v>480</v>
      </c>
      <c r="L245" s="492" t="s">
        <v>2973</v>
      </c>
      <c r="M245" s="493" t="s">
        <v>425</v>
      </c>
      <c r="N245" s="492" t="s">
        <v>425</v>
      </c>
      <c r="O245" s="492" t="s">
        <v>305</v>
      </c>
      <c r="P245" s="492" t="s">
        <v>2974</v>
      </c>
      <c r="Q245" s="492" t="s">
        <v>2128</v>
      </c>
      <c r="R245" s="492" t="s">
        <v>892</v>
      </c>
      <c r="S245" s="492" t="s">
        <v>2975</v>
      </c>
      <c r="T245" s="492">
        <v>2.7</v>
      </c>
      <c r="U245" s="492" t="s">
        <v>857</v>
      </c>
      <c r="V245" s="492" t="s">
        <v>2976</v>
      </c>
      <c r="W245" s="492" t="s">
        <v>2977</v>
      </c>
      <c r="X245" s="492" t="s">
        <v>2978</v>
      </c>
      <c r="Y245" s="492" t="s">
        <v>108</v>
      </c>
      <c r="Z245" s="492" t="s">
        <v>108</v>
      </c>
      <c r="AA245" s="492" t="s">
        <v>108</v>
      </c>
      <c r="AB245" s="492" t="s">
        <v>4321</v>
      </c>
      <c r="AC245" s="492" t="s">
        <v>830</v>
      </c>
      <c r="AD245" s="492" t="s">
        <v>831</v>
      </c>
      <c r="AE245" s="492" t="s">
        <v>612</v>
      </c>
      <c r="AF245" s="492">
        <v>5</v>
      </c>
      <c r="AG245" s="492">
        <v>1</v>
      </c>
      <c r="AH245" s="492">
        <v>75</v>
      </c>
      <c r="AI245" s="492" t="s">
        <v>2560</v>
      </c>
      <c r="AJ245" s="492" t="s">
        <v>34</v>
      </c>
      <c r="AK245" s="492" t="s">
        <v>832</v>
      </c>
      <c r="AL245" s="492" t="s">
        <v>34</v>
      </c>
      <c r="AM245" s="61" t="s">
        <v>3441</v>
      </c>
      <c r="AN245" s="490">
        <v>0</v>
      </c>
      <c r="AO245" s="490">
        <v>0</v>
      </c>
      <c r="AP245" s="61"/>
    </row>
    <row r="246" spans="1:42" x14ac:dyDescent="0.2">
      <c r="A246" s="61">
        <v>245</v>
      </c>
      <c r="B246" s="491" t="s">
        <v>2469</v>
      </c>
      <c r="C246" s="492" t="s">
        <v>2470</v>
      </c>
      <c r="D246" s="492" t="s">
        <v>3075</v>
      </c>
      <c r="E246" s="492" t="s">
        <v>3076</v>
      </c>
      <c r="F246" s="492" t="s">
        <v>3077</v>
      </c>
      <c r="G246" s="492" t="s">
        <v>34</v>
      </c>
      <c r="H246" s="492" t="s">
        <v>835</v>
      </c>
      <c r="I246" s="492" t="s">
        <v>4270</v>
      </c>
      <c r="J246" s="492" t="s">
        <v>613</v>
      </c>
      <c r="K246" s="492" t="s">
        <v>3078</v>
      </c>
      <c r="L246" s="492" t="s">
        <v>3079</v>
      </c>
      <c r="M246" s="493">
        <v>17091325</v>
      </c>
      <c r="N246" s="492" t="s">
        <v>2470</v>
      </c>
      <c r="O246" s="492" t="s">
        <v>305</v>
      </c>
      <c r="P246" s="492" t="s">
        <v>3080</v>
      </c>
      <c r="Q246" s="492" t="s">
        <v>3080</v>
      </c>
      <c r="R246" s="492" t="s">
        <v>929</v>
      </c>
      <c r="S246" s="492" t="s">
        <v>3081</v>
      </c>
      <c r="T246" s="492">
        <v>12.3</v>
      </c>
      <c r="U246" s="492" t="s">
        <v>857</v>
      </c>
      <c r="V246" s="492" t="s">
        <v>903</v>
      </c>
      <c r="W246" s="492">
        <v>17091325</v>
      </c>
      <c r="X246" s="492" t="s">
        <v>3082</v>
      </c>
      <c r="Y246" s="492" t="s">
        <v>108</v>
      </c>
      <c r="Z246" s="492" t="s">
        <v>108</v>
      </c>
      <c r="AA246" s="492" t="s">
        <v>108</v>
      </c>
      <c r="AB246" s="492" t="s">
        <v>3083</v>
      </c>
      <c r="AC246" s="492" t="s">
        <v>3084</v>
      </c>
      <c r="AD246" s="492" t="s">
        <v>831</v>
      </c>
      <c r="AE246" s="492" t="s">
        <v>612</v>
      </c>
      <c r="AF246" s="492" t="s">
        <v>108</v>
      </c>
      <c r="AG246" s="492" t="s">
        <v>34</v>
      </c>
      <c r="AH246" s="492" t="s">
        <v>34</v>
      </c>
      <c r="AI246" s="492" t="s">
        <v>34</v>
      </c>
      <c r="AJ246" s="492" t="s">
        <v>34</v>
      </c>
      <c r="AK246" s="492" t="s">
        <v>832</v>
      </c>
      <c r="AL246" s="492" t="s">
        <v>34</v>
      </c>
      <c r="AM246" s="61" t="s">
        <v>3441</v>
      </c>
      <c r="AN246" s="490">
        <v>0</v>
      </c>
      <c r="AO246" s="490">
        <v>0</v>
      </c>
      <c r="AP246" s="61"/>
    </row>
    <row r="247" spans="1:42" x14ac:dyDescent="0.2">
      <c r="A247" s="61">
        <v>246</v>
      </c>
      <c r="B247" s="491" t="s">
        <v>4141</v>
      </c>
      <c r="C247" s="492" t="s">
        <v>4142</v>
      </c>
      <c r="D247" s="492" t="s">
        <v>4143</v>
      </c>
      <c r="E247" s="492" t="s">
        <v>4144</v>
      </c>
      <c r="F247" s="492" t="s">
        <v>4145</v>
      </c>
      <c r="G247" s="492" t="s">
        <v>34</v>
      </c>
      <c r="H247" s="492" t="s">
        <v>835</v>
      </c>
      <c r="I247" s="492" t="s">
        <v>4270</v>
      </c>
      <c r="J247" s="492" t="s">
        <v>1103</v>
      </c>
      <c r="K247" s="492" t="s">
        <v>2007</v>
      </c>
      <c r="L247" s="492" t="s">
        <v>4146</v>
      </c>
      <c r="M247" s="493" t="s">
        <v>4147</v>
      </c>
      <c r="N247" s="492" t="s">
        <v>4148</v>
      </c>
      <c r="O247" s="492" t="s">
        <v>1106</v>
      </c>
      <c r="P247" s="492" t="s">
        <v>4149</v>
      </c>
      <c r="Q247" s="492" t="s">
        <v>4150</v>
      </c>
      <c r="R247" s="492" t="s">
        <v>3107</v>
      </c>
      <c r="S247" s="492" t="s">
        <v>4151</v>
      </c>
      <c r="T247" s="492">
        <v>483.9</v>
      </c>
      <c r="U247" s="492" t="s">
        <v>857</v>
      </c>
      <c r="V247" s="492" t="s">
        <v>4152</v>
      </c>
      <c r="W247" s="492" t="s">
        <v>4165</v>
      </c>
      <c r="X247" s="492" t="s">
        <v>1445</v>
      </c>
      <c r="Y247" s="492" t="s">
        <v>4166</v>
      </c>
      <c r="Z247" s="492" t="s">
        <v>4153</v>
      </c>
      <c r="AA247" s="492" t="s">
        <v>3502</v>
      </c>
      <c r="AB247" s="492" t="s">
        <v>4167</v>
      </c>
      <c r="AC247" s="492" t="s">
        <v>830</v>
      </c>
      <c r="AD247" s="492" t="s">
        <v>831</v>
      </c>
      <c r="AE247" s="492" t="s">
        <v>612</v>
      </c>
      <c r="AF247" s="492" t="s">
        <v>108</v>
      </c>
      <c r="AG247" s="492" t="s">
        <v>108</v>
      </c>
      <c r="AH247" s="492" t="s">
        <v>108</v>
      </c>
      <c r="AI247" s="492" t="s">
        <v>108</v>
      </c>
      <c r="AJ247" s="492" t="s">
        <v>108</v>
      </c>
      <c r="AK247" s="492" t="s">
        <v>832</v>
      </c>
      <c r="AL247" s="492" t="s">
        <v>34</v>
      </c>
      <c r="AM247" s="61" t="s">
        <v>3444</v>
      </c>
      <c r="AN247" s="490">
        <v>0</v>
      </c>
      <c r="AO247" s="490">
        <v>0</v>
      </c>
      <c r="AP247" s="61"/>
    </row>
    <row r="248" spans="1:42" x14ac:dyDescent="0.2">
      <c r="A248" s="61">
        <v>247</v>
      </c>
      <c r="B248" s="491" t="s">
        <v>426</v>
      </c>
      <c r="C248" s="492" t="s">
        <v>431</v>
      </c>
      <c r="D248" s="492" t="s">
        <v>2781</v>
      </c>
      <c r="E248" s="492" t="s">
        <v>1683</v>
      </c>
      <c r="F248" s="492" t="s">
        <v>769</v>
      </c>
      <c r="G248" s="492" t="s">
        <v>34</v>
      </c>
      <c r="H248" s="492" t="s">
        <v>835</v>
      </c>
      <c r="I248" s="492" t="s">
        <v>4270</v>
      </c>
      <c r="J248" s="492" t="s">
        <v>1103</v>
      </c>
      <c r="K248" s="492" t="s">
        <v>957</v>
      </c>
      <c r="L248" s="492" t="s">
        <v>1696</v>
      </c>
      <c r="M248" s="493">
        <v>10282008</v>
      </c>
      <c r="N248" s="492" t="s">
        <v>431</v>
      </c>
      <c r="O248" s="492" t="s">
        <v>305</v>
      </c>
      <c r="P248" s="492" t="s">
        <v>1569</v>
      </c>
      <c r="Q248" s="492" t="s">
        <v>911</v>
      </c>
      <c r="R248" s="492" t="s">
        <v>993</v>
      </c>
      <c r="S248" s="492" t="s">
        <v>1697</v>
      </c>
      <c r="T248" s="492">
        <v>2002</v>
      </c>
      <c r="U248" s="492" t="s">
        <v>858</v>
      </c>
      <c r="V248" s="492" t="s">
        <v>1698</v>
      </c>
      <c r="W248" s="492" t="s">
        <v>1699</v>
      </c>
      <c r="X248" s="492" t="s">
        <v>977</v>
      </c>
      <c r="Y248" s="492" t="s">
        <v>1174</v>
      </c>
      <c r="Z248" s="492" t="s">
        <v>1700</v>
      </c>
      <c r="AA248" s="492" t="s">
        <v>829</v>
      </c>
      <c r="AB248" s="492" t="s">
        <v>1701</v>
      </c>
      <c r="AC248" s="492" t="s">
        <v>830</v>
      </c>
      <c r="AD248" s="492" t="s">
        <v>831</v>
      </c>
      <c r="AE248" s="492" t="s">
        <v>612</v>
      </c>
      <c r="AF248" s="492" t="s">
        <v>2054</v>
      </c>
      <c r="AG248" s="492" t="s">
        <v>34</v>
      </c>
      <c r="AH248" s="492" t="s">
        <v>34</v>
      </c>
      <c r="AI248" s="492" t="s">
        <v>34</v>
      </c>
      <c r="AJ248" s="492" t="s">
        <v>34</v>
      </c>
      <c r="AK248" s="492" t="s">
        <v>832</v>
      </c>
      <c r="AL248" s="492" t="s">
        <v>34</v>
      </c>
      <c r="AM248" s="61" t="s">
        <v>3443</v>
      </c>
      <c r="AN248" s="490">
        <v>0</v>
      </c>
      <c r="AO248" s="490">
        <v>0</v>
      </c>
      <c r="AP248" s="61"/>
    </row>
    <row r="249" spans="1:42" x14ac:dyDescent="0.2">
      <c r="A249" s="61">
        <v>248</v>
      </c>
      <c r="B249" s="491" t="s">
        <v>426</v>
      </c>
      <c r="C249" s="492" t="s">
        <v>3026</v>
      </c>
      <c r="D249" s="492" t="s">
        <v>3085</v>
      </c>
      <c r="E249" s="492" t="s">
        <v>1683</v>
      </c>
      <c r="F249" s="492" t="s">
        <v>769</v>
      </c>
      <c r="G249" s="492" t="s">
        <v>34</v>
      </c>
      <c r="H249" s="492" t="s">
        <v>835</v>
      </c>
      <c r="I249" s="492" t="s">
        <v>2522</v>
      </c>
      <c r="J249" s="492" t="s">
        <v>613</v>
      </c>
      <c r="K249" s="492" t="s">
        <v>3026</v>
      </c>
      <c r="L249" s="492" t="s">
        <v>1157</v>
      </c>
      <c r="M249" s="493" t="s">
        <v>3033</v>
      </c>
      <c r="N249" s="492" t="s">
        <v>3086</v>
      </c>
      <c r="O249" s="492" t="s">
        <v>305</v>
      </c>
      <c r="P249" s="492" t="s">
        <v>3028</v>
      </c>
      <c r="Q249" s="492" t="s">
        <v>3028</v>
      </c>
      <c r="R249" s="492" t="s">
        <v>828</v>
      </c>
      <c r="S249" s="492" t="s">
        <v>3034</v>
      </c>
      <c r="T249" s="492">
        <v>2253.3000000000002</v>
      </c>
      <c r="U249" s="492" t="s">
        <v>858</v>
      </c>
      <c r="V249" s="492" t="s">
        <v>1160</v>
      </c>
      <c r="W249" s="492">
        <v>43144</v>
      </c>
      <c r="X249" s="492" t="s">
        <v>1445</v>
      </c>
      <c r="Y249" s="492" t="s">
        <v>3035</v>
      </c>
      <c r="Z249" s="492" t="s">
        <v>3036</v>
      </c>
      <c r="AA249" s="492" t="s">
        <v>3037</v>
      </c>
      <c r="AB249" s="492" t="s">
        <v>3038</v>
      </c>
      <c r="AC249" s="492" t="s">
        <v>830</v>
      </c>
      <c r="AD249" s="492" t="s">
        <v>831</v>
      </c>
      <c r="AE249" s="492" t="s">
        <v>612</v>
      </c>
      <c r="AF249" s="492" t="s">
        <v>2054</v>
      </c>
      <c r="AG249" s="492" t="s">
        <v>34</v>
      </c>
      <c r="AH249" s="492" t="s">
        <v>34</v>
      </c>
      <c r="AI249" s="492" t="s">
        <v>34</v>
      </c>
      <c r="AJ249" s="492" t="s">
        <v>34</v>
      </c>
      <c r="AK249" s="492" t="s">
        <v>832</v>
      </c>
      <c r="AL249" s="492" t="s">
        <v>34</v>
      </c>
      <c r="AM249" s="61" t="s">
        <v>3443</v>
      </c>
      <c r="AN249" s="490">
        <v>0</v>
      </c>
      <c r="AO249" s="490">
        <v>0</v>
      </c>
      <c r="AP249" s="61"/>
    </row>
    <row r="250" spans="1:42" x14ac:dyDescent="0.2">
      <c r="A250" s="61">
        <v>249</v>
      </c>
      <c r="B250" s="491" t="s">
        <v>426</v>
      </c>
      <c r="C250" s="492" t="s">
        <v>3087</v>
      </c>
      <c r="D250" s="492" t="s">
        <v>3088</v>
      </c>
      <c r="E250" s="492" t="s">
        <v>1683</v>
      </c>
      <c r="F250" s="492" t="s">
        <v>769</v>
      </c>
      <c r="G250" s="492" t="s">
        <v>34</v>
      </c>
      <c r="H250" s="492" t="s">
        <v>835</v>
      </c>
      <c r="I250" s="492" t="s">
        <v>4270</v>
      </c>
      <c r="J250" s="492" t="s">
        <v>613</v>
      </c>
      <c r="K250" s="492" t="s">
        <v>3032</v>
      </c>
      <c r="L250" s="492" t="s">
        <v>1157</v>
      </c>
      <c r="M250" s="493" t="s">
        <v>3027</v>
      </c>
      <c r="N250" s="492" t="s">
        <v>3089</v>
      </c>
      <c r="O250" s="492" t="s">
        <v>305</v>
      </c>
      <c r="P250" s="492" t="s">
        <v>3028</v>
      </c>
      <c r="Q250" s="492" t="s">
        <v>3028</v>
      </c>
      <c r="R250" s="492" t="s">
        <v>828</v>
      </c>
      <c r="S250" s="492" t="s">
        <v>3029</v>
      </c>
      <c r="T250" s="492">
        <v>2380</v>
      </c>
      <c r="U250" s="492" t="s">
        <v>858</v>
      </c>
      <c r="V250" s="492" t="s">
        <v>1160</v>
      </c>
      <c r="W250" s="492">
        <v>23131</v>
      </c>
      <c r="X250" s="492" t="s">
        <v>1445</v>
      </c>
      <c r="Y250" s="492" t="s">
        <v>108</v>
      </c>
      <c r="Z250" s="492" t="s">
        <v>3030</v>
      </c>
      <c r="AA250" s="492" t="s">
        <v>108</v>
      </c>
      <c r="AB250" s="492" t="s">
        <v>3031</v>
      </c>
      <c r="AC250" s="492" t="s">
        <v>830</v>
      </c>
      <c r="AD250" s="492" t="s">
        <v>831</v>
      </c>
      <c r="AE250" s="492" t="s">
        <v>612</v>
      </c>
      <c r="AF250" s="492" t="s">
        <v>2054</v>
      </c>
      <c r="AG250" s="492" t="s">
        <v>34</v>
      </c>
      <c r="AH250" s="492" t="s">
        <v>34</v>
      </c>
      <c r="AI250" s="492" t="s">
        <v>34</v>
      </c>
      <c r="AJ250" s="492" t="s">
        <v>34</v>
      </c>
      <c r="AK250" s="492" t="s">
        <v>832</v>
      </c>
      <c r="AL250" s="492" t="s">
        <v>34</v>
      </c>
      <c r="AM250" s="61" t="s">
        <v>3443</v>
      </c>
      <c r="AN250" s="490">
        <v>0</v>
      </c>
      <c r="AO250" s="490">
        <v>0</v>
      </c>
      <c r="AP250" s="61"/>
    </row>
    <row r="251" spans="1:42" x14ac:dyDescent="0.2">
      <c r="A251" s="61">
        <v>250</v>
      </c>
      <c r="B251" s="491" t="s">
        <v>426</v>
      </c>
      <c r="C251" s="492" t="s">
        <v>430</v>
      </c>
      <c r="D251" s="492" t="s">
        <v>2944</v>
      </c>
      <c r="E251" s="492" t="s">
        <v>1683</v>
      </c>
      <c r="F251" s="492" t="s">
        <v>769</v>
      </c>
      <c r="G251" s="492" t="s">
        <v>34</v>
      </c>
      <c r="H251" s="492" t="s">
        <v>835</v>
      </c>
      <c r="I251" s="492" t="s">
        <v>4270</v>
      </c>
      <c r="J251" s="492" t="s">
        <v>1447</v>
      </c>
      <c r="K251" s="492" t="s">
        <v>2945</v>
      </c>
      <c r="L251" s="492" t="s">
        <v>1702</v>
      </c>
      <c r="M251" s="493" t="s">
        <v>2945</v>
      </c>
      <c r="N251" s="492" t="s">
        <v>430</v>
      </c>
      <c r="O251" s="492" t="s">
        <v>1106</v>
      </c>
      <c r="P251" s="492" t="s">
        <v>2946</v>
      </c>
      <c r="Q251" s="492" t="s">
        <v>827</v>
      </c>
      <c r="R251" s="492" t="s">
        <v>1002</v>
      </c>
      <c r="S251" s="492" t="s">
        <v>2947</v>
      </c>
      <c r="T251" s="492">
        <v>1296</v>
      </c>
      <c r="U251" s="492" t="s">
        <v>858</v>
      </c>
      <c r="V251" s="492" t="s">
        <v>2948</v>
      </c>
      <c r="W251" s="492" t="s">
        <v>2949</v>
      </c>
      <c r="X251" s="492" t="s">
        <v>829</v>
      </c>
      <c r="Y251" s="492" t="s">
        <v>1174</v>
      </c>
      <c r="Z251" s="492" t="s">
        <v>2950</v>
      </c>
      <c r="AA251" s="492" t="s">
        <v>829</v>
      </c>
      <c r="AB251" s="492" t="s">
        <v>34</v>
      </c>
      <c r="AC251" s="492" t="s">
        <v>830</v>
      </c>
      <c r="AD251" s="492" t="s">
        <v>831</v>
      </c>
      <c r="AE251" s="492" t="s">
        <v>612</v>
      </c>
      <c r="AF251" s="492">
        <v>4</v>
      </c>
      <c r="AG251" s="492">
        <v>0.5</v>
      </c>
      <c r="AH251" s="492">
        <v>1</v>
      </c>
      <c r="AI251" s="492" t="s">
        <v>2951</v>
      </c>
      <c r="AJ251" s="492" t="s">
        <v>2952</v>
      </c>
      <c r="AK251" s="492" t="s">
        <v>832</v>
      </c>
      <c r="AL251" s="492" t="s">
        <v>34</v>
      </c>
      <c r="AM251" s="61" t="s">
        <v>3441</v>
      </c>
      <c r="AN251" s="490">
        <v>0</v>
      </c>
      <c r="AO251" s="490">
        <v>0</v>
      </c>
      <c r="AP251" s="61"/>
    </row>
    <row r="252" spans="1:42" x14ac:dyDescent="0.2">
      <c r="A252" s="61">
        <v>251</v>
      </c>
      <c r="B252" s="491" t="s">
        <v>426</v>
      </c>
      <c r="C252" s="492" t="s">
        <v>428</v>
      </c>
      <c r="D252" s="492" t="s">
        <v>2782</v>
      </c>
      <c r="E252" s="492" t="s">
        <v>1683</v>
      </c>
      <c r="F252" s="492" t="s">
        <v>769</v>
      </c>
      <c r="G252" s="492" t="s">
        <v>34</v>
      </c>
      <c r="H252" s="492" t="s">
        <v>835</v>
      </c>
      <c r="I252" s="492" t="s">
        <v>4270</v>
      </c>
      <c r="J252" s="492" t="s">
        <v>1447</v>
      </c>
      <c r="K252" s="492" t="s">
        <v>1714</v>
      </c>
      <c r="L252" s="492" t="s">
        <v>108</v>
      </c>
      <c r="M252" s="493">
        <v>260</v>
      </c>
      <c r="N252" s="492" t="s">
        <v>428</v>
      </c>
      <c r="O252" s="492" t="s">
        <v>3222</v>
      </c>
      <c r="P252" s="492" t="s">
        <v>1715</v>
      </c>
      <c r="Q252" s="492" t="s">
        <v>827</v>
      </c>
      <c r="R252" s="492" t="s">
        <v>892</v>
      </c>
      <c r="S252" s="492" t="s">
        <v>1716</v>
      </c>
      <c r="T252" s="492">
        <v>675</v>
      </c>
      <c r="U252" s="492" t="s">
        <v>857</v>
      </c>
      <c r="V252" s="492" t="s">
        <v>1717</v>
      </c>
      <c r="W252" s="492">
        <v>261</v>
      </c>
      <c r="X252" s="492" t="s">
        <v>1718</v>
      </c>
      <c r="Y252" s="492" t="s">
        <v>1719</v>
      </c>
      <c r="Z252" s="492">
        <v>259</v>
      </c>
      <c r="AA252" s="492" t="s">
        <v>829</v>
      </c>
      <c r="AB252" s="492" t="s">
        <v>3039</v>
      </c>
      <c r="AC252" s="492" t="s">
        <v>830</v>
      </c>
      <c r="AD252" s="492" t="s">
        <v>831</v>
      </c>
      <c r="AE252" s="492" t="s">
        <v>612</v>
      </c>
      <c r="AF252" s="492" t="s">
        <v>2054</v>
      </c>
      <c r="AG252" s="492" t="s">
        <v>34</v>
      </c>
      <c r="AH252" s="492" t="s">
        <v>34</v>
      </c>
      <c r="AI252" s="492" t="s">
        <v>34</v>
      </c>
      <c r="AJ252" s="492" t="s">
        <v>34</v>
      </c>
      <c r="AK252" s="492" t="s">
        <v>832</v>
      </c>
      <c r="AL252" s="492" t="s">
        <v>34</v>
      </c>
      <c r="AM252" s="61" t="s">
        <v>3444</v>
      </c>
      <c r="AN252" s="490">
        <v>0</v>
      </c>
      <c r="AO252" s="490">
        <v>0</v>
      </c>
      <c r="AP252" s="61"/>
    </row>
    <row r="253" spans="1:42" x14ac:dyDescent="0.2">
      <c r="A253" s="61">
        <v>252</v>
      </c>
      <c r="B253" s="491" t="s">
        <v>426</v>
      </c>
      <c r="C253" s="492" t="s">
        <v>429</v>
      </c>
      <c r="D253" s="492" t="s">
        <v>2783</v>
      </c>
      <c r="E253" s="492" t="s">
        <v>1683</v>
      </c>
      <c r="F253" s="492" t="s">
        <v>769</v>
      </c>
      <c r="G253" s="492" t="s">
        <v>34</v>
      </c>
      <c r="H253" s="492" t="s">
        <v>835</v>
      </c>
      <c r="I253" s="492" t="s">
        <v>2522</v>
      </c>
      <c r="J253" s="492" t="s">
        <v>1103</v>
      </c>
      <c r="K253" s="492" t="s">
        <v>366</v>
      </c>
      <c r="L253" s="492" t="s">
        <v>1703</v>
      </c>
      <c r="M253" s="493">
        <v>98</v>
      </c>
      <c r="N253" s="492" t="s">
        <v>429</v>
      </c>
      <c r="O253" s="492" t="s">
        <v>305</v>
      </c>
      <c r="P253" s="492" t="s">
        <v>1569</v>
      </c>
      <c r="Q253" s="492" t="s">
        <v>827</v>
      </c>
      <c r="R253" s="492" t="s">
        <v>828</v>
      </c>
      <c r="S253" s="492" t="s">
        <v>1704</v>
      </c>
      <c r="T253" s="492">
        <v>4752</v>
      </c>
      <c r="U253" s="492" t="s">
        <v>858</v>
      </c>
      <c r="V253" s="492" t="s">
        <v>3158</v>
      </c>
      <c r="W253" s="492" t="s">
        <v>1705</v>
      </c>
      <c r="X253" s="492" t="s">
        <v>829</v>
      </c>
      <c r="Y253" s="492" t="s">
        <v>1651</v>
      </c>
      <c r="Z253" s="492" t="s">
        <v>1706</v>
      </c>
      <c r="AA253" s="492" t="s">
        <v>3172</v>
      </c>
      <c r="AB253" s="492" t="s">
        <v>3159</v>
      </c>
      <c r="AC253" s="492" t="s">
        <v>830</v>
      </c>
      <c r="AD253" s="492" t="s">
        <v>831</v>
      </c>
      <c r="AE253" s="492" t="s">
        <v>612</v>
      </c>
      <c r="AF253" s="492" t="s">
        <v>2054</v>
      </c>
      <c r="AG253" s="492" t="s">
        <v>34</v>
      </c>
      <c r="AH253" s="492" t="s">
        <v>34</v>
      </c>
      <c r="AI253" s="492" t="s">
        <v>34</v>
      </c>
      <c r="AJ253" s="492" t="s">
        <v>34</v>
      </c>
      <c r="AK253" s="492" t="s">
        <v>832</v>
      </c>
      <c r="AL253" s="492" t="s">
        <v>34</v>
      </c>
      <c r="AM253" s="61" t="s">
        <v>3443</v>
      </c>
      <c r="AN253" s="490">
        <v>0</v>
      </c>
      <c r="AO253" s="490">
        <v>0</v>
      </c>
      <c r="AP253" s="61"/>
    </row>
    <row r="254" spans="1:42" x14ac:dyDescent="0.2">
      <c r="A254" s="61">
        <v>253</v>
      </c>
      <c r="B254" s="491" t="s">
        <v>426</v>
      </c>
      <c r="C254" s="492" t="s">
        <v>427</v>
      </c>
      <c r="D254" s="492" t="s">
        <v>2784</v>
      </c>
      <c r="E254" s="492" t="s">
        <v>1683</v>
      </c>
      <c r="F254" s="492" t="s">
        <v>769</v>
      </c>
      <c r="G254" s="492" t="s">
        <v>34</v>
      </c>
      <c r="H254" s="492" t="s">
        <v>835</v>
      </c>
      <c r="I254" s="492" t="s">
        <v>4270</v>
      </c>
      <c r="J254" s="492" t="s">
        <v>1447</v>
      </c>
      <c r="K254" s="492" t="s">
        <v>366</v>
      </c>
      <c r="L254" s="492" t="s">
        <v>1157</v>
      </c>
      <c r="M254" s="493" t="s">
        <v>1707</v>
      </c>
      <c r="N254" s="492" t="s">
        <v>427</v>
      </c>
      <c r="O254" s="492" t="s">
        <v>305</v>
      </c>
      <c r="P254" s="492" t="s">
        <v>1152</v>
      </c>
      <c r="Q254" s="492" t="s">
        <v>827</v>
      </c>
      <c r="R254" s="492" t="s">
        <v>828</v>
      </c>
      <c r="S254" s="492" t="s">
        <v>1708</v>
      </c>
      <c r="T254" s="492">
        <v>2928</v>
      </c>
      <c r="U254" s="492" t="s">
        <v>858</v>
      </c>
      <c r="V254" s="492" t="s">
        <v>1160</v>
      </c>
      <c r="W254" s="492">
        <v>43144</v>
      </c>
      <c r="X254" s="492" t="s">
        <v>1445</v>
      </c>
      <c r="Y254" s="492" t="s">
        <v>1651</v>
      </c>
      <c r="Z254" s="492" t="s">
        <v>1706</v>
      </c>
      <c r="AA254" s="492" t="s">
        <v>965</v>
      </c>
      <c r="AB254" s="492" t="s">
        <v>3391</v>
      </c>
      <c r="AC254" s="492" t="s">
        <v>830</v>
      </c>
      <c r="AD254" s="492" t="s">
        <v>831</v>
      </c>
      <c r="AE254" s="492" t="s">
        <v>612</v>
      </c>
      <c r="AF254" s="492" t="s">
        <v>2054</v>
      </c>
      <c r="AG254" s="492" t="s">
        <v>34</v>
      </c>
      <c r="AH254" s="492" t="s">
        <v>34</v>
      </c>
      <c r="AI254" s="492" t="s">
        <v>34</v>
      </c>
      <c r="AJ254" s="492" t="s">
        <v>34</v>
      </c>
      <c r="AK254" s="492" t="s">
        <v>832</v>
      </c>
      <c r="AL254" s="492" t="s">
        <v>34</v>
      </c>
      <c r="AM254" s="61" t="s">
        <v>3443</v>
      </c>
      <c r="AN254" s="490">
        <v>0</v>
      </c>
      <c r="AO254" s="490">
        <v>0</v>
      </c>
      <c r="AP254" s="61"/>
    </row>
    <row r="255" spans="1:42" x14ac:dyDescent="0.2">
      <c r="A255" s="61">
        <v>254</v>
      </c>
      <c r="B255" s="491" t="s">
        <v>426</v>
      </c>
      <c r="C255" s="492" t="s">
        <v>3237</v>
      </c>
      <c r="D255" s="492" t="s">
        <v>3238</v>
      </c>
      <c r="E255" s="492" t="s">
        <v>1683</v>
      </c>
      <c r="F255" s="492" t="s">
        <v>769</v>
      </c>
      <c r="G255" s="492" t="s">
        <v>34</v>
      </c>
      <c r="H255" s="492" t="s">
        <v>835</v>
      </c>
      <c r="I255" s="492" t="s">
        <v>4270</v>
      </c>
      <c r="J255" s="492" t="s">
        <v>1447</v>
      </c>
      <c r="K255" s="492" t="s">
        <v>3239</v>
      </c>
      <c r="L255" s="492" t="s">
        <v>1702</v>
      </c>
      <c r="M255" s="493">
        <v>1605</v>
      </c>
      <c r="N255" s="492" t="s">
        <v>3237</v>
      </c>
      <c r="O255" s="492" t="s">
        <v>1106</v>
      </c>
      <c r="P255" s="492" t="s">
        <v>1709</v>
      </c>
      <c r="Q255" s="492" t="s">
        <v>827</v>
      </c>
      <c r="R255" s="492" t="s">
        <v>1002</v>
      </c>
      <c r="S255" s="492" t="s">
        <v>1710</v>
      </c>
      <c r="T255" s="492">
        <v>2320</v>
      </c>
      <c r="U255" s="492" t="s">
        <v>858</v>
      </c>
      <c r="V255" s="492" t="s">
        <v>1711</v>
      </c>
      <c r="W255" s="492" t="s">
        <v>1712</v>
      </c>
      <c r="X255" s="492" t="s">
        <v>829</v>
      </c>
      <c r="Y255" s="492" t="s">
        <v>1010</v>
      </c>
      <c r="Z255" s="492" t="s">
        <v>1713</v>
      </c>
      <c r="AA255" s="492" t="s">
        <v>829</v>
      </c>
      <c r="AB255" s="492" t="s">
        <v>34</v>
      </c>
      <c r="AC255" s="492" t="s">
        <v>830</v>
      </c>
      <c r="AD255" s="492" t="s">
        <v>831</v>
      </c>
      <c r="AE255" s="492" t="s">
        <v>612</v>
      </c>
      <c r="AF255" s="492">
        <v>4</v>
      </c>
      <c r="AG255" s="492">
        <v>0.5</v>
      </c>
      <c r="AH255" s="492">
        <v>1</v>
      </c>
      <c r="AI255" s="492" t="s">
        <v>2579</v>
      </c>
      <c r="AJ255" s="492" t="s">
        <v>2542</v>
      </c>
      <c r="AK255" s="492" t="s">
        <v>832</v>
      </c>
      <c r="AL255" s="492" t="s">
        <v>34</v>
      </c>
      <c r="AM255" s="61" t="s">
        <v>3443</v>
      </c>
      <c r="AN255" s="490">
        <v>0</v>
      </c>
      <c r="AO255" s="490">
        <v>0</v>
      </c>
      <c r="AP255" s="61"/>
    </row>
    <row r="256" spans="1:42" x14ac:dyDescent="0.2">
      <c r="A256" s="61">
        <v>255</v>
      </c>
      <c r="B256" s="491" t="s">
        <v>426</v>
      </c>
      <c r="C256" s="492" t="s">
        <v>3743</v>
      </c>
      <c r="D256" s="492" t="s">
        <v>3744</v>
      </c>
      <c r="E256" s="492" t="s">
        <v>1683</v>
      </c>
      <c r="F256" s="492" t="s">
        <v>769</v>
      </c>
      <c r="G256" s="492" t="s">
        <v>34</v>
      </c>
      <c r="H256" s="492" t="s">
        <v>835</v>
      </c>
      <c r="I256" s="492" t="s">
        <v>4270</v>
      </c>
      <c r="J256" s="492" t="s">
        <v>1447</v>
      </c>
      <c r="K256" s="492" t="s">
        <v>3743</v>
      </c>
      <c r="L256" s="492" t="s">
        <v>1702</v>
      </c>
      <c r="M256" s="493">
        <v>1605</v>
      </c>
      <c r="N256" s="492" t="s">
        <v>3745</v>
      </c>
      <c r="O256" s="492" t="s">
        <v>3222</v>
      </c>
      <c r="P256" s="492" t="s">
        <v>1715</v>
      </c>
      <c r="Q256" s="492" t="s">
        <v>827</v>
      </c>
      <c r="R256" s="492" t="s">
        <v>1002</v>
      </c>
      <c r="S256" s="492" t="s">
        <v>1710</v>
      </c>
      <c r="T256" s="492">
        <v>2320</v>
      </c>
      <c r="U256" s="492" t="s">
        <v>857</v>
      </c>
      <c r="V256" s="492" t="s">
        <v>1711</v>
      </c>
      <c r="W256" s="492" t="s">
        <v>1712</v>
      </c>
      <c r="X256" s="492" t="s">
        <v>829</v>
      </c>
      <c r="Y256" s="492" t="s">
        <v>1010</v>
      </c>
      <c r="Z256" s="492" t="s">
        <v>1713</v>
      </c>
      <c r="AA256" s="492" t="s">
        <v>829</v>
      </c>
      <c r="AB256" s="492" t="s">
        <v>34</v>
      </c>
      <c r="AC256" s="492" t="s">
        <v>830</v>
      </c>
      <c r="AD256" s="492" t="s">
        <v>831</v>
      </c>
      <c r="AE256" s="492" t="s">
        <v>612</v>
      </c>
      <c r="AF256" s="492">
        <v>4</v>
      </c>
      <c r="AG256" s="492">
        <v>0.5</v>
      </c>
      <c r="AH256" s="492">
        <v>1</v>
      </c>
      <c r="AI256" s="492" t="s">
        <v>2579</v>
      </c>
      <c r="AJ256" s="492" t="s">
        <v>2542</v>
      </c>
      <c r="AK256" s="492" t="s">
        <v>832</v>
      </c>
      <c r="AL256" s="492" t="s">
        <v>34</v>
      </c>
      <c r="AM256" s="61" t="s">
        <v>3443</v>
      </c>
      <c r="AN256" s="490"/>
      <c r="AO256" s="490"/>
      <c r="AP256" s="61"/>
    </row>
    <row r="257" spans="1:42" x14ac:dyDescent="0.2">
      <c r="A257" s="61">
        <v>256</v>
      </c>
      <c r="B257" s="491" t="s">
        <v>426</v>
      </c>
      <c r="C257" s="492" t="s">
        <v>432</v>
      </c>
      <c r="D257" s="492" t="s">
        <v>2785</v>
      </c>
      <c r="E257" s="492" t="s">
        <v>1683</v>
      </c>
      <c r="F257" s="492" t="s">
        <v>769</v>
      </c>
      <c r="G257" s="492" t="s">
        <v>34</v>
      </c>
      <c r="H257" s="492" t="s">
        <v>835</v>
      </c>
      <c r="I257" s="492" t="s">
        <v>4270</v>
      </c>
      <c r="J257" s="492" t="s">
        <v>1447</v>
      </c>
      <c r="K257" s="492" t="s">
        <v>1690</v>
      </c>
      <c r="L257" s="492" t="s">
        <v>1176</v>
      </c>
      <c r="M257" s="493">
        <v>156</v>
      </c>
      <c r="N257" s="492" t="s">
        <v>432</v>
      </c>
      <c r="O257" s="492" t="s">
        <v>305</v>
      </c>
      <c r="P257" s="492" t="s">
        <v>1691</v>
      </c>
      <c r="Q257" s="492" t="s">
        <v>908</v>
      </c>
      <c r="R257" s="492" t="s">
        <v>892</v>
      </c>
      <c r="S257" s="492" t="s">
        <v>1686</v>
      </c>
      <c r="T257" s="492">
        <v>750</v>
      </c>
      <c r="U257" s="492" t="s">
        <v>687</v>
      </c>
      <c r="V257" s="492" t="s">
        <v>1692</v>
      </c>
      <c r="W257" s="492" t="s">
        <v>1693</v>
      </c>
      <c r="X257" s="492" t="s">
        <v>829</v>
      </c>
      <c r="Y257" s="492" t="s">
        <v>1174</v>
      </c>
      <c r="Z257" s="492" t="s">
        <v>1694</v>
      </c>
      <c r="AA257" s="492" t="s">
        <v>968</v>
      </c>
      <c r="AB257" s="492" t="s">
        <v>1695</v>
      </c>
      <c r="AC257" s="492" t="s">
        <v>830</v>
      </c>
      <c r="AD257" s="492" t="s">
        <v>831</v>
      </c>
      <c r="AE257" s="492" t="s">
        <v>612</v>
      </c>
      <c r="AF257" s="492" t="s">
        <v>2054</v>
      </c>
      <c r="AG257" s="492" t="s">
        <v>34</v>
      </c>
      <c r="AH257" s="492" t="s">
        <v>34</v>
      </c>
      <c r="AI257" s="492" t="s">
        <v>34</v>
      </c>
      <c r="AJ257" s="492" t="s">
        <v>34</v>
      </c>
      <c r="AK257" s="492" t="s">
        <v>832</v>
      </c>
      <c r="AL257" s="492" t="s">
        <v>34</v>
      </c>
      <c r="AM257" s="61" t="s">
        <v>3441</v>
      </c>
      <c r="AN257" s="490">
        <v>0</v>
      </c>
      <c r="AO257" s="490">
        <v>0</v>
      </c>
      <c r="AP257" s="61"/>
    </row>
    <row r="258" spans="1:42" x14ac:dyDescent="0.2">
      <c r="A258" s="61">
        <v>257</v>
      </c>
      <c r="B258" s="491" t="s">
        <v>426</v>
      </c>
      <c r="C258" s="492" t="s">
        <v>433</v>
      </c>
      <c r="D258" s="492" t="s">
        <v>2786</v>
      </c>
      <c r="E258" s="492" t="s">
        <v>1683</v>
      </c>
      <c r="F258" s="492" t="s">
        <v>769</v>
      </c>
      <c r="G258" s="492" t="s">
        <v>34</v>
      </c>
      <c r="H258" s="492" t="s">
        <v>835</v>
      </c>
      <c r="I258" s="492" t="s">
        <v>4270</v>
      </c>
      <c r="J258" s="492" t="s">
        <v>1447</v>
      </c>
      <c r="K258" s="492" t="s">
        <v>1684</v>
      </c>
      <c r="L258" s="492" t="s">
        <v>1176</v>
      </c>
      <c r="M258" s="493">
        <v>208</v>
      </c>
      <c r="N258" s="492" t="s">
        <v>433</v>
      </c>
      <c r="O258" s="492" t="s">
        <v>305</v>
      </c>
      <c r="P258" s="492" t="s">
        <v>1685</v>
      </c>
      <c r="Q258" s="492" t="s">
        <v>908</v>
      </c>
      <c r="R258" s="492" t="s">
        <v>892</v>
      </c>
      <c r="S258" s="492" t="s">
        <v>1686</v>
      </c>
      <c r="T258" s="492">
        <v>750</v>
      </c>
      <c r="U258" s="492" t="s">
        <v>687</v>
      </c>
      <c r="V258" s="492" t="s">
        <v>1687</v>
      </c>
      <c r="W258" s="492">
        <v>16416124</v>
      </c>
      <c r="X258" s="492" t="s">
        <v>829</v>
      </c>
      <c r="Y258" s="492" t="s">
        <v>1688</v>
      </c>
      <c r="Z258" s="492" t="s">
        <v>1689</v>
      </c>
      <c r="AA258" s="492" t="s">
        <v>829</v>
      </c>
      <c r="AB258" s="492" t="s">
        <v>34</v>
      </c>
      <c r="AC258" s="492" t="s">
        <v>830</v>
      </c>
      <c r="AD258" s="492" t="s">
        <v>831</v>
      </c>
      <c r="AE258" s="492" t="s">
        <v>612</v>
      </c>
      <c r="AF258" s="492" t="s">
        <v>2054</v>
      </c>
      <c r="AG258" s="492" t="s">
        <v>34</v>
      </c>
      <c r="AH258" s="492" t="s">
        <v>34</v>
      </c>
      <c r="AI258" s="492" t="s">
        <v>34</v>
      </c>
      <c r="AJ258" s="492" t="s">
        <v>34</v>
      </c>
      <c r="AK258" s="492" t="s">
        <v>832</v>
      </c>
      <c r="AL258" s="492" t="s">
        <v>34</v>
      </c>
      <c r="AM258" s="61" t="s">
        <v>3441</v>
      </c>
      <c r="AN258" s="490">
        <v>0</v>
      </c>
      <c r="AO258" s="490">
        <v>0</v>
      </c>
      <c r="AP258" s="61"/>
    </row>
    <row r="259" spans="1:42" x14ac:dyDescent="0.2">
      <c r="A259" s="61">
        <v>258</v>
      </c>
      <c r="B259" s="491" t="s">
        <v>426</v>
      </c>
      <c r="C259" s="492" t="s">
        <v>3623</v>
      </c>
      <c r="D259" s="492" t="s">
        <v>3624</v>
      </c>
      <c r="E259" s="492" t="s">
        <v>1683</v>
      </c>
      <c r="F259" s="492" t="s">
        <v>769</v>
      </c>
      <c r="G259" s="492" t="s">
        <v>34</v>
      </c>
      <c r="H259" s="492" t="s">
        <v>835</v>
      </c>
      <c r="I259" s="492" t="s">
        <v>4270</v>
      </c>
      <c r="J259" s="492" t="s">
        <v>1447</v>
      </c>
      <c r="K259" s="492" t="s">
        <v>3623</v>
      </c>
      <c r="L259" s="492" t="s">
        <v>962</v>
      </c>
      <c r="M259" s="493" t="s">
        <v>3625</v>
      </c>
      <c r="N259" s="492" t="s">
        <v>3626</v>
      </c>
      <c r="O259" s="492" t="s">
        <v>305</v>
      </c>
      <c r="P259" s="492" t="s">
        <v>1685</v>
      </c>
      <c r="Q259" s="492" t="s">
        <v>908</v>
      </c>
      <c r="R259" s="492" t="s">
        <v>828</v>
      </c>
      <c r="S259" s="492" t="s">
        <v>1245</v>
      </c>
      <c r="T259" s="492">
        <v>1473.8</v>
      </c>
      <c r="U259" s="492" t="s">
        <v>687</v>
      </c>
      <c r="V259" s="492" t="s">
        <v>3627</v>
      </c>
      <c r="W259" s="492" t="s">
        <v>3628</v>
      </c>
      <c r="X259" s="492" t="s">
        <v>829</v>
      </c>
      <c r="Y259" s="492" t="s">
        <v>108</v>
      </c>
      <c r="Z259" s="492" t="s">
        <v>108</v>
      </c>
      <c r="AA259" s="492" t="s">
        <v>108</v>
      </c>
      <c r="AB259" s="492" t="s">
        <v>34</v>
      </c>
      <c r="AC259" s="492" t="s">
        <v>830</v>
      </c>
      <c r="AD259" s="492" t="s">
        <v>3266</v>
      </c>
      <c r="AE259" s="492" t="s">
        <v>612</v>
      </c>
      <c r="AF259" s="492" t="s">
        <v>2054</v>
      </c>
      <c r="AG259" s="492" t="s">
        <v>34</v>
      </c>
      <c r="AH259" s="492" t="s">
        <v>34</v>
      </c>
      <c r="AI259" s="492" t="s">
        <v>34</v>
      </c>
      <c r="AJ259" s="492" t="s">
        <v>34</v>
      </c>
      <c r="AK259" s="492" t="s">
        <v>832</v>
      </c>
      <c r="AL259" s="492" t="s">
        <v>34</v>
      </c>
      <c r="AM259" s="61" t="s">
        <v>3441</v>
      </c>
      <c r="AN259" s="490"/>
      <c r="AO259" s="490"/>
      <c r="AP259" s="61"/>
    </row>
    <row r="260" spans="1:42" x14ac:dyDescent="0.2">
      <c r="A260" s="61">
        <v>259</v>
      </c>
      <c r="B260" s="491" t="s">
        <v>426</v>
      </c>
      <c r="C260" s="492" t="s">
        <v>3260</v>
      </c>
      <c r="D260" s="492" t="s">
        <v>3261</v>
      </c>
      <c r="E260" s="492" t="s">
        <v>1683</v>
      </c>
      <c r="F260" s="492" t="s">
        <v>769</v>
      </c>
      <c r="G260" s="492" t="s">
        <v>34</v>
      </c>
      <c r="H260" s="492" t="s">
        <v>835</v>
      </c>
      <c r="I260" s="492" t="s">
        <v>4270</v>
      </c>
      <c r="J260" s="492" t="s">
        <v>1447</v>
      </c>
      <c r="K260" s="492" t="s">
        <v>3260</v>
      </c>
      <c r="L260" s="492" t="s">
        <v>962</v>
      </c>
      <c r="M260" s="493" t="s">
        <v>3262</v>
      </c>
      <c r="N260" s="492">
        <v>326</v>
      </c>
      <c r="O260" s="492" t="s">
        <v>305</v>
      </c>
      <c r="P260" s="492" t="s">
        <v>1685</v>
      </c>
      <c r="Q260" s="492" t="s">
        <v>908</v>
      </c>
      <c r="R260" s="492" t="s">
        <v>828</v>
      </c>
      <c r="S260" s="492" t="s">
        <v>3263</v>
      </c>
      <c r="T260" s="492">
        <v>1474</v>
      </c>
      <c r="U260" s="492" t="s">
        <v>687</v>
      </c>
      <c r="V260" s="492" t="s">
        <v>3264</v>
      </c>
      <c r="W260" s="492" t="s">
        <v>3265</v>
      </c>
      <c r="X260" s="492" t="s">
        <v>829</v>
      </c>
      <c r="Y260" s="492" t="s">
        <v>108</v>
      </c>
      <c r="Z260" s="492" t="s">
        <v>108</v>
      </c>
      <c r="AA260" s="492" t="s">
        <v>108</v>
      </c>
      <c r="AB260" s="492" t="s">
        <v>34</v>
      </c>
      <c r="AC260" s="492" t="s">
        <v>830</v>
      </c>
      <c r="AD260" s="492" t="s">
        <v>3266</v>
      </c>
      <c r="AE260" s="492" t="s">
        <v>612</v>
      </c>
      <c r="AF260" s="492" t="s">
        <v>2054</v>
      </c>
      <c r="AG260" s="492" t="s">
        <v>34</v>
      </c>
      <c r="AH260" s="492" t="s">
        <v>34</v>
      </c>
      <c r="AI260" s="492" t="s">
        <v>34</v>
      </c>
      <c r="AJ260" s="492" t="s">
        <v>34</v>
      </c>
      <c r="AK260" s="492" t="s">
        <v>832</v>
      </c>
      <c r="AL260" s="492" t="s">
        <v>34</v>
      </c>
      <c r="AM260" s="61" t="s">
        <v>3441</v>
      </c>
      <c r="AN260" s="490">
        <v>0</v>
      </c>
      <c r="AO260" s="490">
        <v>0</v>
      </c>
      <c r="AP260" s="61"/>
    </row>
    <row r="261" spans="1:42" x14ac:dyDescent="0.2">
      <c r="A261" s="61">
        <v>260</v>
      </c>
      <c r="B261" s="491" t="s">
        <v>3059</v>
      </c>
      <c r="C261" s="492" t="s">
        <v>3060</v>
      </c>
      <c r="D261" s="492" t="s">
        <v>3061</v>
      </c>
      <c r="E261" s="492" t="s">
        <v>3062</v>
      </c>
      <c r="F261" s="492" t="s">
        <v>3063</v>
      </c>
      <c r="G261" s="492" t="s">
        <v>34</v>
      </c>
      <c r="H261" s="492" t="s">
        <v>835</v>
      </c>
      <c r="I261" s="492" t="s">
        <v>4270</v>
      </c>
      <c r="J261" s="492" t="s">
        <v>613</v>
      </c>
      <c r="K261" s="492" t="s">
        <v>3064</v>
      </c>
      <c r="L261" s="492" t="s">
        <v>950</v>
      </c>
      <c r="M261" s="493" t="s">
        <v>3060</v>
      </c>
      <c r="N261" s="492" t="s">
        <v>3060</v>
      </c>
      <c r="O261" s="492" t="s">
        <v>3065</v>
      </c>
      <c r="P261" s="492" t="s">
        <v>1166</v>
      </c>
      <c r="Q261" s="492" t="s">
        <v>3066</v>
      </c>
      <c r="R261" s="492" t="s">
        <v>3067</v>
      </c>
      <c r="S261" s="492" t="s">
        <v>3068</v>
      </c>
      <c r="T261" s="492">
        <v>52</v>
      </c>
      <c r="U261" s="492" t="s">
        <v>687</v>
      </c>
      <c r="V261" s="492" t="s">
        <v>3171</v>
      </c>
      <c r="W261" s="492" t="s">
        <v>3565</v>
      </c>
      <c r="X261" s="492" t="s">
        <v>829</v>
      </c>
      <c r="Y261" s="492" t="s">
        <v>108</v>
      </c>
      <c r="Z261" s="492" t="s">
        <v>108</v>
      </c>
      <c r="AA261" s="492" t="s">
        <v>108</v>
      </c>
      <c r="AB261" s="492" t="s">
        <v>34</v>
      </c>
      <c r="AC261" s="492" t="s">
        <v>830</v>
      </c>
      <c r="AD261" s="492" t="s">
        <v>3021</v>
      </c>
      <c r="AE261" s="492" t="s">
        <v>612</v>
      </c>
      <c r="AF261" s="492" t="s">
        <v>2054</v>
      </c>
      <c r="AG261" s="492"/>
      <c r="AH261" s="492"/>
      <c r="AI261" s="492" t="s">
        <v>34</v>
      </c>
      <c r="AJ261" s="492" t="s">
        <v>34</v>
      </c>
      <c r="AK261" s="492" t="s">
        <v>832</v>
      </c>
      <c r="AL261" s="492" t="s">
        <v>34</v>
      </c>
      <c r="AM261" s="61" t="s">
        <v>3444</v>
      </c>
      <c r="AN261" s="490">
        <v>0</v>
      </c>
      <c r="AO261" s="490">
        <v>0</v>
      </c>
      <c r="AP261" s="61"/>
    </row>
    <row r="262" spans="1:42" x14ac:dyDescent="0.2">
      <c r="A262" s="61">
        <v>261</v>
      </c>
      <c r="B262" s="491" t="s">
        <v>1720</v>
      </c>
      <c r="C262" s="492" t="s">
        <v>642</v>
      </c>
      <c r="D262" s="492" t="s">
        <v>3657</v>
      </c>
      <c r="E262" s="492" t="s">
        <v>770</v>
      </c>
      <c r="F262" s="492" t="s">
        <v>739</v>
      </c>
      <c r="G262" s="492" t="s">
        <v>34</v>
      </c>
      <c r="H262" s="492" t="s">
        <v>835</v>
      </c>
      <c r="I262" s="492" t="s">
        <v>4270</v>
      </c>
      <c r="J262" s="492" t="s">
        <v>1103</v>
      </c>
      <c r="K262" s="492" t="s">
        <v>1616</v>
      </c>
      <c r="L262" s="492" t="s">
        <v>3658</v>
      </c>
      <c r="M262" s="493" t="s">
        <v>3659</v>
      </c>
      <c r="N262" s="492" t="s">
        <v>642</v>
      </c>
      <c r="O262" s="492" t="s">
        <v>4301</v>
      </c>
      <c r="P262" s="492" t="s">
        <v>1750</v>
      </c>
      <c r="Q262" s="492" t="s">
        <v>3501</v>
      </c>
      <c r="R262" s="492" t="s">
        <v>828</v>
      </c>
      <c r="S262" s="492" t="s">
        <v>3660</v>
      </c>
      <c r="T262" s="492">
        <v>438.1</v>
      </c>
      <c r="U262" s="492" t="s">
        <v>855</v>
      </c>
      <c r="V262" s="492" t="s">
        <v>3661</v>
      </c>
      <c r="W262" s="492" t="s">
        <v>3662</v>
      </c>
      <c r="X262" s="492" t="s">
        <v>3502</v>
      </c>
      <c r="Y262" s="492" t="s">
        <v>3111</v>
      </c>
      <c r="Z262" s="492" t="s">
        <v>3663</v>
      </c>
      <c r="AA262" s="492" t="s">
        <v>3502</v>
      </c>
      <c r="AB262" s="492" t="s">
        <v>3664</v>
      </c>
      <c r="AC262" s="492" t="s">
        <v>830</v>
      </c>
      <c r="AD262" s="492" t="s">
        <v>831</v>
      </c>
      <c r="AE262" s="492" t="s">
        <v>612</v>
      </c>
      <c r="AF262" s="492" t="s">
        <v>3411</v>
      </c>
      <c r="AG262" s="492" t="s">
        <v>34</v>
      </c>
      <c r="AH262" s="492" t="s">
        <v>34</v>
      </c>
      <c r="AI262" s="492" t="s">
        <v>34</v>
      </c>
      <c r="AJ262" s="492" t="s">
        <v>34</v>
      </c>
      <c r="AK262" s="492" t="s">
        <v>832</v>
      </c>
      <c r="AL262" s="492" t="s">
        <v>2432</v>
      </c>
      <c r="AM262" s="61" t="s">
        <v>3441</v>
      </c>
      <c r="AN262" s="490"/>
      <c r="AO262" s="490"/>
      <c r="AP262" s="61"/>
    </row>
    <row r="263" spans="1:42" x14ac:dyDescent="0.2">
      <c r="A263" s="61">
        <v>262</v>
      </c>
      <c r="B263" s="491" t="s">
        <v>1720</v>
      </c>
      <c r="C263" s="492" t="s">
        <v>3665</v>
      </c>
      <c r="D263" s="492" t="s">
        <v>3666</v>
      </c>
      <c r="E263" s="492" t="s">
        <v>770</v>
      </c>
      <c r="F263" s="492" t="s">
        <v>739</v>
      </c>
      <c r="G263" s="492" t="s">
        <v>34</v>
      </c>
      <c r="H263" s="492" t="s">
        <v>835</v>
      </c>
      <c r="I263" s="492" t="s">
        <v>1791</v>
      </c>
      <c r="J263" s="492" t="s">
        <v>1103</v>
      </c>
      <c r="K263" s="492" t="s">
        <v>1616</v>
      </c>
      <c r="L263" s="492" t="s">
        <v>3658</v>
      </c>
      <c r="M263" s="493" t="s">
        <v>3659</v>
      </c>
      <c r="N263" s="492" t="s">
        <v>642</v>
      </c>
      <c r="O263" s="492" t="s">
        <v>1758</v>
      </c>
      <c r="P263" s="492" t="s">
        <v>1750</v>
      </c>
      <c r="Q263" s="492" t="s">
        <v>3501</v>
      </c>
      <c r="R263" s="492" t="s">
        <v>828</v>
      </c>
      <c r="S263" s="492" t="s">
        <v>3660</v>
      </c>
      <c r="T263" s="492">
        <v>438.1</v>
      </c>
      <c r="U263" s="492" t="s">
        <v>687</v>
      </c>
      <c r="V263" s="492" t="s">
        <v>3661</v>
      </c>
      <c r="W263" s="492" t="s">
        <v>3662</v>
      </c>
      <c r="X263" s="492" t="s">
        <v>3502</v>
      </c>
      <c r="Y263" s="492" t="s">
        <v>3111</v>
      </c>
      <c r="Z263" s="492" t="s">
        <v>3663</v>
      </c>
      <c r="AA263" s="492" t="s">
        <v>3502</v>
      </c>
      <c r="AB263" s="492" t="s">
        <v>3664</v>
      </c>
      <c r="AC263" s="492" t="s">
        <v>830</v>
      </c>
      <c r="AD263" s="492" t="s">
        <v>831</v>
      </c>
      <c r="AE263" s="492" t="s">
        <v>612</v>
      </c>
      <c r="AF263" s="492" t="s">
        <v>3411</v>
      </c>
      <c r="AG263" s="492" t="s">
        <v>34</v>
      </c>
      <c r="AH263" s="492" t="s">
        <v>34</v>
      </c>
      <c r="AI263" s="492" t="s">
        <v>34</v>
      </c>
      <c r="AJ263" s="492" t="s">
        <v>34</v>
      </c>
      <c r="AK263" s="492" t="s">
        <v>832</v>
      </c>
      <c r="AL263" s="492" t="s">
        <v>2432</v>
      </c>
      <c r="AM263" s="61" t="s">
        <v>3441</v>
      </c>
      <c r="AN263" s="490"/>
      <c r="AO263" s="490"/>
      <c r="AP263" s="61"/>
    </row>
    <row r="264" spans="1:42" x14ac:dyDescent="0.2">
      <c r="A264" s="61">
        <v>263</v>
      </c>
      <c r="B264" s="491" t="s">
        <v>1720</v>
      </c>
      <c r="C264" s="492" t="s">
        <v>671</v>
      </c>
      <c r="D264" s="492" t="s">
        <v>2787</v>
      </c>
      <c r="E264" s="492" t="s">
        <v>770</v>
      </c>
      <c r="F264" s="492" t="s">
        <v>739</v>
      </c>
      <c r="G264" s="492" t="s">
        <v>34</v>
      </c>
      <c r="H264" s="492" t="s">
        <v>835</v>
      </c>
      <c r="I264" s="492" t="s">
        <v>4279</v>
      </c>
      <c r="J264" s="492" t="s">
        <v>1103</v>
      </c>
      <c r="K264" s="492" t="s">
        <v>671</v>
      </c>
      <c r="L264" s="492" t="s">
        <v>1759</v>
      </c>
      <c r="M264" s="493" t="s">
        <v>1760</v>
      </c>
      <c r="N264" s="492" t="s">
        <v>671</v>
      </c>
      <c r="O264" s="492" t="s">
        <v>1758</v>
      </c>
      <c r="P264" s="492" t="s">
        <v>1613</v>
      </c>
      <c r="Q264" s="492" t="s">
        <v>911</v>
      </c>
      <c r="R264" s="492" t="s">
        <v>828</v>
      </c>
      <c r="S264" s="492" t="s">
        <v>1761</v>
      </c>
      <c r="T264" s="492">
        <v>235.6</v>
      </c>
      <c r="U264" s="492" t="s">
        <v>687</v>
      </c>
      <c r="V264" s="492" t="s">
        <v>913</v>
      </c>
      <c r="W264" s="492" t="s">
        <v>1756</v>
      </c>
      <c r="X264" s="492" t="s">
        <v>829</v>
      </c>
      <c r="Y264" s="492" t="s">
        <v>1026</v>
      </c>
      <c r="Z264" s="492" t="s">
        <v>1762</v>
      </c>
      <c r="AA264" s="492" t="s">
        <v>829</v>
      </c>
      <c r="AB264" s="492" t="s">
        <v>34</v>
      </c>
      <c r="AC264" s="492" t="s">
        <v>830</v>
      </c>
      <c r="AD264" s="492" t="s">
        <v>831</v>
      </c>
      <c r="AE264" s="492" t="s">
        <v>612</v>
      </c>
      <c r="AF264" s="492">
        <v>12</v>
      </c>
      <c r="AG264" s="492" t="s">
        <v>2512</v>
      </c>
      <c r="AH264" s="492" t="s">
        <v>2512</v>
      </c>
      <c r="AI264" s="492" t="s">
        <v>34</v>
      </c>
      <c r="AJ264" s="492" t="s">
        <v>34</v>
      </c>
      <c r="AK264" s="492" t="s">
        <v>832</v>
      </c>
      <c r="AL264" s="492" t="s">
        <v>2432</v>
      </c>
      <c r="AM264" s="61" t="s">
        <v>3459</v>
      </c>
      <c r="AN264" s="490">
        <v>0</v>
      </c>
      <c r="AO264" s="490">
        <v>0</v>
      </c>
      <c r="AP264" s="61"/>
    </row>
    <row r="265" spans="1:42" x14ac:dyDescent="0.2">
      <c r="A265" s="61">
        <v>264</v>
      </c>
      <c r="B265" s="491" t="s">
        <v>1720</v>
      </c>
      <c r="C265" s="492" t="s">
        <v>295</v>
      </c>
      <c r="D265" s="492" t="s">
        <v>2788</v>
      </c>
      <c r="E265" s="492" t="s">
        <v>770</v>
      </c>
      <c r="F265" s="492" t="s">
        <v>739</v>
      </c>
      <c r="G265" s="492" t="s">
        <v>34</v>
      </c>
      <c r="H265" s="492" t="s">
        <v>835</v>
      </c>
      <c r="I265" s="492" t="s">
        <v>4270</v>
      </c>
      <c r="J265" s="492" t="s">
        <v>1103</v>
      </c>
      <c r="K265" s="492" t="s">
        <v>1747</v>
      </c>
      <c r="L265" s="492" t="s">
        <v>1776</v>
      </c>
      <c r="M265" s="493" t="s">
        <v>1760</v>
      </c>
      <c r="N265" s="492" t="s">
        <v>295</v>
      </c>
      <c r="O265" s="492" t="s">
        <v>4301</v>
      </c>
      <c r="P265" s="492" t="s">
        <v>1777</v>
      </c>
      <c r="Q265" s="492" t="s">
        <v>3535</v>
      </c>
      <c r="R265" s="492" t="s">
        <v>828</v>
      </c>
      <c r="S265" s="492" t="s">
        <v>3749</v>
      </c>
      <c r="T265" s="492">
        <v>118</v>
      </c>
      <c r="U265" s="492" t="s">
        <v>857</v>
      </c>
      <c r="V265" s="492" t="s">
        <v>913</v>
      </c>
      <c r="W265" s="492" t="s">
        <v>1756</v>
      </c>
      <c r="X265" s="492" t="s">
        <v>3502</v>
      </c>
      <c r="Y265" s="492" t="s">
        <v>1026</v>
      </c>
      <c r="Z265" s="492" t="s">
        <v>1762</v>
      </c>
      <c r="AA265" s="492" t="s">
        <v>3502</v>
      </c>
      <c r="AB265" s="492" t="s">
        <v>1778</v>
      </c>
      <c r="AC265" s="492" t="s">
        <v>830</v>
      </c>
      <c r="AD265" s="492" t="s">
        <v>831</v>
      </c>
      <c r="AE265" s="492" t="s">
        <v>612</v>
      </c>
      <c r="AF265" s="492">
        <v>12</v>
      </c>
      <c r="AG265" s="492" t="s">
        <v>2512</v>
      </c>
      <c r="AH265" s="492" t="s">
        <v>2512</v>
      </c>
      <c r="AI265" s="492" t="s">
        <v>34</v>
      </c>
      <c r="AJ265" s="492" t="s">
        <v>34</v>
      </c>
      <c r="AK265" s="492" t="s">
        <v>832</v>
      </c>
      <c r="AL265" s="492" t="s">
        <v>2432</v>
      </c>
      <c r="AM265" s="61" t="s">
        <v>3441</v>
      </c>
      <c r="AN265" s="490">
        <v>0</v>
      </c>
      <c r="AO265" s="490">
        <v>0</v>
      </c>
      <c r="AP265" s="61"/>
    </row>
    <row r="266" spans="1:42" x14ac:dyDescent="0.2">
      <c r="A266" s="61">
        <v>265</v>
      </c>
      <c r="B266" s="491" t="s">
        <v>1720</v>
      </c>
      <c r="C266" s="492" t="s">
        <v>677</v>
      </c>
      <c r="D266" s="492" t="s">
        <v>2789</v>
      </c>
      <c r="E266" s="492" t="s">
        <v>770</v>
      </c>
      <c r="F266" s="492" t="s">
        <v>739</v>
      </c>
      <c r="G266" s="492" t="s">
        <v>34</v>
      </c>
      <c r="H266" s="492" t="s">
        <v>835</v>
      </c>
      <c r="I266" s="492" t="s">
        <v>4279</v>
      </c>
      <c r="J266" s="492" t="s">
        <v>1103</v>
      </c>
      <c r="K266" s="492" t="s">
        <v>1747</v>
      </c>
      <c r="L266" s="492" t="s">
        <v>1748</v>
      </c>
      <c r="M266" s="493" t="s">
        <v>1749</v>
      </c>
      <c r="N266" s="492" t="s">
        <v>1755</v>
      </c>
      <c r="O266" s="492" t="s">
        <v>1758</v>
      </c>
      <c r="P266" s="492" t="s">
        <v>1613</v>
      </c>
      <c r="Q266" s="492" t="s">
        <v>911</v>
      </c>
      <c r="R266" s="492" t="s">
        <v>1002</v>
      </c>
      <c r="S266" s="492" t="s">
        <v>1751</v>
      </c>
      <c r="T266" s="492">
        <v>500</v>
      </c>
      <c r="U266" s="492" t="s">
        <v>687</v>
      </c>
      <c r="V266" s="492" t="s">
        <v>913</v>
      </c>
      <c r="W266" s="492" t="s">
        <v>1752</v>
      </c>
      <c r="X266" s="492" t="s">
        <v>829</v>
      </c>
      <c r="Y266" s="492" t="s">
        <v>1026</v>
      </c>
      <c r="Z266" s="492" t="s">
        <v>1753</v>
      </c>
      <c r="AA266" s="492" t="s">
        <v>829</v>
      </c>
      <c r="AB266" s="492" t="s">
        <v>1757</v>
      </c>
      <c r="AC266" s="492" t="s">
        <v>830</v>
      </c>
      <c r="AD266" s="492" t="s">
        <v>831</v>
      </c>
      <c r="AE266" s="492" t="s">
        <v>612</v>
      </c>
      <c r="AF266" s="492">
        <v>5</v>
      </c>
      <c r="AG266" s="492" t="s">
        <v>2512</v>
      </c>
      <c r="AH266" s="492">
        <v>35</v>
      </c>
      <c r="AI266" s="492" t="s">
        <v>34</v>
      </c>
      <c r="AJ266" s="492" t="s">
        <v>34</v>
      </c>
      <c r="AK266" s="492" t="s">
        <v>832</v>
      </c>
      <c r="AL266" s="492" t="s">
        <v>2432</v>
      </c>
      <c r="AM266" s="61" t="s">
        <v>3459</v>
      </c>
      <c r="AN266" s="490">
        <v>0</v>
      </c>
      <c r="AO266" s="490">
        <v>0</v>
      </c>
      <c r="AP266" s="61"/>
    </row>
    <row r="267" spans="1:42" x14ac:dyDescent="0.2">
      <c r="A267" s="61">
        <v>266</v>
      </c>
      <c r="B267" s="491" t="s">
        <v>1720</v>
      </c>
      <c r="C267" s="492" t="s">
        <v>324</v>
      </c>
      <c r="D267" s="492" t="s">
        <v>2790</v>
      </c>
      <c r="E267" s="492" t="s">
        <v>770</v>
      </c>
      <c r="F267" s="492" t="s">
        <v>739</v>
      </c>
      <c r="G267" s="492" t="s">
        <v>34</v>
      </c>
      <c r="H267" s="492" t="s">
        <v>835</v>
      </c>
      <c r="I267" s="492" t="s">
        <v>4270</v>
      </c>
      <c r="J267" s="492" t="s">
        <v>1447</v>
      </c>
      <c r="K267" s="492" t="s">
        <v>1747</v>
      </c>
      <c r="L267" s="492" t="s">
        <v>1748</v>
      </c>
      <c r="M267" s="493" t="s">
        <v>1749</v>
      </c>
      <c r="N267" s="492" t="s">
        <v>324</v>
      </c>
      <c r="O267" s="492" t="s">
        <v>4301</v>
      </c>
      <c r="P267" s="492" t="s">
        <v>1750</v>
      </c>
      <c r="Q267" s="492" t="s">
        <v>3535</v>
      </c>
      <c r="R267" s="492" t="s">
        <v>1002</v>
      </c>
      <c r="S267" s="492" t="s">
        <v>1751</v>
      </c>
      <c r="T267" s="492">
        <v>500</v>
      </c>
      <c r="U267" s="492" t="s">
        <v>857</v>
      </c>
      <c r="V267" s="492" t="s">
        <v>913</v>
      </c>
      <c r="W267" s="492" t="s">
        <v>1752</v>
      </c>
      <c r="X267" s="492" t="s">
        <v>3502</v>
      </c>
      <c r="Y267" s="492" t="s">
        <v>1026</v>
      </c>
      <c r="Z267" s="492" t="s">
        <v>1753</v>
      </c>
      <c r="AA267" s="492" t="s">
        <v>3502</v>
      </c>
      <c r="AB267" s="492" t="s">
        <v>1754</v>
      </c>
      <c r="AC267" s="492" t="s">
        <v>830</v>
      </c>
      <c r="AD267" s="492" t="s">
        <v>831</v>
      </c>
      <c r="AE267" s="492" t="s">
        <v>612</v>
      </c>
      <c r="AF267" s="492">
        <v>5</v>
      </c>
      <c r="AG267" s="492" t="s">
        <v>2512</v>
      </c>
      <c r="AH267" s="492">
        <v>35</v>
      </c>
      <c r="AI267" s="492" t="s">
        <v>34</v>
      </c>
      <c r="AJ267" s="492" t="s">
        <v>34</v>
      </c>
      <c r="AK267" s="492" t="s">
        <v>832</v>
      </c>
      <c r="AL267" s="492" t="s">
        <v>2432</v>
      </c>
      <c r="AM267" s="61" t="s">
        <v>3441</v>
      </c>
      <c r="AN267" s="490">
        <v>0</v>
      </c>
      <c r="AO267" s="490">
        <v>0</v>
      </c>
      <c r="AP267" s="61"/>
    </row>
    <row r="268" spans="1:42" x14ac:dyDescent="0.2">
      <c r="A268" s="61">
        <v>267</v>
      </c>
      <c r="B268" s="491" t="s">
        <v>1720</v>
      </c>
      <c r="C268" s="492" t="s">
        <v>294</v>
      </c>
      <c r="D268" s="492" t="s">
        <v>3536</v>
      </c>
      <c r="E268" s="492" t="s">
        <v>770</v>
      </c>
      <c r="F268" s="492" t="s">
        <v>739</v>
      </c>
      <c r="G268" s="492" t="s">
        <v>34</v>
      </c>
      <c r="H268" s="492" t="s">
        <v>835</v>
      </c>
      <c r="I268" s="492" t="s">
        <v>4270</v>
      </c>
      <c r="J268" s="492" t="s">
        <v>1103</v>
      </c>
      <c r="K268" s="492" t="s">
        <v>1011</v>
      </c>
      <c r="L268" s="492" t="s">
        <v>3537</v>
      </c>
      <c r="M268" s="493" t="s">
        <v>3538</v>
      </c>
      <c r="N268" s="492" t="s">
        <v>294</v>
      </c>
      <c r="O268" s="492" t="s">
        <v>4301</v>
      </c>
      <c r="P268" s="492" t="s">
        <v>3539</v>
      </c>
      <c r="Q268" s="492" t="s">
        <v>3501</v>
      </c>
      <c r="R268" s="492" t="s">
        <v>892</v>
      </c>
      <c r="S268" s="492" t="s">
        <v>3750</v>
      </c>
      <c r="T268" s="492">
        <v>683.5</v>
      </c>
      <c r="U268" s="492" t="s">
        <v>857</v>
      </c>
      <c r="V268" s="492" t="s">
        <v>3109</v>
      </c>
      <c r="W268" s="492">
        <v>13730</v>
      </c>
      <c r="X268" s="492" t="s">
        <v>3502</v>
      </c>
      <c r="Y268" s="492" t="s">
        <v>3111</v>
      </c>
      <c r="Z268" s="492" t="s">
        <v>2069</v>
      </c>
      <c r="AA268" s="492" t="s">
        <v>3502</v>
      </c>
      <c r="AB268" s="492" t="s">
        <v>34</v>
      </c>
      <c r="AC268" s="492" t="s">
        <v>830</v>
      </c>
      <c r="AD268" s="492" t="s">
        <v>831</v>
      </c>
      <c r="AE268" s="492" t="s">
        <v>612</v>
      </c>
      <c r="AF268" s="492" t="s">
        <v>3541</v>
      </c>
      <c r="AG268" s="492" t="s">
        <v>3541</v>
      </c>
      <c r="AH268" s="492" t="s">
        <v>3541</v>
      </c>
      <c r="AI268" s="492" t="s">
        <v>34</v>
      </c>
      <c r="AJ268" s="492" t="s">
        <v>34</v>
      </c>
      <c r="AK268" s="492" t="s">
        <v>832</v>
      </c>
      <c r="AL268" s="492" t="s">
        <v>2432</v>
      </c>
      <c r="AM268" s="61" t="s">
        <v>3441</v>
      </c>
      <c r="AN268" s="490">
        <v>0</v>
      </c>
      <c r="AO268" s="490">
        <v>0</v>
      </c>
      <c r="AP268" s="61"/>
    </row>
    <row r="269" spans="1:42" x14ac:dyDescent="0.2">
      <c r="A269" s="61">
        <v>268</v>
      </c>
      <c r="B269" s="491" t="s">
        <v>1720</v>
      </c>
      <c r="C269" s="492" t="s">
        <v>3542</v>
      </c>
      <c r="D269" s="492" t="s">
        <v>3543</v>
      </c>
      <c r="E269" s="492" t="s">
        <v>770</v>
      </c>
      <c r="F269" s="492" t="s">
        <v>739</v>
      </c>
      <c r="G269" s="492" t="s">
        <v>34</v>
      </c>
      <c r="H269" s="492" t="s">
        <v>835</v>
      </c>
      <c r="I269" s="492" t="s">
        <v>1791</v>
      </c>
      <c r="J269" s="492" t="s">
        <v>1103</v>
      </c>
      <c r="K269" s="492" t="s">
        <v>1011</v>
      </c>
      <c r="L269" s="492" t="s">
        <v>3537</v>
      </c>
      <c r="M269" s="493" t="s">
        <v>3538</v>
      </c>
      <c r="N269" s="492" t="s">
        <v>294</v>
      </c>
      <c r="O269" s="492" t="s">
        <v>4301</v>
      </c>
      <c r="P269" s="492" t="s">
        <v>3539</v>
      </c>
      <c r="Q269" s="492" t="s">
        <v>911</v>
      </c>
      <c r="R269" s="492" t="s">
        <v>892</v>
      </c>
      <c r="S269" s="492" t="s">
        <v>3540</v>
      </c>
      <c r="T269" s="492">
        <v>686.55</v>
      </c>
      <c r="U269" s="492" t="s">
        <v>687</v>
      </c>
      <c r="V269" s="492" t="s">
        <v>3109</v>
      </c>
      <c r="W269" s="492">
        <v>13730</v>
      </c>
      <c r="X269" s="492" t="s">
        <v>829</v>
      </c>
      <c r="Y269" s="492" t="s">
        <v>3111</v>
      </c>
      <c r="Z269" s="492" t="s">
        <v>2069</v>
      </c>
      <c r="AA269" s="492" t="s">
        <v>829</v>
      </c>
      <c r="AB269" s="492" t="s">
        <v>34</v>
      </c>
      <c r="AC269" s="492" t="s">
        <v>830</v>
      </c>
      <c r="AD269" s="492" t="s">
        <v>831</v>
      </c>
      <c r="AE269" s="492" t="s">
        <v>612</v>
      </c>
      <c r="AF269" s="492" t="s">
        <v>3541</v>
      </c>
      <c r="AG269" s="492" t="s">
        <v>3541</v>
      </c>
      <c r="AH269" s="492" t="s">
        <v>3541</v>
      </c>
      <c r="AI269" s="492" t="s">
        <v>34</v>
      </c>
      <c r="AJ269" s="492" t="s">
        <v>34</v>
      </c>
      <c r="AK269" s="492" t="s">
        <v>832</v>
      </c>
      <c r="AL269" s="492" t="s">
        <v>2432</v>
      </c>
      <c r="AM269" s="61" t="s">
        <v>3441</v>
      </c>
      <c r="AN269" s="490">
        <v>0</v>
      </c>
      <c r="AO269" s="490">
        <v>0</v>
      </c>
      <c r="AP269" s="61"/>
    </row>
    <row r="270" spans="1:42" x14ac:dyDescent="0.2">
      <c r="A270" s="61">
        <v>269</v>
      </c>
      <c r="B270" s="491" t="s">
        <v>1720</v>
      </c>
      <c r="C270" s="492" t="s">
        <v>2472</v>
      </c>
      <c r="D270" s="492" t="s">
        <v>2988</v>
      </c>
      <c r="E270" s="492" t="s">
        <v>770</v>
      </c>
      <c r="F270" s="492" t="s">
        <v>739</v>
      </c>
      <c r="G270" s="492" t="s">
        <v>34</v>
      </c>
      <c r="H270" s="492" t="s">
        <v>835</v>
      </c>
      <c r="I270" s="492" t="s">
        <v>4270</v>
      </c>
      <c r="J270" s="492" t="s">
        <v>1103</v>
      </c>
      <c r="K270" s="492" t="s">
        <v>1011</v>
      </c>
      <c r="L270" s="492" t="s">
        <v>1176</v>
      </c>
      <c r="M270" s="493" t="s">
        <v>1634</v>
      </c>
      <c r="N270" s="492" t="s">
        <v>2472</v>
      </c>
      <c r="O270" s="492" t="s">
        <v>4301</v>
      </c>
      <c r="P270" s="492" t="s">
        <v>1750</v>
      </c>
      <c r="Q270" s="492" t="s">
        <v>3501</v>
      </c>
      <c r="R270" s="492" t="s">
        <v>892</v>
      </c>
      <c r="S270" s="492" t="s">
        <v>2989</v>
      </c>
      <c r="T270" s="492">
        <v>260.39999999999998</v>
      </c>
      <c r="U270" s="492" t="s">
        <v>857</v>
      </c>
      <c r="V270" s="492" t="s">
        <v>2990</v>
      </c>
      <c r="W270" s="492" t="s">
        <v>1666</v>
      </c>
      <c r="X270" s="492" t="s">
        <v>3502</v>
      </c>
      <c r="Y270" s="492" t="s">
        <v>2991</v>
      </c>
      <c r="Z270" s="492" t="s">
        <v>1634</v>
      </c>
      <c r="AA270" s="492" t="s">
        <v>3502</v>
      </c>
      <c r="AB270" s="492" t="s">
        <v>34</v>
      </c>
      <c r="AC270" s="492" t="s">
        <v>830</v>
      </c>
      <c r="AD270" s="492" t="s">
        <v>831</v>
      </c>
      <c r="AE270" s="492" t="s">
        <v>612</v>
      </c>
      <c r="AF270" s="492" t="s">
        <v>2992</v>
      </c>
      <c r="AG270" s="492" t="s">
        <v>2993</v>
      </c>
      <c r="AH270" s="492" t="s">
        <v>2994</v>
      </c>
      <c r="AI270" s="492" t="s">
        <v>34</v>
      </c>
      <c r="AJ270" s="492" t="s">
        <v>34</v>
      </c>
      <c r="AK270" s="492" t="s">
        <v>832</v>
      </c>
      <c r="AL270" s="492" t="s">
        <v>2432</v>
      </c>
      <c r="AM270" s="61" t="s">
        <v>3441</v>
      </c>
      <c r="AN270" s="490">
        <v>0</v>
      </c>
      <c r="AO270" s="490">
        <v>0</v>
      </c>
      <c r="AP270" s="61"/>
    </row>
    <row r="271" spans="1:42" x14ac:dyDescent="0.2">
      <c r="A271" s="61">
        <v>270</v>
      </c>
      <c r="B271" s="491" t="s">
        <v>1720</v>
      </c>
      <c r="C271" s="492" t="s">
        <v>2995</v>
      </c>
      <c r="D271" s="492" t="s">
        <v>2996</v>
      </c>
      <c r="E271" s="492" t="s">
        <v>770</v>
      </c>
      <c r="F271" s="492" t="s">
        <v>739</v>
      </c>
      <c r="G271" s="492" t="s">
        <v>34</v>
      </c>
      <c r="H271" s="492" t="s">
        <v>835</v>
      </c>
      <c r="I271" s="492" t="s">
        <v>1791</v>
      </c>
      <c r="J271" s="492" t="s">
        <v>1103</v>
      </c>
      <c r="K271" s="492" t="s">
        <v>1011</v>
      </c>
      <c r="L271" s="492" t="s">
        <v>1176</v>
      </c>
      <c r="M271" s="493" t="s">
        <v>1634</v>
      </c>
      <c r="N271" s="492" t="s">
        <v>2472</v>
      </c>
      <c r="O271" s="492" t="s">
        <v>1758</v>
      </c>
      <c r="P271" s="492" t="s">
        <v>1750</v>
      </c>
      <c r="Q271" s="492" t="s">
        <v>911</v>
      </c>
      <c r="R271" s="492" t="s">
        <v>892</v>
      </c>
      <c r="S271" s="492" t="s">
        <v>2989</v>
      </c>
      <c r="T271" s="492">
        <v>260.39999999999998</v>
      </c>
      <c r="U271" s="492" t="s">
        <v>2997</v>
      </c>
      <c r="V271" s="492" t="s">
        <v>2990</v>
      </c>
      <c r="W271" s="492" t="s">
        <v>1666</v>
      </c>
      <c r="X271" s="492" t="s">
        <v>829</v>
      </c>
      <c r="Y271" s="492" t="s">
        <v>2991</v>
      </c>
      <c r="Z271" s="492" t="s">
        <v>1634</v>
      </c>
      <c r="AA271" s="492" t="s">
        <v>829</v>
      </c>
      <c r="AB271" s="492" t="s">
        <v>34</v>
      </c>
      <c r="AC271" s="492" t="s">
        <v>830</v>
      </c>
      <c r="AD271" s="492" t="s">
        <v>831</v>
      </c>
      <c r="AE271" s="492" t="s">
        <v>612</v>
      </c>
      <c r="AF271" s="492" t="s">
        <v>2992</v>
      </c>
      <c r="AG271" s="492" t="s">
        <v>2993</v>
      </c>
      <c r="AH271" s="492" t="s">
        <v>2994</v>
      </c>
      <c r="AI271" s="492" t="s">
        <v>34</v>
      </c>
      <c r="AJ271" s="492" t="s">
        <v>34</v>
      </c>
      <c r="AK271" s="492" t="s">
        <v>832</v>
      </c>
      <c r="AL271" s="492" t="s">
        <v>2432</v>
      </c>
      <c r="AM271" s="61" t="s">
        <v>3459</v>
      </c>
      <c r="AN271" s="490">
        <v>0</v>
      </c>
      <c r="AO271" s="490">
        <v>0</v>
      </c>
      <c r="AP271" s="61"/>
    </row>
    <row r="272" spans="1:42" x14ac:dyDescent="0.2">
      <c r="A272" s="61">
        <v>271</v>
      </c>
      <c r="B272" s="491" t="s">
        <v>1720</v>
      </c>
      <c r="C272" s="492" t="s">
        <v>4360</v>
      </c>
      <c r="D272" s="492" t="s">
        <v>4361</v>
      </c>
      <c r="E272" s="492" t="s">
        <v>770</v>
      </c>
      <c r="F272" s="492" t="s">
        <v>739</v>
      </c>
      <c r="G272" s="492"/>
      <c r="H272" s="492" t="s">
        <v>835</v>
      </c>
      <c r="I272" s="492" t="s">
        <v>4270</v>
      </c>
      <c r="J272" s="492" t="s">
        <v>613</v>
      </c>
      <c r="K272" s="492" t="s">
        <v>1011</v>
      </c>
      <c r="L272" s="492" t="s">
        <v>2054</v>
      </c>
      <c r="M272" s="493" t="s">
        <v>4362</v>
      </c>
      <c r="N272" s="492" t="s">
        <v>4360</v>
      </c>
      <c r="O272" s="492" t="s">
        <v>1106</v>
      </c>
      <c r="P272" s="492" t="s">
        <v>1229</v>
      </c>
      <c r="Q272" s="492" t="s">
        <v>911</v>
      </c>
      <c r="R272" s="492" t="s">
        <v>892</v>
      </c>
      <c r="S272" s="492" t="s">
        <v>4363</v>
      </c>
      <c r="T272" s="492">
        <v>654.88</v>
      </c>
      <c r="U272" s="492" t="s">
        <v>687</v>
      </c>
      <c r="V272" s="492" t="s">
        <v>1110</v>
      </c>
      <c r="W272" s="492" t="s">
        <v>4364</v>
      </c>
      <c r="X272" s="492" t="s">
        <v>829</v>
      </c>
      <c r="Y272" s="492" t="s">
        <v>3111</v>
      </c>
      <c r="Z272" s="492" t="s">
        <v>962</v>
      </c>
      <c r="AA272" s="492" t="s">
        <v>829</v>
      </c>
      <c r="AB272" s="492" t="s">
        <v>4365</v>
      </c>
      <c r="AC272" s="492" t="s">
        <v>830</v>
      </c>
      <c r="AD272" s="492" t="s">
        <v>831</v>
      </c>
      <c r="AE272" s="492" t="s">
        <v>612</v>
      </c>
      <c r="AF272" s="492" t="s">
        <v>2054</v>
      </c>
      <c r="AG272" s="492"/>
      <c r="AH272" s="492"/>
      <c r="AI272" s="492"/>
      <c r="AJ272" s="492"/>
      <c r="AK272" s="492" t="s">
        <v>832</v>
      </c>
      <c r="AL272" s="492" t="s">
        <v>2432</v>
      </c>
      <c r="AM272" s="61" t="s">
        <v>3441</v>
      </c>
      <c r="AN272" s="490"/>
      <c r="AO272" s="490"/>
      <c r="AP272" s="61"/>
    </row>
    <row r="273" spans="1:42" x14ac:dyDescent="0.2">
      <c r="A273" s="61">
        <v>272</v>
      </c>
      <c r="B273" s="491" t="s">
        <v>1720</v>
      </c>
      <c r="C273" s="492" t="s">
        <v>2471</v>
      </c>
      <c r="D273" s="492" t="s">
        <v>3010</v>
      </c>
      <c r="E273" s="492" t="s">
        <v>770</v>
      </c>
      <c r="F273" s="492" t="s">
        <v>739</v>
      </c>
      <c r="G273" s="492" t="s">
        <v>34</v>
      </c>
      <c r="H273" s="492" t="s">
        <v>835</v>
      </c>
      <c r="I273" s="492" t="s">
        <v>4270</v>
      </c>
      <c r="J273" s="492" t="s">
        <v>1447</v>
      </c>
      <c r="K273" s="492" t="s">
        <v>2471</v>
      </c>
      <c r="L273" s="492" t="s">
        <v>1815</v>
      </c>
      <c r="M273" s="493" t="s">
        <v>1816</v>
      </c>
      <c r="N273" s="492" t="s">
        <v>2471</v>
      </c>
      <c r="O273" s="492" t="s">
        <v>305</v>
      </c>
      <c r="P273" s="492" t="s">
        <v>1450</v>
      </c>
      <c r="Q273" s="492" t="s">
        <v>3501</v>
      </c>
      <c r="R273" s="492" t="s">
        <v>929</v>
      </c>
      <c r="S273" s="492" t="s">
        <v>1817</v>
      </c>
      <c r="T273" s="492">
        <v>2.2999999999999998</v>
      </c>
      <c r="U273" s="492" t="s">
        <v>858</v>
      </c>
      <c r="V273" s="492" t="s">
        <v>1818</v>
      </c>
      <c r="W273" s="492" t="s">
        <v>1819</v>
      </c>
      <c r="X273" s="492" t="s">
        <v>1820</v>
      </c>
      <c r="Y273" s="492" t="s">
        <v>108</v>
      </c>
      <c r="Z273" s="492" t="s">
        <v>108</v>
      </c>
      <c r="AA273" s="492" t="s">
        <v>108</v>
      </c>
      <c r="AB273" s="492" t="s">
        <v>1821</v>
      </c>
      <c r="AC273" s="492" t="s">
        <v>830</v>
      </c>
      <c r="AD273" s="492" t="s">
        <v>831</v>
      </c>
      <c r="AE273" s="492" t="s">
        <v>612</v>
      </c>
      <c r="AF273" s="492" t="s">
        <v>2054</v>
      </c>
      <c r="AG273" s="492" t="s">
        <v>34</v>
      </c>
      <c r="AH273" s="492" t="s">
        <v>34</v>
      </c>
      <c r="AI273" s="492" t="s">
        <v>34</v>
      </c>
      <c r="AJ273" s="492" t="s">
        <v>34</v>
      </c>
      <c r="AK273" s="492" t="s">
        <v>832</v>
      </c>
      <c r="AL273" s="492" t="s">
        <v>2432</v>
      </c>
      <c r="AM273" s="61" t="s">
        <v>3441</v>
      </c>
      <c r="AN273" s="490">
        <v>0</v>
      </c>
      <c r="AO273" s="490">
        <v>0</v>
      </c>
      <c r="AP273" s="61"/>
    </row>
    <row r="274" spans="1:42" x14ac:dyDescent="0.2">
      <c r="A274" s="61">
        <v>273</v>
      </c>
      <c r="B274" s="491" t="s">
        <v>1720</v>
      </c>
      <c r="C274" s="492" t="s">
        <v>3203</v>
      </c>
      <c r="D274" s="492" t="s">
        <v>3204</v>
      </c>
      <c r="E274" s="492" t="s">
        <v>770</v>
      </c>
      <c r="F274" s="492" t="s">
        <v>739</v>
      </c>
      <c r="G274" s="492" t="s">
        <v>34</v>
      </c>
      <c r="H274" s="492" t="s">
        <v>835</v>
      </c>
      <c r="I274" s="492" t="s">
        <v>4270</v>
      </c>
      <c r="J274" s="492" t="s">
        <v>1447</v>
      </c>
      <c r="K274" s="492" t="s">
        <v>1452</v>
      </c>
      <c r="L274" s="492" t="s">
        <v>3205</v>
      </c>
      <c r="M274" s="493" t="s">
        <v>3206</v>
      </c>
      <c r="N274" s="492" t="s">
        <v>3207</v>
      </c>
      <c r="O274" s="492" t="s">
        <v>305</v>
      </c>
      <c r="P274" s="492" t="s">
        <v>3998</v>
      </c>
      <c r="Q274" s="492" t="s">
        <v>908</v>
      </c>
      <c r="R274" s="492" t="s">
        <v>892</v>
      </c>
      <c r="S274" s="492" t="s">
        <v>1493</v>
      </c>
      <c r="T274" s="492">
        <v>8</v>
      </c>
      <c r="U274" s="492" t="s">
        <v>858</v>
      </c>
      <c r="V274" s="492" t="s">
        <v>1643</v>
      </c>
      <c r="W274" s="492" t="s">
        <v>3208</v>
      </c>
      <c r="X274" s="492" t="s">
        <v>968</v>
      </c>
      <c r="Y274" s="492" t="s">
        <v>108</v>
      </c>
      <c r="Z274" s="492" t="s">
        <v>108</v>
      </c>
      <c r="AA274" s="492" t="s">
        <v>108</v>
      </c>
      <c r="AB274" s="492" t="s">
        <v>3419</v>
      </c>
      <c r="AC274" s="492" t="s">
        <v>830</v>
      </c>
      <c r="AD274" s="492" t="s">
        <v>831</v>
      </c>
      <c r="AE274" s="492" t="s">
        <v>612</v>
      </c>
      <c r="AF274" s="492" t="s">
        <v>2054</v>
      </c>
      <c r="AG274" s="492" t="s">
        <v>34</v>
      </c>
      <c r="AH274" s="492" t="s">
        <v>34</v>
      </c>
      <c r="AI274" s="492" t="s">
        <v>34</v>
      </c>
      <c r="AJ274" s="492" t="s">
        <v>34</v>
      </c>
      <c r="AK274" s="492" t="s">
        <v>832</v>
      </c>
      <c r="AL274" s="492" t="s">
        <v>34</v>
      </c>
      <c r="AM274" s="61" t="s">
        <v>3442</v>
      </c>
      <c r="AN274" s="490">
        <v>0</v>
      </c>
      <c r="AO274" s="490">
        <v>0</v>
      </c>
      <c r="AP274" s="61"/>
    </row>
    <row r="275" spans="1:42" x14ac:dyDescent="0.2">
      <c r="A275" s="61">
        <v>274</v>
      </c>
      <c r="B275" s="491" t="s">
        <v>1720</v>
      </c>
      <c r="C275" s="492" t="s">
        <v>3129</v>
      </c>
      <c r="D275" s="492" t="s">
        <v>3130</v>
      </c>
      <c r="E275" s="492" t="s">
        <v>770</v>
      </c>
      <c r="F275" s="492" t="s">
        <v>739</v>
      </c>
      <c r="G275" s="492" t="s">
        <v>34</v>
      </c>
      <c r="H275" s="492" t="s">
        <v>835</v>
      </c>
      <c r="I275" s="492" t="s">
        <v>4279</v>
      </c>
      <c r="J275" s="492" t="s">
        <v>1103</v>
      </c>
      <c r="K275" s="492" t="s">
        <v>1782</v>
      </c>
      <c r="L275" s="492" t="s">
        <v>1783</v>
      </c>
      <c r="M275" s="493" t="s">
        <v>3129</v>
      </c>
      <c r="N275" s="492" t="s">
        <v>3129</v>
      </c>
      <c r="O275" s="492" t="s">
        <v>305</v>
      </c>
      <c r="P275" s="492" t="s">
        <v>1078</v>
      </c>
      <c r="Q275" s="492" t="s">
        <v>1078</v>
      </c>
      <c r="R275" s="492" t="s">
        <v>892</v>
      </c>
      <c r="S275" s="492" t="s">
        <v>3131</v>
      </c>
      <c r="T275" s="492">
        <v>7837</v>
      </c>
      <c r="U275" s="492" t="s">
        <v>687</v>
      </c>
      <c r="V275" s="492" t="s">
        <v>3132</v>
      </c>
      <c r="W275" s="492" t="s">
        <v>3129</v>
      </c>
      <c r="X275" s="492" t="s">
        <v>108</v>
      </c>
      <c r="Y275" s="492" t="s">
        <v>3133</v>
      </c>
      <c r="Z275" s="492" t="s">
        <v>3134</v>
      </c>
      <c r="AA275" s="492" t="s">
        <v>829</v>
      </c>
      <c r="AB275" s="492" t="s">
        <v>4058</v>
      </c>
      <c r="AC275" s="492" t="s">
        <v>830</v>
      </c>
      <c r="AD275" s="492" t="s">
        <v>831</v>
      </c>
      <c r="AE275" s="492" t="s">
        <v>612</v>
      </c>
      <c r="AF275" s="492" t="s">
        <v>2054</v>
      </c>
      <c r="AG275" s="492" t="s">
        <v>34</v>
      </c>
      <c r="AH275" s="492" t="s">
        <v>34</v>
      </c>
      <c r="AI275" s="492" t="s">
        <v>34</v>
      </c>
      <c r="AJ275" s="492" t="s">
        <v>34</v>
      </c>
      <c r="AK275" s="492" t="s">
        <v>832</v>
      </c>
      <c r="AL275" s="492" t="s">
        <v>2432</v>
      </c>
      <c r="AM275" s="61" t="s">
        <v>3458</v>
      </c>
      <c r="AN275" s="490">
        <v>0</v>
      </c>
      <c r="AO275" s="490">
        <v>0</v>
      </c>
      <c r="AP275" s="61"/>
    </row>
    <row r="276" spans="1:42" x14ac:dyDescent="0.2">
      <c r="A276" s="61">
        <v>275</v>
      </c>
      <c r="B276" s="491" t="s">
        <v>1720</v>
      </c>
      <c r="C276" s="492" t="s">
        <v>309</v>
      </c>
      <c r="D276" s="492" t="s">
        <v>2791</v>
      </c>
      <c r="E276" s="492" t="s">
        <v>770</v>
      </c>
      <c r="F276" s="492" t="s">
        <v>739</v>
      </c>
      <c r="G276" s="492" t="s">
        <v>34</v>
      </c>
      <c r="H276" s="492" t="s">
        <v>835</v>
      </c>
      <c r="I276" s="492" t="s">
        <v>4270</v>
      </c>
      <c r="J276" s="492" t="s">
        <v>1103</v>
      </c>
      <c r="K276" s="492" t="s">
        <v>1012</v>
      </c>
      <c r="L276" s="492" t="s">
        <v>1797</v>
      </c>
      <c r="M276" s="493">
        <v>51644</v>
      </c>
      <c r="N276" s="492" t="s">
        <v>309</v>
      </c>
      <c r="O276" s="492" t="s">
        <v>305</v>
      </c>
      <c r="P276" s="492" t="s">
        <v>1078</v>
      </c>
      <c r="Q276" s="492" t="s">
        <v>1078</v>
      </c>
      <c r="R276" s="492" t="s">
        <v>929</v>
      </c>
      <c r="S276" s="492" t="s">
        <v>1798</v>
      </c>
      <c r="T276" s="492">
        <v>1585</v>
      </c>
      <c r="U276" s="492" t="s">
        <v>858</v>
      </c>
      <c r="V276" s="492" t="s">
        <v>1799</v>
      </c>
      <c r="W276" s="492" t="s">
        <v>1800</v>
      </c>
      <c r="X276" s="492" t="s">
        <v>1434</v>
      </c>
      <c r="Y276" s="492" t="s">
        <v>1801</v>
      </c>
      <c r="Z276" s="492" t="s">
        <v>1802</v>
      </c>
      <c r="AA276" s="492" t="s">
        <v>829</v>
      </c>
      <c r="AB276" s="492" t="s">
        <v>1803</v>
      </c>
      <c r="AC276" s="492" t="s">
        <v>830</v>
      </c>
      <c r="AD276" s="492" t="s">
        <v>831</v>
      </c>
      <c r="AE276" s="492" t="s">
        <v>612</v>
      </c>
      <c r="AF276" s="492" t="s">
        <v>2054</v>
      </c>
      <c r="AG276" s="492" t="s">
        <v>34</v>
      </c>
      <c r="AH276" s="492" t="s">
        <v>34</v>
      </c>
      <c r="AI276" s="492" t="s">
        <v>34</v>
      </c>
      <c r="AJ276" s="492" t="s">
        <v>34</v>
      </c>
      <c r="AK276" s="492" t="s">
        <v>832</v>
      </c>
      <c r="AL276" s="492" t="s">
        <v>2432</v>
      </c>
      <c r="AM276" s="61" t="s">
        <v>3458</v>
      </c>
      <c r="AN276" s="490">
        <v>0</v>
      </c>
      <c r="AO276" s="490">
        <v>0</v>
      </c>
      <c r="AP276" s="61"/>
    </row>
    <row r="277" spans="1:42" x14ac:dyDescent="0.2">
      <c r="A277" s="61">
        <v>276</v>
      </c>
      <c r="B277" s="491" t="s">
        <v>1720</v>
      </c>
      <c r="C277" s="492" t="s">
        <v>421</v>
      </c>
      <c r="D277" s="492" t="s">
        <v>2792</v>
      </c>
      <c r="E277" s="492" t="s">
        <v>770</v>
      </c>
      <c r="F277" s="492" t="s">
        <v>739</v>
      </c>
      <c r="G277" s="492" t="s">
        <v>34</v>
      </c>
      <c r="H277" s="492" t="s">
        <v>835</v>
      </c>
      <c r="I277" s="492" t="s">
        <v>4270</v>
      </c>
      <c r="J277" s="492" t="s">
        <v>1447</v>
      </c>
      <c r="K277" s="492" t="s">
        <v>1012</v>
      </c>
      <c r="L277" s="492" t="s">
        <v>1804</v>
      </c>
      <c r="M277" s="493" t="s">
        <v>1805</v>
      </c>
      <c r="N277" s="492" t="s">
        <v>421</v>
      </c>
      <c r="O277" s="492" t="s">
        <v>305</v>
      </c>
      <c r="P277" s="492" t="s">
        <v>1078</v>
      </c>
      <c r="Q277" s="492" t="s">
        <v>1078</v>
      </c>
      <c r="R277" s="492" t="s">
        <v>929</v>
      </c>
      <c r="S277" s="492" t="s">
        <v>1806</v>
      </c>
      <c r="T277" s="492">
        <v>1526.5</v>
      </c>
      <c r="U277" s="492" t="s">
        <v>858</v>
      </c>
      <c r="V277" s="492" t="s">
        <v>108</v>
      </c>
      <c r="W277" s="492" t="s">
        <v>108</v>
      </c>
      <c r="X277" s="492" t="s">
        <v>988</v>
      </c>
      <c r="Y277" s="492" t="s">
        <v>1807</v>
      </c>
      <c r="Z277" s="492" t="s">
        <v>1808</v>
      </c>
      <c r="AA277" s="492" t="s">
        <v>1809</v>
      </c>
      <c r="AB277" s="492" t="s">
        <v>3194</v>
      </c>
      <c r="AC277" s="492" t="s">
        <v>830</v>
      </c>
      <c r="AD277" s="492" t="s">
        <v>831</v>
      </c>
      <c r="AE277" s="492" t="s">
        <v>612</v>
      </c>
      <c r="AF277" s="492" t="s">
        <v>2054</v>
      </c>
      <c r="AG277" s="492" t="s">
        <v>34</v>
      </c>
      <c r="AH277" s="492" t="s">
        <v>34</v>
      </c>
      <c r="AI277" s="492" t="s">
        <v>34</v>
      </c>
      <c r="AJ277" s="492" t="s">
        <v>34</v>
      </c>
      <c r="AK277" s="492" t="s">
        <v>832</v>
      </c>
      <c r="AL277" s="492" t="s">
        <v>2432</v>
      </c>
      <c r="AM277" s="61" t="s">
        <v>3458</v>
      </c>
      <c r="AN277" s="490">
        <v>0</v>
      </c>
      <c r="AO277" s="490">
        <v>0</v>
      </c>
      <c r="AP277" s="61"/>
    </row>
    <row r="278" spans="1:42" x14ac:dyDescent="0.2">
      <c r="A278" s="61">
        <v>277</v>
      </c>
      <c r="B278" s="491" t="s">
        <v>1720</v>
      </c>
      <c r="C278" s="492" t="s">
        <v>274</v>
      </c>
      <c r="D278" s="492" t="s">
        <v>2793</v>
      </c>
      <c r="E278" s="492" t="s">
        <v>770</v>
      </c>
      <c r="F278" s="492" t="s">
        <v>739</v>
      </c>
      <c r="G278" s="492" t="s">
        <v>34</v>
      </c>
      <c r="H278" s="492" t="s">
        <v>835</v>
      </c>
      <c r="I278" s="492" t="s">
        <v>4270</v>
      </c>
      <c r="J278" s="492" t="s">
        <v>1447</v>
      </c>
      <c r="K278" s="492" t="s">
        <v>274</v>
      </c>
      <c r="L278" s="492" t="s">
        <v>1810</v>
      </c>
      <c r="M278" s="493" t="s">
        <v>1811</v>
      </c>
      <c r="N278" s="492" t="s">
        <v>274</v>
      </c>
      <c r="O278" s="492" t="s">
        <v>305</v>
      </c>
      <c r="P278" s="492" t="s">
        <v>1812</v>
      </c>
      <c r="Q278" s="492" t="s">
        <v>911</v>
      </c>
      <c r="R278" s="492" t="s">
        <v>892</v>
      </c>
      <c r="S278" s="492" t="s">
        <v>1813</v>
      </c>
      <c r="T278" s="492">
        <v>1.33</v>
      </c>
      <c r="U278" s="492" t="s">
        <v>858</v>
      </c>
      <c r="V278" s="492" t="s">
        <v>1814</v>
      </c>
      <c r="W278" s="492">
        <v>176483</v>
      </c>
      <c r="X278" s="492" t="s">
        <v>829</v>
      </c>
      <c r="Y278" s="492" t="s">
        <v>108</v>
      </c>
      <c r="Z278" s="492" t="s">
        <v>108</v>
      </c>
      <c r="AA278" s="492" t="s">
        <v>108</v>
      </c>
      <c r="AB278" s="492" t="s">
        <v>34</v>
      </c>
      <c r="AC278" s="492" t="s">
        <v>830</v>
      </c>
      <c r="AD278" s="492" t="s">
        <v>831</v>
      </c>
      <c r="AE278" s="492" t="s">
        <v>612</v>
      </c>
      <c r="AF278" s="492">
        <v>13</v>
      </c>
      <c r="AG278" s="492">
        <v>0.17</v>
      </c>
      <c r="AH278" s="492">
        <v>0.2</v>
      </c>
      <c r="AI278" s="492" t="s">
        <v>2560</v>
      </c>
      <c r="AJ278" s="492" t="s">
        <v>34</v>
      </c>
      <c r="AK278" s="492" t="s">
        <v>832</v>
      </c>
      <c r="AL278" s="492" t="s">
        <v>2432</v>
      </c>
      <c r="AM278" s="61" t="s">
        <v>3441</v>
      </c>
      <c r="AN278" s="490">
        <v>0</v>
      </c>
      <c r="AO278" s="490">
        <v>0</v>
      </c>
      <c r="AP278" s="61"/>
    </row>
    <row r="279" spans="1:42" x14ac:dyDescent="0.2">
      <c r="A279" s="61">
        <v>278</v>
      </c>
      <c r="B279" s="491" t="s">
        <v>1720</v>
      </c>
      <c r="C279" s="492" t="s">
        <v>434</v>
      </c>
      <c r="D279" s="492" t="s">
        <v>2794</v>
      </c>
      <c r="E279" s="492" t="s">
        <v>770</v>
      </c>
      <c r="F279" s="492" t="s">
        <v>739</v>
      </c>
      <c r="G279" s="492" t="s">
        <v>34</v>
      </c>
      <c r="H279" s="492" t="s">
        <v>835</v>
      </c>
      <c r="I279" s="492" t="s">
        <v>4270</v>
      </c>
      <c r="J279" s="492" t="s">
        <v>1447</v>
      </c>
      <c r="K279" s="492" t="s">
        <v>434</v>
      </c>
      <c r="L279" s="492" t="s">
        <v>1815</v>
      </c>
      <c r="M279" s="493" t="s">
        <v>1816</v>
      </c>
      <c r="N279" s="492" t="s">
        <v>434</v>
      </c>
      <c r="O279" s="492" t="s">
        <v>305</v>
      </c>
      <c r="P279" s="492" t="s">
        <v>1450</v>
      </c>
      <c r="Q279" s="492" t="s">
        <v>911</v>
      </c>
      <c r="R279" s="492" t="s">
        <v>929</v>
      </c>
      <c r="S279" s="492" t="s">
        <v>1817</v>
      </c>
      <c r="T279" s="492">
        <v>2.2999999999999998</v>
      </c>
      <c r="U279" s="492" t="s">
        <v>858</v>
      </c>
      <c r="V279" s="492" t="s">
        <v>1818</v>
      </c>
      <c r="W279" s="492" t="s">
        <v>1819</v>
      </c>
      <c r="X279" s="492" t="s">
        <v>1820</v>
      </c>
      <c r="Y279" s="492" t="s">
        <v>108</v>
      </c>
      <c r="Z279" s="492" t="s">
        <v>108</v>
      </c>
      <c r="AA279" s="492" t="s">
        <v>108</v>
      </c>
      <c r="AB279" s="492" t="s">
        <v>1821</v>
      </c>
      <c r="AC279" s="492" t="s">
        <v>830</v>
      </c>
      <c r="AD279" s="492" t="s">
        <v>831</v>
      </c>
      <c r="AE279" s="492" t="s">
        <v>612</v>
      </c>
      <c r="AF279" s="492" t="s">
        <v>2054</v>
      </c>
      <c r="AG279" s="492" t="s">
        <v>34</v>
      </c>
      <c r="AH279" s="492" t="s">
        <v>34</v>
      </c>
      <c r="AI279" s="492" t="s">
        <v>34</v>
      </c>
      <c r="AJ279" s="492" t="s">
        <v>34</v>
      </c>
      <c r="AK279" s="492" t="s">
        <v>832</v>
      </c>
      <c r="AL279" s="492" t="s">
        <v>2432</v>
      </c>
      <c r="AM279" s="61" t="s">
        <v>3441</v>
      </c>
      <c r="AN279" s="490">
        <v>0</v>
      </c>
      <c r="AO279" s="490">
        <v>0</v>
      </c>
      <c r="AP279" s="61"/>
    </row>
    <row r="280" spans="1:42" x14ac:dyDescent="0.2">
      <c r="A280" s="61">
        <v>279</v>
      </c>
      <c r="B280" s="491" t="s">
        <v>1720</v>
      </c>
      <c r="C280" s="492" t="s">
        <v>3681</v>
      </c>
      <c r="D280" s="492" t="s">
        <v>3682</v>
      </c>
      <c r="E280" s="492" t="s">
        <v>770</v>
      </c>
      <c r="F280" s="492" t="s">
        <v>739</v>
      </c>
      <c r="G280" s="492" t="s">
        <v>34</v>
      </c>
      <c r="H280" s="492" t="s">
        <v>835</v>
      </c>
      <c r="I280" s="492" t="s">
        <v>4279</v>
      </c>
      <c r="J280" s="492" t="s">
        <v>1103</v>
      </c>
      <c r="K280" s="492" t="s">
        <v>1782</v>
      </c>
      <c r="L280" s="492" t="s">
        <v>1783</v>
      </c>
      <c r="M280" s="493" t="s">
        <v>1784</v>
      </c>
      <c r="N280" s="492" t="s">
        <v>3681</v>
      </c>
      <c r="O280" s="492" t="s">
        <v>305</v>
      </c>
      <c r="P280" s="492" t="s">
        <v>1078</v>
      </c>
      <c r="Q280" s="492" t="s">
        <v>1078</v>
      </c>
      <c r="R280" s="492" t="s">
        <v>892</v>
      </c>
      <c r="S280" s="492" t="s">
        <v>1785</v>
      </c>
      <c r="T280" s="492">
        <v>7875</v>
      </c>
      <c r="U280" s="492" t="s">
        <v>687</v>
      </c>
      <c r="V280" s="492" t="s">
        <v>1786</v>
      </c>
      <c r="W280" s="492" t="s">
        <v>1787</v>
      </c>
      <c r="X280" s="492" t="s">
        <v>908</v>
      </c>
      <c r="Y280" s="492" t="s">
        <v>1788</v>
      </c>
      <c r="Z280" s="492" t="s">
        <v>1789</v>
      </c>
      <c r="AA280" s="492" t="s">
        <v>908</v>
      </c>
      <c r="AB280" s="492" t="s">
        <v>1790</v>
      </c>
      <c r="AC280" s="492" t="s">
        <v>830</v>
      </c>
      <c r="AD280" s="492" t="s">
        <v>831</v>
      </c>
      <c r="AE280" s="492" t="s">
        <v>612</v>
      </c>
      <c r="AF280" s="492" t="s">
        <v>34</v>
      </c>
      <c r="AG280" s="492" t="s">
        <v>34</v>
      </c>
      <c r="AH280" s="492" t="s">
        <v>34</v>
      </c>
      <c r="AI280" s="492" t="s">
        <v>34</v>
      </c>
      <c r="AJ280" s="492" t="s">
        <v>34</v>
      </c>
      <c r="AK280" s="492" t="s">
        <v>832</v>
      </c>
      <c r="AL280" s="492" t="s">
        <v>2432</v>
      </c>
      <c r="AM280" s="61" t="s">
        <v>3458</v>
      </c>
      <c r="AN280" s="490"/>
      <c r="AO280" s="490"/>
      <c r="AP280" s="61"/>
    </row>
    <row r="281" spans="1:42" x14ac:dyDescent="0.2">
      <c r="A281" s="61">
        <v>280</v>
      </c>
      <c r="B281" s="491" t="s">
        <v>1720</v>
      </c>
      <c r="C281" s="492" t="s">
        <v>3804</v>
      </c>
      <c r="D281" s="492" t="s">
        <v>3805</v>
      </c>
      <c r="E281" s="492" t="s">
        <v>770</v>
      </c>
      <c r="F281" s="492" t="s">
        <v>739</v>
      </c>
      <c r="G281" s="492" t="s">
        <v>34</v>
      </c>
      <c r="H281" s="492" t="s">
        <v>835</v>
      </c>
      <c r="I281" s="492" t="s">
        <v>4279</v>
      </c>
      <c r="J281" s="492" t="s">
        <v>1103</v>
      </c>
      <c r="K281" s="492" t="s">
        <v>1721</v>
      </c>
      <c r="L281" s="492" t="s">
        <v>1743</v>
      </c>
      <c r="M281" s="493">
        <v>1</v>
      </c>
      <c r="N281" s="492" t="s">
        <v>3667</v>
      </c>
      <c r="O281" s="492" t="s">
        <v>1758</v>
      </c>
      <c r="P281" s="492" t="s">
        <v>3233</v>
      </c>
      <c r="Q281" s="492" t="s">
        <v>911</v>
      </c>
      <c r="R281" s="492" t="s">
        <v>828</v>
      </c>
      <c r="S281" s="492" t="s">
        <v>3751</v>
      </c>
      <c r="T281" s="492">
        <v>13.9</v>
      </c>
      <c r="U281" s="492" t="s">
        <v>687</v>
      </c>
      <c r="V281" s="492" t="s">
        <v>1048</v>
      </c>
      <c r="W281" s="492" t="s">
        <v>2983</v>
      </c>
      <c r="X281" s="492" t="s">
        <v>3502</v>
      </c>
      <c r="Y281" s="492" t="s">
        <v>1026</v>
      </c>
      <c r="Z281" s="492" t="s">
        <v>1722</v>
      </c>
      <c r="AA281" s="492" t="s">
        <v>3502</v>
      </c>
      <c r="AB281" s="492" t="s">
        <v>34</v>
      </c>
      <c r="AC281" s="492" t="s">
        <v>830</v>
      </c>
      <c r="AD281" s="492" t="s">
        <v>831</v>
      </c>
      <c r="AE281" s="492" t="s">
        <v>612</v>
      </c>
      <c r="AF281" s="492">
        <v>3</v>
      </c>
      <c r="AG281" s="492">
        <v>1</v>
      </c>
      <c r="AH281" s="492">
        <v>1</v>
      </c>
      <c r="AI281" s="492" t="s">
        <v>34</v>
      </c>
      <c r="AJ281" s="492" t="s">
        <v>34</v>
      </c>
      <c r="AK281" s="492" t="s">
        <v>832</v>
      </c>
      <c r="AL281" s="492" t="s">
        <v>2432</v>
      </c>
      <c r="AM281" s="61" t="s">
        <v>3609</v>
      </c>
      <c r="AN281" s="490"/>
      <c r="AO281" s="490"/>
      <c r="AP281" s="61"/>
    </row>
    <row r="282" spans="1:42" x14ac:dyDescent="0.2">
      <c r="A282" s="61">
        <v>281</v>
      </c>
      <c r="B282" s="491" t="s">
        <v>1720</v>
      </c>
      <c r="C282" s="492" t="s">
        <v>3667</v>
      </c>
      <c r="D282" s="492" t="s">
        <v>3668</v>
      </c>
      <c r="E282" s="492" t="s">
        <v>770</v>
      </c>
      <c r="F282" s="492" t="s">
        <v>739</v>
      </c>
      <c r="G282" s="492" t="s">
        <v>34</v>
      </c>
      <c r="H282" s="492" t="s">
        <v>835</v>
      </c>
      <c r="I282" s="492" t="s">
        <v>4279</v>
      </c>
      <c r="J282" s="492" t="s">
        <v>1103</v>
      </c>
      <c r="K282" s="492" t="s">
        <v>1721</v>
      </c>
      <c r="L282" s="492" t="s">
        <v>1743</v>
      </c>
      <c r="M282" s="493">
        <v>1</v>
      </c>
      <c r="N282" s="492" t="s">
        <v>3667</v>
      </c>
      <c r="O282" s="492" t="s">
        <v>4301</v>
      </c>
      <c r="P282" s="492" t="s">
        <v>3233</v>
      </c>
      <c r="Q282" s="492" t="s">
        <v>3535</v>
      </c>
      <c r="R282" s="492" t="s">
        <v>828</v>
      </c>
      <c r="S282" s="492" t="s">
        <v>3751</v>
      </c>
      <c r="T282" s="492">
        <v>13.9</v>
      </c>
      <c r="U282" s="492" t="s">
        <v>857</v>
      </c>
      <c r="V282" s="492" t="s">
        <v>1048</v>
      </c>
      <c r="W282" s="492" t="s">
        <v>2983</v>
      </c>
      <c r="X282" s="492" t="s">
        <v>3502</v>
      </c>
      <c r="Y282" s="492" t="s">
        <v>1026</v>
      </c>
      <c r="Z282" s="492" t="s">
        <v>1722</v>
      </c>
      <c r="AA282" s="492" t="s">
        <v>3502</v>
      </c>
      <c r="AB282" s="492" t="s">
        <v>34</v>
      </c>
      <c r="AC282" s="492" t="s">
        <v>830</v>
      </c>
      <c r="AD282" s="492" t="s">
        <v>831</v>
      </c>
      <c r="AE282" s="492" t="s">
        <v>612</v>
      </c>
      <c r="AF282" s="492">
        <v>3</v>
      </c>
      <c r="AG282" s="492">
        <v>1</v>
      </c>
      <c r="AH282" s="492">
        <v>1</v>
      </c>
      <c r="AI282" s="492" t="s">
        <v>34</v>
      </c>
      <c r="AJ282" s="492" t="s">
        <v>34</v>
      </c>
      <c r="AK282" s="492" t="s">
        <v>832</v>
      </c>
      <c r="AL282" s="492" t="s">
        <v>2432</v>
      </c>
      <c r="AM282" s="61" t="s">
        <v>3442</v>
      </c>
      <c r="AN282" s="490"/>
      <c r="AO282" s="490"/>
      <c r="AP282" s="61"/>
    </row>
    <row r="283" spans="1:42" x14ac:dyDescent="0.2">
      <c r="A283" s="61">
        <v>282</v>
      </c>
      <c r="B283" s="491" t="s">
        <v>1720</v>
      </c>
      <c r="C283" s="492" t="s">
        <v>278</v>
      </c>
      <c r="D283" s="492" t="s">
        <v>2795</v>
      </c>
      <c r="E283" s="492" t="s">
        <v>770</v>
      </c>
      <c r="F283" s="492" t="s">
        <v>739</v>
      </c>
      <c r="G283" s="492" t="s">
        <v>34</v>
      </c>
      <c r="H283" s="492" t="s">
        <v>835</v>
      </c>
      <c r="I283" s="492" t="s">
        <v>4270</v>
      </c>
      <c r="J283" s="492" t="s">
        <v>1103</v>
      </c>
      <c r="K283" s="492" t="s">
        <v>1721</v>
      </c>
      <c r="L283" s="492" t="s">
        <v>826</v>
      </c>
      <c r="M283" s="493">
        <v>2</v>
      </c>
      <c r="N283" s="492" t="s">
        <v>278</v>
      </c>
      <c r="O283" s="492" t="s">
        <v>4301</v>
      </c>
      <c r="P283" s="492" t="s">
        <v>1777</v>
      </c>
      <c r="Q283" s="492" t="s">
        <v>3501</v>
      </c>
      <c r="R283" s="492" t="s">
        <v>1002</v>
      </c>
      <c r="S283" s="492" t="s">
        <v>1745</v>
      </c>
      <c r="T283" s="492">
        <v>400</v>
      </c>
      <c r="U283" s="492" t="s">
        <v>857</v>
      </c>
      <c r="V283" s="492" t="s">
        <v>913</v>
      </c>
      <c r="W283" s="492" t="s">
        <v>1746</v>
      </c>
      <c r="X283" s="492" t="s">
        <v>3502</v>
      </c>
      <c r="Y283" s="492" t="s">
        <v>1026</v>
      </c>
      <c r="Z283" s="492" t="s">
        <v>1722</v>
      </c>
      <c r="AA283" s="492" t="s">
        <v>3502</v>
      </c>
      <c r="AB283" s="492" t="s">
        <v>34</v>
      </c>
      <c r="AC283" s="492" t="s">
        <v>830</v>
      </c>
      <c r="AD283" s="492" t="s">
        <v>831</v>
      </c>
      <c r="AE283" s="492" t="s">
        <v>612</v>
      </c>
      <c r="AF283" s="492">
        <v>1.5</v>
      </c>
      <c r="AG283" s="492">
        <v>3</v>
      </c>
      <c r="AH283" s="492">
        <v>1</v>
      </c>
      <c r="AI283" s="492" t="s">
        <v>2583</v>
      </c>
      <c r="AJ283" s="492" t="s">
        <v>34</v>
      </c>
      <c r="AK283" s="492" t="s">
        <v>832</v>
      </c>
      <c r="AL283" s="492" t="s">
        <v>2432</v>
      </c>
      <c r="AM283" s="61" t="s">
        <v>3441</v>
      </c>
      <c r="AN283" s="490">
        <v>0</v>
      </c>
      <c r="AO283" s="490">
        <v>0</v>
      </c>
      <c r="AP283" s="61"/>
    </row>
    <row r="284" spans="1:42" x14ac:dyDescent="0.2">
      <c r="A284" s="61">
        <v>283</v>
      </c>
      <c r="B284" s="491" t="s">
        <v>1720</v>
      </c>
      <c r="C284" s="492" t="s">
        <v>279</v>
      </c>
      <c r="D284" s="492" t="s">
        <v>2796</v>
      </c>
      <c r="E284" s="492" t="s">
        <v>770</v>
      </c>
      <c r="F284" s="492" t="s">
        <v>739</v>
      </c>
      <c r="G284" s="492" t="s">
        <v>34</v>
      </c>
      <c r="H284" s="492" t="s">
        <v>835</v>
      </c>
      <c r="I284" s="492" t="s">
        <v>4270</v>
      </c>
      <c r="J284" s="492" t="s">
        <v>1103</v>
      </c>
      <c r="K284" s="492" t="s">
        <v>1721</v>
      </c>
      <c r="L284" s="492" t="s">
        <v>1119</v>
      </c>
      <c r="M284" s="493">
        <v>9321</v>
      </c>
      <c r="N284" s="492" t="s">
        <v>279</v>
      </c>
      <c r="O284" s="492" t="s">
        <v>4301</v>
      </c>
      <c r="P284" s="492" t="s">
        <v>1731</v>
      </c>
      <c r="Q284" s="492" t="s">
        <v>3501</v>
      </c>
      <c r="R284" s="492" t="s">
        <v>1002</v>
      </c>
      <c r="S284" s="492" t="s">
        <v>3752</v>
      </c>
      <c r="T284" s="492">
        <v>640</v>
      </c>
      <c r="U284" s="492" t="s">
        <v>857</v>
      </c>
      <c r="V284" s="492" t="s">
        <v>913</v>
      </c>
      <c r="W284" s="492" t="s">
        <v>1732</v>
      </c>
      <c r="X284" s="492" t="s">
        <v>3502</v>
      </c>
      <c r="Y284" s="492" t="s">
        <v>1026</v>
      </c>
      <c r="Z284" s="492" t="s">
        <v>1722</v>
      </c>
      <c r="AA284" s="492" t="s">
        <v>3502</v>
      </c>
      <c r="AB284" s="492" t="s">
        <v>34</v>
      </c>
      <c r="AC284" s="492" t="s">
        <v>830</v>
      </c>
      <c r="AD284" s="492" t="s">
        <v>831</v>
      </c>
      <c r="AE284" s="492" t="s">
        <v>612</v>
      </c>
      <c r="AF284" s="492">
        <v>5.9</v>
      </c>
      <c r="AG284" s="492">
        <v>60</v>
      </c>
      <c r="AH284" s="492">
        <v>2</v>
      </c>
      <c r="AI284" s="492" t="s">
        <v>34</v>
      </c>
      <c r="AJ284" s="492" t="s">
        <v>34</v>
      </c>
      <c r="AK284" s="492" t="s">
        <v>832</v>
      </c>
      <c r="AL284" s="492" t="s">
        <v>2432</v>
      </c>
      <c r="AM284" s="61" t="s">
        <v>3441</v>
      </c>
      <c r="AN284" s="490">
        <v>0</v>
      </c>
      <c r="AO284" s="490">
        <v>0</v>
      </c>
      <c r="AP284" s="61"/>
    </row>
    <row r="285" spans="1:42" x14ac:dyDescent="0.2">
      <c r="A285" s="61">
        <v>284</v>
      </c>
      <c r="B285" s="491" t="s">
        <v>1720</v>
      </c>
      <c r="C285" s="492" t="s">
        <v>672</v>
      </c>
      <c r="D285" s="492" t="s">
        <v>2797</v>
      </c>
      <c r="E285" s="492" t="s">
        <v>770</v>
      </c>
      <c r="F285" s="492" t="s">
        <v>739</v>
      </c>
      <c r="G285" s="492" t="s">
        <v>34</v>
      </c>
      <c r="H285" s="492" t="s">
        <v>835</v>
      </c>
      <c r="I285" s="492" t="s">
        <v>4279</v>
      </c>
      <c r="J285" s="492" t="s">
        <v>1103</v>
      </c>
      <c r="K285" s="492" t="s">
        <v>1765</v>
      </c>
      <c r="L285" s="492" t="s">
        <v>826</v>
      </c>
      <c r="M285" s="493">
        <v>4</v>
      </c>
      <c r="N285" s="492" t="s">
        <v>672</v>
      </c>
      <c r="O285" s="492" t="s">
        <v>1758</v>
      </c>
      <c r="P285" s="492" t="s">
        <v>1618</v>
      </c>
      <c r="Q285" s="492" t="s">
        <v>911</v>
      </c>
      <c r="R285" s="492" t="s">
        <v>1002</v>
      </c>
      <c r="S285" s="492" t="s">
        <v>1766</v>
      </c>
      <c r="T285" s="492">
        <v>600</v>
      </c>
      <c r="U285" s="492" t="s">
        <v>687</v>
      </c>
      <c r="V285" s="492" t="s">
        <v>913</v>
      </c>
      <c r="W285" s="492" t="s">
        <v>1767</v>
      </c>
      <c r="X285" s="492" t="s">
        <v>829</v>
      </c>
      <c r="Y285" s="492" t="s">
        <v>1026</v>
      </c>
      <c r="Z285" s="492" t="s">
        <v>1768</v>
      </c>
      <c r="AA285" s="492" t="s">
        <v>829</v>
      </c>
      <c r="AB285" s="492" t="s">
        <v>34</v>
      </c>
      <c r="AC285" s="492" t="s">
        <v>830</v>
      </c>
      <c r="AD285" s="492" t="s">
        <v>831</v>
      </c>
      <c r="AE285" s="492" t="s">
        <v>612</v>
      </c>
      <c r="AF285" s="492">
        <v>4</v>
      </c>
      <c r="AG285" s="492">
        <v>0</v>
      </c>
      <c r="AH285" s="492">
        <v>0</v>
      </c>
      <c r="AI285" s="492" t="s">
        <v>2584</v>
      </c>
      <c r="AJ285" s="492" t="s">
        <v>2543</v>
      </c>
      <c r="AK285" s="492" t="s">
        <v>832</v>
      </c>
      <c r="AL285" s="492" t="s">
        <v>2432</v>
      </c>
      <c r="AM285" s="61" t="s">
        <v>3441</v>
      </c>
      <c r="AN285" s="490">
        <v>0</v>
      </c>
      <c r="AO285" s="490">
        <v>0</v>
      </c>
      <c r="AP285" s="61"/>
    </row>
    <row r="286" spans="1:42" x14ac:dyDescent="0.2">
      <c r="A286" s="61">
        <v>285</v>
      </c>
      <c r="B286" s="491" t="s">
        <v>1720</v>
      </c>
      <c r="C286" s="492" t="s">
        <v>273</v>
      </c>
      <c r="D286" s="492" t="s">
        <v>2798</v>
      </c>
      <c r="E286" s="492" t="s">
        <v>770</v>
      </c>
      <c r="F286" s="492" t="s">
        <v>739</v>
      </c>
      <c r="G286" s="492" t="s">
        <v>34</v>
      </c>
      <c r="H286" s="492" t="s">
        <v>835</v>
      </c>
      <c r="I286" s="492" t="s">
        <v>4270</v>
      </c>
      <c r="J286" s="492" t="s">
        <v>1103</v>
      </c>
      <c r="K286" s="492" t="s">
        <v>1721</v>
      </c>
      <c r="L286" s="492" t="s">
        <v>826</v>
      </c>
      <c r="M286" s="493">
        <v>4</v>
      </c>
      <c r="N286" s="492" t="s">
        <v>273</v>
      </c>
      <c r="O286" s="492" t="s">
        <v>4301</v>
      </c>
      <c r="P286" s="492" t="s">
        <v>1822</v>
      </c>
      <c r="Q286" s="492" t="s">
        <v>3501</v>
      </c>
      <c r="R286" s="492" t="s">
        <v>1002</v>
      </c>
      <c r="S286" s="492" t="s">
        <v>1766</v>
      </c>
      <c r="T286" s="492">
        <v>600</v>
      </c>
      <c r="U286" s="492" t="s">
        <v>857</v>
      </c>
      <c r="V286" s="492" t="s">
        <v>913</v>
      </c>
      <c r="W286" s="492" t="s">
        <v>1767</v>
      </c>
      <c r="X286" s="492" t="s">
        <v>3502</v>
      </c>
      <c r="Y286" s="492" t="s">
        <v>1026</v>
      </c>
      <c r="Z286" s="492" t="s">
        <v>1768</v>
      </c>
      <c r="AA286" s="492" t="s">
        <v>3502</v>
      </c>
      <c r="AB286" s="492" t="s">
        <v>34</v>
      </c>
      <c r="AC286" s="492" t="s">
        <v>830</v>
      </c>
      <c r="AD286" s="492" t="s">
        <v>831</v>
      </c>
      <c r="AE286" s="492" t="s">
        <v>612</v>
      </c>
      <c r="AF286" s="492">
        <v>4</v>
      </c>
      <c r="AG286" s="492">
        <v>0</v>
      </c>
      <c r="AH286" s="492">
        <v>0</v>
      </c>
      <c r="AI286" s="492" t="s">
        <v>2584</v>
      </c>
      <c r="AJ286" s="492" t="s">
        <v>2543</v>
      </c>
      <c r="AK286" s="492" t="s">
        <v>832</v>
      </c>
      <c r="AL286" s="492" t="s">
        <v>2432</v>
      </c>
      <c r="AM286" s="61" t="s">
        <v>3441</v>
      </c>
      <c r="AN286" s="490">
        <v>0</v>
      </c>
      <c r="AO286" s="490">
        <v>0</v>
      </c>
      <c r="AP286" s="61"/>
    </row>
    <row r="287" spans="1:42" x14ac:dyDescent="0.2">
      <c r="A287" s="61">
        <v>286</v>
      </c>
      <c r="B287" s="491" t="s">
        <v>1720</v>
      </c>
      <c r="C287" s="492" t="s">
        <v>275</v>
      </c>
      <c r="D287" s="492" t="s">
        <v>2799</v>
      </c>
      <c r="E287" s="492" t="s">
        <v>770</v>
      </c>
      <c r="F287" s="492" t="s">
        <v>739</v>
      </c>
      <c r="G287" s="492" t="s">
        <v>34</v>
      </c>
      <c r="H287" s="492" t="s">
        <v>835</v>
      </c>
      <c r="I287" s="492" t="s">
        <v>4270</v>
      </c>
      <c r="J287" s="492" t="s">
        <v>1103</v>
      </c>
      <c r="K287" s="492" t="s">
        <v>3197</v>
      </c>
      <c r="L287" s="492" t="s">
        <v>4366</v>
      </c>
      <c r="M287" s="493">
        <v>5</v>
      </c>
      <c r="N287" s="492" t="s">
        <v>275</v>
      </c>
      <c r="O287" s="492" t="s">
        <v>305</v>
      </c>
      <c r="P287" s="492" t="s">
        <v>4367</v>
      </c>
      <c r="Q287" s="492" t="s">
        <v>3501</v>
      </c>
      <c r="R287" s="492" t="s">
        <v>1002</v>
      </c>
      <c r="S287" s="492" t="s">
        <v>4368</v>
      </c>
      <c r="T287" s="492">
        <v>75</v>
      </c>
      <c r="U287" s="492" t="s">
        <v>687</v>
      </c>
      <c r="V287" s="492" t="s">
        <v>1615</v>
      </c>
      <c r="W287" s="492" t="s">
        <v>4369</v>
      </c>
      <c r="X287" s="492" t="s">
        <v>3502</v>
      </c>
      <c r="Y287" s="492" t="s">
        <v>108</v>
      </c>
      <c r="Z287" s="492" t="s">
        <v>108</v>
      </c>
      <c r="AA287" s="492" t="s">
        <v>108</v>
      </c>
      <c r="AB287" s="492" t="s">
        <v>34</v>
      </c>
      <c r="AC287" s="492" t="s">
        <v>830</v>
      </c>
      <c r="AD287" s="492" t="s">
        <v>831</v>
      </c>
      <c r="AE287" s="492" t="s">
        <v>612</v>
      </c>
      <c r="AF287" s="492" t="s">
        <v>2054</v>
      </c>
      <c r="AG287" s="492" t="s">
        <v>34</v>
      </c>
      <c r="AH287" s="492" t="s">
        <v>34</v>
      </c>
      <c r="AI287" s="492" t="s">
        <v>34</v>
      </c>
      <c r="AJ287" s="492" t="s">
        <v>34</v>
      </c>
      <c r="AK287" s="492" t="s">
        <v>832</v>
      </c>
      <c r="AL287" s="492" t="s">
        <v>2432</v>
      </c>
      <c r="AM287" s="61" t="s">
        <v>3441</v>
      </c>
      <c r="AN287" s="490">
        <v>0</v>
      </c>
      <c r="AO287" s="490">
        <v>0</v>
      </c>
      <c r="AP287" s="61"/>
    </row>
    <row r="288" spans="1:42" x14ac:dyDescent="0.2">
      <c r="A288" s="61">
        <v>287</v>
      </c>
      <c r="B288" s="491" t="s">
        <v>1720</v>
      </c>
      <c r="C288" s="492" t="s">
        <v>272</v>
      </c>
      <c r="D288" s="492" t="s">
        <v>2800</v>
      </c>
      <c r="E288" s="492" t="s">
        <v>770</v>
      </c>
      <c r="F288" s="492" t="s">
        <v>739</v>
      </c>
      <c r="G288" s="492" t="s">
        <v>34</v>
      </c>
      <c r="H288" s="492" t="s">
        <v>835</v>
      </c>
      <c r="I288" s="492" t="s">
        <v>4270</v>
      </c>
      <c r="J288" s="492" t="s">
        <v>1103</v>
      </c>
      <c r="K288" s="492" t="s">
        <v>1765</v>
      </c>
      <c r="L288" s="492" t="s">
        <v>1251</v>
      </c>
      <c r="M288" s="493">
        <v>78700</v>
      </c>
      <c r="N288" s="492" t="s">
        <v>272</v>
      </c>
      <c r="O288" s="492" t="s">
        <v>4301</v>
      </c>
      <c r="P288" s="492" t="s">
        <v>1769</v>
      </c>
      <c r="Q288" s="492" t="s">
        <v>3501</v>
      </c>
      <c r="R288" s="492" t="s">
        <v>993</v>
      </c>
      <c r="S288" s="492" t="s">
        <v>1770</v>
      </c>
      <c r="T288" s="492">
        <v>180</v>
      </c>
      <c r="U288" s="492" t="s">
        <v>857</v>
      </c>
      <c r="V288" s="492" t="s">
        <v>913</v>
      </c>
      <c r="W288" s="492" t="s">
        <v>1771</v>
      </c>
      <c r="X288" s="492" t="s">
        <v>3502</v>
      </c>
      <c r="Y288" s="492" t="s">
        <v>1026</v>
      </c>
      <c r="Z288" s="492" t="s">
        <v>1722</v>
      </c>
      <c r="AA288" s="492" t="s">
        <v>3502</v>
      </c>
      <c r="AB288" s="492" t="s">
        <v>34</v>
      </c>
      <c r="AC288" s="492" t="s">
        <v>830</v>
      </c>
      <c r="AD288" s="492" t="s">
        <v>831</v>
      </c>
      <c r="AE288" s="492" t="s">
        <v>612</v>
      </c>
      <c r="AF288" s="492">
        <v>42.6</v>
      </c>
      <c r="AG288" s="492">
        <v>68</v>
      </c>
      <c r="AH288" s="492" t="s">
        <v>2512</v>
      </c>
      <c r="AI288" s="492" t="s">
        <v>34</v>
      </c>
      <c r="AJ288" s="492" t="s">
        <v>34</v>
      </c>
      <c r="AK288" s="492" t="s">
        <v>832</v>
      </c>
      <c r="AL288" s="492" t="s">
        <v>2432</v>
      </c>
      <c r="AM288" s="61" t="s">
        <v>3441</v>
      </c>
      <c r="AN288" s="490">
        <v>0</v>
      </c>
      <c r="AO288" s="490">
        <v>0</v>
      </c>
      <c r="AP288" s="61"/>
    </row>
    <row r="289" spans="1:42" x14ac:dyDescent="0.2">
      <c r="A289" s="61">
        <v>288</v>
      </c>
      <c r="B289" s="491" t="s">
        <v>1720</v>
      </c>
      <c r="C289" s="492" t="s">
        <v>3312</v>
      </c>
      <c r="D289" s="492" t="s">
        <v>3313</v>
      </c>
      <c r="E289" s="492" t="s">
        <v>770</v>
      </c>
      <c r="F289" s="492" t="s">
        <v>739</v>
      </c>
      <c r="G289" s="492" t="s">
        <v>34</v>
      </c>
      <c r="H289" s="492" t="s">
        <v>835</v>
      </c>
      <c r="I289" s="492" t="s">
        <v>4270</v>
      </c>
      <c r="J289" s="492" t="s">
        <v>1103</v>
      </c>
      <c r="K289" s="492" t="s">
        <v>999</v>
      </c>
      <c r="L289" s="492" t="s">
        <v>3314</v>
      </c>
      <c r="M289" s="493" t="s">
        <v>3315</v>
      </c>
      <c r="N289" s="492" t="s">
        <v>3316</v>
      </c>
      <c r="O289" s="492" t="s">
        <v>1758</v>
      </c>
      <c r="P289" s="492" t="s">
        <v>2193</v>
      </c>
      <c r="Q289" s="492" t="s">
        <v>911</v>
      </c>
      <c r="R289" s="492" t="s">
        <v>3317</v>
      </c>
      <c r="S289" s="492" t="s">
        <v>3318</v>
      </c>
      <c r="T289" s="492">
        <v>141.6</v>
      </c>
      <c r="U289" s="492" t="s">
        <v>687</v>
      </c>
      <c r="V289" s="492" t="s">
        <v>913</v>
      </c>
      <c r="W289" s="492" t="s">
        <v>3319</v>
      </c>
      <c r="X289" s="492" t="s">
        <v>829</v>
      </c>
      <c r="Y289" s="492" t="s">
        <v>1026</v>
      </c>
      <c r="Z289" s="492" t="s">
        <v>1722</v>
      </c>
      <c r="AA289" s="492" t="s">
        <v>829</v>
      </c>
      <c r="AB289" s="492" t="s">
        <v>34</v>
      </c>
      <c r="AC289" s="492" t="s">
        <v>830</v>
      </c>
      <c r="AD289" s="492" t="s">
        <v>831</v>
      </c>
      <c r="AE289" s="492" t="s">
        <v>612</v>
      </c>
      <c r="AF289" s="492">
        <v>15.6</v>
      </c>
      <c r="AG289" s="492">
        <v>250</v>
      </c>
      <c r="AH289" s="492">
        <v>40</v>
      </c>
      <c r="AI289" s="492" t="s">
        <v>34</v>
      </c>
      <c r="AJ289" s="492" t="s">
        <v>34</v>
      </c>
      <c r="AK289" s="492" t="s">
        <v>832</v>
      </c>
      <c r="AL289" s="492" t="s">
        <v>2432</v>
      </c>
      <c r="AM289" s="61" t="s">
        <v>3459</v>
      </c>
      <c r="AN289" s="490">
        <v>0</v>
      </c>
      <c r="AO289" s="490">
        <v>0</v>
      </c>
      <c r="AP289" s="61"/>
    </row>
    <row r="290" spans="1:42" x14ac:dyDescent="0.2">
      <c r="A290" s="61">
        <v>289</v>
      </c>
      <c r="B290" s="491" t="s">
        <v>1720</v>
      </c>
      <c r="C290" s="492" t="s">
        <v>270</v>
      </c>
      <c r="D290" s="492" t="s">
        <v>2801</v>
      </c>
      <c r="E290" s="492" t="s">
        <v>770</v>
      </c>
      <c r="F290" s="492" t="s">
        <v>739</v>
      </c>
      <c r="G290" s="492" t="s">
        <v>34</v>
      </c>
      <c r="H290" s="492" t="s">
        <v>835</v>
      </c>
      <c r="I290" s="492" t="s">
        <v>4270</v>
      </c>
      <c r="J290" s="492" t="s">
        <v>1447</v>
      </c>
      <c r="K290" s="492" t="s">
        <v>1765</v>
      </c>
      <c r="L290" s="492" t="s">
        <v>108</v>
      </c>
      <c r="M290" s="493">
        <v>7</v>
      </c>
      <c r="N290" s="492" t="s">
        <v>270</v>
      </c>
      <c r="O290" s="492" t="s">
        <v>305</v>
      </c>
      <c r="P290" s="492" t="s">
        <v>1337</v>
      </c>
      <c r="Q290" s="492" t="s">
        <v>911</v>
      </c>
      <c r="R290" s="492" t="s">
        <v>993</v>
      </c>
      <c r="S290" s="492" t="s">
        <v>1772</v>
      </c>
      <c r="T290" s="492">
        <v>240</v>
      </c>
      <c r="U290" s="492" t="s">
        <v>858</v>
      </c>
      <c r="V290" s="492" t="s">
        <v>1115</v>
      </c>
      <c r="W290" s="492">
        <v>431103000</v>
      </c>
      <c r="X290" s="492" t="s">
        <v>829</v>
      </c>
      <c r="Y290" s="492" t="s">
        <v>108</v>
      </c>
      <c r="Z290" s="492" t="s">
        <v>108</v>
      </c>
      <c r="AA290" s="492" t="s">
        <v>108</v>
      </c>
      <c r="AB290" s="492" t="s">
        <v>34</v>
      </c>
      <c r="AC290" s="492" t="s">
        <v>830</v>
      </c>
      <c r="AD290" s="492" t="s">
        <v>831</v>
      </c>
      <c r="AE290" s="492" t="s">
        <v>612</v>
      </c>
      <c r="AF290" s="492">
        <v>2.5</v>
      </c>
      <c r="AG290" s="492">
        <v>2</v>
      </c>
      <c r="AH290" s="492">
        <v>2</v>
      </c>
      <c r="AI290" s="492" t="s">
        <v>2585</v>
      </c>
      <c r="AJ290" s="492" t="s">
        <v>2586</v>
      </c>
      <c r="AK290" s="492" t="s">
        <v>832</v>
      </c>
      <c r="AL290" s="492" t="s">
        <v>2432</v>
      </c>
      <c r="AM290" s="61" t="s">
        <v>3441</v>
      </c>
      <c r="AN290" s="490">
        <v>0</v>
      </c>
      <c r="AO290" s="490">
        <v>0</v>
      </c>
      <c r="AP290" s="61"/>
    </row>
    <row r="291" spans="1:42" x14ac:dyDescent="0.2">
      <c r="A291" s="61">
        <v>290</v>
      </c>
      <c r="B291" s="491" t="s">
        <v>1720</v>
      </c>
      <c r="C291" s="492" t="s">
        <v>3104</v>
      </c>
      <c r="D291" s="492" t="s">
        <v>3105</v>
      </c>
      <c r="E291" s="492" t="s">
        <v>770</v>
      </c>
      <c r="F291" s="492" t="s">
        <v>739</v>
      </c>
      <c r="G291" s="492" t="s">
        <v>34</v>
      </c>
      <c r="H291" s="492" t="s">
        <v>835</v>
      </c>
      <c r="I291" s="492" t="s">
        <v>4303</v>
      </c>
      <c r="J291" s="492" t="s">
        <v>1103</v>
      </c>
      <c r="K291" s="492" t="s">
        <v>1765</v>
      </c>
      <c r="L291" s="492" t="s">
        <v>1622</v>
      </c>
      <c r="M291" s="493" t="s">
        <v>3106</v>
      </c>
      <c r="N291" s="492" t="s">
        <v>3104</v>
      </c>
      <c r="O291" s="492" t="s">
        <v>4301</v>
      </c>
      <c r="P291" s="492" t="s">
        <v>2190</v>
      </c>
      <c r="Q291" s="492" t="s">
        <v>3501</v>
      </c>
      <c r="R291" s="492" t="s">
        <v>3107</v>
      </c>
      <c r="S291" s="492" t="s">
        <v>3108</v>
      </c>
      <c r="T291" s="492">
        <v>601</v>
      </c>
      <c r="U291" s="492" t="s">
        <v>857</v>
      </c>
      <c r="V291" s="492" t="s">
        <v>3109</v>
      </c>
      <c r="W291" s="492" t="s">
        <v>3110</v>
      </c>
      <c r="X291" s="492" t="s">
        <v>3502</v>
      </c>
      <c r="Y291" s="492" t="s">
        <v>3111</v>
      </c>
      <c r="Z291" s="492" t="s">
        <v>962</v>
      </c>
      <c r="AA291" s="492" t="s">
        <v>3502</v>
      </c>
      <c r="AB291" s="492" t="s">
        <v>34</v>
      </c>
      <c r="AC291" s="492" t="s">
        <v>830</v>
      </c>
      <c r="AD291" s="492" t="s">
        <v>831</v>
      </c>
      <c r="AE291" s="492" t="s">
        <v>612</v>
      </c>
      <c r="AF291" s="492" t="s">
        <v>2054</v>
      </c>
      <c r="AG291" s="492" t="s">
        <v>34</v>
      </c>
      <c r="AH291" s="492" t="s">
        <v>34</v>
      </c>
      <c r="AI291" s="492" t="s">
        <v>34</v>
      </c>
      <c r="AJ291" s="492" t="s">
        <v>34</v>
      </c>
      <c r="AK291" s="492" t="s">
        <v>832</v>
      </c>
      <c r="AL291" s="492" t="s">
        <v>2432</v>
      </c>
      <c r="AM291" s="61" t="s">
        <v>3441</v>
      </c>
      <c r="AN291" s="490">
        <v>0</v>
      </c>
      <c r="AO291" s="490">
        <v>0</v>
      </c>
      <c r="AP291" s="61"/>
    </row>
    <row r="292" spans="1:42" x14ac:dyDescent="0.2">
      <c r="A292" s="61">
        <v>291</v>
      </c>
      <c r="B292" s="491" t="s">
        <v>1720</v>
      </c>
      <c r="C292" s="492" t="s">
        <v>3792</v>
      </c>
      <c r="D292" s="492" t="s">
        <v>3793</v>
      </c>
      <c r="E292" s="492" t="s">
        <v>770</v>
      </c>
      <c r="F292" s="492" t="s">
        <v>739</v>
      </c>
      <c r="G292" s="492" t="s">
        <v>34</v>
      </c>
      <c r="H292" s="492" t="s">
        <v>835</v>
      </c>
      <c r="I292" s="492" t="s">
        <v>3794</v>
      </c>
      <c r="J292" s="492" t="s">
        <v>1103</v>
      </c>
      <c r="K292" s="492" t="s">
        <v>1765</v>
      </c>
      <c r="L292" s="492" t="s">
        <v>1622</v>
      </c>
      <c r="M292" s="493" t="s">
        <v>3106</v>
      </c>
      <c r="N292" s="492" t="s">
        <v>3104</v>
      </c>
      <c r="O292" s="492" t="s">
        <v>1758</v>
      </c>
      <c r="P292" s="492" t="s">
        <v>2190</v>
      </c>
      <c r="Q292" s="492" t="s">
        <v>3501</v>
      </c>
      <c r="R292" s="492" t="s">
        <v>3107</v>
      </c>
      <c r="S292" s="492" t="s">
        <v>3108</v>
      </c>
      <c r="T292" s="492">
        <v>601</v>
      </c>
      <c r="U292" s="492" t="s">
        <v>687</v>
      </c>
      <c r="V292" s="492" t="s">
        <v>3109</v>
      </c>
      <c r="W292" s="492" t="s">
        <v>3110</v>
      </c>
      <c r="X292" s="492" t="s">
        <v>3502</v>
      </c>
      <c r="Y292" s="492" t="s">
        <v>3111</v>
      </c>
      <c r="Z292" s="492" t="s">
        <v>962</v>
      </c>
      <c r="AA292" s="492" t="s">
        <v>3502</v>
      </c>
      <c r="AB292" s="492" t="s">
        <v>34</v>
      </c>
      <c r="AC292" s="492" t="s">
        <v>830</v>
      </c>
      <c r="AD292" s="492" t="s">
        <v>831</v>
      </c>
      <c r="AE292" s="492" t="s">
        <v>612</v>
      </c>
      <c r="AF292" s="492" t="s">
        <v>2054</v>
      </c>
      <c r="AG292" s="492" t="s">
        <v>34</v>
      </c>
      <c r="AH292" s="492" t="s">
        <v>34</v>
      </c>
      <c r="AI292" s="492" t="s">
        <v>34</v>
      </c>
      <c r="AJ292" s="492" t="s">
        <v>34</v>
      </c>
      <c r="AK292" s="492" t="s">
        <v>832</v>
      </c>
      <c r="AL292" s="492" t="s">
        <v>2432</v>
      </c>
      <c r="AM292" s="61" t="s">
        <v>3441</v>
      </c>
      <c r="AN292" s="490"/>
      <c r="AO292" s="490"/>
      <c r="AP292" s="61"/>
    </row>
    <row r="293" spans="1:42" x14ac:dyDescent="0.2">
      <c r="A293" s="61">
        <v>292</v>
      </c>
      <c r="B293" s="491" t="s">
        <v>1720</v>
      </c>
      <c r="C293" s="492" t="s">
        <v>271</v>
      </c>
      <c r="D293" s="492" t="s">
        <v>2802</v>
      </c>
      <c r="E293" s="492" t="s">
        <v>770</v>
      </c>
      <c r="F293" s="492" t="s">
        <v>739</v>
      </c>
      <c r="G293" s="492" t="s">
        <v>34</v>
      </c>
      <c r="H293" s="492" t="s">
        <v>835</v>
      </c>
      <c r="I293" s="492" t="s">
        <v>4270</v>
      </c>
      <c r="J293" s="492" t="s">
        <v>1447</v>
      </c>
      <c r="K293" s="492" t="s">
        <v>1765</v>
      </c>
      <c r="L293" s="492" t="s">
        <v>826</v>
      </c>
      <c r="M293" s="493">
        <v>8</v>
      </c>
      <c r="N293" s="492" t="s">
        <v>271</v>
      </c>
      <c r="O293" s="492" t="s">
        <v>305</v>
      </c>
      <c r="P293" s="492" t="s">
        <v>1773</v>
      </c>
      <c r="Q293" s="492" t="s">
        <v>911</v>
      </c>
      <c r="R293" s="492" t="s">
        <v>1002</v>
      </c>
      <c r="S293" s="492" t="s">
        <v>1772</v>
      </c>
      <c r="T293" s="492">
        <v>240</v>
      </c>
      <c r="U293" s="492" t="s">
        <v>858</v>
      </c>
      <c r="V293" s="492" t="s">
        <v>1774</v>
      </c>
      <c r="W293" s="492" t="s">
        <v>1775</v>
      </c>
      <c r="X293" s="492" t="s">
        <v>829</v>
      </c>
      <c r="Y293" s="492" t="s">
        <v>108</v>
      </c>
      <c r="Z293" s="492" t="s">
        <v>108</v>
      </c>
      <c r="AA293" s="492" t="s">
        <v>108</v>
      </c>
      <c r="AB293" s="492" t="s">
        <v>34</v>
      </c>
      <c r="AC293" s="492" t="s">
        <v>830</v>
      </c>
      <c r="AD293" s="492" t="s">
        <v>831</v>
      </c>
      <c r="AE293" s="492" t="s">
        <v>612</v>
      </c>
      <c r="AF293" s="492">
        <v>4</v>
      </c>
      <c r="AG293" s="492">
        <v>0</v>
      </c>
      <c r="AH293" s="492">
        <v>0</v>
      </c>
      <c r="AI293" s="492" t="s">
        <v>2584</v>
      </c>
      <c r="AJ293" s="492" t="s">
        <v>34</v>
      </c>
      <c r="AK293" s="492" t="s">
        <v>832</v>
      </c>
      <c r="AL293" s="492" t="s">
        <v>2432</v>
      </c>
      <c r="AM293" s="61" t="s">
        <v>3441</v>
      </c>
      <c r="AN293" s="490">
        <v>0</v>
      </c>
      <c r="AO293" s="490">
        <v>0</v>
      </c>
      <c r="AP293" s="61"/>
    </row>
    <row r="294" spans="1:42" x14ac:dyDescent="0.2">
      <c r="A294" s="61">
        <v>293</v>
      </c>
      <c r="B294" s="491" t="s">
        <v>1720</v>
      </c>
      <c r="C294" s="492" t="s">
        <v>3267</v>
      </c>
      <c r="D294" s="492" t="s">
        <v>3268</v>
      </c>
      <c r="E294" s="492" t="s">
        <v>770</v>
      </c>
      <c r="F294" s="492" t="s">
        <v>739</v>
      </c>
      <c r="G294" s="492" t="s">
        <v>34</v>
      </c>
      <c r="H294" s="492" t="s">
        <v>835</v>
      </c>
      <c r="I294" s="492" t="s">
        <v>4270</v>
      </c>
      <c r="J294" s="492" t="s">
        <v>1103</v>
      </c>
      <c r="K294" s="492" t="s">
        <v>365</v>
      </c>
      <c r="L294" s="492" t="s">
        <v>1176</v>
      </c>
      <c r="M294" s="493">
        <v>9</v>
      </c>
      <c r="N294" s="492" t="s">
        <v>280</v>
      </c>
      <c r="O294" s="492" t="s">
        <v>1758</v>
      </c>
      <c r="P294" s="492" t="s">
        <v>1740</v>
      </c>
      <c r="Q294" s="492" t="s">
        <v>911</v>
      </c>
      <c r="R294" s="492" t="s">
        <v>828</v>
      </c>
      <c r="S294" s="492" t="s">
        <v>1741</v>
      </c>
      <c r="T294" s="492">
        <v>73.900000000000006</v>
      </c>
      <c r="U294" s="492" t="s">
        <v>687</v>
      </c>
      <c r="V294" s="492" t="s">
        <v>1067</v>
      </c>
      <c r="W294" s="492" t="s">
        <v>1742</v>
      </c>
      <c r="X294" s="492" t="s">
        <v>829</v>
      </c>
      <c r="Y294" s="492" t="s">
        <v>1796</v>
      </c>
      <c r="Z294" s="492" t="s">
        <v>3850</v>
      </c>
      <c r="AA294" s="492" t="s">
        <v>829</v>
      </c>
      <c r="AB294" s="492" t="s">
        <v>34</v>
      </c>
      <c r="AC294" s="492" t="s">
        <v>830</v>
      </c>
      <c r="AD294" s="492" t="s">
        <v>831</v>
      </c>
      <c r="AE294" s="492" t="s">
        <v>612</v>
      </c>
      <c r="AF294" s="492">
        <v>0.8</v>
      </c>
      <c r="AG294" s="492">
        <v>1</v>
      </c>
      <c r="AH294" s="492">
        <v>4.05</v>
      </c>
      <c r="AI294" s="492" t="s">
        <v>2582</v>
      </c>
      <c r="AJ294" s="492" t="s">
        <v>34</v>
      </c>
      <c r="AK294" s="492" t="s">
        <v>832</v>
      </c>
      <c r="AL294" s="492" t="s">
        <v>2432</v>
      </c>
      <c r="AM294" s="61" t="s">
        <v>3459</v>
      </c>
      <c r="AN294" s="490">
        <v>0</v>
      </c>
      <c r="AO294" s="490">
        <v>0</v>
      </c>
      <c r="AP294" s="61"/>
    </row>
    <row r="295" spans="1:42" x14ac:dyDescent="0.2">
      <c r="A295" s="61">
        <v>294</v>
      </c>
      <c r="B295" s="491" t="s">
        <v>1720</v>
      </c>
      <c r="C295" s="492" t="s">
        <v>280</v>
      </c>
      <c r="D295" s="492" t="s">
        <v>2803</v>
      </c>
      <c r="E295" s="492" t="s">
        <v>770</v>
      </c>
      <c r="F295" s="492" t="s">
        <v>739</v>
      </c>
      <c r="G295" s="492" t="s">
        <v>34</v>
      </c>
      <c r="H295" s="492" t="s">
        <v>835</v>
      </c>
      <c r="I295" s="492" t="s">
        <v>4270</v>
      </c>
      <c r="J295" s="492" t="s">
        <v>1447</v>
      </c>
      <c r="K295" s="492" t="s">
        <v>365</v>
      </c>
      <c r="L295" s="492" t="s">
        <v>1176</v>
      </c>
      <c r="M295" s="493">
        <v>9</v>
      </c>
      <c r="N295" s="492" t="s">
        <v>280</v>
      </c>
      <c r="O295" s="492" t="s">
        <v>305</v>
      </c>
      <c r="P295" s="492" t="s">
        <v>1740</v>
      </c>
      <c r="Q295" s="492" t="s">
        <v>3501</v>
      </c>
      <c r="R295" s="492" t="s">
        <v>828</v>
      </c>
      <c r="S295" s="492" t="s">
        <v>1741</v>
      </c>
      <c r="T295" s="492">
        <v>73.900000000000006</v>
      </c>
      <c r="U295" s="492" t="s">
        <v>858</v>
      </c>
      <c r="V295" s="492" t="s">
        <v>1067</v>
      </c>
      <c r="W295" s="492" t="s">
        <v>1742</v>
      </c>
      <c r="X295" s="492" t="s">
        <v>3502</v>
      </c>
      <c r="Y295" s="492" t="s">
        <v>3683</v>
      </c>
      <c r="Z295" s="492" t="s">
        <v>3850</v>
      </c>
      <c r="AA295" s="492" t="s">
        <v>3502</v>
      </c>
      <c r="AB295" s="492" t="s">
        <v>34</v>
      </c>
      <c r="AC295" s="492" t="s">
        <v>830</v>
      </c>
      <c r="AD295" s="492" t="s">
        <v>831</v>
      </c>
      <c r="AE295" s="492" t="s">
        <v>612</v>
      </c>
      <c r="AF295" s="492">
        <v>0.8</v>
      </c>
      <c r="AG295" s="492">
        <v>1</v>
      </c>
      <c r="AH295" s="492">
        <v>4.05</v>
      </c>
      <c r="AI295" s="492" t="s">
        <v>2582</v>
      </c>
      <c r="AJ295" s="492" t="s">
        <v>34</v>
      </c>
      <c r="AK295" s="492" t="s">
        <v>832</v>
      </c>
      <c r="AL295" s="492" t="s">
        <v>2432</v>
      </c>
      <c r="AM295" s="61" t="s">
        <v>3444</v>
      </c>
      <c r="AN295" s="490">
        <v>0</v>
      </c>
      <c r="AO295" s="490">
        <v>0</v>
      </c>
      <c r="AP295" s="61"/>
    </row>
    <row r="296" spans="1:42" x14ac:dyDescent="0.2">
      <c r="A296" s="61">
        <v>295</v>
      </c>
      <c r="B296" s="491" t="s">
        <v>1720</v>
      </c>
      <c r="C296" s="492" t="s">
        <v>699</v>
      </c>
      <c r="D296" s="492" t="s">
        <v>2804</v>
      </c>
      <c r="E296" s="492" t="s">
        <v>770</v>
      </c>
      <c r="F296" s="492" t="s">
        <v>739</v>
      </c>
      <c r="G296" s="492" t="s">
        <v>34</v>
      </c>
      <c r="H296" s="492" t="s">
        <v>835</v>
      </c>
      <c r="I296" s="492" t="s">
        <v>4279</v>
      </c>
      <c r="J296" s="492" t="s">
        <v>1103</v>
      </c>
      <c r="K296" s="492" t="s">
        <v>1733</v>
      </c>
      <c r="L296" s="492" t="s">
        <v>1734</v>
      </c>
      <c r="M296" s="493" t="s">
        <v>1763</v>
      </c>
      <c r="N296" s="492" t="s">
        <v>1764</v>
      </c>
      <c r="O296" s="492" t="s">
        <v>1758</v>
      </c>
      <c r="P296" s="492" t="s">
        <v>3725</v>
      </c>
      <c r="Q296" s="492" t="s">
        <v>911</v>
      </c>
      <c r="R296" s="492" t="s">
        <v>1002</v>
      </c>
      <c r="S296" s="492" t="s">
        <v>1736</v>
      </c>
      <c r="T296" s="492">
        <v>630</v>
      </c>
      <c r="U296" s="492" t="s">
        <v>687</v>
      </c>
      <c r="V296" s="492" t="s">
        <v>913</v>
      </c>
      <c r="W296" s="492" t="s">
        <v>1737</v>
      </c>
      <c r="X296" s="492" t="s">
        <v>829</v>
      </c>
      <c r="Y296" s="492" t="s">
        <v>1026</v>
      </c>
      <c r="Z296" s="492" t="s">
        <v>1738</v>
      </c>
      <c r="AA296" s="492" t="s">
        <v>829</v>
      </c>
      <c r="AB296" s="492" t="s">
        <v>1739</v>
      </c>
      <c r="AC296" s="492" t="s">
        <v>830</v>
      </c>
      <c r="AD296" s="492" t="s">
        <v>831</v>
      </c>
      <c r="AE296" s="492" t="s">
        <v>612</v>
      </c>
      <c r="AF296" s="492">
        <v>17</v>
      </c>
      <c r="AG296" s="492">
        <v>60</v>
      </c>
      <c r="AH296" s="492">
        <v>10</v>
      </c>
      <c r="AI296" s="492" t="s">
        <v>2581</v>
      </c>
      <c r="AJ296" s="492" t="s">
        <v>34</v>
      </c>
      <c r="AK296" s="492" t="s">
        <v>832</v>
      </c>
      <c r="AL296" s="492" t="s">
        <v>2432</v>
      </c>
      <c r="AM296" s="61" t="s">
        <v>3459</v>
      </c>
      <c r="AN296" s="490">
        <v>0</v>
      </c>
      <c r="AO296" s="490">
        <v>0</v>
      </c>
      <c r="AP296" s="61"/>
    </row>
    <row r="297" spans="1:42" x14ac:dyDescent="0.2">
      <c r="A297" s="61">
        <v>296</v>
      </c>
      <c r="B297" s="491" t="s">
        <v>1720</v>
      </c>
      <c r="C297" s="492" t="s">
        <v>281</v>
      </c>
      <c r="D297" s="492" t="s">
        <v>2805</v>
      </c>
      <c r="E297" s="492" t="s">
        <v>770</v>
      </c>
      <c r="F297" s="492" t="s">
        <v>739</v>
      </c>
      <c r="G297" s="492" t="s">
        <v>34</v>
      </c>
      <c r="H297" s="492" t="s">
        <v>835</v>
      </c>
      <c r="I297" s="492" t="s">
        <v>4270</v>
      </c>
      <c r="J297" s="492" t="s">
        <v>1103</v>
      </c>
      <c r="K297" s="492" t="s">
        <v>1733</v>
      </c>
      <c r="L297" s="492" t="s">
        <v>1734</v>
      </c>
      <c r="M297" s="493" t="s">
        <v>1735</v>
      </c>
      <c r="N297" s="492" t="s">
        <v>281</v>
      </c>
      <c r="O297" s="492" t="s">
        <v>4301</v>
      </c>
      <c r="P297" s="492" t="s">
        <v>3746</v>
      </c>
      <c r="Q297" s="492" t="s">
        <v>3501</v>
      </c>
      <c r="R297" s="492" t="s">
        <v>1002</v>
      </c>
      <c r="S297" s="492" t="s">
        <v>1736</v>
      </c>
      <c r="T297" s="492">
        <v>630</v>
      </c>
      <c r="U297" s="492" t="s">
        <v>857</v>
      </c>
      <c r="V297" s="492" t="s">
        <v>913</v>
      </c>
      <c r="W297" s="492" t="s">
        <v>1737</v>
      </c>
      <c r="X297" s="492" t="s">
        <v>3502</v>
      </c>
      <c r="Y297" s="492" t="s">
        <v>1026</v>
      </c>
      <c r="Z297" s="492" t="s">
        <v>1738</v>
      </c>
      <c r="AA297" s="492" t="s">
        <v>3502</v>
      </c>
      <c r="AB297" s="492" t="s">
        <v>1739</v>
      </c>
      <c r="AC297" s="492" t="s">
        <v>830</v>
      </c>
      <c r="AD297" s="492" t="s">
        <v>831</v>
      </c>
      <c r="AE297" s="492" t="s">
        <v>612</v>
      </c>
      <c r="AF297" s="492">
        <v>17</v>
      </c>
      <c r="AG297" s="492">
        <v>60</v>
      </c>
      <c r="AH297" s="492">
        <v>10</v>
      </c>
      <c r="AI297" s="492" t="s">
        <v>2581</v>
      </c>
      <c r="AJ297" s="492" t="s">
        <v>34</v>
      </c>
      <c r="AK297" s="492" t="s">
        <v>832</v>
      </c>
      <c r="AL297" s="492" t="s">
        <v>2432</v>
      </c>
      <c r="AM297" s="61" t="s">
        <v>3441</v>
      </c>
      <c r="AN297" s="490">
        <v>0</v>
      </c>
      <c r="AO297" s="490">
        <v>0</v>
      </c>
      <c r="AP297" s="61"/>
    </row>
    <row r="298" spans="1:42" x14ac:dyDescent="0.2">
      <c r="A298" s="61">
        <v>297</v>
      </c>
      <c r="B298" s="491" t="s">
        <v>1720</v>
      </c>
      <c r="C298" s="492" t="s">
        <v>3795</v>
      </c>
      <c r="D298" s="492" t="s">
        <v>3796</v>
      </c>
      <c r="E298" s="492" t="s">
        <v>770</v>
      </c>
      <c r="F298" s="492" t="s">
        <v>739</v>
      </c>
      <c r="G298" s="492" t="s">
        <v>34</v>
      </c>
      <c r="H298" s="492" t="s">
        <v>835</v>
      </c>
      <c r="I298" s="492" t="s">
        <v>4270</v>
      </c>
      <c r="J298" s="492" t="s">
        <v>1447</v>
      </c>
      <c r="K298" s="492" t="s">
        <v>366</v>
      </c>
      <c r="L298" s="492" t="s">
        <v>1723</v>
      </c>
      <c r="M298" s="493" t="s">
        <v>1724</v>
      </c>
      <c r="N298" s="492" t="s">
        <v>3795</v>
      </c>
      <c r="O298" s="492" t="s">
        <v>305</v>
      </c>
      <c r="P298" s="492" t="s">
        <v>1725</v>
      </c>
      <c r="Q298" s="492" t="s">
        <v>911</v>
      </c>
      <c r="R298" s="492" t="s">
        <v>828</v>
      </c>
      <c r="S298" s="492" t="s">
        <v>1726</v>
      </c>
      <c r="T298" s="492">
        <v>564.6</v>
      </c>
      <c r="U298" s="492" t="s">
        <v>858</v>
      </c>
      <c r="V298" s="492" t="s">
        <v>1727</v>
      </c>
      <c r="W298" s="492" t="s">
        <v>1728</v>
      </c>
      <c r="X298" s="492" t="s">
        <v>829</v>
      </c>
      <c r="Y298" s="492" t="s">
        <v>3629</v>
      </c>
      <c r="Z298" s="492">
        <v>12347135</v>
      </c>
      <c r="AA298" s="492" t="s">
        <v>829</v>
      </c>
      <c r="AB298" s="492" t="s">
        <v>1701</v>
      </c>
      <c r="AC298" s="492" t="s">
        <v>830</v>
      </c>
      <c r="AD298" s="492" t="s">
        <v>831</v>
      </c>
      <c r="AE298" s="492" t="s">
        <v>612</v>
      </c>
      <c r="AF298" s="492" t="s">
        <v>2054</v>
      </c>
      <c r="AG298" s="492" t="s">
        <v>34</v>
      </c>
      <c r="AH298" s="492" t="s">
        <v>34</v>
      </c>
      <c r="AI298" s="492" t="s">
        <v>34</v>
      </c>
      <c r="AJ298" s="492" t="s">
        <v>34</v>
      </c>
      <c r="AK298" s="492" t="s">
        <v>832</v>
      </c>
      <c r="AL298" s="492" t="s">
        <v>2432</v>
      </c>
      <c r="AM298" s="61" t="s">
        <v>3442</v>
      </c>
      <c r="AN298" s="490"/>
      <c r="AO298" s="490"/>
      <c r="AP298" s="61"/>
    </row>
    <row r="299" spans="1:42" x14ac:dyDescent="0.2">
      <c r="A299" s="61">
        <v>298</v>
      </c>
      <c r="B299" s="491" t="s">
        <v>1720</v>
      </c>
      <c r="C299" s="492" t="s">
        <v>3797</v>
      </c>
      <c r="D299" s="492" t="s">
        <v>3798</v>
      </c>
      <c r="E299" s="492" t="s">
        <v>770</v>
      </c>
      <c r="F299" s="492" t="s">
        <v>739</v>
      </c>
      <c r="G299" s="492" t="s">
        <v>34</v>
      </c>
      <c r="H299" s="492" t="s">
        <v>835</v>
      </c>
      <c r="I299" s="492" t="s">
        <v>4279</v>
      </c>
      <c r="J299" s="492" t="s">
        <v>1447</v>
      </c>
      <c r="K299" s="492" t="s">
        <v>366</v>
      </c>
      <c r="L299" s="492" t="s">
        <v>1723</v>
      </c>
      <c r="M299" s="493" t="s">
        <v>1724</v>
      </c>
      <c r="N299" s="492" t="s">
        <v>3795</v>
      </c>
      <c r="O299" s="492" t="s">
        <v>305</v>
      </c>
      <c r="P299" s="492" t="s">
        <v>1725</v>
      </c>
      <c r="Q299" s="492" t="s">
        <v>911</v>
      </c>
      <c r="R299" s="492" t="s">
        <v>828</v>
      </c>
      <c r="S299" s="492" t="s">
        <v>1726</v>
      </c>
      <c r="T299" s="492">
        <v>564.6</v>
      </c>
      <c r="U299" s="492" t="s">
        <v>687</v>
      </c>
      <c r="V299" s="492" t="s">
        <v>3479</v>
      </c>
      <c r="W299" s="492" t="s">
        <v>1728</v>
      </c>
      <c r="X299" s="492" t="s">
        <v>968</v>
      </c>
      <c r="Y299" s="492" t="s">
        <v>1729</v>
      </c>
      <c r="Z299" s="492" t="s">
        <v>1730</v>
      </c>
      <c r="AA299" s="492" t="s">
        <v>829</v>
      </c>
      <c r="AB299" s="492" t="s">
        <v>3480</v>
      </c>
      <c r="AC299" s="492" t="s">
        <v>830</v>
      </c>
      <c r="AD299" s="492" t="s">
        <v>831</v>
      </c>
      <c r="AE299" s="492" t="s">
        <v>612</v>
      </c>
      <c r="AF299" s="492" t="s">
        <v>2054</v>
      </c>
      <c r="AG299" s="492" t="s">
        <v>34</v>
      </c>
      <c r="AH299" s="492" t="s">
        <v>34</v>
      </c>
      <c r="AI299" s="492" t="s">
        <v>34</v>
      </c>
      <c r="AJ299" s="492" t="s">
        <v>34</v>
      </c>
      <c r="AK299" s="492" t="s">
        <v>832</v>
      </c>
      <c r="AL299" s="492" t="s">
        <v>2432</v>
      </c>
      <c r="AM299" s="61" t="s">
        <v>3459</v>
      </c>
      <c r="AN299" s="490"/>
      <c r="AO299" s="490"/>
      <c r="AP299" s="61"/>
    </row>
    <row r="300" spans="1:42" x14ac:dyDescent="0.2">
      <c r="A300" s="61">
        <v>299</v>
      </c>
      <c r="B300" s="491" t="s">
        <v>1720</v>
      </c>
      <c r="C300" s="492" t="s">
        <v>3392</v>
      </c>
      <c r="D300" s="492" t="s">
        <v>3393</v>
      </c>
      <c r="E300" s="492" t="s">
        <v>770</v>
      </c>
      <c r="F300" s="492" t="s">
        <v>739</v>
      </c>
      <c r="G300" s="492" t="s">
        <v>34</v>
      </c>
      <c r="H300" s="492" t="s">
        <v>835</v>
      </c>
      <c r="I300" s="492" t="s">
        <v>4303</v>
      </c>
      <c r="J300" s="492" t="s">
        <v>1103</v>
      </c>
      <c r="K300" s="492" t="s">
        <v>3394</v>
      </c>
      <c r="L300" s="492" t="s">
        <v>3395</v>
      </c>
      <c r="M300" s="493" t="s">
        <v>3396</v>
      </c>
      <c r="N300" s="492" t="s">
        <v>3397</v>
      </c>
      <c r="O300" s="492" t="s">
        <v>1758</v>
      </c>
      <c r="P300" s="492" t="s">
        <v>3398</v>
      </c>
      <c r="Q300" s="492" t="s">
        <v>911</v>
      </c>
      <c r="R300" s="492" t="s">
        <v>3107</v>
      </c>
      <c r="S300" s="492" t="s">
        <v>3399</v>
      </c>
      <c r="T300" s="492">
        <v>538.70000000000005</v>
      </c>
      <c r="U300" s="492" t="s">
        <v>687</v>
      </c>
      <c r="V300" s="492" t="s">
        <v>1248</v>
      </c>
      <c r="W300" s="492" t="s">
        <v>3400</v>
      </c>
      <c r="X300" s="492" t="s">
        <v>829</v>
      </c>
      <c r="Y300" s="492" t="s">
        <v>1796</v>
      </c>
      <c r="Z300" s="492">
        <v>12347139</v>
      </c>
      <c r="AA300" s="492" t="s">
        <v>829</v>
      </c>
      <c r="AB300" s="492" t="s">
        <v>3401</v>
      </c>
      <c r="AC300" s="492" t="s">
        <v>830</v>
      </c>
      <c r="AD300" s="492" t="s">
        <v>831</v>
      </c>
      <c r="AE300" s="492" t="s">
        <v>612</v>
      </c>
      <c r="AF300" s="492">
        <v>123</v>
      </c>
      <c r="AG300" s="492">
        <v>1.6</v>
      </c>
      <c r="AH300" s="492">
        <v>2.62</v>
      </c>
      <c r="AI300" s="492" t="s">
        <v>108</v>
      </c>
      <c r="AJ300" s="492" t="s">
        <v>108</v>
      </c>
      <c r="AK300" s="492" t="s">
        <v>832</v>
      </c>
      <c r="AL300" s="492" t="s">
        <v>2432</v>
      </c>
      <c r="AM300" s="61" t="s">
        <v>3459</v>
      </c>
      <c r="AN300" s="490">
        <v>0</v>
      </c>
      <c r="AO300" s="490">
        <v>0</v>
      </c>
      <c r="AP300" s="61"/>
    </row>
    <row r="301" spans="1:42" x14ac:dyDescent="0.2">
      <c r="A301" s="61">
        <v>300</v>
      </c>
      <c r="B301" s="491" t="s">
        <v>1720</v>
      </c>
      <c r="C301" s="492" t="s">
        <v>3195</v>
      </c>
      <c r="D301" s="492" t="s">
        <v>3196</v>
      </c>
      <c r="E301" s="492" t="s">
        <v>770</v>
      </c>
      <c r="F301" s="492" t="s">
        <v>739</v>
      </c>
      <c r="G301" s="492" t="s">
        <v>34</v>
      </c>
      <c r="H301" s="492" t="s">
        <v>835</v>
      </c>
      <c r="I301" s="492" t="s">
        <v>4270</v>
      </c>
      <c r="J301" s="492" t="s">
        <v>1103</v>
      </c>
      <c r="K301" s="492" t="s">
        <v>3197</v>
      </c>
      <c r="L301" s="492" t="s">
        <v>1792</v>
      </c>
      <c r="M301" s="493" t="s">
        <v>1793</v>
      </c>
      <c r="N301" s="492" t="s">
        <v>1781</v>
      </c>
      <c r="O301" s="492" t="s">
        <v>305</v>
      </c>
      <c r="P301" s="492" t="s">
        <v>3747</v>
      </c>
      <c r="Q301" s="492" t="s">
        <v>911</v>
      </c>
      <c r="R301" s="492" t="s">
        <v>828</v>
      </c>
      <c r="S301" s="492" t="s">
        <v>1794</v>
      </c>
      <c r="T301" s="492">
        <v>528</v>
      </c>
      <c r="U301" s="492" t="s">
        <v>858</v>
      </c>
      <c r="V301" s="492" t="s">
        <v>1248</v>
      </c>
      <c r="W301" s="492" t="s">
        <v>1795</v>
      </c>
      <c r="X301" s="492" t="s">
        <v>829</v>
      </c>
      <c r="Y301" s="492" t="s">
        <v>1796</v>
      </c>
      <c r="Z301" s="492" t="s">
        <v>3202</v>
      </c>
      <c r="AA301" s="492" t="s">
        <v>829</v>
      </c>
      <c r="AB301" s="492" t="s">
        <v>34</v>
      </c>
      <c r="AC301" s="492" t="s">
        <v>830</v>
      </c>
      <c r="AD301" s="492" t="s">
        <v>831</v>
      </c>
      <c r="AE301" s="492" t="s">
        <v>612</v>
      </c>
      <c r="AF301" s="492">
        <v>25</v>
      </c>
      <c r="AG301" s="492">
        <v>385</v>
      </c>
      <c r="AH301" s="492">
        <v>8</v>
      </c>
      <c r="AI301" s="492" t="s">
        <v>2580</v>
      </c>
      <c r="AJ301" s="492" t="s">
        <v>34</v>
      </c>
      <c r="AK301" s="492" t="s">
        <v>832</v>
      </c>
      <c r="AL301" s="492" t="s">
        <v>2432</v>
      </c>
      <c r="AM301" s="61" t="s">
        <v>3444</v>
      </c>
      <c r="AN301" s="490">
        <v>0</v>
      </c>
      <c r="AO301" s="490">
        <v>0</v>
      </c>
      <c r="AP301" s="61"/>
    </row>
    <row r="302" spans="1:42" x14ac:dyDescent="0.2">
      <c r="A302" s="61">
        <v>301</v>
      </c>
      <c r="B302" s="491" t="s">
        <v>1720</v>
      </c>
      <c r="C302" s="492" t="s">
        <v>3198</v>
      </c>
      <c r="D302" s="492" t="s">
        <v>3199</v>
      </c>
      <c r="E302" s="492" t="s">
        <v>770</v>
      </c>
      <c r="F302" s="492" t="s">
        <v>739</v>
      </c>
      <c r="G302" s="492" t="s">
        <v>34</v>
      </c>
      <c r="H302" s="492" t="s">
        <v>835</v>
      </c>
      <c r="I302" s="492" t="s">
        <v>4279</v>
      </c>
      <c r="J302" s="492" t="s">
        <v>1103</v>
      </c>
      <c r="K302" s="492" t="s">
        <v>3200</v>
      </c>
      <c r="L302" s="492" t="s">
        <v>1792</v>
      </c>
      <c r="M302" s="493" t="s">
        <v>1793</v>
      </c>
      <c r="N302" s="492" t="s">
        <v>1781</v>
      </c>
      <c r="O302" s="492" t="s">
        <v>1758</v>
      </c>
      <c r="P302" s="492" t="s">
        <v>3747</v>
      </c>
      <c r="Q302" s="492" t="s">
        <v>911</v>
      </c>
      <c r="R302" s="492" t="s">
        <v>828</v>
      </c>
      <c r="S302" s="492" t="s">
        <v>1794</v>
      </c>
      <c r="T302" s="492">
        <v>528</v>
      </c>
      <c r="U302" s="492" t="s">
        <v>687</v>
      </c>
      <c r="V302" s="492" t="s">
        <v>1248</v>
      </c>
      <c r="W302" s="492" t="s">
        <v>1795</v>
      </c>
      <c r="X302" s="492" t="s">
        <v>829</v>
      </c>
      <c r="Y302" s="492" t="s">
        <v>1796</v>
      </c>
      <c r="Z302" s="492" t="s">
        <v>3202</v>
      </c>
      <c r="AA302" s="492" t="s">
        <v>829</v>
      </c>
      <c r="AB302" s="492" t="s">
        <v>34</v>
      </c>
      <c r="AC302" s="492" t="s">
        <v>830</v>
      </c>
      <c r="AD302" s="492" t="s">
        <v>831</v>
      </c>
      <c r="AE302" s="492" t="s">
        <v>612</v>
      </c>
      <c r="AF302" s="492">
        <v>25</v>
      </c>
      <c r="AG302" s="492">
        <v>385</v>
      </c>
      <c r="AH302" s="492">
        <v>8</v>
      </c>
      <c r="AI302" s="492" t="s">
        <v>2580</v>
      </c>
      <c r="AJ302" s="492" t="s">
        <v>34</v>
      </c>
      <c r="AK302" s="492" t="s">
        <v>832</v>
      </c>
      <c r="AL302" s="492" t="s">
        <v>2432</v>
      </c>
      <c r="AM302" s="61" t="s">
        <v>3459</v>
      </c>
      <c r="AN302" s="490">
        <v>0</v>
      </c>
      <c r="AO302" s="490">
        <v>0</v>
      </c>
      <c r="AP302" s="61"/>
    </row>
    <row r="303" spans="1:42" x14ac:dyDescent="0.2">
      <c r="A303" s="61">
        <v>302</v>
      </c>
      <c r="B303" s="491" t="s">
        <v>1720</v>
      </c>
      <c r="C303" s="492" t="s">
        <v>1243</v>
      </c>
      <c r="D303" s="492" t="s">
        <v>3427</v>
      </c>
      <c r="E303" s="492" t="s">
        <v>770</v>
      </c>
      <c r="F303" s="492" t="s">
        <v>739</v>
      </c>
      <c r="G303" s="492" t="s">
        <v>34</v>
      </c>
      <c r="H303" s="492" t="s">
        <v>835</v>
      </c>
      <c r="I303" s="492" t="s">
        <v>4303</v>
      </c>
      <c r="J303" s="492" t="s">
        <v>1103</v>
      </c>
      <c r="K303" s="492" t="s">
        <v>2032</v>
      </c>
      <c r="L303" s="492" t="s">
        <v>3428</v>
      </c>
      <c r="M303" s="493" t="s">
        <v>3429</v>
      </c>
      <c r="N303" s="492" t="s">
        <v>3430</v>
      </c>
      <c r="O303" s="492" t="s">
        <v>4275</v>
      </c>
      <c r="P303" s="492" t="s">
        <v>1725</v>
      </c>
      <c r="Q303" s="492" t="s">
        <v>3501</v>
      </c>
      <c r="R303" s="492" t="s">
        <v>3107</v>
      </c>
      <c r="S303" s="492" t="s">
        <v>3759</v>
      </c>
      <c r="T303" s="492">
        <v>692.5</v>
      </c>
      <c r="U303" s="492" t="s">
        <v>856</v>
      </c>
      <c r="V303" s="492" t="s">
        <v>1248</v>
      </c>
      <c r="W303" s="492" t="s">
        <v>3432</v>
      </c>
      <c r="X303" s="492" t="s">
        <v>3502</v>
      </c>
      <c r="Y303" s="492" t="s">
        <v>1796</v>
      </c>
      <c r="Z303" s="492">
        <v>19134057</v>
      </c>
      <c r="AA303" s="492" t="s">
        <v>3502</v>
      </c>
      <c r="AB303" s="492" t="s">
        <v>34</v>
      </c>
      <c r="AC303" s="492" t="s">
        <v>830</v>
      </c>
      <c r="AD303" s="492" t="s">
        <v>831</v>
      </c>
      <c r="AE303" s="492" t="s">
        <v>612</v>
      </c>
      <c r="AF303" s="492">
        <v>25.6</v>
      </c>
      <c r="AG303" s="492">
        <v>385</v>
      </c>
      <c r="AH303" s="492">
        <v>8</v>
      </c>
      <c r="AI303" s="492" t="s">
        <v>108</v>
      </c>
      <c r="AJ303" s="492" t="s">
        <v>108</v>
      </c>
      <c r="AK303" s="492" t="s">
        <v>832</v>
      </c>
      <c r="AL303" s="492" t="s">
        <v>34</v>
      </c>
      <c r="AM303" s="61" t="s">
        <v>3441</v>
      </c>
      <c r="AN303" s="490">
        <v>0</v>
      </c>
      <c r="AO303" s="490">
        <v>0</v>
      </c>
      <c r="AP303" s="61"/>
    </row>
    <row r="304" spans="1:42" x14ac:dyDescent="0.2">
      <c r="A304" s="61">
        <v>303</v>
      </c>
      <c r="B304" s="491" t="s">
        <v>1720</v>
      </c>
      <c r="C304" s="492" t="s">
        <v>3433</v>
      </c>
      <c r="D304" s="492" t="s">
        <v>3434</v>
      </c>
      <c r="E304" s="492" t="s">
        <v>770</v>
      </c>
      <c r="F304" s="492" t="s">
        <v>739</v>
      </c>
      <c r="G304" s="492" t="s">
        <v>34</v>
      </c>
      <c r="H304" s="492" t="s">
        <v>835</v>
      </c>
      <c r="I304" s="492" t="s">
        <v>4303</v>
      </c>
      <c r="J304" s="492" t="s">
        <v>1103</v>
      </c>
      <c r="K304" s="492" t="s">
        <v>2032</v>
      </c>
      <c r="L304" s="492" t="s">
        <v>3428</v>
      </c>
      <c r="M304" s="493" t="s">
        <v>3429</v>
      </c>
      <c r="N304" s="492" t="s">
        <v>3430</v>
      </c>
      <c r="O304" s="492" t="s">
        <v>1758</v>
      </c>
      <c r="P304" s="492" t="s">
        <v>1725</v>
      </c>
      <c r="Q304" s="492" t="s">
        <v>911</v>
      </c>
      <c r="R304" s="492" t="s">
        <v>3107</v>
      </c>
      <c r="S304" s="492" t="s">
        <v>3431</v>
      </c>
      <c r="T304" s="492">
        <v>722.1</v>
      </c>
      <c r="U304" s="492" t="s">
        <v>687</v>
      </c>
      <c r="V304" s="492" t="s">
        <v>1248</v>
      </c>
      <c r="W304" s="492" t="s">
        <v>3432</v>
      </c>
      <c r="X304" s="492" t="s">
        <v>829</v>
      </c>
      <c r="Y304" s="492" t="s">
        <v>1796</v>
      </c>
      <c r="Z304" s="492">
        <v>19134057</v>
      </c>
      <c r="AA304" s="492" t="s">
        <v>829</v>
      </c>
      <c r="AB304" s="492" t="s">
        <v>3401</v>
      </c>
      <c r="AC304" s="492" t="s">
        <v>830</v>
      </c>
      <c r="AD304" s="492" t="s">
        <v>831</v>
      </c>
      <c r="AE304" s="492" t="s">
        <v>612</v>
      </c>
      <c r="AF304" s="492">
        <v>25.6</v>
      </c>
      <c r="AG304" s="492">
        <v>385</v>
      </c>
      <c r="AH304" s="492">
        <v>8</v>
      </c>
      <c r="AI304" s="492" t="s">
        <v>108</v>
      </c>
      <c r="AJ304" s="492" t="s">
        <v>108</v>
      </c>
      <c r="AK304" s="492" t="s">
        <v>832</v>
      </c>
      <c r="AL304" s="492" t="s">
        <v>34</v>
      </c>
      <c r="AM304" s="61" t="s">
        <v>3459</v>
      </c>
      <c r="AN304" s="490">
        <v>0</v>
      </c>
      <c r="AO304" s="490">
        <v>0</v>
      </c>
      <c r="AP304" s="61"/>
    </row>
    <row r="305" spans="1:42" x14ac:dyDescent="0.2">
      <c r="A305" s="61">
        <v>304</v>
      </c>
      <c r="B305" s="491" t="s">
        <v>1720</v>
      </c>
      <c r="C305" s="492" t="s">
        <v>3600</v>
      </c>
      <c r="D305" s="492" t="s">
        <v>3601</v>
      </c>
      <c r="E305" s="492" t="s">
        <v>770</v>
      </c>
      <c r="F305" s="492" t="s">
        <v>739</v>
      </c>
      <c r="G305" s="492" t="s">
        <v>34</v>
      </c>
      <c r="H305" s="492" t="s">
        <v>835</v>
      </c>
      <c r="I305" s="492" t="s">
        <v>4303</v>
      </c>
      <c r="J305" s="492" t="s">
        <v>1103</v>
      </c>
      <c r="K305" s="492" t="s">
        <v>2032</v>
      </c>
      <c r="L305" s="492" t="s">
        <v>3428</v>
      </c>
      <c r="M305" s="493" t="s">
        <v>3602</v>
      </c>
      <c r="N305" s="492" t="s">
        <v>3603</v>
      </c>
      <c r="O305" s="492" t="s">
        <v>1758</v>
      </c>
      <c r="P305" s="492" t="s">
        <v>1725</v>
      </c>
      <c r="Q305" s="492" t="s">
        <v>3501</v>
      </c>
      <c r="R305" s="492" t="s">
        <v>3107</v>
      </c>
      <c r="S305" s="492" t="s">
        <v>3604</v>
      </c>
      <c r="T305" s="492">
        <v>781.4</v>
      </c>
      <c r="U305" s="492" t="s">
        <v>687</v>
      </c>
      <c r="V305" s="492" t="s">
        <v>1248</v>
      </c>
      <c r="W305" s="492" t="s">
        <v>3605</v>
      </c>
      <c r="X305" s="492" t="s">
        <v>3502</v>
      </c>
      <c r="Y305" s="492" t="s">
        <v>3606</v>
      </c>
      <c r="Z305" s="492">
        <v>16455738</v>
      </c>
      <c r="AA305" s="492" t="s">
        <v>3502</v>
      </c>
      <c r="AB305" s="492" t="s">
        <v>3607</v>
      </c>
      <c r="AC305" s="492" t="s">
        <v>830</v>
      </c>
      <c r="AD305" s="492" t="s">
        <v>831</v>
      </c>
      <c r="AE305" s="492" t="s">
        <v>612</v>
      </c>
      <c r="AF305" s="492">
        <v>25</v>
      </c>
      <c r="AG305" s="492">
        <v>385</v>
      </c>
      <c r="AH305" s="492">
        <v>8</v>
      </c>
      <c r="AI305" s="492" t="s">
        <v>3608</v>
      </c>
      <c r="AJ305" s="492" t="s">
        <v>108</v>
      </c>
      <c r="AK305" s="492" t="s">
        <v>832</v>
      </c>
      <c r="AL305" s="492" t="s">
        <v>34</v>
      </c>
      <c r="AM305" s="61" t="s">
        <v>3609</v>
      </c>
      <c r="AN305" s="490"/>
      <c r="AO305" s="490"/>
      <c r="AP305" s="61"/>
    </row>
    <row r="306" spans="1:42" x14ac:dyDescent="0.2">
      <c r="A306" s="61">
        <v>305</v>
      </c>
      <c r="B306" s="491" t="s">
        <v>1720</v>
      </c>
      <c r="C306" s="492" t="s">
        <v>1239</v>
      </c>
      <c r="D306" s="492" t="s">
        <v>3610</v>
      </c>
      <c r="E306" s="492" t="s">
        <v>770</v>
      </c>
      <c r="F306" s="492" t="s">
        <v>739</v>
      </c>
      <c r="G306" s="492" t="s">
        <v>34</v>
      </c>
      <c r="H306" s="492" t="s">
        <v>835</v>
      </c>
      <c r="I306" s="492" t="s">
        <v>4303</v>
      </c>
      <c r="J306" s="492" t="s">
        <v>1103</v>
      </c>
      <c r="K306" s="492" t="s">
        <v>2032</v>
      </c>
      <c r="L306" s="492" t="s">
        <v>3428</v>
      </c>
      <c r="M306" s="493" t="s">
        <v>3602</v>
      </c>
      <c r="N306" s="492" t="s">
        <v>3603</v>
      </c>
      <c r="O306" s="492" t="s">
        <v>4275</v>
      </c>
      <c r="P306" s="492" t="s">
        <v>1725</v>
      </c>
      <c r="Q306" s="492" t="s">
        <v>3501</v>
      </c>
      <c r="R306" s="492" t="s">
        <v>3107</v>
      </c>
      <c r="S306" s="492" t="s">
        <v>3604</v>
      </c>
      <c r="T306" s="492">
        <v>781.4</v>
      </c>
      <c r="U306" s="492" t="s">
        <v>856</v>
      </c>
      <c r="V306" s="492" t="s">
        <v>1248</v>
      </c>
      <c r="W306" s="492" t="s">
        <v>3605</v>
      </c>
      <c r="X306" s="492" t="s">
        <v>3502</v>
      </c>
      <c r="Y306" s="492" t="s">
        <v>3606</v>
      </c>
      <c r="Z306" s="492" t="s">
        <v>3717</v>
      </c>
      <c r="AA306" s="492" t="s">
        <v>3502</v>
      </c>
      <c r="AB306" s="492" t="s">
        <v>3607</v>
      </c>
      <c r="AC306" s="492" t="s">
        <v>830</v>
      </c>
      <c r="AD306" s="492" t="s">
        <v>831</v>
      </c>
      <c r="AE306" s="492" t="s">
        <v>612</v>
      </c>
      <c r="AF306" s="492">
        <v>25</v>
      </c>
      <c r="AG306" s="492">
        <v>385</v>
      </c>
      <c r="AH306" s="492">
        <v>8</v>
      </c>
      <c r="AI306" s="492" t="s">
        <v>3608</v>
      </c>
      <c r="AJ306" s="492" t="s">
        <v>108</v>
      </c>
      <c r="AK306" s="492" t="s">
        <v>832</v>
      </c>
      <c r="AL306" s="492" t="s">
        <v>34</v>
      </c>
      <c r="AM306" s="61" t="s">
        <v>3441</v>
      </c>
      <c r="AN306" s="490"/>
      <c r="AO306" s="490"/>
      <c r="AP306" s="61"/>
    </row>
    <row r="307" spans="1:42" x14ac:dyDescent="0.2">
      <c r="A307" s="61">
        <v>306</v>
      </c>
      <c r="B307" s="491" t="s">
        <v>1720</v>
      </c>
      <c r="C307" s="492">
        <v>11303</v>
      </c>
      <c r="D307" s="492" t="s">
        <v>2806</v>
      </c>
      <c r="E307" s="492" t="s">
        <v>770</v>
      </c>
      <c r="F307" s="492" t="s">
        <v>739</v>
      </c>
      <c r="G307" s="492" t="s">
        <v>34</v>
      </c>
      <c r="H307" s="492" t="s">
        <v>835</v>
      </c>
      <c r="I307" s="492" t="s">
        <v>4270</v>
      </c>
      <c r="J307" s="492" t="s">
        <v>1447</v>
      </c>
      <c r="K307" s="492" t="s">
        <v>1452</v>
      </c>
      <c r="L307" s="492" t="s">
        <v>1779</v>
      </c>
      <c r="M307" s="493">
        <v>11303</v>
      </c>
      <c r="N307" s="492">
        <v>11303</v>
      </c>
      <c r="O307" s="492" t="s">
        <v>305</v>
      </c>
      <c r="P307" s="492" t="s">
        <v>1222</v>
      </c>
      <c r="Q307" s="492" t="s">
        <v>911</v>
      </c>
      <c r="R307" s="492" t="s">
        <v>892</v>
      </c>
      <c r="S307" s="492" t="s">
        <v>1780</v>
      </c>
      <c r="T307" s="492">
        <v>0.125</v>
      </c>
      <c r="U307" s="492" t="s">
        <v>687</v>
      </c>
      <c r="V307" s="492" t="s">
        <v>1467</v>
      </c>
      <c r="W307" s="492">
        <v>7329</v>
      </c>
      <c r="X307" s="492" t="s">
        <v>829</v>
      </c>
      <c r="Y307" s="492" t="s">
        <v>108</v>
      </c>
      <c r="Z307" s="492" t="s">
        <v>108</v>
      </c>
      <c r="AA307" s="492" t="s">
        <v>108</v>
      </c>
      <c r="AB307" s="492" t="s">
        <v>34</v>
      </c>
      <c r="AC307" s="492" t="s">
        <v>830</v>
      </c>
      <c r="AD307" s="492" t="s">
        <v>831</v>
      </c>
      <c r="AE307" s="492" t="s">
        <v>612</v>
      </c>
      <c r="AF307" s="492" t="s">
        <v>2054</v>
      </c>
      <c r="AG307" s="492" t="s">
        <v>34</v>
      </c>
      <c r="AH307" s="492" t="s">
        <v>34</v>
      </c>
      <c r="AI307" s="492" t="s">
        <v>34</v>
      </c>
      <c r="AJ307" s="492" t="s">
        <v>34</v>
      </c>
      <c r="AK307" s="492" t="s">
        <v>832</v>
      </c>
      <c r="AL307" s="492" t="s">
        <v>2432</v>
      </c>
      <c r="AM307" s="61" t="s">
        <v>3441</v>
      </c>
      <c r="AN307" s="490">
        <v>0</v>
      </c>
      <c r="AO307" s="490">
        <v>0</v>
      </c>
      <c r="AP307" s="61"/>
    </row>
    <row r="308" spans="1:42" x14ac:dyDescent="0.2">
      <c r="A308" s="61">
        <v>307</v>
      </c>
      <c r="B308" s="491" t="s">
        <v>1720</v>
      </c>
      <c r="C308" s="492" t="s">
        <v>3290</v>
      </c>
      <c r="D308" s="492" t="s">
        <v>3291</v>
      </c>
      <c r="E308" s="492" t="s">
        <v>770</v>
      </c>
      <c r="F308" s="492" t="s">
        <v>739</v>
      </c>
      <c r="G308" s="492" t="s">
        <v>34</v>
      </c>
      <c r="H308" s="492" t="s">
        <v>835</v>
      </c>
      <c r="I308" s="492" t="s">
        <v>4279</v>
      </c>
      <c r="J308" s="492" t="s">
        <v>1103</v>
      </c>
      <c r="K308" s="492" t="s">
        <v>3292</v>
      </c>
      <c r="L308" s="492" t="s">
        <v>962</v>
      </c>
      <c r="M308" s="493">
        <v>411620</v>
      </c>
      <c r="N308" s="492" t="s">
        <v>3292</v>
      </c>
      <c r="O308" s="492" t="s">
        <v>3258</v>
      </c>
      <c r="P308" s="492" t="s">
        <v>4059</v>
      </c>
      <c r="Q308" s="492" t="s">
        <v>911</v>
      </c>
      <c r="R308" s="492" t="s">
        <v>892</v>
      </c>
      <c r="S308" s="492" t="s">
        <v>3293</v>
      </c>
      <c r="T308" s="492">
        <v>56.1</v>
      </c>
      <c r="U308" s="492" t="s">
        <v>687</v>
      </c>
      <c r="V308" s="492" t="s">
        <v>3294</v>
      </c>
      <c r="W308" s="492">
        <v>391488</v>
      </c>
      <c r="X308" s="492" t="s">
        <v>829</v>
      </c>
      <c r="Y308" s="492" t="s">
        <v>1796</v>
      </c>
      <c r="Z308" s="492" t="s">
        <v>3295</v>
      </c>
      <c r="AA308" s="492" t="s">
        <v>829</v>
      </c>
      <c r="AB308" s="492" t="s">
        <v>34</v>
      </c>
      <c r="AC308" s="492" t="s">
        <v>830</v>
      </c>
      <c r="AD308" s="492" t="s">
        <v>831</v>
      </c>
      <c r="AE308" s="492" t="s">
        <v>612</v>
      </c>
      <c r="AF308" s="492" t="s">
        <v>3220</v>
      </c>
      <c r="AG308" s="492" t="s">
        <v>34</v>
      </c>
      <c r="AH308" s="492" t="s">
        <v>34</v>
      </c>
      <c r="AI308" s="492" t="s">
        <v>34</v>
      </c>
      <c r="AJ308" s="492" t="s">
        <v>34</v>
      </c>
      <c r="AK308" s="492" t="s">
        <v>832</v>
      </c>
      <c r="AL308" s="492" t="s">
        <v>2432</v>
      </c>
      <c r="AM308" s="61" t="s">
        <v>3459</v>
      </c>
      <c r="AN308" s="490">
        <v>0</v>
      </c>
      <c r="AO308" s="490">
        <v>0</v>
      </c>
      <c r="AP308" s="61"/>
    </row>
    <row r="309" spans="1:42" x14ac:dyDescent="0.2">
      <c r="A309" s="61">
        <v>308</v>
      </c>
      <c r="B309" s="491" t="s">
        <v>1720</v>
      </c>
      <c r="C309" s="492" t="s">
        <v>3256</v>
      </c>
      <c r="D309" s="492" t="s">
        <v>3257</v>
      </c>
      <c r="E309" s="492" t="s">
        <v>770</v>
      </c>
      <c r="F309" s="492" t="s">
        <v>739</v>
      </c>
      <c r="G309" s="492" t="s">
        <v>34</v>
      </c>
      <c r="H309" s="492" t="s">
        <v>835</v>
      </c>
      <c r="I309" s="492" t="s">
        <v>4279</v>
      </c>
      <c r="J309" s="492" t="s">
        <v>1103</v>
      </c>
      <c r="K309" s="492" t="s">
        <v>3225</v>
      </c>
      <c r="L309" s="492" t="s">
        <v>950</v>
      </c>
      <c r="M309" s="493" t="s">
        <v>3223</v>
      </c>
      <c r="N309" s="492" t="s">
        <v>3223</v>
      </c>
      <c r="O309" s="492" t="s">
        <v>3258</v>
      </c>
      <c r="P309" s="492" t="s">
        <v>1936</v>
      </c>
      <c r="Q309" s="492" t="s">
        <v>911</v>
      </c>
      <c r="R309" s="492" t="s">
        <v>892</v>
      </c>
      <c r="S309" s="492" t="s">
        <v>4195</v>
      </c>
      <c r="T309" s="492">
        <v>826.67</v>
      </c>
      <c r="U309" s="492" t="s">
        <v>687</v>
      </c>
      <c r="V309" s="492" t="s">
        <v>3226</v>
      </c>
      <c r="W309" s="492">
        <v>188905</v>
      </c>
      <c r="X309" s="492" t="s">
        <v>829</v>
      </c>
      <c r="Y309" s="492" t="s">
        <v>3227</v>
      </c>
      <c r="Z309" s="492">
        <v>16386514</v>
      </c>
      <c r="AA309" s="492" t="s">
        <v>829</v>
      </c>
      <c r="AB309" s="492" t="s">
        <v>34</v>
      </c>
      <c r="AC309" s="492" t="s">
        <v>830</v>
      </c>
      <c r="AD309" s="492" t="s">
        <v>831</v>
      </c>
      <c r="AE309" s="492" t="s">
        <v>612</v>
      </c>
      <c r="AF309" s="492" t="s">
        <v>3220</v>
      </c>
      <c r="AG309" s="492" t="s">
        <v>34</v>
      </c>
      <c r="AH309" s="492" t="s">
        <v>34</v>
      </c>
      <c r="AI309" s="492" t="s">
        <v>34</v>
      </c>
      <c r="AJ309" s="492" t="s">
        <v>34</v>
      </c>
      <c r="AK309" s="492" t="s">
        <v>832</v>
      </c>
      <c r="AL309" s="492" t="s">
        <v>2432</v>
      </c>
      <c r="AM309" s="61" t="s">
        <v>3459</v>
      </c>
      <c r="AN309" s="490">
        <v>0</v>
      </c>
      <c r="AO309" s="490">
        <v>0</v>
      </c>
      <c r="AP309" s="61"/>
    </row>
    <row r="310" spans="1:42" x14ac:dyDescent="0.2">
      <c r="A310" s="61">
        <v>309</v>
      </c>
      <c r="B310" s="491" t="s">
        <v>1720</v>
      </c>
      <c r="C310" s="492" t="s">
        <v>3223</v>
      </c>
      <c r="D310" s="492" t="s">
        <v>3224</v>
      </c>
      <c r="E310" s="492" t="s">
        <v>770</v>
      </c>
      <c r="F310" s="492" t="s">
        <v>739</v>
      </c>
      <c r="G310" s="492" t="s">
        <v>34</v>
      </c>
      <c r="H310" s="492" t="s">
        <v>835</v>
      </c>
      <c r="I310" s="492" t="s">
        <v>4270</v>
      </c>
      <c r="J310" s="492" t="s">
        <v>1103</v>
      </c>
      <c r="K310" s="492" t="s">
        <v>3225</v>
      </c>
      <c r="L310" s="492" t="s">
        <v>950</v>
      </c>
      <c r="M310" s="493" t="s">
        <v>3223</v>
      </c>
      <c r="N310" s="492" t="s">
        <v>3223</v>
      </c>
      <c r="O310" s="492" t="s">
        <v>305</v>
      </c>
      <c r="P310" s="492" t="s">
        <v>1936</v>
      </c>
      <c r="Q310" s="492" t="s">
        <v>911</v>
      </c>
      <c r="R310" s="492" t="s">
        <v>892</v>
      </c>
      <c r="S310" s="492" t="s">
        <v>4195</v>
      </c>
      <c r="T310" s="492">
        <v>826.67</v>
      </c>
      <c r="U310" s="492" t="s">
        <v>857</v>
      </c>
      <c r="V310" s="492" t="s">
        <v>3226</v>
      </c>
      <c r="W310" s="492">
        <v>188905</v>
      </c>
      <c r="X310" s="492" t="s">
        <v>829</v>
      </c>
      <c r="Y310" s="492" t="s">
        <v>3227</v>
      </c>
      <c r="Z310" s="492">
        <v>16386514</v>
      </c>
      <c r="AA310" s="492" t="s">
        <v>829</v>
      </c>
      <c r="AB310" s="492" t="s">
        <v>34</v>
      </c>
      <c r="AC310" s="492" t="s">
        <v>830</v>
      </c>
      <c r="AD310" s="492" t="s">
        <v>831</v>
      </c>
      <c r="AE310" s="492" t="s">
        <v>612</v>
      </c>
      <c r="AF310" s="492" t="s">
        <v>3220</v>
      </c>
      <c r="AG310" s="492" t="s">
        <v>34</v>
      </c>
      <c r="AH310" s="492" t="s">
        <v>34</v>
      </c>
      <c r="AI310" s="492" t="s">
        <v>34</v>
      </c>
      <c r="AJ310" s="492" t="s">
        <v>34</v>
      </c>
      <c r="AK310" s="492" t="s">
        <v>832</v>
      </c>
      <c r="AL310" s="492" t="s">
        <v>2432</v>
      </c>
      <c r="AM310" s="61" t="s">
        <v>3442</v>
      </c>
      <c r="AN310" s="490">
        <v>0</v>
      </c>
      <c r="AO310" s="490">
        <v>0</v>
      </c>
      <c r="AP310" s="61"/>
    </row>
    <row r="311" spans="1:42" x14ac:dyDescent="0.2">
      <c r="A311" s="61">
        <v>310</v>
      </c>
      <c r="B311" s="491" t="s">
        <v>1720</v>
      </c>
      <c r="C311" s="492" t="s">
        <v>3240</v>
      </c>
      <c r="D311" s="492" t="s">
        <v>3241</v>
      </c>
      <c r="E311" s="492" t="s">
        <v>770</v>
      </c>
      <c r="F311" s="492" t="s">
        <v>739</v>
      </c>
      <c r="G311" s="492" t="s">
        <v>34</v>
      </c>
      <c r="H311" s="492" t="s">
        <v>835</v>
      </c>
      <c r="I311" s="492" t="s">
        <v>4270</v>
      </c>
      <c r="J311" s="492" t="s">
        <v>1103</v>
      </c>
      <c r="K311" s="492" t="s">
        <v>3225</v>
      </c>
      <c r="L311" s="492" t="s">
        <v>950</v>
      </c>
      <c r="M311" s="493" t="s">
        <v>3242</v>
      </c>
      <c r="N311" s="492" t="s">
        <v>3242</v>
      </c>
      <c r="O311" s="492" t="s">
        <v>4275</v>
      </c>
      <c r="P311" s="492" t="s">
        <v>1936</v>
      </c>
      <c r="Q311" s="492" t="s">
        <v>3501</v>
      </c>
      <c r="R311" s="492" t="s">
        <v>892</v>
      </c>
      <c r="S311" s="492" t="s">
        <v>3243</v>
      </c>
      <c r="T311" s="492">
        <v>1178.5999999999999</v>
      </c>
      <c r="U311" s="492" t="s">
        <v>856</v>
      </c>
      <c r="V311" s="492" t="s">
        <v>1615</v>
      </c>
      <c r="W311" s="492">
        <v>43420</v>
      </c>
      <c r="X311" s="492" t="s">
        <v>3502</v>
      </c>
      <c r="Y311" s="492" t="s">
        <v>4113</v>
      </c>
      <c r="Z311" s="492">
        <v>16461118</v>
      </c>
      <c r="AA311" s="492" t="s">
        <v>3502</v>
      </c>
      <c r="AB311" s="492" t="s">
        <v>34</v>
      </c>
      <c r="AC311" s="492" t="s">
        <v>830</v>
      </c>
      <c r="AD311" s="492" t="s">
        <v>831</v>
      </c>
      <c r="AE311" s="492" t="s">
        <v>612</v>
      </c>
      <c r="AF311" s="492">
        <v>7</v>
      </c>
      <c r="AG311" s="492">
        <v>0.09</v>
      </c>
      <c r="AH311" s="492">
        <v>0.28999999999999998</v>
      </c>
      <c r="AI311" s="492" t="s">
        <v>34</v>
      </c>
      <c r="AJ311" s="492" t="s">
        <v>34</v>
      </c>
      <c r="AK311" s="492" t="s">
        <v>832</v>
      </c>
      <c r="AL311" s="492" t="s">
        <v>2432</v>
      </c>
      <c r="AM311" s="61" t="s">
        <v>3442</v>
      </c>
      <c r="AN311" s="490">
        <v>0</v>
      </c>
      <c r="AO311" s="490">
        <v>0</v>
      </c>
      <c r="AP311" s="61"/>
    </row>
    <row r="312" spans="1:42" x14ac:dyDescent="0.2">
      <c r="A312" s="61">
        <v>311</v>
      </c>
      <c r="B312" s="491" t="s">
        <v>1720</v>
      </c>
      <c r="C312" s="492" t="s">
        <v>3244</v>
      </c>
      <c r="D312" s="492" t="s">
        <v>3245</v>
      </c>
      <c r="E312" s="492" t="s">
        <v>770</v>
      </c>
      <c r="F312" s="492" t="s">
        <v>739</v>
      </c>
      <c r="G312" s="492" t="s">
        <v>34</v>
      </c>
      <c r="H312" s="492" t="s">
        <v>835</v>
      </c>
      <c r="I312" s="492" t="s">
        <v>4270</v>
      </c>
      <c r="J312" s="492" t="s">
        <v>1103</v>
      </c>
      <c r="K312" s="492" t="s">
        <v>3225</v>
      </c>
      <c r="L312" s="492" t="s">
        <v>950</v>
      </c>
      <c r="M312" s="493" t="s">
        <v>3242</v>
      </c>
      <c r="N312" s="492" t="s">
        <v>3242</v>
      </c>
      <c r="O312" s="492" t="s">
        <v>1758</v>
      </c>
      <c r="P312" s="492" t="s">
        <v>1936</v>
      </c>
      <c r="Q312" s="492" t="s">
        <v>911</v>
      </c>
      <c r="R312" s="492" t="s">
        <v>892</v>
      </c>
      <c r="S312" s="492" t="s">
        <v>3243</v>
      </c>
      <c r="T312" s="492">
        <v>1178.5999999999999</v>
      </c>
      <c r="U312" s="492" t="s">
        <v>687</v>
      </c>
      <c r="V312" s="492" t="s">
        <v>1615</v>
      </c>
      <c r="W312" s="492">
        <v>43420</v>
      </c>
      <c r="X312" s="492" t="s">
        <v>829</v>
      </c>
      <c r="Y312" s="492" t="s">
        <v>3227</v>
      </c>
      <c r="Z312" s="492">
        <v>16446054</v>
      </c>
      <c r="AA312" s="492" t="s">
        <v>829</v>
      </c>
      <c r="AB312" s="492" t="s">
        <v>34</v>
      </c>
      <c r="AC312" s="492" t="s">
        <v>830</v>
      </c>
      <c r="AD312" s="492" t="s">
        <v>831</v>
      </c>
      <c r="AE312" s="492" t="s">
        <v>612</v>
      </c>
      <c r="AF312" s="492">
        <v>7</v>
      </c>
      <c r="AG312" s="492">
        <v>0.09</v>
      </c>
      <c r="AH312" s="492">
        <v>0.28999999999999998</v>
      </c>
      <c r="AI312" s="492" t="s">
        <v>34</v>
      </c>
      <c r="AJ312" s="492" t="s">
        <v>34</v>
      </c>
      <c r="AK312" s="492" t="s">
        <v>832</v>
      </c>
      <c r="AL312" s="492" t="s">
        <v>2432</v>
      </c>
      <c r="AM312" s="61" t="s">
        <v>3459</v>
      </c>
      <c r="AN312" s="490">
        <v>0</v>
      </c>
      <c r="AO312" s="490">
        <v>0</v>
      </c>
      <c r="AP312" s="61"/>
    </row>
    <row r="313" spans="1:42" x14ac:dyDescent="0.2">
      <c r="A313" s="61">
        <v>312</v>
      </c>
      <c r="B313" s="491" t="s">
        <v>1720</v>
      </c>
      <c r="C313" s="492" t="s">
        <v>3551</v>
      </c>
      <c r="D313" s="492" t="s">
        <v>3552</v>
      </c>
      <c r="E313" s="492" t="s">
        <v>770</v>
      </c>
      <c r="F313" s="492" t="s">
        <v>739</v>
      </c>
      <c r="G313" s="492" t="s">
        <v>34</v>
      </c>
      <c r="H313" s="492" t="s">
        <v>835</v>
      </c>
      <c r="I313" s="492" t="s">
        <v>1791</v>
      </c>
      <c r="J313" s="492" t="s">
        <v>1103</v>
      </c>
      <c r="K313" s="492" t="s">
        <v>3225</v>
      </c>
      <c r="L313" s="492" t="s">
        <v>3553</v>
      </c>
      <c r="M313" s="493">
        <v>144582</v>
      </c>
      <c r="N313" s="492" t="s">
        <v>3554</v>
      </c>
      <c r="O313" s="492" t="s">
        <v>1758</v>
      </c>
      <c r="P313" s="492" t="s">
        <v>3555</v>
      </c>
      <c r="Q313" s="492" t="s">
        <v>911</v>
      </c>
      <c r="R313" s="492" t="s">
        <v>892</v>
      </c>
      <c r="S313" s="492" t="s">
        <v>3556</v>
      </c>
      <c r="T313" s="492">
        <v>25.5</v>
      </c>
      <c r="U313" s="492" t="s">
        <v>687</v>
      </c>
      <c r="V313" s="492" t="s">
        <v>3557</v>
      </c>
      <c r="W313" s="492" t="s">
        <v>3558</v>
      </c>
      <c r="X313" s="492" t="s">
        <v>829</v>
      </c>
      <c r="Y313" s="492" t="s">
        <v>3559</v>
      </c>
      <c r="Z313" s="492" t="s">
        <v>3560</v>
      </c>
      <c r="AA313" s="492" t="s">
        <v>829</v>
      </c>
      <c r="AB313" s="492" t="s">
        <v>34</v>
      </c>
      <c r="AC313" s="492" t="s">
        <v>830</v>
      </c>
      <c r="AD313" s="492" t="s">
        <v>831</v>
      </c>
      <c r="AE313" s="492" t="s">
        <v>612</v>
      </c>
      <c r="AF313" s="492" t="s">
        <v>2054</v>
      </c>
      <c r="AG313" s="492" t="s">
        <v>34</v>
      </c>
      <c r="AH313" s="492" t="s">
        <v>34</v>
      </c>
      <c r="AI313" s="492" t="s">
        <v>34</v>
      </c>
      <c r="AJ313" s="492" t="s">
        <v>34</v>
      </c>
      <c r="AK313" s="492" t="s">
        <v>832</v>
      </c>
      <c r="AL313" s="492" t="s">
        <v>2432</v>
      </c>
      <c r="AM313" s="61" t="s">
        <v>3459</v>
      </c>
      <c r="AN313" s="490">
        <v>0</v>
      </c>
      <c r="AO313" s="490">
        <v>0</v>
      </c>
      <c r="AP313" s="61"/>
    </row>
    <row r="314" spans="1:42" x14ac:dyDescent="0.2">
      <c r="A314" s="61">
        <v>313</v>
      </c>
      <c r="B314" s="491" t="s">
        <v>1720</v>
      </c>
      <c r="C314" s="492" t="s">
        <v>3360</v>
      </c>
      <c r="D314" s="492" t="s">
        <v>3361</v>
      </c>
      <c r="E314" s="492" t="s">
        <v>770</v>
      </c>
      <c r="F314" s="492" t="s">
        <v>739</v>
      </c>
      <c r="G314" s="492" t="s">
        <v>34</v>
      </c>
      <c r="H314" s="492" t="s">
        <v>835</v>
      </c>
      <c r="I314" s="492" t="s">
        <v>4270</v>
      </c>
      <c r="J314" s="492" t="s">
        <v>1103</v>
      </c>
      <c r="K314" s="492" t="s">
        <v>3225</v>
      </c>
      <c r="L314" s="492" t="s">
        <v>950</v>
      </c>
      <c r="M314" s="493" t="s">
        <v>3362</v>
      </c>
      <c r="N314" s="492" t="s">
        <v>3363</v>
      </c>
      <c r="O314" s="492" t="s">
        <v>1758</v>
      </c>
      <c r="P314" s="492" t="s">
        <v>952</v>
      </c>
      <c r="Q314" s="492" t="s">
        <v>911</v>
      </c>
      <c r="R314" s="492" t="s">
        <v>892</v>
      </c>
      <c r="S314" s="492" t="s">
        <v>3364</v>
      </c>
      <c r="T314" s="492">
        <v>73.900000000000006</v>
      </c>
      <c r="U314" s="492" t="s">
        <v>687</v>
      </c>
      <c r="V314" s="492" t="s">
        <v>3365</v>
      </c>
      <c r="W314" s="492" t="s">
        <v>3366</v>
      </c>
      <c r="X314" s="492" t="s">
        <v>829</v>
      </c>
      <c r="Y314" s="492" t="s">
        <v>3227</v>
      </c>
      <c r="Z314" s="492">
        <v>16279345</v>
      </c>
      <c r="AA314" s="492" t="s">
        <v>829</v>
      </c>
      <c r="AB314" s="492" t="s">
        <v>34</v>
      </c>
      <c r="AC314" s="492" t="s">
        <v>830</v>
      </c>
      <c r="AD314" s="492" t="s">
        <v>831</v>
      </c>
      <c r="AE314" s="492" t="s">
        <v>612</v>
      </c>
      <c r="AF314" s="492">
        <v>1</v>
      </c>
      <c r="AG314" s="492">
        <v>4</v>
      </c>
      <c r="AH314" s="492">
        <v>1</v>
      </c>
      <c r="AI314" s="492" t="s">
        <v>3367</v>
      </c>
      <c r="AJ314" s="492" t="s">
        <v>34</v>
      </c>
      <c r="AK314" s="492" t="s">
        <v>832</v>
      </c>
      <c r="AL314" s="492" t="s">
        <v>2432</v>
      </c>
      <c r="AM314" s="61" t="s">
        <v>3459</v>
      </c>
      <c r="AN314" s="490">
        <v>0</v>
      </c>
      <c r="AO314" s="490">
        <v>0</v>
      </c>
      <c r="AP314" s="61"/>
    </row>
    <row r="315" spans="1:42" x14ac:dyDescent="0.2">
      <c r="A315" s="61">
        <v>314</v>
      </c>
      <c r="B315" s="491" t="s">
        <v>1720</v>
      </c>
      <c r="C315" s="492" t="s">
        <v>3405</v>
      </c>
      <c r="D315" s="492" t="s">
        <v>3406</v>
      </c>
      <c r="E315" s="492" t="s">
        <v>770</v>
      </c>
      <c r="F315" s="492" t="s">
        <v>739</v>
      </c>
      <c r="G315" s="492" t="s">
        <v>34</v>
      </c>
      <c r="H315" s="492" t="s">
        <v>835</v>
      </c>
      <c r="I315" s="492" t="s">
        <v>1791</v>
      </c>
      <c r="J315" s="492" t="s">
        <v>1103</v>
      </c>
      <c r="K315" s="492" t="s">
        <v>1616</v>
      </c>
      <c r="L315" s="492" t="s">
        <v>3407</v>
      </c>
      <c r="M315" s="493" t="s">
        <v>3408</v>
      </c>
      <c r="N315" s="492" t="s">
        <v>3409</v>
      </c>
      <c r="O315" s="492" t="s">
        <v>1758</v>
      </c>
      <c r="P315" s="492" t="s">
        <v>1744</v>
      </c>
      <c r="Q315" s="492" t="s">
        <v>911</v>
      </c>
      <c r="R315" s="492" t="s">
        <v>828</v>
      </c>
      <c r="S315" s="492" t="s">
        <v>1619</v>
      </c>
      <c r="T315" s="492">
        <v>378</v>
      </c>
      <c r="U315" s="492" t="s">
        <v>687</v>
      </c>
      <c r="V315" s="492" t="s">
        <v>1615</v>
      </c>
      <c r="W315" s="492">
        <v>19259</v>
      </c>
      <c r="X315" s="492" t="s">
        <v>829</v>
      </c>
      <c r="Y315" s="492" t="s">
        <v>3111</v>
      </c>
      <c r="Z315" s="492" t="s">
        <v>3410</v>
      </c>
      <c r="AA315" s="492" t="s">
        <v>829</v>
      </c>
      <c r="AB315" s="492" t="s">
        <v>34</v>
      </c>
      <c r="AC315" s="492" t="s">
        <v>830</v>
      </c>
      <c r="AD315" s="492" t="s">
        <v>831</v>
      </c>
      <c r="AE315" s="492" t="s">
        <v>612</v>
      </c>
      <c r="AF315" s="492" t="s">
        <v>3411</v>
      </c>
      <c r="AG315" s="492" t="s">
        <v>34</v>
      </c>
      <c r="AH315" s="492" t="s">
        <v>34</v>
      </c>
      <c r="AI315" s="492" t="s">
        <v>34</v>
      </c>
      <c r="AJ315" s="492" t="s">
        <v>34</v>
      </c>
      <c r="AK315" s="492" t="s">
        <v>832</v>
      </c>
      <c r="AL315" s="492" t="s">
        <v>34</v>
      </c>
      <c r="AM315" s="61" t="s">
        <v>3459</v>
      </c>
      <c r="AN315" s="490">
        <v>0</v>
      </c>
      <c r="AO315" s="490">
        <v>0</v>
      </c>
      <c r="AP315" s="61"/>
    </row>
    <row r="316" spans="1:42" x14ac:dyDescent="0.2">
      <c r="A316" s="61">
        <v>315</v>
      </c>
      <c r="B316" s="494" t="s">
        <v>1720</v>
      </c>
      <c r="C316" s="495" t="s">
        <v>3409</v>
      </c>
      <c r="D316" s="494" t="s">
        <v>3412</v>
      </c>
      <c r="E316" s="494" t="s">
        <v>770</v>
      </c>
      <c r="F316" s="495" t="s">
        <v>739</v>
      </c>
      <c r="G316" s="494" t="s">
        <v>34</v>
      </c>
      <c r="H316" s="496" t="s">
        <v>835</v>
      </c>
      <c r="I316" s="494" t="s">
        <v>4270</v>
      </c>
      <c r="J316" s="495" t="s">
        <v>1103</v>
      </c>
      <c r="K316" s="494" t="s">
        <v>1616</v>
      </c>
      <c r="L316" s="495" t="s">
        <v>3407</v>
      </c>
      <c r="M316" s="497" t="s">
        <v>3408</v>
      </c>
      <c r="N316" s="495" t="s">
        <v>3409</v>
      </c>
      <c r="O316" s="494" t="s">
        <v>4301</v>
      </c>
      <c r="P316" s="495" t="s">
        <v>1744</v>
      </c>
      <c r="Q316" s="498" t="s">
        <v>3501</v>
      </c>
      <c r="R316" s="495" t="s">
        <v>828</v>
      </c>
      <c r="S316" s="494" t="s">
        <v>4304</v>
      </c>
      <c r="T316" s="495">
        <v>378</v>
      </c>
      <c r="U316" s="494" t="s">
        <v>857</v>
      </c>
      <c r="V316" s="494" t="s">
        <v>1615</v>
      </c>
      <c r="W316" s="499" t="s">
        <v>3420</v>
      </c>
      <c r="X316" s="499" t="s">
        <v>3502</v>
      </c>
      <c r="Y316" s="495" t="s">
        <v>3111</v>
      </c>
      <c r="Z316" s="494" t="s">
        <v>3410</v>
      </c>
      <c r="AA316" s="499" t="s">
        <v>3502</v>
      </c>
      <c r="AB316" s="494" t="s">
        <v>34</v>
      </c>
      <c r="AC316" s="494" t="s">
        <v>830</v>
      </c>
      <c r="AD316" s="500" t="s">
        <v>831</v>
      </c>
      <c r="AE316" s="494" t="s">
        <v>612</v>
      </c>
      <c r="AF316" s="494" t="s">
        <v>3411</v>
      </c>
      <c r="AG316" s="494" t="s">
        <v>34</v>
      </c>
      <c r="AH316" s="494" t="s">
        <v>34</v>
      </c>
      <c r="AI316" s="494" t="s">
        <v>34</v>
      </c>
      <c r="AJ316" s="494" t="s">
        <v>34</v>
      </c>
      <c r="AK316" s="495" t="s">
        <v>832</v>
      </c>
      <c r="AL316" s="61" t="s">
        <v>34</v>
      </c>
      <c r="AM316" s="501" t="s">
        <v>3441</v>
      </c>
      <c r="AN316" s="61">
        <v>0</v>
      </c>
      <c r="AO316" s="61">
        <v>0</v>
      </c>
      <c r="AP316" s="61"/>
    </row>
    <row r="317" spans="1:42" x14ac:dyDescent="0.2">
      <c r="A317" s="61">
        <v>316</v>
      </c>
      <c r="B317" s="491" t="s">
        <v>1720</v>
      </c>
      <c r="C317" s="492" t="s">
        <v>4370</v>
      </c>
      <c r="D317" s="492" t="s">
        <v>4371</v>
      </c>
      <c r="E317" s="492" t="s">
        <v>770</v>
      </c>
      <c r="F317" s="492" t="s">
        <v>739</v>
      </c>
      <c r="G317" s="492"/>
      <c r="H317" s="492" t="s">
        <v>835</v>
      </c>
      <c r="I317" s="492" t="s">
        <v>4270</v>
      </c>
      <c r="J317" s="492" t="s">
        <v>1103</v>
      </c>
      <c r="K317" s="492" t="s">
        <v>839</v>
      </c>
      <c r="L317" s="492" t="s">
        <v>1627</v>
      </c>
      <c r="M317" s="493" t="s">
        <v>1659</v>
      </c>
      <c r="N317" s="492" t="s">
        <v>4370</v>
      </c>
      <c r="O317" s="492" t="s">
        <v>305</v>
      </c>
      <c r="P317" s="492" t="s">
        <v>1725</v>
      </c>
      <c r="Q317" s="492" t="s">
        <v>911</v>
      </c>
      <c r="R317" s="492" t="s">
        <v>828</v>
      </c>
      <c r="S317" s="492" t="s">
        <v>4372</v>
      </c>
      <c r="T317" s="492">
        <v>1150</v>
      </c>
      <c r="U317" s="492" t="s">
        <v>687</v>
      </c>
      <c r="V317" s="492" t="s">
        <v>1248</v>
      </c>
      <c r="W317" s="492" t="s">
        <v>1662</v>
      </c>
      <c r="X317" s="492" t="s">
        <v>829</v>
      </c>
      <c r="Y317" s="492" t="s">
        <v>108</v>
      </c>
      <c r="Z317" s="492" t="s">
        <v>108</v>
      </c>
      <c r="AA317" s="492" t="s">
        <v>108</v>
      </c>
      <c r="AB317" s="492"/>
      <c r="AC317" s="492" t="s">
        <v>830</v>
      </c>
      <c r="AD317" s="492" t="s">
        <v>831</v>
      </c>
      <c r="AE317" s="492" t="s">
        <v>612</v>
      </c>
      <c r="AF317" s="492" t="s">
        <v>2054</v>
      </c>
      <c r="AG317" s="492"/>
      <c r="AH317" s="492"/>
      <c r="AI317" s="492"/>
      <c r="AJ317" s="492"/>
      <c r="AK317" s="492" t="s">
        <v>832</v>
      </c>
      <c r="AL317" s="492"/>
      <c r="AM317" s="61" t="s">
        <v>3441</v>
      </c>
      <c r="AN317" s="490"/>
      <c r="AO317" s="490"/>
      <c r="AP317" s="61"/>
    </row>
    <row r="318" spans="1:42" x14ac:dyDescent="0.2">
      <c r="A318" s="61">
        <v>317</v>
      </c>
      <c r="B318" s="491" t="s">
        <v>435</v>
      </c>
      <c r="C318" s="492" t="s">
        <v>700</v>
      </c>
      <c r="D318" s="492" t="s">
        <v>2807</v>
      </c>
      <c r="E318" s="492" t="s">
        <v>771</v>
      </c>
      <c r="F318" s="492" t="s">
        <v>772</v>
      </c>
      <c r="G318" s="492" t="s">
        <v>34</v>
      </c>
      <c r="H318" s="492" t="s">
        <v>835</v>
      </c>
      <c r="I318" s="492" t="s">
        <v>4270</v>
      </c>
      <c r="J318" s="492" t="s">
        <v>1103</v>
      </c>
      <c r="K318" s="492" t="s">
        <v>700</v>
      </c>
      <c r="L318" s="492" t="s">
        <v>700</v>
      </c>
      <c r="M318" s="493" t="s">
        <v>1823</v>
      </c>
      <c r="N318" s="492" t="s">
        <v>700</v>
      </c>
      <c r="O318" s="492" t="s">
        <v>4277</v>
      </c>
      <c r="P318" s="492" t="s">
        <v>1824</v>
      </c>
      <c r="Q318" s="492" t="s">
        <v>3499</v>
      </c>
      <c r="R318" s="492" t="s">
        <v>892</v>
      </c>
      <c r="S318" s="492" t="s">
        <v>1825</v>
      </c>
      <c r="T318" s="492">
        <v>5.7</v>
      </c>
      <c r="U318" s="492" t="s">
        <v>857</v>
      </c>
      <c r="V318" s="492" t="s">
        <v>1826</v>
      </c>
      <c r="W318" s="492" t="s">
        <v>1827</v>
      </c>
      <c r="X318" s="492" t="s">
        <v>3612</v>
      </c>
      <c r="Y318" s="492" t="s">
        <v>1026</v>
      </c>
      <c r="Z318" s="492" t="s">
        <v>1828</v>
      </c>
      <c r="AA318" s="492" t="s">
        <v>3612</v>
      </c>
      <c r="AB318" s="492" t="s">
        <v>34</v>
      </c>
      <c r="AC318" s="492" t="s">
        <v>830</v>
      </c>
      <c r="AD318" s="492" t="s">
        <v>831</v>
      </c>
      <c r="AE318" s="492" t="s">
        <v>612</v>
      </c>
      <c r="AF318" s="492" t="s">
        <v>2523</v>
      </c>
      <c r="AG318" s="492">
        <v>0.5</v>
      </c>
      <c r="AH318" s="492">
        <v>0.99</v>
      </c>
      <c r="AI318" s="492" t="s">
        <v>34</v>
      </c>
      <c r="AJ318" s="492" t="s">
        <v>34</v>
      </c>
      <c r="AK318" s="492" t="s">
        <v>832</v>
      </c>
      <c r="AL318" s="492" t="s">
        <v>2432</v>
      </c>
      <c r="AM318" s="61" t="s">
        <v>3441</v>
      </c>
      <c r="AN318" s="490">
        <v>0</v>
      </c>
      <c r="AO318" s="490">
        <v>0</v>
      </c>
      <c r="AP318" s="61"/>
    </row>
    <row r="319" spans="1:42" x14ac:dyDescent="0.2">
      <c r="A319" s="61">
        <v>318</v>
      </c>
      <c r="B319" s="491" t="s">
        <v>435</v>
      </c>
      <c r="C319" s="492" t="s">
        <v>436</v>
      </c>
      <c r="D319" s="492" t="s">
        <v>2808</v>
      </c>
      <c r="E319" s="492" t="s">
        <v>771</v>
      </c>
      <c r="F319" s="492" t="s">
        <v>772</v>
      </c>
      <c r="G319" s="492" t="s">
        <v>34</v>
      </c>
      <c r="H319" s="492" t="s">
        <v>835</v>
      </c>
      <c r="I319" s="492" t="s">
        <v>4270</v>
      </c>
      <c r="J319" s="492" t="s">
        <v>1103</v>
      </c>
      <c r="K319" s="492" t="s">
        <v>1829</v>
      </c>
      <c r="L319" s="492" t="s">
        <v>1832</v>
      </c>
      <c r="M319" s="493" t="s">
        <v>1833</v>
      </c>
      <c r="N319" s="492" t="s">
        <v>436</v>
      </c>
      <c r="O319" s="492" t="s">
        <v>4277</v>
      </c>
      <c r="P319" s="492" t="s">
        <v>1824</v>
      </c>
      <c r="Q319" s="492" t="s">
        <v>3499</v>
      </c>
      <c r="R319" s="492" t="s">
        <v>828</v>
      </c>
      <c r="S319" s="492" t="s">
        <v>1834</v>
      </c>
      <c r="T319" s="492">
        <v>17.5</v>
      </c>
      <c r="U319" s="492" t="s">
        <v>857</v>
      </c>
      <c r="V319" s="492" t="s">
        <v>1174</v>
      </c>
      <c r="W319" s="492" t="s">
        <v>1835</v>
      </c>
      <c r="X319" s="492" t="s">
        <v>3528</v>
      </c>
      <c r="Y319" s="492" t="s">
        <v>1026</v>
      </c>
      <c r="Z319" s="492" t="s">
        <v>1828</v>
      </c>
      <c r="AA319" s="492" t="s">
        <v>3528</v>
      </c>
      <c r="AB319" s="492" t="s">
        <v>34</v>
      </c>
      <c r="AC319" s="492" t="s">
        <v>830</v>
      </c>
      <c r="AD319" s="492" t="s">
        <v>831</v>
      </c>
      <c r="AE319" s="492" t="s">
        <v>612</v>
      </c>
      <c r="AF319" s="492">
        <v>3</v>
      </c>
      <c r="AG319" s="492">
        <v>0.2</v>
      </c>
      <c r="AH319" s="492">
        <v>2</v>
      </c>
      <c r="AI319" s="492" t="s">
        <v>34</v>
      </c>
      <c r="AJ319" s="492" t="s">
        <v>34</v>
      </c>
      <c r="AK319" s="492" t="s">
        <v>832</v>
      </c>
      <c r="AL319" s="492" t="s">
        <v>2432</v>
      </c>
      <c r="AM319" s="61" t="s">
        <v>3444</v>
      </c>
      <c r="AN319" s="490">
        <v>0</v>
      </c>
      <c r="AO319" s="490">
        <v>0</v>
      </c>
      <c r="AP319" s="61"/>
    </row>
    <row r="320" spans="1:42" x14ac:dyDescent="0.2">
      <c r="A320" s="61">
        <v>319</v>
      </c>
      <c r="B320" s="491" t="s">
        <v>435</v>
      </c>
      <c r="C320" s="492" t="s">
        <v>279</v>
      </c>
      <c r="D320" s="492" t="s">
        <v>2809</v>
      </c>
      <c r="E320" s="492" t="s">
        <v>771</v>
      </c>
      <c r="F320" s="492" t="s">
        <v>772</v>
      </c>
      <c r="G320" s="492" t="s">
        <v>34</v>
      </c>
      <c r="H320" s="492" t="s">
        <v>835</v>
      </c>
      <c r="I320" s="492" t="s">
        <v>4270</v>
      </c>
      <c r="J320" s="492" t="s">
        <v>1103</v>
      </c>
      <c r="K320" s="492" t="s">
        <v>1829</v>
      </c>
      <c r="L320" s="492">
        <v>332</v>
      </c>
      <c r="M320" s="493">
        <v>3</v>
      </c>
      <c r="N320" s="492" t="s">
        <v>279</v>
      </c>
      <c r="O320" s="492" t="s">
        <v>4277</v>
      </c>
      <c r="P320" s="492" t="s">
        <v>1830</v>
      </c>
      <c r="Q320" s="492" t="s">
        <v>3499</v>
      </c>
      <c r="R320" s="492" t="s">
        <v>1002</v>
      </c>
      <c r="S320" s="492" t="s">
        <v>3790</v>
      </c>
      <c r="T320" s="492">
        <v>0.7</v>
      </c>
      <c r="U320" s="492" t="s">
        <v>858</v>
      </c>
      <c r="V320" s="492" t="s">
        <v>1831</v>
      </c>
      <c r="W320" s="492">
        <v>12199403014</v>
      </c>
      <c r="X320" s="492" t="s">
        <v>3528</v>
      </c>
      <c r="Y320" s="492" t="s">
        <v>1026</v>
      </c>
      <c r="Z320" s="492" t="s">
        <v>1828</v>
      </c>
      <c r="AA320" s="492" t="s">
        <v>3528</v>
      </c>
      <c r="AB320" s="492" t="s">
        <v>34</v>
      </c>
      <c r="AC320" s="492" t="s">
        <v>830</v>
      </c>
      <c r="AD320" s="492" t="s">
        <v>831</v>
      </c>
      <c r="AE320" s="492" t="s">
        <v>612</v>
      </c>
      <c r="AF320" s="492" t="s">
        <v>2054</v>
      </c>
      <c r="AG320" s="492" t="s">
        <v>34</v>
      </c>
      <c r="AH320" s="492" t="s">
        <v>34</v>
      </c>
      <c r="AI320" s="492" t="s">
        <v>34</v>
      </c>
      <c r="AJ320" s="492" t="s">
        <v>34</v>
      </c>
      <c r="AK320" s="492" t="s">
        <v>832</v>
      </c>
      <c r="AL320" s="492" t="s">
        <v>2432</v>
      </c>
      <c r="AM320" s="61" t="s">
        <v>3441</v>
      </c>
      <c r="AN320" s="490">
        <v>0</v>
      </c>
      <c r="AO320" s="490">
        <v>0</v>
      </c>
      <c r="AP320" s="61"/>
    </row>
    <row r="321" spans="1:42" x14ac:dyDescent="0.2">
      <c r="A321" s="61">
        <v>320</v>
      </c>
      <c r="B321" s="491" t="s">
        <v>622</v>
      </c>
      <c r="C321" s="492" t="s">
        <v>316</v>
      </c>
      <c r="D321" s="492" t="s">
        <v>2810</v>
      </c>
      <c r="E321" s="492" t="s">
        <v>773</v>
      </c>
      <c r="F321" s="492" t="s">
        <v>717</v>
      </c>
      <c r="G321" s="492" t="s">
        <v>34</v>
      </c>
      <c r="H321" s="492" t="s">
        <v>835</v>
      </c>
      <c r="I321" s="492" t="s">
        <v>4305</v>
      </c>
      <c r="J321" s="492" t="s">
        <v>1447</v>
      </c>
      <c r="K321" s="492" t="s">
        <v>409</v>
      </c>
      <c r="L321" s="492" t="s">
        <v>1861</v>
      </c>
      <c r="M321" s="493">
        <v>896034</v>
      </c>
      <c r="N321" s="492" t="s">
        <v>316</v>
      </c>
      <c r="O321" s="492" t="s">
        <v>305</v>
      </c>
      <c r="P321" s="492" t="s">
        <v>1862</v>
      </c>
      <c r="Q321" s="492" t="s">
        <v>827</v>
      </c>
      <c r="R321" s="492" t="s">
        <v>828</v>
      </c>
      <c r="S321" s="492" t="s">
        <v>1863</v>
      </c>
      <c r="T321" s="492">
        <v>22.2</v>
      </c>
      <c r="U321" s="492" t="s">
        <v>857</v>
      </c>
      <c r="V321" s="492" t="s">
        <v>1864</v>
      </c>
      <c r="W321" s="492">
        <v>5890</v>
      </c>
      <c r="X321" s="492" t="s">
        <v>827</v>
      </c>
      <c r="Y321" s="492" t="s">
        <v>108</v>
      </c>
      <c r="Z321" s="492" t="s">
        <v>108</v>
      </c>
      <c r="AA321" s="492" t="s">
        <v>108</v>
      </c>
      <c r="AB321" s="492" t="s">
        <v>1865</v>
      </c>
      <c r="AC321" s="492" t="s">
        <v>830</v>
      </c>
      <c r="AD321" s="492" t="s">
        <v>831</v>
      </c>
      <c r="AE321" s="492" t="s">
        <v>612</v>
      </c>
      <c r="AF321" s="492" t="s">
        <v>2054</v>
      </c>
      <c r="AG321" s="492" t="s">
        <v>34</v>
      </c>
      <c r="AH321" s="492" t="s">
        <v>34</v>
      </c>
      <c r="AI321" s="492" t="s">
        <v>34</v>
      </c>
      <c r="AJ321" s="492" t="s">
        <v>34</v>
      </c>
      <c r="AK321" s="492" t="s">
        <v>832</v>
      </c>
      <c r="AL321" s="492" t="s">
        <v>34</v>
      </c>
      <c r="AM321" s="61" t="s">
        <v>3441</v>
      </c>
      <c r="AN321" s="490">
        <v>0</v>
      </c>
      <c r="AO321" s="490">
        <v>0</v>
      </c>
      <c r="AP321" s="61"/>
    </row>
    <row r="322" spans="1:42" x14ac:dyDescent="0.2">
      <c r="A322" s="61">
        <v>321</v>
      </c>
      <c r="B322" s="491" t="s">
        <v>622</v>
      </c>
      <c r="C322" s="492" t="s">
        <v>315</v>
      </c>
      <c r="D322" s="492" t="s">
        <v>2811</v>
      </c>
      <c r="E322" s="492" t="s">
        <v>773</v>
      </c>
      <c r="F322" s="492" t="s">
        <v>717</v>
      </c>
      <c r="G322" s="492" t="s">
        <v>34</v>
      </c>
      <c r="H322" s="492" t="s">
        <v>835</v>
      </c>
      <c r="I322" s="492" t="s">
        <v>4306</v>
      </c>
      <c r="J322" s="492" t="s">
        <v>1447</v>
      </c>
      <c r="K322" s="492" t="s">
        <v>1866</v>
      </c>
      <c r="L322" s="492" t="s">
        <v>1176</v>
      </c>
      <c r="M322" s="493" t="s">
        <v>315</v>
      </c>
      <c r="N322" s="492" t="s">
        <v>315</v>
      </c>
      <c r="O322" s="492" t="s">
        <v>305</v>
      </c>
      <c r="P322" s="492" t="s">
        <v>1862</v>
      </c>
      <c r="Q322" s="492" t="s">
        <v>827</v>
      </c>
      <c r="R322" s="492" t="s">
        <v>1002</v>
      </c>
      <c r="S322" s="492" t="s">
        <v>1867</v>
      </c>
      <c r="T322" s="492">
        <v>87.5</v>
      </c>
      <c r="U322" s="492" t="s">
        <v>857</v>
      </c>
      <c r="V322" s="492" t="s">
        <v>3999</v>
      </c>
      <c r="W322" s="492" t="s">
        <v>4000</v>
      </c>
      <c r="X322" s="492" t="s">
        <v>827</v>
      </c>
      <c r="Y322" s="492" t="s">
        <v>108</v>
      </c>
      <c r="Z322" s="492" t="s">
        <v>108</v>
      </c>
      <c r="AA322" s="492" t="s">
        <v>108</v>
      </c>
      <c r="AB322" s="492" t="s">
        <v>1868</v>
      </c>
      <c r="AC322" s="492" t="s">
        <v>830</v>
      </c>
      <c r="AD322" s="492" t="s">
        <v>831</v>
      </c>
      <c r="AE322" s="492" t="s">
        <v>612</v>
      </c>
      <c r="AF322" s="492">
        <v>1</v>
      </c>
      <c r="AG322" s="492">
        <v>0.32</v>
      </c>
      <c r="AH322" s="492">
        <v>0.08</v>
      </c>
      <c r="AI322" s="492" t="s">
        <v>2544</v>
      </c>
      <c r="AJ322" s="492" t="s">
        <v>34</v>
      </c>
      <c r="AK322" s="492" t="s">
        <v>832</v>
      </c>
      <c r="AL322" s="492" t="s">
        <v>34</v>
      </c>
      <c r="AM322" s="61" t="s">
        <v>3441</v>
      </c>
      <c r="AN322" s="490">
        <v>0</v>
      </c>
      <c r="AO322" s="490">
        <v>0</v>
      </c>
      <c r="AP322" s="61"/>
    </row>
    <row r="323" spans="1:42" x14ac:dyDescent="0.2">
      <c r="A323" s="61">
        <v>322</v>
      </c>
      <c r="B323" s="491" t="s">
        <v>622</v>
      </c>
      <c r="C323" s="492" t="s">
        <v>312</v>
      </c>
      <c r="D323" s="492" t="s">
        <v>2812</v>
      </c>
      <c r="E323" s="492" t="s">
        <v>773</v>
      </c>
      <c r="F323" s="492" t="s">
        <v>717</v>
      </c>
      <c r="G323" s="492" t="s">
        <v>34</v>
      </c>
      <c r="H323" s="492" t="s">
        <v>835</v>
      </c>
      <c r="I323" s="492" t="s">
        <v>4270</v>
      </c>
      <c r="J323" s="492" t="s">
        <v>1103</v>
      </c>
      <c r="K323" s="492" t="s">
        <v>1842</v>
      </c>
      <c r="L323" s="492" t="s">
        <v>1843</v>
      </c>
      <c r="M323" s="493" t="s">
        <v>1844</v>
      </c>
      <c r="N323" s="492" t="s">
        <v>312</v>
      </c>
      <c r="O323" s="492" t="s">
        <v>4271</v>
      </c>
      <c r="P323" s="492" t="s">
        <v>1128</v>
      </c>
      <c r="Q323" s="492" t="s">
        <v>3501</v>
      </c>
      <c r="R323" s="492" t="s">
        <v>1002</v>
      </c>
      <c r="S323" s="492" t="s">
        <v>1845</v>
      </c>
      <c r="T323" s="492">
        <v>302.5</v>
      </c>
      <c r="U323" s="492" t="s">
        <v>857</v>
      </c>
      <c r="V323" s="492" t="s">
        <v>2035</v>
      </c>
      <c r="W323" s="492" t="s">
        <v>4060</v>
      </c>
      <c r="X323" s="492" t="s">
        <v>3502</v>
      </c>
      <c r="Y323" s="492" t="s">
        <v>2035</v>
      </c>
      <c r="Z323" s="492" t="s">
        <v>4060</v>
      </c>
      <c r="AA323" s="492" t="s">
        <v>3502</v>
      </c>
      <c r="AB323" s="492" t="s">
        <v>34</v>
      </c>
      <c r="AC323" s="492" t="s">
        <v>830</v>
      </c>
      <c r="AD323" s="492" t="s">
        <v>831</v>
      </c>
      <c r="AE323" s="492" t="s">
        <v>612</v>
      </c>
      <c r="AF323" s="492">
        <v>31.4</v>
      </c>
      <c r="AG323" s="492">
        <v>68</v>
      </c>
      <c r="AH323" s="492">
        <v>11</v>
      </c>
      <c r="AI323" s="492" t="s">
        <v>34</v>
      </c>
      <c r="AJ323" s="492" t="s">
        <v>34</v>
      </c>
      <c r="AK323" s="492" t="s">
        <v>832</v>
      </c>
      <c r="AL323" s="492" t="s">
        <v>34</v>
      </c>
      <c r="AM323" s="61" t="s">
        <v>3441</v>
      </c>
      <c r="AN323" s="490"/>
      <c r="AO323" s="490"/>
      <c r="AP323" s="61"/>
    </row>
    <row r="324" spans="1:42" x14ac:dyDescent="0.2">
      <c r="A324" s="61">
        <v>323</v>
      </c>
      <c r="B324" s="491" t="s">
        <v>622</v>
      </c>
      <c r="C324" s="492" t="s">
        <v>321</v>
      </c>
      <c r="D324" s="492" t="s">
        <v>2813</v>
      </c>
      <c r="E324" s="492" t="s">
        <v>773</v>
      </c>
      <c r="F324" s="492" t="s">
        <v>717</v>
      </c>
      <c r="G324" s="492" t="s">
        <v>34</v>
      </c>
      <c r="H324" s="492" t="s">
        <v>835</v>
      </c>
      <c r="I324" s="492" t="s">
        <v>4270</v>
      </c>
      <c r="J324" s="492" t="s">
        <v>1103</v>
      </c>
      <c r="K324" s="492" t="s">
        <v>1558</v>
      </c>
      <c r="L324" s="492" t="s">
        <v>1846</v>
      </c>
      <c r="M324" s="493" t="s">
        <v>1847</v>
      </c>
      <c r="N324" s="492" t="s">
        <v>321</v>
      </c>
      <c r="O324" s="492" t="s">
        <v>4271</v>
      </c>
      <c r="P324" s="492" t="s">
        <v>1848</v>
      </c>
      <c r="Q324" s="492" t="s">
        <v>3501</v>
      </c>
      <c r="R324" s="492" t="s">
        <v>1002</v>
      </c>
      <c r="S324" s="492" t="s">
        <v>1849</v>
      </c>
      <c r="T324" s="492">
        <v>196</v>
      </c>
      <c r="U324" s="492" t="s">
        <v>857</v>
      </c>
      <c r="V324" s="492" t="s">
        <v>1850</v>
      </c>
      <c r="W324" s="492" t="s">
        <v>903</v>
      </c>
      <c r="X324" s="492" t="s">
        <v>3502</v>
      </c>
      <c r="Y324" s="492" t="s">
        <v>1850</v>
      </c>
      <c r="Z324" s="492" t="s">
        <v>903</v>
      </c>
      <c r="AA324" s="492" t="s">
        <v>3502</v>
      </c>
      <c r="AB324" s="492" t="s">
        <v>34</v>
      </c>
      <c r="AC324" s="492" t="s">
        <v>830</v>
      </c>
      <c r="AD324" s="492" t="s">
        <v>831</v>
      </c>
      <c r="AE324" s="492" t="s">
        <v>612</v>
      </c>
      <c r="AF324" s="492">
        <v>30000</v>
      </c>
      <c r="AG324" s="492">
        <v>10</v>
      </c>
      <c r="AH324" s="492">
        <v>1000</v>
      </c>
      <c r="AI324" s="492" t="s">
        <v>34</v>
      </c>
      <c r="AJ324" s="492" t="s">
        <v>34</v>
      </c>
      <c r="AK324" s="492" t="s">
        <v>832</v>
      </c>
      <c r="AL324" s="492" t="s">
        <v>34</v>
      </c>
      <c r="AM324" s="61" t="s">
        <v>3444</v>
      </c>
      <c r="AN324" s="490">
        <v>1.4583333333333332E-2</v>
      </c>
      <c r="AO324" s="490">
        <v>0</v>
      </c>
      <c r="AP324" s="61"/>
    </row>
    <row r="325" spans="1:42" x14ac:dyDescent="0.2">
      <c r="A325" s="61">
        <v>324</v>
      </c>
      <c r="B325" s="491" t="s">
        <v>622</v>
      </c>
      <c r="C325" s="492" t="s">
        <v>317</v>
      </c>
      <c r="D325" s="492" t="s">
        <v>2814</v>
      </c>
      <c r="E325" s="492" t="s">
        <v>773</v>
      </c>
      <c r="F325" s="492" t="s">
        <v>717</v>
      </c>
      <c r="G325" s="492" t="s">
        <v>34</v>
      </c>
      <c r="H325" s="492" t="s">
        <v>835</v>
      </c>
      <c r="I325" s="492" t="s">
        <v>4270</v>
      </c>
      <c r="J325" s="492" t="s">
        <v>1103</v>
      </c>
      <c r="K325" s="492" t="s">
        <v>1873</v>
      </c>
      <c r="L325" s="492" t="s">
        <v>1874</v>
      </c>
      <c r="M325" s="493" t="s">
        <v>317</v>
      </c>
      <c r="N325" s="492" t="s">
        <v>317</v>
      </c>
      <c r="O325" s="492" t="s">
        <v>3680</v>
      </c>
      <c r="P325" s="492" t="s">
        <v>1875</v>
      </c>
      <c r="Q325" s="492" t="s">
        <v>3499</v>
      </c>
      <c r="R325" s="492" t="s">
        <v>1002</v>
      </c>
      <c r="S325" s="492" t="s">
        <v>1876</v>
      </c>
      <c r="T325" s="492">
        <v>390</v>
      </c>
      <c r="U325" s="492" t="s">
        <v>857</v>
      </c>
      <c r="V325" s="492" t="s">
        <v>4001</v>
      </c>
      <c r="W325" s="492" t="s">
        <v>4002</v>
      </c>
      <c r="X325" s="492" t="s">
        <v>3502</v>
      </c>
      <c r="Y325" s="492" t="s">
        <v>4001</v>
      </c>
      <c r="Z325" s="492" t="s">
        <v>4002</v>
      </c>
      <c r="AA325" s="492" t="s">
        <v>3502</v>
      </c>
      <c r="AB325" s="492" t="s">
        <v>34</v>
      </c>
      <c r="AC325" s="492" t="s">
        <v>830</v>
      </c>
      <c r="AD325" s="492" t="s">
        <v>831</v>
      </c>
      <c r="AE325" s="492" t="s">
        <v>612</v>
      </c>
      <c r="AF325" s="492" t="s">
        <v>2054</v>
      </c>
      <c r="AG325" s="492" t="s">
        <v>34</v>
      </c>
      <c r="AH325" s="492" t="s">
        <v>34</v>
      </c>
      <c r="AI325" s="492" t="s">
        <v>34</v>
      </c>
      <c r="AJ325" s="492" t="s">
        <v>34</v>
      </c>
      <c r="AK325" s="492" t="s">
        <v>832</v>
      </c>
      <c r="AL325" s="492" t="s">
        <v>34</v>
      </c>
      <c r="AM325" s="61" t="s">
        <v>3441</v>
      </c>
      <c r="AN325" s="490">
        <v>0</v>
      </c>
      <c r="AO325" s="490">
        <v>2.1527777777777781E-2</v>
      </c>
      <c r="AP325" s="61"/>
    </row>
    <row r="326" spans="1:42" x14ac:dyDescent="0.2">
      <c r="A326" s="61">
        <v>325</v>
      </c>
      <c r="B326" s="491" t="s">
        <v>622</v>
      </c>
      <c r="C326" s="492" t="s">
        <v>318</v>
      </c>
      <c r="D326" s="492" t="s">
        <v>2815</v>
      </c>
      <c r="E326" s="492" t="s">
        <v>773</v>
      </c>
      <c r="F326" s="492" t="s">
        <v>717</v>
      </c>
      <c r="G326" s="492" t="s">
        <v>34</v>
      </c>
      <c r="H326" s="492" t="s">
        <v>835</v>
      </c>
      <c r="I326" s="492" t="s">
        <v>4270</v>
      </c>
      <c r="J326" s="492" t="s">
        <v>1103</v>
      </c>
      <c r="K326" s="492" t="s">
        <v>1877</v>
      </c>
      <c r="L326" s="492" t="s">
        <v>1874</v>
      </c>
      <c r="M326" s="493" t="s">
        <v>318</v>
      </c>
      <c r="N326" s="492" t="s">
        <v>318</v>
      </c>
      <c r="O326" s="492" t="s">
        <v>4307</v>
      </c>
      <c r="P326" s="492" t="s">
        <v>1878</v>
      </c>
      <c r="Q326" s="492" t="s">
        <v>3499</v>
      </c>
      <c r="R326" s="492" t="s">
        <v>1002</v>
      </c>
      <c r="S326" s="492" t="s">
        <v>1879</v>
      </c>
      <c r="T326" s="492">
        <v>382.3</v>
      </c>
      <c r="U326" s="492" t="s">
        <v>857</v>
      </c>
      <c r="V326" s="492" t="s">
        <v>4001</v>
      </c>
      <c r="W326" s="492" t="s">
        <v>4003</v>
      </c>
      <c r="X326" s="492" t="s">
        <v>3502</v>
      </c>
      <c r="Y326" s="492" t="s">
        <v>4001</v>
      </c>
      <c r="Z326" s="492" t="s">
        <v>4003</v>
      </c>
      <c r="AA326" s="492" t="s">
        <v>3502</v>
      </c>
      <c r="AB326" s="492" t="s">
        <v>34</v>
      </c>
      <c r="AC326" s="492" t="s">
        <v>830</v>
      </c>
      <c r="AD326" s="492" t="s">
        <v>831</v>
      </c>
      <c r="AE326" s="492" t="s">
        <v>612</v>
      </c>
      <c r="AF326" s="492" t="s">
        <v>2054</v>
      </c>
      <c r="AG326" s="492" t="s">
        <v>34</v>
      </c>
      <c r="AH326" s="492" t="s">
        <v>34</v>
      </c>
      <c r="AI326" s="492" t="s">
        <v>34</v>
      </c>
      <c r="AJ326" s="492" t="s">
        <v>34</v>
      </c>
      <c r="AK326" s="492" t="s">
        <v>832</v>
      </c>
      <c r="AL326" s="492" t="s">
        <v>34</v>
      </c>
      <c r="AM326" s="61" t="s">
        <v>3441</v>
      </c>
      <c r="AN326" s="490">
        <v>0</v>
      </c>
      <c r="AO326" s="490">
        <v>0</v>
      </c>
      <c r="AP326" s="61"/>
    </row>
    <row r="327" spans="1:42" x14ac:dyDescent="0.2">
      <c r="A327" s="61">
        <v>326</v>
      </c>
      <c r="B327" s="491" t="s">
        <v>622</v>
      </c>
      <c r="C327" s="492" t="s">
        <v>319</v>
      </c>
      <c r="D327" s="492" t="s">
        <v>2816</v>
      </c>
      <c r="E327" s="492" t="s">
        <v>773</v>
      </c>
      <c r="F327" s="492" t="s">
        <v>717</v>
      </c>
      <c r="G327" s="492" t="s">
        <v>34</v>
      </c>
      <c r="H327" s="492" t="s">
        <v>835</v>
      </c>
      <c r="I327" s="492" t="s">
        <v>4305</v>
      </c>
      <c r="J327" s="492" t="s">
        <v>1103</v>
      </c>
      <c r="K327" s="492" t="s">
        <v>1859</v>
      </c>
      <c r="L327" s="492" t="s">
        <v>962</v>
      </c>
      <c r="M327" s="493" t="s">
        <v>319</v>
      </c>
      <c r="N327" s="492" t="s">
        <v>319</v>
      </c>
      <c r="O327" s="492" t="s">
        <v>108</v>
      </c>
      <c r="P327" s="492" t="s">
        <v>952</v>
      </c>
      <c r="Q327" s="492" t="s">
        <v>833</v>
      </c>
      <c r="R327" s="492" t="s">
        <v>1858</v>
      </c>
      <c r="S327" s="492" t="s">
        <v>1860</v>
      </c>
      <c r="T327" s="492">
        <v>100</v>
      </c>
      <c r="U327" s="492" t="s">
        <v>857</v>
      </c>
      <c r="V327" s="492" t="s">
        <v>3992</v>
      </c>
      <c r="W327" s="492" t="s">
        <v>4335</v>
      </c>
      <c r="X327" s="492" t="s">
        <v>829</v>
      </c>
      <c r="Y327" s="492" t="s">
        <v>3992</v>
      </c>
      <c r="Z327" s="492" t="s">
        <v>4335</v>
      </c>
      <c r="AA327" s="492" t="s">
        <v>829</v>
      </c>
      <c r="AB327" s="492" t="s">
        <v>4336</v>
      </c>
      <c r="AC327" s="492" t="s">
        <v>830</v>
      </c>
      <c r="AD327" s="492" t="s">
        <v>831</v>
      </c>
      <c r="AE327" s="492" t="s">
        <v>612</v>
      </c>
      <c r="AF327" s="492" t="s">
        <v>2054</v>
      </c>
      <c r="AG327" s="492" t="s">
        <v>34</v>
      </c>
      <c r="AH327" s="492" t="s">
        <v>34</v>
      </c>
      <c r="AI327" s="492" t="s">
        <v>34</v>
      </c>
      <c r="AJ327" s="492" t="s">
        <v>34</v>
      </c>
      <c r="AK327" s="492" t="s">
        <v>832</v>
      </c>
      <c r="AL327" s="492" t="s">
        <v>34</v>
      </c>
      <c r="AM327" s="61" t="s">
        <v>3460</v>
      </c>
      <c r="AN327" s="490">
        <v>0</v>
      </c>
      <c r="AO327" s="490">
        <v>0</v>
      </c>
      <c r="AP327" s="61"/>
    </row>
    <row r="328" spans="1:42" x14ac:dyDescent="0.2">
      <c r="A328" s="61">
        <v>327</v>
      </c>
      <c r="B328" s="491" t="s">
        <v>622</v>
      </c>
      <c r="C328" s="492" t="s">
        <v>320</v>
      </c>
      <c r="D328" s="492" t="s">
        <v>2817</v>
      </c>
      <c r="E328" s="492" t="s">
        <v>773</v>
      </c>
      <c r="F328" s="492" t="s">
        <v>717</v>
      </c>
      <c r="G328" s="492" t="s">
        <v>34</v>
      </c>
      <c r="H328" s="492" t="s">
        <v>835</v>
      </c>
      <c r="I328" s="492" t="s">
        <v>4270</v>
      </c>
      <c r="J328" s="492" t="s">
        <v>1103</v>
      </c>
      <c r="K328" s="492" t="s">
        <v>1851</v>
      </c>
      <c r="L328" s="492" t="s">
        <v>1852</v>
      </c>
      <c r="M328" s="493" t="s">
        <v>1853</v>
      </c>
      <c r="N328" s="492" t="s">
        <v>320</v>
      </c>
      <c r="O328" s="492" t="s">
        <v>3561</v>
      </c>
      <c r="P328" s="492" t="s">
        <v>1854</v>
      </c>
      <c r="Q328" s="492" t="s">
        <v>3514</v>
      </c>
      <c r="R328" s="492" t="s">
        <v>1002</v>
      </c>
      <c r="S328" s="492" t="s">
        <v>1855</v>
      </c>
      <c r="T328" s="492">
        <v>270</v>
      </c>
      <c r="U328" s="492" t="s">
        <v>857</v>
      </c>
      <c r="V328" s="492" t="s">
        <v>1506</v>
      </c>
      <c r="W328" s="492" t="s">
        <v>1856</v>
      </c>
      <c r="X328" s="492" t="s">
        <v>3502</v>
      </c>
      <c r="Y328" s="492" t="s">
        <v>1688</v>
      </c>
      <c r="Z328" s="492" t="s">
        <v>1857</v>
      </c>
      <c r="AA328" s="492" t="s">
        <v>3502</v>
      </c>
      <c r="AB328" s="492" t="s">
        <v>34</v>
      </c>
      <c r="AC328" s="492" t="s">
        <v>830</v>
      </c>
      <c r="AD328" s="492" t="s">
        <v>831</v>
      </c>
      <c r="AE328" s="492" t="s">
        <v>612</v>
      </c>
      <c r="AF328" s="492" t="s">
        <v>2524</v>
      </c>
      <c r="AG328" s="492" t="s">
        <v>2525</v>
      </c>
      <c r="AH328" s="492" t="s">
        <v>2587</v>
      </c>
      <c r="AI328" s="492" t="s">
        <v>2588</v>
      </c>
      <c r="AJ328" s="492" t="s">
        <v>2589</v>
      </c>
      <c r="AK328" s="492" t="s">
        <v>832</v>
      </c>
      <c r="AL328" s="492" t="s">
        <v>34</v>
      </c>
      <c r="AM328" s="61" t="s">
        <v>3444</v>
      </c>
      <c r="AN328" s="490">
        <v>0</v>
      </c>
      <c r="AO328" s="490">
        <v>0</v>
      </c>
      <c r="AP328" s="61"/>
    </row>
    <row r="329" spans="1:42" x14ac:dyDescent="0.2">
      <c r="A329" s="61">
        <v>328</v>
      </c>
      <c r="B329" s="491" t="s">
        <v>622</v>
      </c>
      <c r="C329" s="492" t="s">
        <v>2473</v>
      </c>
      <c r="D329" s="492" t="s">
        <v>3090</v>
      </c>
      <c r="E329" s="492" t="s">
        <v>773</v>
      </c>
      <c r="F329" s="492" t="s">
        <v>717</v>
      </c>
      <c r="G329" s="492" t="s">
        <v>34</v>
      </c>
      <c r="H329" s="492" t="s">
        <v>835</v>
      </c>
      <c r="I329" s="492" t="s">
        <v>4270</v>
      </c>
      <c r="J329" s="492" t="s">
        <v>823</v>
      </c>
      <c r="K329" s="492" t="s">
        <v>3091</v>
      </c>
      <c r="L329" s="492" t="s">
        <v>305</v>
      </c>
      <c r="M329" s="493" t="s">
        <v>2473</v>
      </c>
      <c r="N329" s="492" t="s">
        <v>2473</v>
      </c>
      <c r="O329" s="492" t="s">
        <v>305</v>
      </c>
      <c r="P329" s="492" t="s">
        <v>1478</v>
      </c>
      <c r="Q329" s="492" t="s">
        <v>908</v>
      </c>
      <c r="R329" s="492" t="s">
        <v>828</v>
      </c>
      <c r="S329" s="492" t="s">
        <v>1836</v>
      </c>
      <c r="T329" s="492">
        <v>189</v>
      </c>
      <c r="U329" s="492" t="s">
        <v>858</v>
      </c>
      <c r="V329" s="492" t="s">
        <v>950</v>
      </c>
      <c r="W329" s="492" t="s">
        <v>3092</v>
      </c>
      <c r="X329" s="492" t="s">
        <v>968</v>
      </c>
      <c r="Y329" s="492" t="s">
        <v>108</v>
      </c>
      <c r="Z329" s="492" t="s">
        <v>108</v>
      </c>
      <c r="AA329" s="492" t="s">
        <v>108</v>
      </c>
      <c r="AB329" s="492" t="s">
        <v>1838</v>
      </c>
      <c r="AC329" s="492" t="s">
        <v>830</v>
      </c>
      <c r="AD329" s="492" t="s">
        <v>831</v>
      </c>
      <c r="AE329" s="492" t="s">
        <v>612</v>
      </c>
      <c r="AF329" s="492" t="s">
        <v>34</v>
      </c>
      <c r="AG329" s="492" t="s">
        <v>34</v>
      </c>
      <c r="AH329" s="492" t="s">
        <v>34</v>
      </c>
      <c r="AI329" s="492" t="s">
        <v>34</v>
      </c>
      <c r="AJ329" s="492" t="s">
        <v>34</v>
      </c>
      <c r="AK329" s="492" t="s">
        <v>832</v>
      </c>
      <c r="AL329" s="492" t="s">
        <v>34</v>
      </c>
      <c r="AM329" s="61" t="s">
        <v>3441</v>
      </c>
      <c r="AN329" s="490">
        <v>0</v>
      </c>
      <c r="AO329" s="490">
        <v>0</v>
      </c>
      <c r="AP329" s="61"/>
    </row>
    <row r="330" spans="1:42" x14ac:dyDescent="0.2">
      <c r="A330" s="61">
        <v>329</v>
      </c>
      <c r="B330" s="491" t="s">
        <v>622</v>
      </c>
      <c r="C330" s="492" t="s">
        <v>679</v>
      </c>
      <c r="D330" s="492" t="s">
        <v>2818</v>
      </c>
      <c r="E330" s="492" t="s">
        <v>773</v>
      </c>
      <c r="F330" s="492" t="s">
        <v>717</v>
      </c>
      <c r="G330" s="492" t="s">
        <v>34</v>
      </c>
      <c r="H330" s="492" t="s">
        <v>835</v>
      </c>
      <c r="I330" s="492" t="s">
        <v>4306</v>
      </c>
      <c r="J330" s="492" t="s">
        <v>1447</v>
      </c>
      <c r="K330" s="492" t="s">
        <v>1869</v>
      </c>
      <c r="L330" s="492" t="s">
        <v>962</v>
      </c>
      <c r="M330" s="493" t="s">
        <v>679</v>
      </c>
      <c r="N330" s="492" t="s">
        <v>679</v>
      </c>
      <c r="O330" s="492" t="s">
        <v>305</v>
      </c>
      <c r="P330" s="492" t="s">
        <v>1870</v>
      </c>
      <c r="Q330" s="492" t="s">
        <v>911</v>
      </c>
      <c r="R330" s="492" t="s">
        <v>828</v>
      </c>
      <c r="S330" s="492" t="s">
        <v>1871</v>
      </c>
      <c r="T330" s="492">
        <v>346.5</v>
      </c>
      <c r="U330" s="492" t="s">
        <v>858</v>
      </c>
      <c r="V330" s="492" t="s">
        <v>962</v>
      </c>
      <c r="W330" s="492" t="s">
        <v>1872</v>
      </c>
      <c r="X330" s="492" t="s">
        <v>977</v>
      </c>
      <c r="Y330" s="492" t="s">
        <v>108</v>
      </c>
      <c r="Z330" s="492" t="s">
        <v>108</v>
      </c>
      <c r="AA330" s="492" t="s">
        <v>108</v>
      </c>
      <c r="AB330" s="492" t="s">
        <v>1838</v>
      </c>
      <c r="AC330" s="492" t="s">
        <v>830</v>
      </c>
      <c r="AD330" s="492" t="s">
        <v>831</v>
      </c>
      <c r="AE330" s="492" t="s">
        <v>612</v>
      </c>
      <c r="AF330" s="492" t="s">
        <v>2054</v>
      </c>
      <c r="AG330" s="492" t="s">
        <v>34</v>
      </c>
      <c r="AH330" s="492" t="s">
        <v>34</v>
      </c>
      <c r="AI330" s="492" t="s">
        <v>34</v>
      </c>
      <c r="AJ330" s="492" t="s">
        <v>34</v>
      </c>
      <c r="AK330" s="492" t="s">
        <v>832</v>
      </c>
      <c r="AL330" s="492" t="s">
        <v>34</v>
      </c>
      <c r="AM330" s="61" t="s">
        <v>3441</v>
      </c>
      <c r="AN330" s="490">
        <v>0</v>
      </c>
      <c r="AO330" s="490">
        <v>0</v>
      </c>
      <c r="AP330" s="61"/>
    </row>
    <row r="331" spans="1:42" x14ac:dyDescent="0.2">
      <c r="A331" s="61">
        <v>330</v>
      </c>
      <c r="B331" s="491" t="s">
        <v>622</v>
      </c>
      <c r="C331" s="492" t="s">
        <v>2474</v>
      </c>
      <c r="D331" s="492" t="s">
        <v>2979</v>
      </c>
      <c r="E331" s="492" t="s">
        <v>773</v>
      </c>
      <c r="F331" s="492" t="s">
        <v>717</v>
      </c>
      <c r="G331" s="492" t="s">
        <v>34</v>
      </c>
      <c r="H331" s="492" t="s">
        <v>835</v>
      </c>
      <c r="I331" s="492" t="s">
        <v>4270</v>
      </c>
      <c r="J331" s="492" t="s">
        <v>1447</v>
      </c>
      <c r="K331" s="492" t="s">
        <v>2980</v>
      </c>
      <c r="L331" s="492" t="s">
        <v>962</v>
      </c>
      <c r="M331" s="493" t="s">
        <v>2474</v>
      </c>
      <c r="N331" s="492" t="s">
        <v>2474</v>
      </c>
      <c r="O331" s="492" t="s">
        <v>305</v>
      </c>
      <c r="P331" s="492" t="s">
        <v>4308</v>
      </c>
      <c r="Q331" s="492" t="s">
        <v>911</v>
      </c>
      <c r="R331" s="492" t="s">
        <v>828</v>
      </c>
      <c r="S331" s="492" t="s">
        <v>1871</v>
      </c>
      <c r="T331" s="492">
        <v>346.5</v>
      </c>
      <c r="U331" s="492" t="s">
        <v>858</v>
      </c>
      <c r="V331" s="492" t="s">
        <v>962</v>
      </c>
      <c r="W331" s="492" t="s">
        <v>2981</v>
      </c>
      <c r="X331" s="492" t="s">
        <v>898</v>
      </c>
      <c r="Y331" s="492" t="s">
        <v>108</v>
      </c>
      <c r="Z331" s="492" t="s">
        <v>108</v>
      </c>
      <c r="AA331" s="492" t="s">
        <v>108</v>
      </c>
      <c r="AB331" s="492" t="s">
        <v>4309</v>
      </c>
      <c r="AC331" s="492" t="s">
        <v>830</v>
      </c>
      <c r="AD331" s="492" t="s">
        <v>831</v>
      </c>
      <c r="AE331" s="492" t="s">
        <v>612</v>
      </c>
      <c r="AF331" s="492" t="s">
        <v>2054</v>
      </c>
      <c r="AG331" s="492" t="s">
        <v>34</v>
      </c>
      <c r="AH331" s="492" t="s">
        <v>34</v>
      </c>
      <c r="AI331" s="492" t="s">
        <v>34</v>
      </c>
      <c r="AJ331" s="492" t="s">
        <v>34</v>
      </c>
      <c r="AK331" s="492" t="s">
        <v>832</v>
      </c>
      <c r="AL331" s="492" t="s">
        <v>34</v>
      </c>
      <c r="AM331" s="61" t="s">
        <v>3441</v>
      </c>
      <c r="AN331" s="490">
        <v>0</v>
      </c>
      <c r="AO331" s="490">
        <v>0</v>
      </c>
      <c r="AP331" s="61"/>
    </row>
    <row r="332" spans="1:42" x14ac:dyDescent="0.2">
      <c r="A332" s="61">
        <v>331</v>
      </c>
      <c r="B332" s="491" t="s">
        <v>622</v>
      </c>
      <c r="C332" s="492" t="s">
        <v>314</v>
      </c>
      <c r="D332" s="492" t="s">
        <v>2819</v>
      </c>
      <c r="E332" s="492" t="s">
        <v>773</v>
      </c>
      <c r="F332" s="492" t="s">
        <v>717</v>
      </c>
      <c r="G332" s="492" t="s">
        <v>34</v>
      </c>
      <c r="H332" s="492" t="s">
        <v>835</v>
      </c>
      <c r="I332" s="492" t="s">
        <v>4270</v>
      </c>
      <c r="J332" s="492" t="s">
        <v>1103</v>
      </c>
      <c r="K332" s="492" t="s">
        <v>1482</v>
      </c>
      <c r="L332" s="492" t="s">
        <v>305</v>
      </c>
      <c r="M332" s="493" t="s">
        <v>314</v>
      </c>
      <c r="N332" s="492" t="s">
        <v>314</v>
      </c>
      <c r="O332" s="492" t="s">
        <v>305</v>
      </c>
      <c r="P332" s="492" t="s">
        <v>1258</v>
      </c>
      <c r="Q332" s="492" t="s">
        <v>3501</v>
      </c>
      <c r="R332" s="492" t="s">
        <v>828</v>
      </c>
      <c r="S332" s="492" t="s">
        <v>1836</v>
      </c>
      <c r="T332" s="492">
        <v>189</v>
      </c>
      <c r="U332" s="492" t="s">
        <v>858</v>
      </c>
      <c r="V332" s="492" t="s">
        <v>950</v>
      </c>
      <c r="W332" s="492" t="s">
        <v>1837</v>
      </c>
      <c r="X332" s="492" t="s">
        <v>3509</v>
      </c>
      <c r="Y332" s="492" t="s">
        <v>108</v>
      </c>
      <c r="Z332" s="492" t="s">
        <v>108</v>
      </c>
      <c r="AA332" s="492" t="s">
        <v>108</v>
      </c>
      <c r="AB332" s="492" t="s">
        <v>1838</v>
      </c>
      <c r="AC332" s="492" t="s">
        <v>830</v>
      </c>
      <c r="AD332" s="492" t="s">
        <v>831</v>
      </c>
      <c r="AE332" s="492" t="s">
        <v>612</v>
      </c>
      <c r="AF332" s="492" t="s">
        <v>34</v>
      </c>
      <c r="AG332" s="492" t="s">
        <v>34</v>
      </c>
      <c r="AH332" s="492" t="s">
        <v>34</v>
      </c>
      <c r="AI332" s="492" t="s">
        <v>34</v>
      </c>
      <c r="AJ332" s="492" t="s">
        <v>34</v>
      </c>
      <c r="AK332" s="492" t="s">
        <v>832</v>
      </c>
      <c r="AL332" s="492" t="s">
        <v>34</v>
      </c>
      <c r="AM332" s="61" t="s">
        <v>3441</v>
      </c>
      <c r="AN332" s="490">
        <v>0</v>
      </c>
      <c r="AO332" s="490">
        <v>0</v>
      </c>
      <c r="AP332" s="61"/>
    </row>
    <row r="333" spans="1:42" x14ac:dyDescent="0.2">
      <c r="A333" s="61">
        <v>332</v>
      </c>
      <c r="B333" s="491" t="s">
        <v>622</v>
      </c>
      <c r="C333" s="492" t="s">
        <v>313</v>
      </c>
      <c r="D333" s="492" t="s">
        <v>2820</v>
      </c>
      <c r="E333" s="492" t="s">
        <v>773</v>
      </c>
      <c r="F333" s="492" t="s">
        <v>717</v>
      </c>
      <c r="G333" s="492" t="s">
        <v>34</v>
      </c>
      <c r="H333" s="492" t="s">
        <v>835</v>
      </c>
      <c r="I333" s="492" t="s">
        <v>4270</v>
      </c>
      <c r="J333" s="492" t="s">
        <v>1103</v>
      </c>
      <c r="K333" s="492" t="s">
        <v>1839</v>
      </c>
      <c r="L333" s="492" t="s">
        <v>305</v>
      </c>
      <c r="M333" s="493" t="s">
        <v>313</v>
      </c>
      <c r="N333" s="492" t="s">
        <v>313</v>
      </c>
      <c r="O333" s="492" t="s">
        <v>305</v>
      </c>
      <c r="P333" s="492" t="s">
        <v>1840</v>
      </c>
      <c r="Q333" s="492" t="s">
        <v>908</v>
      </c>
      <c r="R333" s="492" t="s">
        <v>828</v>
      </c>
      <c r="S333" s="492" t="s">
        <v>1836</v>
      </c>
      <c r="T333" s="492">
        <v>189</v>
      </c>
      <c r="U333" s="492" t="s">
        <v>858</v>
      </c>
      <c r="V333" s="492" t="s">
        <v>950</v>
      </c>
      <c r="W333" s="492" t="s">
        <v>1841</v>
      </c>
      <c r="X333" s="492" t="s">
        <v>968</v>
      </c>
      <c r="Y333" s="492" t="s">
        <v>108</v>
      </c>
      <c r="Z333" s="492" t="s">
        <v>108</v>
      </c>
      <c r="AA333" s="492" t="s">
        <v>108</v>
      </c>
      <c r="AB333" s="492" t="s">
        <v>1838</v>
      </c>
      <c r="AC333" s="492" t="s">
        <v>830</v>
      </c>
      <c r="AD333" s="492" t="s">
        <v>831</v>
      </c>
      <c r="AE333" s="492" t="s">
        <v>612</v>
      </c>
      <c r="AF333" s="492" t="s">
        <v>34</v>
      </c>
      <c r="AG333" s="492" t="s">
        <v>34</v>
      </c>
      <c r="AH333" s="492" t="s">
        <v>34</v>
      </c>
      <c r="AI333" s="492" t="s">
        <v>34</v>
      </c>
      <c r="AJ333" s="492" t="s">
        <v>34</v>
      </c>
      <c r="AK333" s="492" t="s">
        <v>832</v>
      </c>
      <c r="AL333" s="492" t="s">
        <v>34</v>
      </c>
      <c r="AM333" s="61" t="s">
        <v>3441</v>
      </c>
      <c r="AN333" s="490">
        <v>0</v>
      </c>
      <c r="AO333" s="490">
        <v>0</v>
      </c>
      <c r="AP333" s="61"/>
    </row>
    <row r="334" spans="1:42" x14ac:dyDescent="0.2">
      <c r="A334" s="61">
        <v>333</v>
      </c>
      <c r="B334" s="491" t="s">
        <v>437</v>
      </c>
      <c r="C334" s="492">
        <v>3037</v>
      </c>
      <c r="D334" s="492" t="s">
        <v>2821</v>
      </c>
      <c r="E334" s="492" t="s">
        <v>774</v>
      </c>
      <c r="F334" s="492" t="s">
        <v>775</v>
      </c>
      <c r="G334" s="492" t="s">
        <v>34</v>
      </c>
      <c r="H334" s="492" t="s">
        <v>835</v>
      </c>
      <c r="I334" s="492" t="s">
        <v>4270</v>
      </c>
      <c r="J334" s="492" t="s">
        <v>1103</v>
      </c>
      <c r="K334" s="492" t="s">
        <v>366</v>
      </c>
      <c r="L334" s="492" t="s">
        <v>1888</v>
      </c>
      <c r="M334" s="493">
        <v>82216</v>
      </c>
      <c r="N334" s="492">
        <v>3037</v>
      </c>
      <c r="O334" s="492" t="s">
        <v>4288</v>
      </c>
      <c r="P334" s="492" t="s">
        <v>1882</v>
      </c>
      <c r="Q334" s="492" t="s">
        <v>3499</v>
      </c>
      <c r="R334" s="492" t="s">
        <v>828</v>
      </c>
      <c r="S334" s="492" t="s">
        <v>1889</v>
      </c>
      <c r="T334" s="492">
        <v>248.9</v>
      </c>
      <c r="U334" s="492" t="s">
        <v>857</v>
      </c>
      <c r="V334" s="492" t="s">
        <v>2042</v>
      </c>
      <c r="W334" s="492">
        <v>305939</v>
      </c>
      <c r="X334" s="492" t="s">
        <v>3502</v>
      </c>
      <c r="Y334" s="492" t="s">
        <v>4061</v>
      </c>
      <c r="Z334" s="492" t="s">
        <v>4062</v>
      </c>
      <c r="AA334" s="492" t="s">
        <v>3502</v>
      </c>
      <c r="AB334" s="492" t="s">
        <v>34</v>
      </c>
      <c r="AC334" s="492" t="s">
        <v>830</v>
      </c>
      <c r="AD334" s="492" t="s">
        <v>831</v>
      </c>
      <c r="AE334" s="492" t="s">
        <v>612</v>
      </c>
      <c r="AF334" s="492">
        <v>6</v>
      </c>
      <c r="AG334" s="492">
        <v>0.17</v>
      </c>
      <c r="AH334" s="492">
        <v>0.28000000000000003</v>
      </c>
      <c r="AI334" s="492" t="s">
        <v>34</v>
      </c>
      <c r="AJ334" s="492" t="s">
        <v>34</v>
      </c>
      <c r="AK334" s="492" t="s">
        <v>832</v>
      </c>
      <c r="AL334" s="492" t="s">
        <v>34</v>
      </c>
      <c r="AM334" s="61" t="s">
        <v>3444</v>
      </c>
      <c r="AN334" s="490">
        <v>0</v>
      </c>
      <c r="AO334" s="490">
        <v>0</v>
      </c>
      <c r="AP334" s="61"/>
    </row>
    <row r="335" spans="1:42" x14ac:dyDescent="0.2">
      <c r="A335" s="61">
        <v>334</v>
      </c>
      <c r="B335" s="491" t="s">
        <v>437</v>
      </c>
      <c r="C335" s="492" t="s">
        <v>438</v>
      </c>
      <c r="D335" s="492" t="s">
        <v>2822</v>
      </c>
      <c r="E335" s="492" t="s">
        <v>774</v>
      </c>
      <c r="F335" s="492" t="s">
        <v>775</v>
      </c>
      <c r="G335" s="492" t="s">
        <v>34</v>
      </c>
      <c r="H335" s="492" t="s">
        <v>835</v>
      </c>
      <c r="I335" s="492" t="s">
        <v>4270</v>
      </c>
      <c r="J335" s="492" t="s">
        <v>1103</v>
      </c>
      <c r="K335" s="492" t="s">
        <v>366</v>
      </c>
      <c r="L335" s="492" t="s">
        <v>1880</v>
      </c>
      <c r="M335" s="493" t="s">
        <v>1881</v>
      </c>
      <c r="N335" s="492" t="s">
        <v>438</v>
      </c>
      <c r="O335" s="492" t="s">
        <v>4288</v>
      </c>
      <c r="P335" s="492" t="s">
        <v>1882</v>
      </c>
      <c r="Q335" s="492" t="s">
        <v>3499</v>
      </c>
      <c r="R335" s="492" t="s">
        <v>828</v>
      </c>
      <c r="S335" s="492" t="s">
        <v>1883</v>
      </c>
      <c r="T335" s="492">
        <v>292.5</v>
      </c>
      <c r="U335" s="492" t="s">
        <v>858</v>
      </c>
      <c r="V335" s="492" t="s">
        <v>1884</v>
      </c>
      <c r="W335" s="492" t="s">
        <v>1885</v>
      </c>
      <c r="X335" s="492" t="s">
        <v>3502</v>
      </c>
      <c r="Y335" s="492" t="s">
        <v>1886</v>
      </c>
      <c r="Z335" s="492" t="s">
        <v>1887</v>
      </c>
      <c r="AA335" s="492" t="s">
        <v>3502</v>
      </c>
      <c r="AB335" s="492" t="s">
        <v>34</v>
      </c>
      <c r="AC335" s="492" t="s">
        <v>830</v>
      </c>
      <c r="AD335" s="492" t="s">
        <v>831</v>
      </c>
      <c r="AE335" s="492" t="s">
        <v>612</v>
      </c>
      <c r="AF335" s="492" t="s">
        <v>2054</v>
      </c>
      <c r="AG335" s="492" t="s">
        <v>34</v>
      </c>
      <c r="AH335" s="492" t="s">
        <v>34</v>
      </c>
      <c r="AI335" s="492" t="s">
        <v>34</v>
      </c>
      <c r="AJ335" s="492" t="s">
        <v>34</v>
      </c>
      <c r="AK335" s="492" t="s">
        <v>832</v>
      </c>
      <c r="AL335" s="492" t="s">
        <v>34</v>
      </c>
      <c r="AM335" s="61" t="s">
        <v>3444</v>
      </c>
      <c r="AN335" s="490">
        <v>0</v>
      </c>
      <c r="AO335" s="490">
        <v>0</v>
      </c>
      <c r="AP335" s="61"/>
    </row>
    <row r="336" spans="1:42" x14ac:dyDescent="0.2">
      <c r="A336" s="61">
        <v>335</v>
      </c>
      <c r="B336" s="491" t="s">
        <v>451</v>
      </c>
      <c r="C336" s="492" t="s">
        <v>453</v>
      </c>
      <c r="D336" s="492" t="s">
        <v>2823</v>
      </c>
      <c r="E336" s="492" t="s">
        <v>1946</v>
      </c>
      <c r="F336" s="492" t="s">
        <v>726</v>
      </c>
      <c r="G336" s="492" t="s">
        <v>34</v>
      </c>
      <c r="H336" s="492" t="s">
        <v>835</v>
      </c>
      <c r="I336" s="492" t="s">
        <v>4270</v>
      </c>
      <c r="J336" s="492" t="s">
        <v>1447</v>
      </c>
      <c r="K336" s="492" t="s">
        <v>1947</v>
      </c>
      <c r="L336" s="492" t="s">
        <v>1948</v>
      </c>
      <c r="M336" s="493" t="s">
        <v>1949</v>
      </c>
      <c r="N336" s="492" t="s">
        <v>453</v>
      </c>
      <c r="O336" s="492" t="s">
        <v>305</v>
      </c>
      <c r="P336" s="492" t="s">
        <v>1950</v>
      </c>
      <c r="Q336" s="492" t="s">
        <v>911</v>
      </c>
      <c r="R336" s="492" t="s">
        <v>1002</v>
      </c>
      <c r="S336" s="492" t="s">
        <v>1951</v>
      </c>
      <c r="T336" s="492">
        <v>840</v>
      </c>
      <c r="U336" s="492" t="s">
        <v>857</v>
      </c>
      <c r="V336" s="492" t="s">
        <v>1826</v>
      </c>
      <c r="W336" s="492" t="s">
        <v>1952</v>
      </c>
      <c r="X336" s="492" t="s">
        <v>829</v>
      </c>
      <c r="Y336" s="492" t="s">
        <v>1501</v>
      </c>
      <c r="Z336" s="492" t="s">
        <v>1953</v>
      </c>
      <c r="AA336" s="492" t="s">
        <v>829</v>
      </c>
      <c r="AB336" s="492" t="s">
        <v>34</v>
      </c>
      <c r="AC336" s="492" t="s">
        <v>830</v>
      </c>
      <c r="AD336" s="492" t="s">
        <v>831</v>
      </c>
      <c r="AE336" s="492" t="s">
        <v>612</v>
      </c>
      <c r="AF336" s="492" t="s">
        <v>3048</v>
      </c>
      <c r="AG336" s="492">
        <v>1</v>
      </c>
      <c r="AH336" s="492">
        <v>1</v>
      </c>
      <c r="AI336" s="492" t="s">
        <v>3049</v>
      </c>
      <c r="AJ336" s="492" t="s">
        <v>34</v>
      </c>
      <c r="AK336" s="492" t="s">
        <v>832</v>
      </c>
      <c r="AL336" s="492" t="s">
        <v>34</v>
      </c>
      <c r="AM336" s="61" t="s">
        <v>3443</v>
      </c>
      <c r="AN336" s="490">
        <v>0</v>
      </c>
      <c r="AO336" s="490">
        <v>0</v>
      </c>
      <c r="AP336" s="61"/>
    </row>
    <row r="337" spans="1:42" x14ac:dyDescent="0.2">
      <c r="A337" s="61">
        <v>336</v>
      </c>
      <c r="B337" s="491" t="s">
        <v>451</v>
      </c>
      <c r="C337" s="492" t="s">
        <v>653</v>
      </c>
      <c r="D337" s="492" t="s">
        <v>2824</v>
      </c>
      <c r="E337" s="492" t="s">
        <v>1946</v>
      </c>
      <c r="F337" s="492" t="s">
        <v>726</v>
      </c>
      <c r="G337" s="492" t="s">
        <v>34</v>
      </c>
      <c r="H337" s="492" t="s">
        <v>835</v>
      </c>
      <c r="I337" s="492" t="s">
        <v>4270</v>
      </c>
      <c r="J337" s="492" t="s">
        <v>1447</v>
      </c>
      <c r="K337" s="492" t="s">
        <v>1947</v>
      </c>
      <c r="L337" s="492" t="s">
        <v>1150</v>
      </c>
      <c r="M337" s="493" t="s">
        <v>1959</v>
      </c>
      <c r="N337" s="492" t="s">
        <v>1960</v>
      </c>
      <c r="O337" s="492" t="s">
        <v>305</v>
      </c>
      <c r="P337" s="492" t="s">
        <v>1905</v>
      </c>
      <c r="Q337" s="492" t="s">
        <v>911</v>
      </c>
      <c r="R337" s="492" t="s">
        <v>993</v>
      </c>
      <c r="S337" s="492" t="s">
        <v>1961</v>
      </c>
      <c r="T337" s="492">
        <v>1481</v>
      </c>
      <c r="U337" s="492" t="s">
        <v>857</v>
      </c>
      <c r="V337" s="492" t="s">
        <v>1962</v>
      </c>
      <c r="W337" s="492" t="s">
        <v>1963</v>
      </c>
      <c r="X337" s="492" t="s">
        <v>988</v>
      </c>
      <c r="Y337" s="492" t="s">
        <v>108</v>
      </c>
      <c r="Z337" s="492" t="s">
        <v>108</v>
      </c>
      <c r="AA337" s="492" t="s">
        <v>108</v>
      </c>
      <c r="AB337" s="492" t="s">
        <v>1964</v>
      </c>
      <c r="AC337" s="492" t="s">
        <v>830</v>
      </c>
      <c r="AD337" s="492" t="s">
        <v>831</v>
      </c>
      <c r="AE337" s="492" t="s">
        <v>612</v>
      </c>
      <c r="AF337" s="492" t="s">
        <v>34</v>
      </c>
      <c r="AG337" s="492" t="s">
        <v>34</v>
      </c>
      <c r="AH337" s="492" t="s">
        <v>34</v>
      </c>
      <c r="AI337" s="492" t="s">
        <v>34</v>
      </c>
      <c r="AJ337" s="492" t="s">
        <v>34</v>
      </c>
      <c r="AK337" s="492" t="s">
        <v>832</v>
      </c>
      <c r="AL337" s="492" t="s">
        <v>34</v>
      </c>
      <c r="AM337" s="61" t="s">
        <v>3443</v>
      </c>
      <c r="AN337" s="490">
        <v>0</v>
      </c>
      <c r="AO337" s="490">
        <v>0</v>
      </c>
      <c r="AP337" s="61"/>
    </row>
    <row r="338" spans="1:42" x14ac:dyDescent="0.2">
      <c r="A338" s="61">
        <v>337</v>
      </c>
      <c r="B338" s="491" t="s">
        <v>451</v>
      </c>
      <c r="C338" s="492" t="s">
        <v>452</v>
      </c>
      <c r="D338" s="492" t="s">
        <v>2825</v>
      </c>
      <c r="E338" s="492" t="s">
        <v>1946</v>
      </c>
      <c r="F338" s="492" t="s">
        <v>726</v>
      </c>
      <c r="G338" s="492" t="s">
        <v>34</v>
      </c>
      <c r="H338" s="492" t="s">
        <v>835</v>
      </c>
      <c r="I338" s="492" t="s">
        <v>4270</v>
      </c>
      <c r="J338" s="492" t="s">
        <v>1103</v>
      </c>
      <c r="K338" s="492" t="s">
        <v>366</v>
      </c>
      <c r="L338" s="492" t="s">
        <v>1954</v>
      </c>
      <c r="M338" s="493">
        <v>92063</v>
      </c>
      <c r="N338" s="492" t="s">
        <v>452</v>
      </c>
      <c r="O338" s="492" t="s">
        <v>305</v>
      </c>
      <c r="P338" s="492" t="s">
        <v>1950</v>
      </c>
      <c r="Q338" s="492" t="s">
        <v>3499</v>
      </c>
      <c r="R338" s="492" t="s">
        <v>993</v>
      </c>
      <c r="S338" s="492" t="s">
        <v>1955</v>
      </c>
      <c r="T338" s="492">
        <v>742.5</v>
      </c>
      <c r="U338" s="492" t="s">
        <v>858</v>
      </c>
      <c r="V338" s="492" t="s">
        <v>1956</v>
      </c>
      <c r="W338" s="492" t="s">
        <v>1957</v>
      </c>
      <c r="X338" s="492" t="s">
        <v>3502</v>
      </c>
      <c r="Y338" s="492" t="s">
        <v>1501</v>
      </c>
      <c r="Z338" s="492" t="s">
        <v>1958</v>
      </c>
      <c r="AA338" s="492" t="s">
        <v>3502</v>
      </c>
      <c r="AB338" s="492" t="s">
        <v>34</v>
      </c>
      <c r="AC338" s="492" t="s">
        <v>830</v>
      </c>
      <c r="AD338" s="492" t="s">
        <v>831</v>
      </c>
      <c r="AE338" s="492" t="s">
        <v>612</v>
      </c>
      <c r="AF338" s="492">
        <v>5</v>
      </c>
      <c r="AG338" s="492">
        <v>5</v>
      </c>
      <c r="AH338" s="492">
        <v>0</v>
      </c>
      <c r="AI338" s="492">
        <v>30</v>
      </c>
      <c r="AJ338" s="492" t="s">
        <v>34</v>
      </c>
      <c r="AK338" s="492" t="s">
        <v>832</v>
      </c>
      <c r="AL338" s="492" t="s">
        <v>34</v>
      </c>
      <c r="AM338" s="61" t="s">
        <v>3443</v>
      </c>
      <c r="AN338" s="490">
        <v>0</v>
      </c>
      <c r="AO338" s="490">
        <v>0</v>
      </c>
      <c r="AP338" s="61"/>
    </row>
    <row r="339" spans="1:42" x14ac:dyDescent="0.2">
      <c r="A339" s="61">
        <v>338</v>
      </c>
      <c r="B339" s="491" t="s">
        <v>439</v>
      </c>
      <c r="C339" s="492" t="s">
        <v>440</v>
      </c>
      <c r="D339" s="492" t="s">
        <v>2826</v>
      </c>
      <c r="E339" s="492" t="s">
        <v>776</v>
      </c>
      <c r="F339" s="492" t="s">
        <v>711</v>
      </c>
      <c r="G339" s="492" t="s">
        <v>34</v>
      </c>
      <c r="H339" s="492" t="s">
        <v>835</v>
      </c>
      <c r="I339" s="492" t="s">
        <v>4270</v>
      </c>
      <c r="J339" s="492" t="s">
        <v>1447</v>
      </c>
      <c r="K339" s="492" t="s">
        <v>365</v>
      </c>
      <c r="L339" s="492" t="s">
        <v>1894</v>
      </c>
      <c r="M339" s="493" t="s">
        <v>440</v>
      </c>
      <c r="N339" s="492" t="s">
        <v>440</v>
      </c>
      <c r="O339" s="492" t="s">
        <v>305</v>
      </c>
      <c r="P339" s="492" t="s">
        <v>1618</v>
      </c>
      <c r="Q339" s="492" t="s">
        <v>911</v>
      </c>
      <c r="R339" s="492" t="s">
        <v>892</v>
      </c>
      <c r="S339" s="492" t="s">
        <v>1895</v>
      </c>
      <c r="T339" s="492">
        <v>0.3</v>
      </c>
      <c r="U339" s="492" t="s">
        <v>687</v>
      </c>
      <c r="V339" s="492" t="s">
        <v>1896</v>
      </c>
      <c r="W339" s="492" t="s">
        <v>1897</v>
      </c>
      <c r="X339" s="492" t="s">
        <v>3082</v>
      </c>
      <c r="Y339" s="492" t="s">
        <v>108</v>
      </c>
      <c r="Z339" s="492" t="s">
        <v>108</v>
      </c>
      <c r="AA339" s="492" t="s">
        <v>108</v>
      </c>
      <c r="AB339" s="492" t="s">
        <v>3891</v>
      </c>
      <c r="AC339" s="492" t="s">
        <v>830</v>
      </c>
      <c r="AD339" s="492" t="s">
        <v>831</v>
      </c>
      <c r="AE339" s="492" t="s">
        <v>612</v>
      </c>
      <c r="AF339" s="492" t="s">
        <v>2054</v>
      </c>
      <c r="AG339" s="492" t="s">
        <v>34</v>
      </c>
      <c r="AH339" s="492" t="s">
        <v>34</v>
      </c>
      <c r="AI339" s="492" t="s">
        <v>34</v>
      </c>
      <c r="AJ339" s="492" t="s">
        <v>34</v>
      </c>
      <c r="AK339" s="492" t="s">
        <v>832</v>
      </c>
      <c r="AL339" s="492" t="s">
        <v>34</v>
      </c>
      <c r="AM339" s="61" t="s">
        <v>3461</v>
      </c>
      <c r="AN339" s="490">
        <v>0</v>
      </c>
      <c r="AO339" s="490">
        <v>0</v>
      </c>
      <c r="AP339" s="61"/>
    </row>
    <row r="340" spans="1:42" x14ac:dyDescent="0.2">
      <c r="A340" s="61">
        <v>339</v>
      </c>
      <c r="B340" s="491" t="s">
        <v>439</v>
      </c>
      <c r="C340" s="492" t="s">
        <v>450</v>
      </c>
      <c r="D340" s="492" t="s">
        <v>2827</v>
      </c>
      <c r="E340" s="492" t="s">
        <v>776</v>
      </c>
      <c r="F340" s="492" t="s">
        <v>711</v>
      </c>
      <c r="G340" s="492" t="s">
        <v>34</v>
      </c>
      <c r="H340" s="492" t="s">
        <v>835</v>
      </c>
      <c r="I340" s="492" t="s">
        <v>4270</v>
      </c>
      <c r="J340" s="492" t="s">
        <v>1103</v>
      </c>
      <c r="K340" s="492" t="s">
        <v>365</v>
      </c>
      <c r="L340" s="492" t="s">
        <v>1890</v>
      </c>
      <c r="M340" s="493" t="s">
        <v>1891</v>
      </c>
      <c r="N340" s="492" t="s">
        <v>450</v>
      </c>
      <c r="O340" s="492" t="s">
        <v>305</v>
      </c>
      <c r="P340" s="492" t="s">
        <v>1166</v>
      </c>
      <c r="Q340" s="492" t="s">
        <v>911</v>
      </c>
      <c r="R340" s="492" t="s">
        <v>1002</v>
      </c>
      <c r="S340" s="492" t="s">
        <v>1892</v>
      </c>
      <c r="T340" s="492">
        <v>120</v>
      </c>
      <c r="U340" s="492" t="s">
        <v>857</v>
      </c>
      <c r="V340" s="492" t="s">
        <v>4063</v>
      </c>
      <c r="W340" s="492" t="s">
        <v>4064</v>
      </c>
      <c r="X340" s="492" t="s">
        <v>829</v>
      </c>
      <c r="Y340" s="492" t="s">
        <v>4063</v>
      </c>
      <c r="Z340" s="492" t="s">
        <v>4064</v>
      </c>
      <c r="AA340" s="492" t="s">
        <v>108</v>
      </c>
      <c r="AB340" s="492" t="s">
        <v>34</v>
      </c>
      <c r="AC340" s="492" t="s">
        <v>830</v>
      </c>
      <c r="AD340" s="492" t="s">
        <v>831</v>
      </c>
      <c r="AE340" s="492" t="s">
        <v>612</v>
      </c>
      <c r="AF340" s="492" t="s">
        <v>2526</v>
      </c>
      <c r="AG340" s="492">
        <v>0.5</v>
      </c>
      <c r="AH340" s="492">
        <v>0.75</v>
      </c>
      <c r="AI340" s="492" t="s">
        <v>34</v>
      </c>
      <c r="AJ340" s="492" t="s">
        <v>34</v>
      </c>
      <c r="AK340" s="492" t="s">
        <v>832</v>
      </c>
      <c r="AL340" s="492" t="s">
        <v>34</v>
      </c>
      <c r="AM340" s="61" t="s">
        <v>3441</v>
      </c>
      <c r="AN340" s="490"/>
      <c r="AO340" s="490"/>
      <c r="AP340" s="61"/>
    </row>
    <row r="341" spans="1:42" x14ac:dyDescent="0.2">
      <c r="A341" s="61">
        <v>340</v>
      </c>
      <c r="B341" s="491" t="s">
        <v>439</v>
      </c>
      <c r="C341" s="492" t="s">
        <v>3566</v>
      </c>
      <c r="D341" s="492" t="s">
        <v>3567</v>
      </c>
      <c r="E341" s="492" t="s">
        <v>776</v>
      </c>
      <c r="F341" s="492" t="s">
        <v>711</v>
      </c>
      <c r="G341" s="492" t="s">
        <v>34</v>
      </c>
      <c r="H341" s="492" t="s">
        <v>835</v>
      </c>
      <c r="I341" s="492" t="s">
        <v>4270</v>
      </c>
      <c r="J341" s="492" t="s">
        <v>1103</v>
      </c>
      <c r="K341" s="492" t="s">
        <v>365</v>
      </c>
      <c r="L341" s="492" t="s">
        <v>3568</v>
      </c>
      <c r="M341" s="493" t="s">
        <v>3569</v>
      </c>
      <c r="N341" s="492" t="s">
        <v>3566</v>
      </c>
      <c r="O341" s="492" t="s">
        <v>305</v>
      </c>
      <c r="P341" s="492" t="s">
        <v>1166</v>
      </c>
      <c r="Q341" s="492" t="s">
        <v>911</v>
      </c>
      <c r="R341" s="492" t="s">
        <v>3141</v>
      </c>
      <c r="S341" s="492" t="s">
        <v>3570</v>
      </c>
      <c r="T341" s="492">
        <v>395</v>
      </c>
      <c r="U341" s="492" t="s">
        <v>857</v>
      </c>
      <c r="V341" s="492" t="s">
        <v>3777</v>
      </c>
      <c r="W341" s="492" t="s">
        <v>3778</v>
      </c>
      <c r="X341" s="492" t="s">
        <v>829</v>
      </c>
      <c r="Y341" s="492" t="s">
        <v>3777</v>
      </c>
      <c r="Z341" s="492" t="s">
        <v>3778</v>
      </c>
      <c r="AA341" s="492" t="s">
        <v>829</v>
      </c>
      <c r="AB341" s="492" t="s">
        <v>34</v>
      </c>
      <c r="AC341" s="492" t="s">
        <v>830</v>
      </c>
      <c r="AD341" s="492" t="s">
        <v>831</v>
      </c>
      <c r="AE341" s="492" t="s">
        <v>612</v>
      </c>
      <c r="AF341" s="492">
        <v>21.5</v>
      </c>
      <c r="AG341" s="492">
        <v>230</v>
      </c>
      <c r="AH341" s="492" t="s">
        <v>3779</v>
      </c>
      <c r="AI341" s="492" t="s">
        <v>3780</v>
      </c>
      <c r="AJ341" s="492" t="s">
        <v>3781</v>
      </c>
      <c r="AK341" s="492" t="s">
        <v>832</v>
      </c>
      <c r="AL341" s="492" t="s">
        <v>34</v>
      </c>
      <c r="AM341" s="61" t="s">
        <v>3441</v>
      </c>
      <c r="AN341" s="490">
        <v>0</v>
      </c>
      <c r="AO341" s="490">
        <v>0</v>
      </c>
      <c r="AP341" s="61"/>
    </row>
    <row r="342" spans="1:42" x14ac:dyDescent="0.2">
      <c r="A342" s="61">
        <v>341</v>
      </c>
      <c r="B342" s="491" t="s">
        <v>439</v>
      </c>
      <c r="C342" s="492" t="s">
        <v>441</v>
      </c>
      <c r="D342" s="492" t="s">
        <v>2828</v>
      </c>
      <c r="E342" s="492" t="s">
        <v>776</v>
      </c>
      <c r="F342" s="492" t="s">
        <v>711</v>
      </c>
      <c r="G342" s="492" t="s">
        <v>34</v>
      </c>
      <c r="H342" s="492" t="s">
        <v>835</v>
      </c>
      <c r="I342" s="492" t="s">
        <v>4270</v>
      </c>
      <c r="J342" s="492" t="s">
        <v>1103</v>
      </c>
      <c r="K342" s="492" t="s">
        <v>365</v>
      </c>
      <c r="L342" s="492" t="s">
        <v>1898</v>
      </c>
      <c r="M342" s="493" t="s">
        <v>1899</v>
      </c>
      <c r="N342" s="492" t="s">
        <v>441</v>
      </c>
      <c r="O342" s="492" t="s">
        <v>305</v>
      </c>
      <c r="P342" s="492" t="s">
        <v>1900</v>
      </c>
      <c r="Q342" s="492" t="s">
        <v>3514</v>
      </c>
      <c r="R342" s="492" t="s">
        <v>828</v>
      </c>
      <c r="S342" s="492" t="s">
        <v>1901</v>
      </c>
      <c r="T342" s="492">
        <v>4.5999999999999996</v>
      </c>
      <c r="U342" s="492" t="s">
        <v>857</v>
      </c>
      <c r="V342" s="492" t="s">
        <v>3753</v>
      </c>
      <c r="W342" s="492" t="s">
        <v>3754</v>
      </c>
      <c r="X342" s="492" t="s">
        <v>3502</v>
      </c>
      <c r="Y342" s="492" t="s">
        <v>3866</v>
      </c>
      <c r="Z342" s="492" t="s">
        <v>4004</v>
      </c>
      <c r="AA342" s="492" t="s">
        <v>3502</v>
      </c>
      <c r="AB342" s="492" t="s">
        <v>34</v>
      </c>
      <c r="AC342" s="492" t="s">
        <v>830</v>
      </c>
      <c r="AD342" s="492" t="s">
        <v>831</v>
      </c>
      <c r="AE342" s="492" t="s">
        <v>612</v>
      </c>
      <c r="AF342" s="492">
        <v>10</v>
      </c>
      <c r="AG342" s="492">
        <v>1</v>
      </c>
      <c r="AH342" s="492">
        <v>0.1</v>
      </c>
      <c r="AI342" s="492" t="s">
        <v>2590</v>
      </c>
      <c r="AJ342" s="492" t="s">
        <v>2568</v>
      </c>
      <c r="AK342" s="492" t="s">
        <v>832</v>
      </c>
      <c r="AL342" s="492" t="s">
        <v>34</v>
      </c>
      <c r="AM342" s="61" t="s">
        <v>3441</v>
      </c>
      <c r="AN342" s="490">
        <v>0</v>
      </c>
      <c r="AO342" s="490">
        <v>0</v>
      </c>
      <c r="AP342" s="61"/>
    </row>
    <row r="343" spans="1:42" x14ac:dyDescent="0.2">
      <c r="A343" s="61">
        <v>342</v>
      </c>
      <c r="B343" s="491" t="s">
        <v>439</v>
      </c>
      <c r="C343" s="492" t="s">
        <v>442</v>
      </c>
      <c r="D343" s="492" t="s">
        <v>2829</v>
      </c>
      <c r="E343" s="492" t="s">
        <v>776</v>
      </c>
      <c r="F343" s="492" t="s">
        <v>711</v>
      </c>
      <c r="G343" s="492" t="s">
        <v>34</v>
      </c>
      <c r="H343" s="492" t="s">
        <v>835</v>
      </c>
      <c r="I343" s="492" t="s">
        <v>4270</v>
      </c>
      <c r="J343" s="492" t="s">
        <v>1103</v>
      </c>
      <c r="K343" s="492" t="s">
        <v>365</v>
      </c>
      <c r="L343" s="492" t="s">
        <v>1902</v>
      </c>
      <c r="M343" s="493">
        <v>54064</v>
      </c>
      <c r="N343" s="492" t="s">
        <v>442</v>
      </c>
      <c r="O343" s="492" t="s">
        <v>305</v>
      </c>
      <c r="P343" s="492" t="s">
        <v>1903</v>
      </c>
      <c r="Q343" s="492" t="s">
        <v>3499</v>
      </c>
      <c r="R343" s="492" t="s">
        <v>828</v>
      </c>
      <c r="S343" s="492" t="s">
        <v>1904</v>
      </c>
      <c r="T343" s="492">
        <v>5.3</v>
      </c>
      <c r="U343" s="492" t="s">
        <v>858</v>
      </c>
      <c r="V343" s="492" t="s">
        <v>3987</v>
      </c>
      <c r="W343" s="492" t="s">
        <v>3988</v>
      </c>
      <c r="X343" s="492" t="s">
        <v>3502</v>
      </c>
      <c r="Y343" s="492" t="s">
        <v>108</v>
      </c>
      <c r="Z343" s="492" t="s">
        <v>108</v>
      </c>
      <c r="AA343" s="492" t="s">
        <v>108</v>
      </c>
      <c r="AB343" s="492" t="s">
        <v>34</v>
      </c>
      <c r="AC343" s="492" t="s">
        <v>830</v>
      </c>
      <c r="AD343" s="492" t="s">
        <v>831</v>
      </c>
      <c r="AE343" s="492" t="s">
        <v>612</v>
      </c>
      <c r="AF343" s="492">
        <v>20</v>
      </c>
      <c r="AG343" s="492">
        <v>360</v>
      </c>
      <c r="AH343" s="492">
        <v>60</v>
      </c>
      <c r="AI343" s="492" t="s">
        <v>34</v>
      </c>
      <c r="AJ343" s="492" t="s">
        <v>34</v>
      </c>
      <c r="AK343" s="492" t="s">
        <v>832</v>
      </c>
      <c r="AL343" s="492" t="s">
        <v>34</v>
      </c>
      <c r="AM343" s="61" t="s">
        <v>3441</v>
      </c>
      <c r="AN343" s="490">
        <v>0</v>
      </c>
      <c r="AO343" s="490">
        <v>0</v>
      </c>
      <c r="AP343" s="61"/>
    </row>
    <row r="344" spans="1:42" x14ac:dyDescent="0.2">
      <c r="A344" s="61">
        <v>343</v>
      </c>
      <c r="B344" s="491" t="s">
        <v>439</v>
      </c>
      <c r="C344" s="492" t="s">
        <v>443</v>
      </c>
      <c r="D344" s="492" t="s">
        <v>2830</v>
      </c>
      <c r="E344" s="492" t="s">
        <v>776</v>
      </c>
      <c r="F344" s="492" t="s">
        <v>711</v>
      </c>
      <c r="G344" s="492" t="s">
        <v>34</v>
      </c>
      <c r="H344" s="492" t="s">
        <v>835</v>
      </c>
      <c r="I344" s="492" t="s">
        <v>4270</v>
      </c>
      <c r="J344" s="492" t="s">
        <v>1447</v>
      </c>
      <c r="K344" s="492" t="s">
        <v>365</v>
      </c>
      <c r="L344" s="492" t="s">
        <v>1846</v>
      </c>
      <c r="M344" s="493" t="s">
        <v>1919</v>
      </c>
      <c r="N344" s="492" t="s">
        <v>443</v>
      </c>
      <c r="O344" s="492" t="s">
        <v>305</v>
      </c>
      <c r="P344" s="492" t="s">
        <v>1229</v>
      </c>
      <c r="Q344" s="492" t="s">
        <v>911</v>
      </c>
      <c r="R344" s="492" t="s">
        <v>892</v>
      </c>
      <c r="S344" s="492" t="s">
        <v>1920</v>
      </c>
      <c r="T344" s="492">
        <v>232.9</v>
      </c>
      <c r="U344" s="492" t="s">
        <v>857</v>
      </c>
      <c r="V344" s="492" t="s">
        <v>1921</v>
      </c>
      <c r="W344" s="492" t="s">
        <v>1922</v>
      </c>
      <c r="X344" s="492" t="s">
        <v>829</v>
      </c>
      <c r="Y344" s="492" t="s">
        <v>1341</v>
      </c>
      <c r="Z344" s="492" t="s">
        <v>1923</v>
      </c>
      <c r="AA344" s="492" t="s">
        <v>829</v>
      </c>
      <c r="AB344" s="492" t="s">
        <v>34</v>
      </c>
      <c r="AC344" s="492" t="s">
        <v>830</v>
      </c>
      <c r="AD344" s="492" t="s">
        <v>831</v>
      </c>
      <c r="AE344" s="492" t="s">
        <v>612</v>
      </c>
      <c r="AF344" s="492">
        <v>1.3</v>
      </c>
      <c r="AG344" s="492">
        <v>1.08</v>
      </c>
      <c r="AH344" s="492">
        <v>0.17</v>
      </c>
      <c r="AI344" s="492" t="s">
        <v>2565</v>
      </c>
      <c r="AJ344" s="492" t="s">
        <v>2593</v>
      </c>
      <c r="AK344" s="492" t="s">
        <v>832</v>
      </c>
      <c r="AL344" s="492" t="s">
        <v>34</v>
      </c>
      <c r="AM344" s="61" t="s">
        <v>3441</v>
      </c>
      <c r="AN344" s="490">
        <v>0</v>
      </c>
      <c r="AO344" s="490">
        <v>0</v>
      </c>
      <c r="AP344" s="61"/>
    </row>
    <row r="345" spans="1:42" x14ac:dyDescent="0.2">
      <c r="A345" s="61">
        <v>344</v>
      </c>
      <c r="B345" s="491" t="s">
        <v>439</v>
      </c>
      <c r="C345" s="492" t="s">
        <v>444</v>
      </c>
      <c r="D345" s="492" t="s">
        <v>2831</v>
      </c>
      <c r="E345" s="492" t="s">
        <v>776</v>
      </c>
      <c r="F345" s="492" t="s">
        <v>711</v>
      </c>
      <c r="G345" s="492" t="s">
        <v>34</v>
      </c>
      <c r="H345" s="492" t="s">
        <v>835</v>
      </c>
      <c r="I345" s="492" t="s">
        <v>4270</v>
      </c>
      <c r="J345" s="492" t="s">
        <v>1447</v>
      </c>
      <c r="K345" s="492" t="s">
        <v>365</v>
      </c>
      <c r="L345" s="492" t="s">
        <v>1924</v>
      </c>
      <c r="M345" s="493" t="s">
        <v>1925</v>
      </c>
      <c r="N345" s="492" t="s">
        <v>444</v>
      </c>
      <c r="O345" s="492" t="s">
        <v>305</v>
      </c>
      <c r="P345" s="492" t="s">
        <v>1229</v>
      </c>
      <c r="Q345" s="492" t="s">
        <v>911</v>
      </c>
      <c r="R345" s="492" t="s">
        <v>892</v>
      </c>
      <c r="S345" s="492" t="s">
        <v>1926</v>
      </c>
      <c r="T345" s="492">
        <v>8.25</v>
      </c>
      <c r="U345" s="492" t="s">
        <v>857</v>
      </c>
      <c r="V345" s="492" t="s">
        <v>1927</v>
      </c>
      <c r="W345" s="492" t="s">
        <v>1928</v>
      </c>
      <c r="X345" s="492" t="s">
        <v>829</v>
      </c>
      <c r="Y345" s="492" t="s">
        <v>1341</v>
      </c>
      <c r="Z345" s="492" t="s">
        <v>1929</v>
      </c>
      <c r="AA345" s="492" t="s">
        <v>829</v>
      </c>
      <c r="AB345" s="492" t="s">
        <v>34</v>
      </c>
      <c r="AC345" s="492" t="s">
        <v>830</v>
      </c>
      <c r="AD345" s="492" t="s">
        <v>831</v>
      </c>
      <c r="AE345" s="492" t="s">
        <v>612</v>
      </c>
      <c r="AF345" s="492">
        <v>5</v>
      </c>
      <c r="AG345" s="492">
        <v>2</v>
      </c>
      <c r="AH345" s="492">
        <v>0.1</v>
      </c>
      <c r="AI345" s="492" t="s">
        <v>2590</v>
      </c>
      <c r="AJ345" s="492" t="s">
        <v>2594</v>
      </c>
      <c r="AK345" s="492" t="s">
        <v>832</v>
      </c>
      <c r="AL345" s="492" t="s">
        <v>34</v>
      </c>
      <c r="AM345" s="61" t="s">
        <v>3441</v>
      </c>
      <c r="AN345" s="490">
        <v>0</v>
      </c>
      <c r="AO345" s="490">
        <v>0</v>
      </c>
      <c r="AP345" s="61"/>
    </row>
    <row r="346" spans="1:42" x14ac:dyDescent="0.2">
      <c r="A346" s="61">
        <v>345</v>
      </c>
      <c r="B346" s="491" t="s">
        <v>439</v>
      </c>
      <c r="C346" s="492" t="s">
        <v>447</v>
      </c>
      <c r="D346" s="492" t="s">
        <v>2832</v>
      </c>
      <c r="E346" s="492" t="s">
        <v>776</v>
      </c>
      <c r="F346" s="492" t="s">
        <v>711</v>
      </c>
      <c r="G346" s="492" t="s">
        <v>34</v>
      </c>
      <c r="H346" s="492" t="s">
        <v>835</v>
      </c>
      <c r="I346" s="492" t="s">
        <v>4270</v>
      </c>
      <c r="J346" s="492" t="s">
        <v>1447</v>
      </c>
      <c r="K346" s="492" t="s">
        <v>1939</v>
      </c>
      <c r="L346" s="492" t="s">
        <v>1940</v>
      </c>
      <c r="M346" s="493" t="s">
        <v>1941</v>
      </c>
      <c r="N346" s="492" t="s">
        <v>447</v>
      </c>
      <c r="O346" s="492" t="s">
        <v>305</v>
      </c>
      <c r="P346" s="492" t="s">
        <v>1166</v>
      </c>
      <c r="Q346" s="492" t="s">
        <v>827</v>
      </c>
      <c r="R346" s="492" t="s">
        <v>892</v>
      </c>
      <c r="S346" s="492" t="s">
        <v>1942</v>
      </c>
      <c r="T346" s="492">
        <v>10.4</v>
      </c>
      <c r="U346" s="492" t="s">
        <v>857</v>
      </c>
      <c r="V346" s="492" t="s">
        <v>1943</v>
      </c>
      <c r="W346" s="492" t="s">
        <v>1944</v>
      </c>
      <c r="X346" s="492" t="s">
        <v>829</v>
      </c>
      <c r="Y346" s="492" t="s">
        <v>1945</v>
      </c>
      <c r="Z346" s="492">
        <v>7961820</v>
      </c>
      <c r="AA346" s="492" t="s">
        <v>965</v>
      </c>
      <c r="AB346" s="492" t="s">
        <v>899</v>
      </c>
      <c r="AC346" s="492" t="s">
        <v>830</v>
      </c>
      <c r="AD346" s="492" t="s">
        <v>831</v>
      </c>
      <c r="AE346" s="492" t="s">
        <v>612</v>
      </c>
      <c r="AF346" s="492" t="s">
        <v>2054</v>
      </c>
      <c r="AG346" s="492" t="s">
        <v>34</v>
      </c>
      <c r="AH346" s="492" t="s">
        <v>34</v>
      </c>
      <c r="AI346" s="492" t="s">
        <v>34</v>
      </c>
      <c r="AJ346" s="492" t="s">
        <v>34</v>
      </c>
      <c r="AK346" s="492" t="s">
        <v>832</v>
      </c>
      <c r="AL346" s="492" t="s">
        <v>34</v>
      </c>
      <c r="AM346" s="61" t="s">
        <v>3442</v>
      </c>
      <c r="AN346" s="490">
        <v>0</v>
      </c>
      <c r="AO346" s="490">
        <v>0</v>
      </c>
      <c r="AP346" s="61"/>
    </row>
    <row r="347" spans="1:42" x14ac:dyDescent="0.2">
      <c r="A347" s="61">
        <v>346</v>
      </c>
      <c r="B347" s="491" t="s">
        <v>439</v>
      </c>
      <c r="C347" s="492" t="s">
        <v>445</v>
      </c>
      <c r="D347" s="492" t="s">
        <v>2833</v>
      </c>
      <c r="E347" s="492" t="s">
        <v>776</v>
      </c>
      <c r="F347" s="492" t="s">
        <v>711</v>
      </c>
      <c r="G347" s="492" t="s">
        <v>34</v>
      </c>
      <c r="H347" s="492" t="s">
        <v>835</v>
      </c>
      <c r="I347" s="492" t="s">
        <v>4270</v>
      </c>
      <c r="J347" s="492" t="s">
        <v>1447</v>
      </c>
      <c r="K347" s="492" t="s">
        <v>839</v>
      </c>
      <c r="L347" s="492" t="s">
        <v>1930</v>
      </c>
      <c r="M347" s="493">
        <v>87914</v>
      </c>
      <c r="N347" s="492" t="s">
        <v>445</v>
      </c>
      <c r="O347" s="492" t="s">
        <v>305</v>
      </c>
      <c r="P347" s="492" t="s">
        <v>1931</v>
      </c>
      <c r="Q347" s="492" t="s">
        <v>911</v>
      </c>
      <c r="R347" s="492" t="s">
        <v>892</v>
      </c>
      <c r="S347" s="492" t="s">
        <v>1932</v>
      </c>
      <c r="T347" s="492">
        <v>42.7</v>
      </c>
      <c r="U347" s="492" t="s">
        <v>858</v>
      </c>
      <c r="V347" s="492" t="s">
        <v>1933</v>
      </c>
      <c r="W347" s="492">
        <v>97.39</v>
      </c>
      <c r="X347" s="492" t="s">
        <v>829</v>
      </c>
      <c r="Y347" s="492" t="s">
        <v>1341</v>
      </c>
      <c r="Z347" s="492" t="s">
        <v>1934</v>
      </c>
      <c r="AA347" s="492" t="s">
        <v>829</v>
      </c>
      <c r="AB347" s="492" t="s">
        <v>34</v>
      </c>
      <c r="AC347" s="492" t="s">
        <v>830</v>
      </c>
      <c r="AD347" s="492" t="s">
        <v>831</v>
      </c>
      <c r="AE347" s="492" t="s">
        <v>612</v>
      </c>
      <c r="AF347" s="492">
        <v>6.5</v>
      </c>
      <c r="AG347" s="492">
        <v>0.3</v>
      </c>
      <c r="AH347" s="492">
        <v>0.08</v>
      </c>
      <c r="AI347" s="492" t="s">
        <v>2575</v>
      </c>
      <c r="AJ347" s="492" t="s">
        <v>2595</v>
      </c>
      <c r="AK347" s="492" t="s">
        <v>832</v>
      </c>
      <c r="AL347" s="492" t="s">
        <v>34</v>
      </c>
      <c r="AM347" s="61" t="s">
        <v>3444</v>
      </c>
      <c r="AN347" s="490">
        <v>0</v>
      </c>
      <c r="AO347" s="490">
        <v>0</v>
      </c>
      <c r="AP347" s="61"/>
    </row>
    <row r="348" spans="1:42" x14ac:dyDescent="0.2">
      <c r="A348" s="61">
        <v>347</v>
      </c>
      <c r="B348" s="491" t="s">
        <v>439</v>
      </c>
      <c r="C348" s="492" t="s">
        <v>4065</v>
      </c>
      <c r="D348" s="492" t="s">
        <v>4066</v>
      </c>
      <c r="E348" s="492" t="s">
        <v>776</v>
      </c>
      <c r="F348" s="492" t="s">
        <v>711</v>
      </c>
      <c r="G348" s="492"/>
      <c r="H348" s="492" t="s">
        <v>835</v>
      </c>
      <c r="I348" s="492" t="s">
        <v>3679</v>
      </c>
      <c r="J348" s="492" t="s">
        <v>1103</v>
      </c>
      <c r="K348" s="492" t="s">
        <v>365</v>
      </c>
      <c r="L348" s="492" t="s">
        <v>4067</v>
      </c>
      <c r="M348" s="493">
        <v>630195</v>
      </c>
      <c r="N348" s="492" t="s">
        <v>4065</v>
      </c>
      <c r="O348" s="492" t="s">
        <v>305</v>
      </c>
      <c r="P348" s="492" t="s">
        <v>1166</v>
      </c>
      <c r="Q348" s="492" t="s">
        <v>911</v>
      </c>
      <c r="R348" s="492" t="s">
        <v>3141</v>
      </c>
      <c r="S348" s="492" t="s">
        <v>4068</v>
      </c>
      <c r="T348" s="492">
        <v>70.83</v>
      </c>
      <c r="U348" s="492" t="s">
        <v>857</v>
      </c>
      <c r="V348" s="492" t="s">
        <v>3753</v>
      </c>
      <c r="W348" s="492" t="s">
        <v>4069</v>
      </c>
      <c r="X348" s="492" t="s">
        <v>829</v>
      </c>
      <c r="Y348" s="492" t="s">
        <v>4063</v>
      </c>
      <c r="Z348" s="492" t="s">
        <v>4069</v>
      </c>
      <c r="AA348" s="492" t="s">
        <v>829</v>
      </c>
      <c r="AB348" s="492"/>
      <c r="AC348" s="492" t="s">
        <v>830</v>
      </c>
      <c r="AD348" s="492" t="s">
        <v>831</v>
      </c>
      <c r="AE348" s="492" t="s">
        <v>612</v>
      </c>
      <c r="AF348" s="492">
        <v>14.1</v>
      </c>
      <c r="AG348" s="492">
        <v>189</v>
      </c>
      <c r="AH348" s="492" t="s">
        <v>3045</v>
      </c>
      <c r="AI348" s="492" t="s">
        <v>4070</v>
      </c>
      <c r="AJ348" s="492"/>
      <c r="AK348" s="492" t="s">
        <v>832</v>
      </c>
      <c r="AL348" s="492"/>
      <c r="AM348" s="61" t="s">
        <v>3441</v>
      </c>
      <c r="AN348" s="490"/>
      <c r="AO348" s="490"/>
      <c r="AP348" s="61"/>
    </row>
    <row r="349" spans="1:42" x14ac:dyDescent="0.2">
      <c r="A349" s="61">
        <v>348</v>
      </c>
      <c r="B349" s="491" t="s">
        <v>439</v>
      </c>
      <c r="C349" s="492" t="s">
        <v>446</v>
      </c>
      <c r="D349" s="492" t="s">
        <v>2834</v>
      </c>
      <c r="E349" s="492" t="s">
        <v>776</v>
      </c>
      <c r="F349" s="492" t="s">
        <v>711</v>
      </c>
      <c r="G349" s="492" t="s">
        <v>34</v>
      </c>
      <c r="H349" s="492" t="s">
        <v>835</v>
      </c>
      <c r="I349" s="492" t="s">
        <v>4270</v>
      </c>
      <c r="J349" s="492" t="s">
        <v>1447</v>
      </c>
      <c r="K349" s="492" t="s">
        <v>957</v>
      </c>
      <c r="L349" s="492" t="s">
        <v>1935</v>
      </c>
      <c r="M349" s="493">
        <v>122026</v>
      </c>
      <c r="N349" s="492" t="s">
        <v>446</v>
      </c>
      <c r="O349" s="492" t="s">
        <v>305</v>
      </c>
      <c r="P349" s="492" t="s">
        <v>1936</v>
      </c>
      <c r="Q349" s="492" t="s">
        <v>833</v>
      </c>
      <c r="R349" s="492" t="s">
        <v>1002</v>
      </c>
      <c r="S349" s="492" t="s">
        <v>1937</v>
      </c>
      <c r="T349" s="492">
        <v>1380</v>
      </c>
      <c r="U349" s="492" t="s">
        <v>858</v>
      </c>
      <c r="V349" s="492" t="s">
        <v>1938</v>
      </c>
      <c r="W349" s="492">
        <v>133569</v>
      </c>
      <c r="X349" s="492" t="s">
        <v>829</v>
      </c>
      <c r="Y349" s="492" t="s">
        <v>108</v>
      </c>
      <c r="Z349" s="492" t="s">
        <v>108</v>
      </c>
      <c r="AA349" s="492" t="s">
        <v>108</v>
      </c>
      <c r="AB349" s="492" t="s">
        <v>34</v>
      </c>
      <c r="AC349" s="492" t="s">
        <v>830</v>
      </c>
      <c r="AD349" s="492" t="s">
        <v>831</v>
      </c>
      <c r="AE349" s="492" t="s">
        <v>612</v>
      </c>
      <c r="AF349" s="492">
        <v>25</v>
      </c>
      <c r="AG349" s="492">
        <v>180</v>
      </c>
      <c r="AH349" s="492">
        <v>0</v>
      </c>
      <c r="AI349" s="492" t="s">
        <v>2596</v>
      </c>
      <c r="AJ349" s="492" t="s">
        <v>34</v>
      </c>
      <c r="AK349" s="492" t="s">
        <v>832</v>
      </c>
      <c r="AL349" s="492" t="s">
        <v>34</v>
      </c>
      <c r="AM349" s="61" t="s">
        <v>3443</v>
      </c>
      <c r="AN349" s="490">
        <v>0</v>
      </c>
      <c r="AO349" s="490">
        <v>0</v>
      </c>
      <c r="AP349" s="61"/>
    </row>
    <row r="350" spans="1:42" x14ac:dyDescent="0.2">
      <c r="A350" s="61">
        <v>349</v>
      </c>
      <c r="B350" s="491" t="s">
        <v>439</v>
      </c>
      <c r="C350" s="492" t="s">
        <v>448</v>
      </c>
      <c r="D350" s="492" t="s">
        <v>2835</v>
      </c>
      <c r="E350" s="492" t="s">
        <v>776</v>
      </c>
      <c r="F350" s="492" t="s">
        <v>711</v>
      </c>
      <c r="G350" s="492" t="s">
        <v>34</v>
      </c>
      <c r="H350" s="492" t="s">
        <v>835</v>
      </c>
      <c r="I350" s="492" t="s">
        <v>4270</v>
      </c>
      <c r="J350" s="492" t="s">
        <v>1103</v>
      </c>
      <c r="K350" s="492" t="s">
        <v>366</v>
      </c>
      <c r="L350" s="492" t="s">
        <v>1913</v>
      </c>
      <c r="M350" s="493">
        <v>18318</v>
      </c>
      <c r="N350" s="492" t="s">
        <v>448</v>
      </c>
      <c r="O350" s="492" t="s">
        <v>305</v>
      </c>
      <c r="P350" s="492" t="s">
        <v>1240</v>
      </c>
      <c r="Q350" s="492" t="s">
        <v>3499</v>
      </c>
      <c r="R350" s="492" t="s">
        <v>993</v>
      </c>
      <c r="S350" s="492" t="s">
        <v>1914</v>
      </c>
      <c r="T350" s="492">
        <v>1440</v>
      </c>
      <c r="U350" s="492" t="s">
        <v>858</v>
      </c>
      <c r="V350" s="492" t="s">
        <v>1915</v>
      </c>
      <c r="W350" s="492" t="s">
        <v>1916</v>
      </c>
      <c r="X350" s="492" t="s">
        <v>3502</v>
      </c>
      <c r="Y350" s="492" t="s">
        <v>1917</v>
      </c>
      <c r="Z350" s="492" t="s">
        <v>1918</v>
      </c>
      <c r="AA350" s="492" t="s">
        <v>3502</v>
      </c>
      <c r="AB350" s="492" t="s">
        <v>34</v>
      </c>
      <c r="AC350" s="492" t="s">
        <v>830</v>
      </c>
      <c r="AD350" s="492" t="s">
        <v>831</v>
      </c>
      <c r="AE350" s="492" t="s">
        <v>612</v>
      </c>
      <c r="AF350" s="492" t="s">
        <v>2054</v>
      </c>
      <c r="AG350" s="492" t="s">
        <v>34</v>
      </c>
      <c r="AH350" s="492" t="s">
        <v>34</v>
      </c>
      <c r="AI350" s="492" t="s">
        <v>34</v>
      </c>
      <c r="AJ350" s="492" t="s">
        <v>34</v>
      </c>
      <c r="AK350" s="492" t="s">
        <v>832</v>
      </c>
      <c r="AL350" s="492" t="s">
        <v>34</v>
      </c>
      <c r="AM350" s="61" t="s">
        <v>3443</v>
      </c>
      <c r="AN350" s="490">
        <v>0</v>
      </c>
      <c r="AO350" s="490">
        <v>0</v>
      </c>
      <c r="AP350" s="61"/>
    </row>
    <row r="351" spans="1:42" x14ac:dyDescent="0.2">
      <c r="A351" s="61">
        <v>350</v>
      </c>
      <c r="B351" s="491" t="s">
        <v>439</v>
      </c>
      <c r="C351" s="492" t="s">
        <v>1000</v>
      </c>
      <c r="D351" s="492" t="s">
        <v>3860</v>
      </c>
      <c r="E351" s="492" t="s">
        <v>776</v>
      </c>
      <c r="F351" s="492" t="s">
        <v>711</v>
      </c>
      <c r="G351" s="492" t="s">
        <v>34</v>
      </c>
      <c r="H351" s="492" t="s">
        <v>835</v>
      </c>
      <c r="I351" s="492" t="s">
        <v>4270</v>
      </c>
      <c r="J351" s="492" t="s">
        <v>613</v>
      </c>
      <c r="K351" s="492" t="s">
        <v>3861</v>
      </c>
      <c r="L351" s="492" t="s">
        <v>3862</v>
      </c>
      <c r="M351" s="493" t="s">
        <v>3863</v>
      </c>
      <c r="N351" s="492" t="s">
        <v>1000</v>
      </c>
      <c r="O351" s="492" t="s">
        <v>1106</v>
      </c>
      <c r="P351" s="492" t="s">
        <v>3864</v>
      </c>
      <c r="Q351" s="492" t="s">
        <v>3499</v>
      </c>
      <c r="R351" s="492" t="s">
        <v>828</v>
      </c>
      <c r="S351" s="492" t="s">
        <v>3865</v>
      </c>
      <c r="T351" s="492">
        <v>154.04</v>
      </c>
      <c r="U351" s="492" t="s">
        <v>3813</v>
      </c>
      <c r="V351" s="492" t="s">
        <v>3866</v>
      </c>
      <c r="W351" s="492" t="s">
        <v>3867</v>
      </c>
      <c r="X351" s="492" t="s">
        <v>3502</v>
      </c>
      <c r="Y351" s="492" t="s">
        <v>108</v>
      </c>
      <c r="Z351" s="492" t="s">
        <v>108</v>
      </c>
      <c r="AA351" s="492" t="s">
        <v>108</v>
      </c>
      <c r="AB351" s="492" t="s">
        <v>34</v>
      </c>
      <c r="AC351" s="492" t="s">
        <v>830</v>
      </c>
      <c r="AD351" s="492" t="s">
        <v>3868</v>
      </c>
      <c r="AE351" s="492" t="s">
        <v>611</v>
      </c>
      <c r="AF351" s="492">
        <v>26.9</v>
      </c>
      <c r="AG351" s="492">
        <v>377</v>
      </c>
      <c r="AH351" s="492" t="s">
        <v>2512</v>
      </c>
      <c r="AI351" s="492" t="s">
        <v>3869</v>
      </c>
      <c r="AJ351" s="492" t="s">
        <v>3870</v>
      </c>
      <c r="AK351" s="492" t="s">
        <v>832</v>
      </c>
      <c r="AL351" s="492" t="s">
        <v>34</v>
      </c>
      <c r="AM351" s="61" t="s">
        <v>3444</v>
      </c>
      <c r="AN351" s="490"/>
      <c r="AO351" s="490"/>
      <c r="AP351" s="61"/>
    </row>
    <row r="352" spans="1:42" x14ac:dyDescent="0.2">
      <c r="A352" s="61">
        <v>351</v>
      </c>
      <c r="B352" s="491" t="s">
        <v>439</v>
      </c>
      <c r="C352" s="492" t="s">
        <v>272</v>
      </c>
      <c r="D352" s="492" t="s">
        <v>2836</v>
      </c>
      <c r="E352" s="492" t="s">
        <v>776</v>
      </c>
      <c r="F352" s="492" t="s">
        <v>711</v>
      </c>
      <c r="G352" s="492" t="s">
        <v>34</v>
      </c>
      <c r="H352" s="492" t="s">
        <v>835</v>
      </c>
      <c r="I352" s="492" t="s">
        <v>4270</v>
      </c>
      <c r="J352" s="492" t="s">
        <v>613</v>
      </c>
      <c r="K352" s="492" t="s">
        <v>382</v>
      </c>
      <c r="L352" s="492" t="s">
        <v>1906</v>
      </c>
      <c r="M352" s="493">
        <v>380028</v>
      </c>
      <c r="N352" s="492" t="s">
        <v>272</v>
      </c>
      <c r="O352" s="492" t="s">
        <v>305</v>
      </c>
      <c r="P352" s="492" t="s">
        <v>3815</v>
      </c>
      <c r="Q352" s="492" t="s">
        <v>3499</v>
      </c>
      <c r="R352" s="492" t="s">
        <v>892</v>
      </c>
      <c r="S352" s="492" t="s">
        <v>3816</v>
      </c>
      <c r="T352" s="492">
        <v>10</v>
      </c>
      <c r="U352" s="492" t="s">
        <v>858</v>
      </c>
      <c r="V352" s="492" t="s">
        <v>1593</v>
      </c>
      <c r="W352" s="492" t="s">
        <v>1907</v>
      </c>
      <c r="X352" s="492" t="s">
        <v>3502</v>
      </c>
      <c r="Y352" s="492" t="s">
        <v>108</v>
      </c>
      <c r="Z352" s="492" t="s">
        <v>108</v>
      </c>
      <c r="AA352" s="492" t="s">
        <v>108</v>
      </c>
      <c r="AB352" s="492" t="s">
        <v>34</v>
      </c>
      <c r="AC352" s="492" t="s">
        <v>830</v>
      </c>
      <c r="AD352" s="492" t="s">
        <v>831</v>
      </c>
      <c r="AE352" s="492" t="s">
        <v>612</v>
      </c>
      <c r="AF352" s="492">
        <v>2</v>
      </c>
      <c r="AG352" s="492">
        <v>0.05</v>
      </c>
      <c r="AH352" s="492">
        <v>0.05</v>
      </c>
      <c r="AI352" s="492" t="s">
        <v>2591</v>
      </c>
      <c r="AJ352" s="492" t="s">
        <v>2592</v>
      </c>
      <c r="AK352" s="492" t="s">
        <v>832</v>
      </c>
      <c r="AL352" s="492" t="s">
        <v>34</v>
      </c>
      <c r="AM352" s="61" t="s">
        <v>3441</v>
      </c>
      <c r="AN352" s="490">
        <v>0</v>
      </c>
      <c r="AO352" s="490">
        <v>0</v>
      </c>
      <c r="AP352" s="61"/>
    </row>
    <row r="353" spans="1:42" x14ac:dyDescent="0.2">
      <c r="A353" s="61">
        <v>352</v>
      </c>
      <c r="B353" s="491" t="s">
        <v>439</v>
      </c>
      <c r="C353" s="492" t="s">
        <v>449</v>
      </c>
      <c r="D353" s="492" t="s">
        <v>2837</v>
      </c>
      <c r="E353" s="492" t="s">
        <v>776</v>
      </c>
      <c r="F353" s="492" t="s">
        <v>711</v>
      </c>
      <c r="G353" s="492" t="s">
        <v>34</v>
      </c>
      <c r="H353" s="492" t="s">
        <v>835</v>
      </c>
      <c r="I353" s="492" t="s">
        <v>4270</v>
      </c>
      <c r="J353" s="492" t="s">
        <v>1103</v>
      </c>
      <c r="K353" s="492" t="s">
        <v>366</v>
      </c>
      <c r="L353" s="492" t="s">
        <v>950</v>
      </c>
      <c r="M353" s="493" t="s">
        <v>1908</v>
      </c>
      <c r="N353" s="492" t="s">
        <v>449</v>
      </c>
      <c r="O353" s="492" t="s">
        <v>305</v>
      </c>
      <c r="P353" s="492" t="s">
        <v>1588</v>
      </c>
      <c r="Q353" s="492" t="s">
        <v>833</v>
      </c>
      <c r="R353" s="492" t="s">
        <v>834</v>
      </c>
      <c r="S353" s="492" t="s">
        <v>1909</v>
      </c>
      <c r="T353" s="492">
        <v>840</v>
      </c>
      <c r="U353" s="492" t="s">
        <v>858</v>
      </c>
      <c r="V353" s="492" t="s">
        <v>1910</v>
      </c>
      <c r="W353" s="492" t="s">
        <v>1911</v>
      </c>
      <c r="X353" s="492" t="s">
        <v>829</v>
      </c>
      <c r="Y353" s="492" t="s">
        <v>1912</v>
      </c>
      <c r="Z353" s="492">
        <v>4303967</v>
      </c>
      <c r="AA353" s="492" t="s">
        <v>908</v>
      </c>
      <c r="AB353" s="492" t="s">
        <v>34</v>
      </c>
      <c r="AC353" s="492" t="s">
        <v>830</v>
      </c>
      <c r="AD353" s="492" t="s">
        <v>831</v>
      </c>
      <c r="AE353" s="492" t="s">
        <v>612</v>
      </c>
      <c r="AF353" s="492" t="s">
        <v>2054</v>
      </c>
      <c r="AG353" s="492" t="s">
        <v>34</v>
      </c>
      <c r="AH353" s="492" t="s">
        <v>34</v>
      </c>
      <c r="AI353" s="492" t="s">
        <v>34</v>
      </c>
      <c r="AJ353" s="492" t="s">
        <v>34</v>
      </c>
      <c r="AK353" s="492" t="s">
        <v>832</v>
      </c>
      <c r="AL353" s="492" t="s">
        <v>34</v>
      </c>
      <c r="AM353" s="61" t="s">
        <v>3443</v>
      </c>
      <c r="AN353" s="490">
        <v>0</v>
      </c>
      <c r="AO353" s="490">
        <v>0</v>
      </c>
      <c r="AP353" s="61"/>
    </row>
    <row r="354" spans="1:42" x14ac:dyDescent="0.2">
      <c r="A354" s="61">
        <v>353</v>
      </c>
      <c r="B354" s="491" t="s">
        <v>439</v>
      </c>
      <c r="C354" s="492" t="s">
        <v>3173</v>
      </c>
      <c r="D354" s="492" t="s">
        <v>3174</v>
      </c>
      <c r="E354" s="492" t="s">
        <v>776</v>
      </c>
      <c r="F354" s="492" t="s">
        <v>711</v>
      </c>
      <c r="G354" s="492" t="s">
        <v>34</v>
      </c>
      <c r="H354" s="492" t="s">
        <v>835</v>
      </c>
      <c r="I354" s="492" t="s">
        <v>4270</v>
      </c>
      <c r="J354" s="492" t="s">
        <v>613</v>
      </c>
      <c r="K354" s="492" t="s">
        <v>366</v>
      </c>
      <c r="L354" s="492" t="s">
        <v>3175</v>
      </c>
      <c r="M354" s="493" t="s">
        <v>3176</v>
      </c>
      <c r="N354" s="492" t="s">
        <v>3177</v>
      </c>
      <c r="O354" s="492" t="s">
        <v>305</v>
      </c>
      <c r="P354" s="492" t="s">
        <v>3178</v>
      </c>
      <c r="Q354" s="492" t="s">
        <v>833</v>
      </c>
      <c r="R354" s="492" t="s">
        <v>993</v>
      </c>
      <c r="S354" s="492" t="s">
        <v>3179</v>
      </c>
      <c r="T354" s="492">
        <v>1771</v>
      </c>
      <c r="U354" s="492" t="s">
        <v>858</v>
      </c>
      <c r="V354" s="492" t="s">
        <v>995</v>
      </c>
      <c r="W354" s="492" t="s">
        <v>3180</v>
      </c>
      <c r="X354" s="492" t="s">
        <v>1445</v>
      </c>
      <c r="Y354" s="492" t="s">
        <v>1501</v>
      </c>
      <c r="Z354" s="492" t="s">
        <v>3374</v>
      </c>
      <c r="AA354" s="492" t="s">
        <v>829</v>
      </c>
      <c r="AB354" s="492" t="s">
        <v>3375</v>
      </c>
      <c r="AC354" s="492" t="s">
        <v>830</v>
      </c>
      <c r="AD354" s="492" t="s">
        <v>831</v>
      </c>
      <c r="AE354" s="492" t="s">
        <v>612</v>
      </c>
      <c r="AF354" s="492" t="s">
        <v>2054</v>
      </c>
      <c r="AG354" s="492" t="s">
        <v>34</v>
      </c>
      <c r="AH354" s="492" t="s">
        <v>34</v>
      </c>
      <c r="AI354" s="492" t="s">
        <v>34</v>
      </c>
      <c r="AJ354" s="492" t="s">
        <v>34</v>
      </c>
      <c r="AK354" s="492" t="s">
        <v>832</v>
      </c>
      <c r="AL354" s="492" t="s">
        <v>34</v>
      </c>
      <c r="AM354" s="61" t="s">
        <v>3443</v>
      </c>
      <c r="AN354" s="490">
        <v>0</v>
      </c>
      <c r="AO354" s="490">
        <v>0</v>
      </c>
      <c r="AP354" s="61"/>
    </row>
    <row r="355" spans="1:42" x14ac:dyDescent="0.2">
      <c r="A355" s="61">
        <v>354</v>
      </c>
      <c r="B355" s="491" t="s">
        <v>439</v>
      </c>
      <c r="C355" s="492" t="s">
        <v>279</v>
      </c>
      <c r="D355" s="492" t="s">
        <v>3892</v>
      </c>
      <c r="E355" s="492" t="s">
        <v>776</v>
      </c>
      <c r="F355" s="492" t="s">
        <v>711</v>
      </c>
      <c r="G355" s="492" t="s">
        <v>34</v>
      </c>
      <c r="H355" s="492" t="s">
        <v>835</v>
      </c>
      <c r="I355" s="492" t="s">
        <v>4270</v>
      </c>
      <c r="J355" s="492" t="s">
        <v>613</v>
      </c>
      <c r="K355" s="492" t="s">
        <v>382</v>
      </c>
      <c r="L355" s="492" t="s">
        <v>3893</v>
      </c>
      <c r="M355" s="493">
        <v>330453</v>
      </c>
      <c r="N355" s="492" t="s">
        <v>279</v>
      </c>
      <c r="O355" s="492" t="s">
        <v>305</v>
      </c>
      <c r="P355" s="492" t="s">
        <v>3894</v>
      </c>
      <c r="Q355" s="492" t="s">
        <v>3499</v>
      </c>
      <c r="R355" s="492" t="s">
        <v>892</v>
      </c>
      <c r="S355" s="492" t="s">
        <v>1493</v>
      </c>
      <c r="T355" s="492">
        <v>10</v>
      </c>
      <c r="U355" s="492" t="s">
        <v>858</v>
      </c>
      <c r="V355" s="492" t="s">
        <v>3895</v>
      </c>
      <c r="W355" s="492" t="s">
        <v>3896</v>
      </c>
      <c r="X355" s="492" t="s">
        <v>3502</v>
      </c>
      <c r="Y355" s="492" t="s">
        <v>108</v>
      </c>
      <c r="Z355" s="492" t="s">
        <v>108</v>
      </c>
      <c r="AA355" s="492" t="s">
        <v>108</v>
      </c>
      <c r="AB355" s="492" t="s">
        <v>34</v>
      </c>
      <c r="AC355" s="492" t="s">
        <v>830</v>
      </c>
      <c r="AD355" s="492" t="s">
        <v>831</v>
      </c>
      <c r="AE355" s="492" t="s">
        <v>612</v>
      </c>
      <c r="AF355" s="492">
        <v>2</v>
      </c>
      <c r="AG355" s="492">
        <v>0.05</v>
      </c>
      <c r="AH355" s="492">
        <v>0.05</v>
      </c>
      <c r="AI355" s="492" t="s">
        <v>2591</v>
      </c>
      <c r="AJ355" s="492" t="s">
        <v>2592</v>
      </c>
      <c r="AK355" s="492" t="s">
        <v>832</v>
      </c>
      <c r="AL355" s="492" t="s">
        <v>34</v>
      </c>
      <c r="AM355" s="61" t="s">
        <v>3441</v>
      </c>
      <c r="AN355" s="490"/>
      <c r="AO355" s="490"/>
      <c r="AP355" s="61"/>
    </row>
    <row r="356" spans="1:42" x14ac:dyDescent="0.2">
      <c r="A356" s="61">
        <v>355</v>
      </c>
      <c r="B356" s="491" t="s">
        <v>454</v>
      </c>
      <c r="C356" s="492" t="s">
        <v>455</v>
      </c>
      <c r="D356" s="492" t="s">
        <v>2838</v>
      </c>
      <c r="E356" s="492" t="s">
        <v>777</v>
      </c>
      <c r="F356" s="492" t="s">
        <v>717</v>
      </c>
      <c r="G356" s="492" t="s">
        <v>34</v>
      </c>
      <c r="H356" s="492" t="s">
        <v>835</v>
      </c>
      <c r="I356" s="492" t="s">
        <v>4270</v>
      </c>
      <c r="J356" s="492" t="s">
        <v>613</v>
      </c>
      <c r="K356" s="492" t="s">
        <v>839</v>
      </c>
      <c r="L356" s="492" t="s">
        <v>1965</v>
      </c>
      <c r="M356" s="493">
        <v>112047</v>
      </c>
      <c r="N356" s="492" t="s">
        <v>455</v>
      </c>
      <c r="O356" s="492" t="s">
        <v>305</v>
      </c>
      <c r="P356" s="492" t="s">
        <v>3093</v>
      </c>
      <c r="Q356" s="492" t="s">
        <v>911</v>
      </c>
      <c r="R356" s="492" t="s">
        <v>1002</v>
      </c>
      <c r="S356" s="492" t="s">
        <v>3544</v>
      </c>
      <c r="T356" s="492">
        <v>143.75</v>
      </c>
      <c r="U356" s="492" t="s">
        <v>687</v>
      </c>
      <c r="V356" s="492" t="s">
        <v>3094</v>
      </c>
      <c r="W356" s="492">
        <v>2009104701</v>
      </c>
      <c r="X356" s="492" t="s">
        <v>829</v>
      </c>
      <c r="Y356" s="492" t="s">
        <v>3094</v>
      </c>
      <c r="Z356" s="492">
        <v>2009104701</v>
      </c>
      <c r="AA356" s="492" t="s">
        <v>829</v>
      </c>
      <c r="AB356" s="492" t="s">
        <v>34</v>
      </c>
      <c r="AC356" s="492" t="s">
        <v>830</v>
      </c>
      <c r="AD356" s="492" t="s">
        <v>831</v>
      </c>
      <c r="AE356" s="492" t="s">
        <v>612</v>
      </c>
      <c r="AF356" s="492">
        <v>10.5</v>
      </c>
      <c r="AG356" s="492">
        <v>400</v>
      </c>
      <c r="AH356" s="492">
        <v>8</v>
      </c>
      <c r="AI356" s="492" t="s">
        <v>34</v>
      </c>
      <c r="AJ356" s="492" t="s">
        <v>34</v>
      </c>
      <c r="AK356" s="492" t="s">
        <v>832</v>
      </c>
      <c r="AL356" s="492" t="s">
        <v>34</v>
      </c>
      <c r="AM356" s="61" t="s">
        <v>3441</v>
      </c>
      <c r="AN356" s="490">
        <v>0</v>
      </c>
      <c r="AO356" s="490">
        <v>0</v>
      </c>
      <c r="AP356" s="61"/>
    </row>
    <row r="357" spans="1:42" x14ac:dyDescent="0.2">
      <c r="A357" s="61">
        <v>356</v>
      </c>
      <c r="B357" s="491" t="s">
        <v>454</v>
      </c>
      <c r="C357" s="492" t="s">
        <v>3095</v>
      </c>
      <c r="D357" s="492" t="s">
        <v>3096</v>
      </c>
      <c r="E357" s="492" t="s">
        <v>777</v>
      </c>
      <c r="F357" s="492" t="s">
        <v>717</v>
      </c>
      <c r="G357" s="492" t="s">
        <v>34</v>
      </c>
      <c r="H357" s="492" t="s">
        <v>835</v>
      </c>
      <c r="I357" s="492" t="s">
        <v>4279</v>
      </c>
      <c r="J357" s="492" t="s">
        <v>613</v>
      </c>
      <c r="K357" s="492" t="s">
        <v>839</v>
      </c>
      <c r="L357" s="492" t="s">
        <v>1965</v>
      </c>
      <c r="M357" s="493">
        <v>112047</v>
      </c>
      <c r="N357" s="492" t="s">
        <v>455</v>
      </c>
      <c r="O357" s="492" t="s">
        <v>305</v>
      </c>
      <c r="P357" s="492" t="s">
        <v>3135</v>
      </c>
      <c r="Q357" s="492" t="s">
        <v>911</v>
      </c>
      <c r="R357" s="492" t="s">
        <v>1002</v>
      </c>
      <c r="S357" s="492" t="s">
        <v>2182</v>
      </c>
      <c r="T357" s="492">
        <v>402.3</v>
      </c>
      <c r="U357" s="492" t="s">
        <v>687</v>
      </c>
      <c r="V357" s="492" t="s">
        <v>3136</v>
      </c>
      <c r="W357" s="492">
        <v>2009104701</v>
      </c>
      <c r="X357" s="492" t="s">
        <v>829</v>
      </c>
      <c r="Y357" s="492" t="s">
        <v>3136</v>
      </c>
      <c r="Z357" s="492">
        <v>2009104701</v>
      </c>
      <c r="AA357" s="492" t="s">
        <v>829</v>
      </c>
      <c r="AB357" s="492" t="s">
        <v>34</v>
      </c>
      <c r="AC357" s="492" t="s">
        <v>830</v>
      </c>
      <c r="AD357" s="492" t="s">
        <v>831</v>
      </c>
      <c r="AE357" s="492" t="s">
        <v>612</v>
      </c>
      <c r="AF357" s="492">
        <v>10.5</v>
      </c>
      <c r="AG357" s="492">
        <v>400</v>
      </c>
      <c r="AH357" s="492">
        <v>8</v>
      </c>
      <c r="AI357" s="492" t="s">
        <v>34</v>
      </c>
      <c r="AJ357" s="492" t="s">
        <v>34</v>
      </c>
      <c r="AK357" s="492" t="s">
        <v>832</v>
      </c>
      <c r="AL357" s="492" t="s">
        <v>34</v>
      </c>
      <c r="AM357" s="61" t="s">
        <v>3459</v>
      </c>
      <c r="AN357" s="490">
        <v>0</v>
      </c>
      <c r="AO357" s="490">
        <v>0</v>
      </c>
      <c r="AP357" s="61"/>
    </row>
    <row r="358" spans="1:42" x14ac:dyDescent="0.2">
      <c r="A358" s="61">
        <v>357</v>
      </c>
      <c r="B358" s="491" t="s">
        <v>454</v>
      </c>
      <c r="C358" s="492" t="s">
        <v>673</v>
      </c>
      <c r="D358" s="492" t="s">
        <v>2839</v>
      </c>
      <c r="E358" s="492" t="s">
        <v>777</v>
      </c>
      <c r="F358" s="492" t="s">
        <v>717</v>
      </c>
      <c r="G358" s="492" t="s">
        <v>34</v>
      </c>
      <c r="H358" s="492" t="s">
        <v>835</v>
      </c>
      <c r="I358" s="492" t="s">
        <v>4270</v>
      </c>
      <c r="J358" s="492" t="s">
        <v>613</v>
      </c>
      <c r="K358" s="492" t="s">
        <v>1972</v>
      </c>
      <c r="L358" s="492" t="s">
        <v>1973</v>
      </c>
      <c r="M358" s="493" t="s">
        <v>673</v>
      </c>
      <c r="N358" s="492" t="s">
        <v>673</v>
      </c>
      <c r="O358" s="492" t="s">
        <v>1106</v>
      </c>
      <c r="P358" s="492" t="s">
        <v>2185</v>
      </c>
      <c r="Q358" s="492" t="s">
        <v>2185</v>
      </c>
      <c r="R358" s="492" t="s">
        <v>987</v>
      </c>
      <c r="S358" s="492" t="s">
        <v>2186</v>
      </c>
      <c r="T358" s="492">
        <v>3168</v>
      </c>
      <c r="U358" s="492" t="s">
        <v>687</v>
      </c>
      <c r="V358" s="492" t="s">
        <v>108</v>
      </c>
      <c r="W358" s="492" t="s">
        <v>108</v>
      </c>
      <c r="X358" s="492" t="s">
        <v>108</v>
      </c>
      <c r="Y358" s="492" t="s">
        <v>1974</v>
      </c>
      <c r="Z358" s="492" t="s">
        <v>1966</v>
      </c>
      <c r="AA358" s="492" t="s">
        <v>829</v>
      </c>
      <c r="AB358" s="492" t="s">
        <v>34</v>
      </c>
      <c r="AC358" s="492" t="s">
        <v>830</v>
      </c>
      <c r="AD358" s="492" t="s">
        <v>831</v>
      </c>
      <c r="AE358" s="492" t="s">
        <v>612</v>
      </c>
      <c r="AF358" s="492" t="s">
        <v>2054</v>
      </c>
      <c r="AG358" s="492" t="s">
        <v>34</v>
      </c>
      <c r="AH358" s="492" t="s">
        <v>34</v>
      </c>
      <c r="AI358" s="492" t="s">
        <v>34</v>
      </c>
      <c r="AJ358" s="492" t="s">
        <v>34</v>
      </c>
      <c r="AK358" s="492" t="s">
        <v>832</v>
      </c>
      <c r="AL358" s="492" t="s">
        <v>34</v>
      </c>
      <c r="AM358" s="61" t="s">
        <v>3458</v>
      </c>
      <c r="AN358" s="490">
        <v>0</v>
      </c>
      <c r="AO358" s="490">
        <v>0</v>
      </c>
      <c r="AP358" s="61"/>
    </row>
    <row r="359" spans="1:42" x14ac:dyDescent="0.2">
      <c r="A359" s="61">
        <v>358</v>
      </c>
      <c r="B359" s="491" t="s">
        <v>454</v>
      </c>
      <c r="C359" s="492" t="s">
        <v>701</v>
      </c>
      <c r="D359" s="492" t="s">
        <v>2840</v>
      </c>
      <c r="E359" s="492" t="s">
        <v>777</v>
      </c>
      <c r="F359" s="492" t="s">
        <v>717</v>
      </c>
      <c r="G359" s="492" t="s">
        <v>34</v>
      </c>
      <c r="H359" s="492" t="s">
        <v>835</v>
      </c>
      <c r="I359" s="492" t="s">
        <v>4270</v>
      </c>
      <c r="J359" s="492" t="s">
        <v>613</v>
      </c>
      <c r="K359" s="492" t="s">
        <v>1967</v>
      </c>
      <c r="L359" s="492" t="s">
        <v>1968</v>
      </c>
      <c r="M359" s="493" t="s">
        <v>701</v>
      </c>
      <c r="N359" s="492" t="s">
        <v>701</v>
      </c>
      <c r="O359" s="492" t="s">
        <v>1106</v>
      </c>
      <c r="P359" s="492" t="s">
        <v>2183</v>
      </c>
      <c r="Q359" s="492" t="s">
        <v>911</v>
      </c>
      <c r="R359" s="492" t="s">
        <v>828</v>
      </c>
      <c r="S359" s="492" t="s">
        <v>2184</v>
      </c>
      <c r="T359" s="492">
        <v>96</v>
      </c>
      <c r="U359" s="492" t="s">
        <v>687</v>
      </c>
      <c r="V359" s="492" t="s">
        <v>1969</v>
      </c>
      <c r="W359" s="492" t="s">
        <v>1970</v>
      </c>
      <c r="X359" s="492" t="s">
        <v>1971</v>
      </c>
      <c r="Y359" s="492" t="s">
        <v>108</v>
      </c>
      <c r="Z359" s="492" t="s">
        <v>108</v>
      </c>
      <c r="AA359" s="492" t="s">
        <v>108</v>
      </c>
      <c r="AB359" s="492" t="s">
        <v>34</v>
      </c>
      <c r="AC359" s="492" t="s">
        <v>830</v>
      </c>
      <c r="AD359" s="492" t="s">
        <v>831</v>
      </c>
      <c r="AE359" s="492" t="s">
        <v>612</v>
      </c>
      <c r="AF359" s="492" t="s">
        <v>2054</v>
      </c>
      <c r="AG359" s="492" t="s">
        <v>34</v>
      </c>
      <c r="AH359" s="492" t="s">
        <v>34</v>
      </c>
      <c r="AI359" s="492" t="s">
        <v>34</v>
      </c>
      <c r="AJ359" s="492" t="s">
        <v>34</v>
      </c>
      <c r="AK359" s="492" t="s">
        <v>832</v>
      </c>
      <c r="AL359" s="492" t="s">
        <v>34</v>
      </c>
      <c r="AM359" s="61" t="s">
        <v>3441</v>
      </c>
      <c r="AN359" s="490">
        <v>0</v>
      </c>
      <c r="AO359" s="490">
        <v>0</v>
      </c>
      <c r="AP359" s="61"/>
    </row>
    <row r="360" spans="1:42" x14ac:dyDescent="0.2">
      <c r="A360" s="61">
        <v>359</v>
      </c>
      <c r="B360" s="491" t="s">
        <v>454</v>
      </c>
      <c r="C360" s="492" t="s">
        <v>4154</v>
      </c>
      <c r="D360" s="492" t="s">
        <v>4155</v>
      </c>
      <c r="E360" s="492" t="s">
        <v>4156</v>
      </c>
      <c r="F360" s="492" t="s">
        <v>730</v>
      </c>
      <c r="G360" s="492"/>
      <c r="H360" s="492" t="s">
        <v>835</v>
      </c>
      <c r="I360" s="492" t="s">
        <v>4328</v>
      </c>
      <c r="J360" s="492" t="s">
        <v>823</v>
      </c>
      <c r="K360" s="492" t="s">
        <v>3197</v>
      </c>
      <c r="L360" s="492" t="s">
        <v>4157</v>
      </c>
      <c r="M360" s="493" t="s">
        <v>4158</v>
      </c>
      <c r="N360" s="492" t="s">
        <v>4154</v>
      </c>
      <c r="O360" s="492" t="s">
        <v>1758</v>
      </c>
      <c r="P360" s="492" t="s">
        <v>4159</v>
      </c>
      <c r="Q360" s="492" t="s">
        <v>911</v>
      </c>
      <c r="R360" s="492" t="s">
        <v>3416</v>
      </c>
      <c r="S360" s="492" t="s">
        <v>4160</v>
      </c>
      <c r="T360" s="492">
        <v>1067.2</v>
      </c>
      <c r="U360" s="492" t="s">
        <v>687</v>
      </c>
      <c r="V360" s="492" t="s">
        <v>1248</v>
      </c>
      <c r="W360" s="492" t="s">
        <v>4161</v>
      </c>
      <c r="X360" s="492" t="s">
        <v>829</v>
      </c>
      <c r="Y360" s="492" t="s">
        <v>3230</v>
      </c>
      <c r="Z360" s="492" t="s">
        <v>4162</v>
      </c>
      <c r="AA360" s="492" t="s">
        <v>829</v>
      </c>
      <c r="AB360" s="492"/>
      <c r="AC360" s="492" t="s">
        <v>830</v>
      </c>
      <c r="AD360" s="492" t="s">
        <v>4163</v>
      </c>
      <c r="AE360" s="492" t="s">
        <v>612</v>
      </c>
      <c r="AF360" s="492" t="s">
        <v>2054</v>
      </c>
      <c r="AG360" s="492"/>
      <c r="AH360" s="492"/>
      <c r="AI360" s="492"/>
      <c r="AJ360" s="492"/>
      <c r="AK360" s="492" t="s">
        <v>832</v>
      </c>
      <c r="AL360" s="492"/>
      <c r="AM360" s="61" t="s">
        <v>3609</v>
      </c>
      <c r="AN360" s="490"/>
      <c r="AO360" s="490"/>
      <c r="AP360" s="61"/>
    </row>
    <row r="361" spans="1:42" x14ac:dyDescent="0.2">
      <c r="A361" s="61">
        <v>360</v>
      </c>
      <c r="B361" s="491" t="s">
        <v>456</v>
      </c>
      <c r="C361" s="492" t="s">
        <v>295</v>
      </c>
      <c r="D361" s="492" t="s">
        <v>4310</v>
      </c>
      <c r="E361" s="492" t="s">
        <v>778</v>
      </c>
      <c r="F361" s="492" t="s">
        <v>715</v>
      </c>
      <c r="G361" s="492" t="s">
        <v>34</v>
      </c>
      <c r="H361" s="492" t="s">
        <v>835</v>
      </c>
      <c r="I361" s="492" t="s">
        <v>4270</v>
      </c>
      <c r="J361" s="492" t="s">
        <v>613</v>
      </c>
      <c r="K361" s="492" t="s">
        <v>1011</v>
      </c>
      <c r="L361" s="492" t="s">
        <v>1975</v>
      </c>
      <c r="M361" s="493">
        <v>9261</v>
      </c>
      <c r="N361" s="492" t="s">
        <v>295</v>
      </c>
      <c r="O361" s="492" t="s">
        <v>305</v>
      </c>
      <c r="P361" s="492" t="s">
        <v>1030</v>
      </c>
      <c r="Q361" s="492" t="s">
        <v>911</v>
      </c>
      <c r="R361" s="492" t="s">
        <v>828</v>
      </c>
      <c r="S361" s="492" t="s">
        <v>2187</v>
      </c>
      <c r="T361" s="492">
        <v>339.3</v>
      </c>
      <c r="U361" s="492" t="s">
        <v>687</v>
      </c>
      <c r="V361" s="492" t="s">
        <v>1975</v>
      </c>
      <c r="W361" s="492" t="s">
        <v>950</v>
      </c>
      <c r="X361" s="492" t="s">
        <v>829</v>
      </c>
      <c r="Y361" s="492" t="s">
        <v>1975</v>
      </c>
      <c r="Z361" s="492" t="s">
        <v>950</v>
      </c>
      <c r="AA361" s="492" t="s">
        <v>829</v>
      </c>
      <c r="AB361" s="492" t="s">
        <v>34</v>
      </c>
      <c r="AC361" s="492" t="s">
        <v>830</v>
      </c>
      <c r="AD361" s="492" t="s">
        <v>831</v>
      </c>
      <c r="AE361" s="492" t="s">
        <v>612</v>
      </c>
      <c r="AF361" s="492" t="s">
        <v>2054</v>
      </c>
      <c r="AG361" s="492" t="s">
        <v>34</v>
      </c>
      <c r="AH361" s="492" t="s">
        <v>34</v>
      </c>
      <c r="AI361" s="492" t="s">
        <v>34</v>
      </c>
      <c r="AJ361" s="492" t="s">
        <v>34</v>
      </c>
      <c r="AK361" s="492" t="s">
        <v>832</v>
      </c>
      <c r="AL361" s="492" t="s">
        <v>34</v>
      </c>
      <c r="AM361" s="61" t="s">
        <v>3441</v>
      </c>
      <c r="AN361" s="490">
        <v>0</v>
      </c>
      <c r="AO361" s="490">
        <v>0</v>
      </c>
      <c r="AP361" s="61"/>
    </row>
    <row r="362" spans="1:42" x14ac:dyDescent="0.2">
      <c r="A362" s="61">
        <v>361</v>
      </c>
      <c r="B362" s="491" t="s">
        <v>456</v>
      </c>
      <c r="C362" s="492" t="s">
        <v>680</v>
      </c>
      <c r="D362" s="492" t="s">
        <v>2841</v>
      </c>
      <c r="E362" s="492" t="s">
        <v>778</v>
      </c>
      <c r="F362" s="492" t="s">
        <v>715</v>
      </c>
      <c r="G362" s="492" t="s">
        <v>34</v>
      </c>
      <c r="H362" s="492" t="s">
        <v>835</v>
      </c>
      <c r="I362" s="492" t="s">
        <v>4270</v>
      </c>
      <c r="J362" s="492" t="s">
        <v>613</v>
      </c>
      <c r="K362" s="492" t="s">
        <v>680</v>
      </c>
      <c r="L362" s="492" t="s">
        <v>1975</v>
      </c>
      <c r="M362" s="493">
        <v>17160</v>
      </c>
      <c r="N362" s="492" t="s">
        <v>680</v>
      </c>
      <c r="O362" s="492" t="s">
        <v>1106</v>
      </c>
      <c r="P362" s="492" t="s">
        <v>1030</v>
      </c>
      <c r="Q362" s="492" t="s">
        <v>911</v>
      </c>
      <c r="R362" s="492" t="s">
        <v>828</v>
      </c>
      <c r="S362" s="492" t="s">
        <v>2187</v>
      </c>
      <c r="T362" s="492">
        <v>339.3</v>
      </c>
      <c r="U362" s="492" t="s">
        <v>687</v>
      </c>
      <c r="V362" s="492" t="s">
        <v>1975</v>
      </c>
      <c r="W362" s="492" t="s">
        <v>962</v>
      </c>
      <c r="X362" s="492" t="s">
        <v>829</v>
      </c>
      <c r="Y362" s="492" t="s">
        <v>1975</v>
      </c>
      <c r="Z362" s="492" t="s">
        <v>962</v>
      </c>
      <c r="AA362" s="492" t="s">
        <v>829</v>
      </c>
      <c r="AB362" s="492" t="s">
        <v>34</v>
      </c>
      <c r="AC362" s="492" t="s">
        <v>830</v>
      </c>
      <c r="AD362" s="492" t="s">
        <v>831</v>
      </c>
      <c r="AE362" s="492" t="s">
        <v>612</v>
      </c>
      <c r="AF362" s="492" t="s">
        <v>2054</v>
      </c>
      <c r="AG362" s="492" t="s">
        <v>34</v>
      </c>
      <c r="AH362" s="492" t="s">
        <v>34</v>
      </c>
      <c r="AI362" s="492" t="s">
        <v>34</v>
      </c>
      <c r="AJ362" s="492" t="s">
        <v>34</v>
      </c>
      <c r="AK362" s="492" t="s">
        <v>832</v>
      </c>
      <c r="AL362" s="492" t="s">
        <v>34</v>
      </c>
      <c r="AM362" s="61" t="s">
        <v>3441</v>
      </c>
      <c r="AN362" s="490">
        <v>0</v>
      </c>
      <c r="AO362" s="490">
        <v>0</v>
      </c>
      <c r="AP362" s="61"/>
    </row>
    <row r="363" spans="1:42" x14ac:dyDescent="0.2">
      <c r="A363" s="61">
        <v>362</v>
      </c>
      <c r="B363" s="491" t="s">
        <v>456</v>
      </c>
      <c r="C363" s="492" t="s">
        <v>461</v>
      </c>
      <c r="D363" s="492" t="s">
        <v>2842</v>
      </c>
      <c r="E363" s="492" t="s">
        <v>778</v>
      </c>
      <c r="F363" s="492" t="s">
        <v>715</v>
      </c>
      <c r="G363" s="492" t="s">
        <v>34</v>
      </c>
      <c r="H363" s="492" t="s">
        <v>835</v>
      </c>
      <c r="I363" s="492" t="s">
        <v>4284</v>
      </c>
      <c r="J363" s="492" t="s">
        <v>823</v>
      </c>
      <c r="K363" s="492" t="s">
        <v>1012</v>
      </c>
      <c r="L363" s="492" t="s">
        <v>1984</v>
      </c>
      <c r="M363" s="493" t="s">
        <v>461</v>
      </c>
      <c r="N363" s="492" t="s">
        <v>461</v>
      </c>
      <c r="O363" s="492" t="s">
        <v>1985</v>
      </c>
      <c r="P363" s="492" t="s">
        <v>1078</v>
      </c>
      <c r="Q363" s="492" t="s">
        <v>911</v>
      </c>
      <c r="R363" s="492" t="s">
        <v>987</v>
      </c>
      <c r="S363" s="492" t="s">
        <v>2188</v>
      </c>
      <c r="T363" s="492">
        <v>2744</v>
      </c>
      <c r="U363" s="492" t="s">
        <v>687</v>
      </c>
      <c r="V363" s="492" t="s">
        <v>1986</v>
      </c>
      <c r="W363" s="492" t="s">
        <v>461</v>
      </c>
      <c r="X363" s="492" t="s">
        <v>937</v>
      </c>
      <c r="Y363" s="492" t="s">
        <v>1987</v>
      </c>
      <c r="Z363" s="492">
        <v>500445</v>
      </c>
      <c r="AA363" s="492" t="s">
        <v>829</v>
      </c>
      <c r="AB363" s="492" t="s">
        <v>3481</v>
      </c>
      <c r="AC363" s="492" t="s">
        <v>830</v>
      </c>
      <c r="AD363" s="492" t="s">
        <v>831</v>
      </c>
      <c r="AE363" s="492" t="s">
        <v>612</v>
      </c>
      <c r="AF363" s="492" t="s">
        <v>2054</v>
      </c>
      <c r="AG363" s="492" t="s">
        <v>34</v>
      </c>
      <c r="AH363" s="492" t="s">
        <v>34</v>
      </c>
      <c r="AI363" s="492" t="s">
        <v>34</v>
      </c>
      <c r="AJ363" s="492" t="s">
        <v>34</v>
      </c>
      <c r="AK363" s="492" t="s">
        <v>832</v>
      </c>
      <c r="AL363" s="492" t="s">
        <v>34</v>
      </c>
      <c r="AM363" s="61" t="s">
        <v>3458</v>
      </c>
      <c r="AN363" s="490">
        <v>0</v>
      </c>
      <c r="AO363" s="490">
        <v>0</v>
      </c>
      <c r="AP363" s="61"/>
    </row>
    <row r="364" spans="1:42" x14ac:dyDescent="0.2">
      <c r="A364" s="61">
        <v>363</v>
      </c>
      <c r="B364" s="491" t="s">
        <v>456</v>
      </c>
      <c r="C364" s="492" t="s">
        <v>458</v>
      </c>
      <c r="D364" s="492" t="s">
        <v>2843</v>
      </c>
      <c r="E364" s="492" t="s">
        <v>778</v>
      </c>
      <c r="F364" s="492" t="s">
        <v>715</v>
      </c>
      <c r="G364" s="492" t="s">
        <v>34</v>
      </c>
      <c r="H364" s="492" t="s">
        <v>835</v>
      </c>
      <c r="I364" s="492" t="s">
        <v>4270</v>
      </c>
      <c r="J364" s="492" t="s">
        <v>613</v>
      </c>
      <c r="K364" s="492" t="s">
        <v>839</v>
      </c>
      <c r="L364" s="492" t="s">
        <v>1510</v>
      </c>
      <c r="M364" s="493" t="s">
        <v>1978</v>
      </c>
      <c r="N364" s="492" t="s">
        <v>458</v>
      </c>
      <c r="O364" s="492" t="s">
        <v>108</v>
      </c>
      <c r="P364" s="492" t="s">
        <v>1384</v>
      </c>
      <c r="Q364" s="492" t="s">
        <v>911</v>
      </c>
      <c r="R364" s="492" t="s">
        <v>828</v>
      </c>
      <c r="S364" s="492" t="s">
        <v>2192</v>
      </c>
      <c r="T364" s="492">
        <v>19.3</v>
      </c>
      <c r="U364" s="492" t="s">
        <v>687</v>
      </c>
      <c r="V364" s="492" t="s">
        <v>1615</v>
      </c>
      <c r="W364" s="492" t="s">
        <v>1979</v>
      </c>
      <c r="X364" s="492" t="s">
        <v>829</v>
      </c>
      <c r="Y364" s="492" t="s">
        <v>108</v>
      </c>
      <c r="Z364" s="492" t="s">
        <v>108</v>
      </c>
      <c r="AA364" s="492" t="s">
        <v>108</v>
      </c>
      <c r="AB364" s="492" t="s">
        <v>34</v>
      </c>
      <c r="AC364" s="492" t="s">
        <v>830</v>
      </c>
      <c r="AD364" s="492" t="s">
        <v>831</v>
      </c>
      <c r="AE364" s="492" t="s">
        <v>612</v>
      </c>
      <c r="AF364" s="492">
        <v>10</v>
      </c>
      <c r="AG364" s="492">
        <v>0.1</v>
      </c>
      <c r="AH364" s="492">
        <v>0.15</v>
      </c>
      <c r="AI364" s="492" t="s">
        <v>34</v>
      </c>
      <c r="AJ364" s="492" t="s">
        <v>34</v>
      </c>
      <c r="AK364" s="492" t="s">
        <v>832</v>
      </c>
      <c r="AL364" s="492" t="s">
        <v>34</v>
      </c>
      <c r="AM364" s="61" t="s">
        <v>3444</v>
      </c>
      <c r="AN364" s="490">
        <v>0</v>
      </c>
      <c r="AO364" s="490">
        <v>0</v>
      </c>
      <c r="AP364" s="61"/>
    </row>
    <row r="365" spans="1:42" x14ac:dyDescent="0.2">
      <c r="A365" s="61">
        <v>364</v>
      </c>
      <c r="B365" s="491" t="s">
        <v>456</v>
      </c>
      <c r="C365" s="492" t="s">
        <v>459</v>
      </c>
      <c r="D365" s="492" t="s">
        <v>2844</v>
      </c>
      <c r="E365" s="492" t="s">
        <v>778</v>
      </c>
      <c r="F365" s="492" t="s">
        <v>715</v>
      </c>
      <c r="G365" s="492" t="s">
        <v>34</v>
      </c>
      <c r="H365" s="492" t="s">
        <v>835</v>
      </c>
      <c r="I365" s="492" t="s">
        <v>4270</v>
      </c>
      <c r="J365" s="492" t="s">
        <v>613</v>
      </c>
      <c r="K365" s="492" t="s">
        <v>839</v>
      </c>
      <c r="L365" s="492" t="s">
        <v>1980</v>
      </c>
      <c r="M365" s="493" t="s">
        <v>1981</v>
      </c>
      <c r="N365" s="492" t="s">
        <v>459</v>
      </c>
      <c r="O365" s="492" t="s">
        <v>1106</v>
      </c>
      <c r="P365" s="492" t="s">
        <v>2193</v>
      </c>
      <c r="Q365" s="492" t="s">
        <v>911</v>
      </c>
      <c r="R365" s="492" t="s">
        <v>828</v>
      </c>
      <c r="S365" s="492" t="s">
        <v>2194</v>
      </c>
      <c r="T365" s="492">
        <v>169</v>
      </c>
      <c r="U365" s="492" t="s">
        <v>687</v>
      </c>
      <c r="V365" s="492" t="s">
        <v>1982</v>
      </c>
      <c r="W365" s="492">
        <v>156602</v>
      </c>
      <c r="X365" s="492" t="s">
        <v>829</v>
      </c>
      <c r="Y365" s="492" t="s">
        <v>1982</v>
      </c>
      <c r="Z365" s="492">
        <v>156602</v>
      </c>
      <c r="AA365" s="492" t="s">
        <v>829</v>
      </c>
      <c r="AB365" s="492" t="s">
        <v>34</v>
      </c>
      <c r="AC365" s="492" t="s">
        <v>830</v>
      </c>
      <c r="AD365" s="492" t="s">
        <v>831</v>
      </c>
      <c r="AE365" s="492" t="s">
        <v>612</v>
      </c>
      <c r="AF365" s="492" t="s">
        <v>2054</v>
      </c>
      <c r="AG365" s="492" t="s">
        <v>34</v>
      </c>
      <c r="AH365" s="492" t="s">
        <v>34</v>
      </c>
      <c r="AI365" s="492" t="s">
        <v>34</v>
      </c>
      <c r="AJ365" s="492" t="s">
        <v>34</v>
      </c>
      <c r="AK365" s="492" t="s">
        <v>832</v>
      </c>
      <c r="AL365" s="492" t="s">
        <v>34</v>
      </c>
      <c r="AM365" s="61" t="s">
        <v>3444</v>
      </c>
      <c r="AN365" s="490">
        <v>0</v>
      </c>
      <c r="AO365" s="490">
        <v>0</v>
      </c>
      <c r="AP365" s="61"/>
    </row>
    <row r="366" spans="1:42" x14ac:dyDescent="0.2">
      <c r="A366" s="61">
        <v>365</v>
      </c>
      <c r="B366" s="491" t="s">
        <v>456</v>
      </c>
      <c r="C366" s="492" t="s">
        <v>460</v>
      </c>
      <c r="D366" s="492" t="s">
        <v>2845</v>
      </c>
      <c r="E366" s="492" t="s">
        <v>778</v>
      </c>
      <c r="F366" s="492" t="s">
        <v>715</v>
      </c>
      <c r="G366" s="492" t="s">
        <v>34</v>
      </c>
      <c r="H366" s="492" t="s">
        <v>835</v>
      </c>
      <c r="I366" s="492" t="s">
        <v>4270</v>
      </c>
      <c r="J366" s="492" t="s">
        <v>613</v>
      </c>
      <c r="K366" s="492" t="s">
        <v>839</v>
      </c>
      <c r="L366" s="492" t="s">
        <v>1980</v>
      </c>
      <c r="M366" s="493" t="s">
        <v>1983</v>
      </c>
      <c r="N366" s="492" t="s">
        <v>460</v>
      </c>
      <c r="O366" s="492" t="s">
        <v>1106</v>
      </c>
      <c r="P366" s="492" t="s">
        <v>2193</v>
      </c>
      <c r="Q366" s="492" t="s">
        <v>911</v>
      </c>
      <c r="R366" s="492" t="s">
        <v>828</v>
      </c>
      <c r="S366" s="492" t="s">
        <v>2194</v>
      </c>
      <c r="T366" s="492">
        <v>169</v>
      </c>
      <c r="U366" s="492" t="s">
        <v>687</v>
      </c>
      <c r="V366" s="492" t="s">
        <v>1982</v>
      </c>
      <c r="W366" s="492">
        <v>156603002</v>
      </c>
      <c r="X366" s="492" t="s">
        <v>829</v>
      </c>
      <c r="Y366" s="492" t="s">
        <v>1982</v>
      </c>
      <c r="Z366" s="492">
        <v>156603002</v>
      </c>
      <c r="AA366" s="492" t="s">
        <v>829</v>
      </c>
      <c r="AB366" s="492" t="s">
        <v>34</v>
      </c>
      <c r="AC366" s="492" t="s">
        <v>830</v>
      </c>
      <c r="AD366" s="492" t="s">
        <v>831</v>
      </c>
      <c r="AE366" s="492" t="s">
        <v>612</v>
      </c>
      <c r="AF366" s="492" t="s">
        <v>2054</v>
      </c>
      <c r="AG366" s="492" t="s">
        <v>34</v>
      </c>
      <c r="AH366" s="492" t="s">
        <v>34</v>
      </c>
      <c r="AI366" s="492" t="s">
        <v>34</v>
      </c>
      <c r="AJ366" s="492" t="s">
        <v>34</v>
      </c>
      <c r="AK366" s="492" t="s">
        <v>832</v>
      </c>
      <c r="AL366" s="492" t="s">
        <v>34</v>
      </c>
      <c r="AM366" s="61" t="s">
        <v>3444</v>
      </c>
      <c r="AN366" s="490">
        <v>0</v>
      </c>
      <c r="AO366" s="490">
        <v>0</v>
      </c>
      <c r="AP366" s="61"/>
    </row>
    <row r="367" spans="1:42" x14ac:dyDescent="0.2">
      <c r="A367" s="61">
        <v>366</v>
      </c>
      <c r="B367" s="491" t="s">
        <v>456</v>
      </c>
      <c r="C367" s="492" t="s">
        <v>3271</v>
      </c>
      <c r="D367" s="492" t="s">
        <v>3272</v>
      </c>
      <c r="E367" s="492" t="s">
        <v>778</v>
      </c>
      <c r="F367" s="492" t="s">
        <v>715</v>
      </c>
      <c r="G367" s="492" t="s">
        <v>34</v>
      </c>
      <c r="H367" s="492" t="s">
        <v>835</v>
      </c>
      <c r="I367" s="492" t="s">
        <v>4270</v>
      </c>
      <c r="J367" s="492" t="s">
        <v>613</v>
      </c>
      <c r="K367" s="492" t="s">
        <v>3271</v>
      </c>
      <c r="L367" s="492" t="s">
        <v>962</v>
      </c>
      <c r="M367" s="493">
        <v>1234</v>
      </c>
      <c r="N367" s="492" t="s">
        <v>3271</v>
      </c>
      <c r="O367" s="492" t="s">
        <v>1106</v>
      </c>
      <c r="P367" s="492" t="s">
        <v>3273</v>
      </c>
      <c r="Q367" s="492" t="s">
        <v>3273</v>
      </c>
      <c r="R367" s="492" t="s">
        <v>828</v>
      </c>
      <c r="S367" s="492" t="s">
        <v>3274</v>
      </c>
      <c r="T367" s="492">
        <v>800</v>
      </c>
      <c r="U367" s="492" t="s">
        <v>687</v>
      </c>
      <c r="V367" s="492" t="s">
        <v>108</v>
      </c>
      <c r="W367" s="492" t="s">
        <v>108</v>
      </c>
      <c r="X367" s="492" t="s">
        <v>108</v>
      </c>
      <c r="Y367" s="492" t="s">
        <v>3275</v>
      </c>
      <c r="Z367" s="492">
        <v>50048</v>
      </c>
      <c r="AA367" s="492" t="s">
        <v>908</v>
      </c>
      <c r="AB367" s="492" t="s">
        <v>34</v>
      </c>
      <c r="AC367" s="492" t="s">
        <v>830</v>
      </c>
      <c r="AD367" s="492" t="s">
        <v>831</v>
      </c>
      <c r="AE367" s="492" t="s">
        <v>612</v>
      </c>
      <c r="AF367" s="492" t="s">
        <v>34</v>
      </c>
      <c r="AG367" s="492" t="s">
        <v>34</v>
      </c>
      <c r="AH367" s="492" t="s">
        <v>34</v>
      </c>
      <c r="AI367" s="492" t="s">
        <v>34</v>
      </c>
      <c r="AJ367" s="492" t="s">
        <v>34</v>
      </c>
      <c r="AK367" s="492" t="s">
        <v>832</v>
      </c>
      <c r="AL367" s="492" t="s">
        <v>34</v>
      </c>
      <c r="AM367" s="61" t="s">
        <v>3458</v>
      </c>
      <c r="AN367" s="490">
        <v>0</v>
      </c>
      <c r="AO367" s="490">
        <v>0</v>
      </c>
      <c r="AP367" s="61"/>
    </row>
    <row r="368" spans="1:42" x14ac:dyDescent="0.2">
      <c r="A368" s="61">
        <v>367</v>
      </c>
      <c r="B368" s="491" t="s">
        <v>456</v>
      </c>
      <c r="C368" s="492" t="s">
        <v>457</v>
      </c>
      <c r="D368" s="492" t="s">
        <v>2846</v>
      </c>
      <c r="E368" s="492" t="s">
        <v>778</v>
      </c>
      <c r="F368" s="492" t="s">
        <v>715</v>
      </c>
      <c r="G368" s="492" t="s">
        <v>34</v>
      </c>
      <c r="H368" s="492" t="s">
        <v>835</v>
      </c>
      <c r="I368" s="492" t="s">
        <v>4270</v>
      </c>
      <c r="J368" s="492" t="s">
        <v>613</v>
      </c>
      <c r="K368" s="492" t="s">
        <v>1011</v>
      </c>
      <c r="L368" s="492" t="s">
        <v>1975</v>
      </c>
      <c r="M368" s="493">
        <v>9139</v>
      </c>
      <c r="N368" s="492" t="s">
        <v>457</v>
      </c>
      <c r="O368" s="492" t="s">
        <v>1106</v>
      </c>
      <c r="P368" s="492" t="s">
        <v>1128</v>
      </c>
      <c r="Q368" s="492" t="s">
        <v>911</v>
      </c>
      <c r="R368" s="492" t="s">
        <v>828</v>
      </c>
      <c r="S368" s="492" t="s">
        <v>2189</v>
      </c>
      <c r="T368" s="492">
        <v>42.4</v>
      </c>
      <c r="U368" s="492" t="s">
        <v>687</v>
      </c>
      <c r="V368" s="492" t="s">
        <v>1976</v>
      </c>
      <c r="W368" s="492" t="s">
        <v>950</v>
      </c>
      <c r="X368" s="492" t="s">
        <v>1445</v>
      </c>
      <c r="Y368" s="492" t="s">
        <v>1976</v>
      </c>
      <c r="Z368" s="492" t="s">
        <v>950</v>
      </c>
      <c r="AA368" s="492" t="s">
        <v>1445</v>
      </c>
      <c r="AB368" s="492" t="s">
        <v>3050</v>
      </c>
      <c r="AC368" s="492" t="s">
        <v>830</v>
      </c>
      <c r="AD368" s="492" t="s">
        <v>831</v>
      </c>
      <c r="AE368" s="492" t="s">
        <v>612</v>
      </c>
      <c r="AF368" s="492" t="s">
        <v>2527</v>
      </c>
      <c r="AG368" s="492" t="s">
        <v>2528</v>
      </c>
      <c r="AH368" s="492" t="s">
        <v>34</v>
      </c>
      <c r="AI368" s="492" t="s">
        <v>34</v>
      </c>
      <c r="AJ368" s="492" t="s">
        <v>34</v>
      </c>
      <c r="AK368" s="492" t="s">
        <v>832</v>
      </c>
      <c r="AL368" s="492" t="s">
        <v>34</v>
      </c>
      <c r="AM368" s="61" t="s">
        <v>3462</v>
      </c>
      <c r="AN368" s="490">
        <v>0</v>
      </c>
      <c r="AO368" s="490">
        <v>0</v>
      </c>
      <c r="AP368" s="61"/>
    </row>
    <row r="369" spans="1:85" x14ac:dyDescent="0.2">
      <c r="A369" s="61">
        <v>368</v>
      </c>
      <c r="B369" s="491" t="s">
        <v>3897</v>
      </c>
      <c r="C369" s="492" t="s">
        <v>3898</v>
      </c>
      <c r="D369" s="492" t="s">
        <v>3899</v>
      </c>
      <c r="E369" s="492" t="s">
        <v>3900</v>
      </c>
      <c r="F369" s="492" t="s">
        <v>3901</v>
      </c>
      <c r="G369" s="492" t="s">
        <v>34</v>
      </c>
      <c r="H369" s="492" t="s">
        <v>835</v>
      </c>
      <c r="I369" s="492" t="s">
        <v>4270</v>
      </c>
      <c r="J369" s="492" t="s">
        <v>613</v>
      </c>
      <c r="K369" s="492" t="s">
        <v>3898</v>
      </c>
      <c r="L369" s="492" t="s">
        <v>3902</v>
      </c>
      <c r="M369" s="493" t="s">
        <v>3903</v>
      </c>
      <c r="N369" s="492" t="s">
        <v>3898</v>
      </c>
      <c r="O369" s="492" t="s">
        <v>1106</v>
      </c>
      <c r="P369" s="492" t="s">
        <v>3273</v>
      </c>
      <c r="Q369" s="492" t="s">
        <v>3273</v>
      </c>
      <c r="R369" s="492" t="s">
        <v>828</v>
      </c>
      <c r="S369" s="492" t="s">
        <v>3904</v>
      </c>
      <c r="T369" s="492">
        <v>4725.9526999999998</v>
      </c>
      <c r="U369" s="492" t="s">
        <v>687</v>
      </c>
      <c r="V369" s="492" t="s">
        <v>108</v>
      </c>
      <c r="W369" s="492" t="s">
        <v>108</v>
      </c>
      <c r="X369" s="492" t="s">
        <v>108</v>
      </c>
      <c r="Y369" s="492" t="s">
        <v>3905</v>
      </c>
      <c r="Z369" s="492" t="s">
        <v>3906</v>
      </c>
      <c r="AA369" s="492" t="s">
        <v>908</v>
      </c>
      <c r="AB369" s="492" t="s">
        <v>34</v>
      </c>
      <c r="AC369" s="492" t="s">
        <v>830</v>
      </c>
      <c r="AD369" s="492" t="s">
        <v>831</v>
      </c>
      <c r="AE369" s="492" t="s">
        <v>612</v>
      </c>
      <c r="AF369" s="492" t="s">
        <v>108</v>
      </c>
      <c r="AG369" s="492" t="s">
        <v>34</v>
      </c>
      <c r="AH369" s="492" t="s">
        <v>34</v>
      </c>
      <c r="AI369" s="492" t="s">
        <v>34</v>
      </c>
      <c r="AJ369" s="492" t="s">
        <v>34</v>
      </c>
      <c r="AK369" s="492" t="s">
        <v>832</v>
      </c>
      <c r="AL369" s="492" t="s">
        <v>34</v>
      </c>
      <c r="AM369" s="61" t="s">
        <v>3458</v>
      </c>
      <c r="AN369" s="490"/>
      <c r="AO369" s="490"/>
      <c r="AP369" s="61"/>
    </row>
    <row r="370" spans="1:85" x14ac:dyDescent="0.2">
      <c r="A370" s="61">
        <v>369</v>
      </c>
      <c r="B370" s="491" t="s">
        <v>462</v>
      </c>
      <c r="C370" s="492" t="s">
        <v>702</v>
      </c>
      <c r="D370" s="492" t="s">
        <v>2847</v>
      </c>
      <c r="E370" s="492" t="s">
        <v>779</v>
      </c>
      <c r="F370" s="492" t="s">
        <v>780</v>
      </c>
      <c r="G370" s="492" t="s">
        <v>34</v>
      </c>
      <c r="H370" s="492" t="s">
        <v>835</v>
      </c>
      <c r="I370" s="492" t="s">
        <v>4270</v>
      </c>
      <c r="J370" s="492" t="s">
        <v>613</v>
      </c>
      <c r="K370" s="492" t="s">
        <v>1988</v>
      </c>
      <c r="L370" s="492" t="s">
        <v>1989</v>
      </c>
      <c r="M370" s="493">
        <v>127568</v>
      </c>
      <c r="N370" s="492" t="s">
        <v>702</v>
      </c>
      <c r="O370" s="492" t="s">
        <v>1106</v>
      </c>
      <c r="P370" s="492" t="s">
        <v>2195</v>
      </c>
      <c r="Q370" s="492" t="s">
        <v>911</v>
      </c>
      <c r="R370" s="492" t="s">
        <v>828</v>
      </c>
      <c r="S370" s="492" t="s">
        <v>2196</v>
      </c>
      <c r="T370" s="492">
        <v>35.299999999999997</v>
      </c>
      <c r="U370" s="492" t="s">
        <v>687</v>
      </c>
      <c r="V370" s="492" t="s">
        <v>1990</v>
      </c>
      <c r="W370" s="492">
        <v>152326</v>
      </c>
      <c r="X370" s="492" t="s">
        <v>829</v>
      </c>
      <c r="Y370" s="492" t="s">
        <v>1991</v>
      </c>
      <c r="Z370" s="492">
        <v>12758</v>
      </c>
      <c r="AA370" s="492" t="s">
        <v>829</v>
      </c>
      <c r="AB370" s="492" t="s">
        <v>34</v>
      </c>
      <c r="AC370" s="492" t="s">
        <v>830</v>
      </c>
      <c r="AD370" s="492" t="s">
        <v>831</v>
      </c>
      <c r="AE370" s="492" t="s">
        <v>612</v>
      </c>
      <c r="AF370" s="492" t="s">
        <v>2054</v>
      </c>
      <c r="AG370" s="492" t="s">
        <v>34</v>
      </c>
      <c r="AH370" s="492" t="s">
        <v>34</v>
      </c>
      <c r="AI370" s="492" t="s">
        <v>34</v>
      </c>
      <c r="AJ370" s="492" t="s">
        <v>34</v>
      </c>
      <c r="AK370" s="492" t="s">
        <v>832</v>
      </c>
      <c r="AL370" s="492" t="s">
        <v>34</v>
      </c>
      <c r="AM370" s="61" t="s">
        <v>3441</v>
      </c>
      <c r="AN370" s="490">
        <v>0</v>
      </c>
      <c r="AO370" s="490">
        <v>0</v>
      </c>
      <c r="AP370" s="61"/>
    </row>
    <row r="371" spans="1:85" x14ac:dyDescent="0.2">
      <c r="A371" s="61">
        <v>370</v>
      </c>
      <c r="B371" s="491" t="s">
        <v>462</v>
      </c>
      <c r="C371" s="492" t="s">
        <v>464</v>
      </c>
      <c r="D371" s="492" t="s">
        <v>2848</v>
      </c>
      <c r="E371" s="492" t="s">
        <v>779</v>
      </c>
      <c r="F371" s="492" t="s">
        <v>780</v>
      </c>
      <c r="G371" s="492" t="s">
        <v>34</v>
      </c>
      <c r="H371" s="492" t="s">
        <v>835</v>
      </c>
      <c r="I371" s="492" t="s">
        <v>4270</v>
      </c>
      <c r="J371" s="492" t="s">
        <v>613</v>
      </c>
      <c r="K371" s="492" t="s">
        <v>1992</v>
      </c>
      <c r="L371" s="492" t="s">
        <v>1993</v>
      </c>
      <c r="M371" s="493" t="s">
        <v>464</v>
      </c>
      <c r="N371" s="492" t="s">
        <v>464</v>
      </c>
      <c r="O371" s="492" t="s">
        <v>1106</v>
      </c>
      <c r="P371" s="492" t="s">
        <v>2197</v>
      </c>
      <c r="Q371" s="492" t="s">
        <v>833</v>
      </c>
      <c r="R371" s="492" t="s">
        <v>828</v>
      </c>
      <c r="S371" s="492" t="s">
        <v>2198</v>
      </c>
      <c r="T371" s="492">
        <v>2.6</v>
      </c>
      <c r="U371" s="492" t="s">
        <v>687</v>
      </c>
      <c r="V371" s="492" t="s">
        <v>1994</v>
      </c>
      <c r="W371" s="492" t="s">
        <v>464</v>
      </c>
      <c r="X371" s="492" t="s">
        <v>908</v>
      </c>
      <c r="Y371" s="492" t="s">
        <v>108</v>
      </c>
      <c r="Z371" s="492" t="s">
        <v>108</v>
      </c>
      <c r="AA371" s="492" t="s">
        <v>108</v>
      </c>
      <c r="AB371" s="492" t="s">
        <v>1701</v>
      </c>
      <c r="AC371" s="492" t="s">
        <v>830</v>
      </c>
      <c r="AD371" s="492" t="s">
        <v>831</v>
      </c>
      <c r="AE371" s="492" t="s">
        <v>612</v>
      </c>
      <c r="AF371" s="492" t="s">
        <v>2054</v>
      </c>
      <c r="AG371" s="492" t="s">
        <v>34</v>
      </c>
      <c r="AH371" s="492" t="s">
        <v>34</v>
      </c>
      <c r="AI371" s="492" t="s">
        <v>34</v>
      </c>
      <c r="AJ371" s="492" t="s">
        <v>34</v>
      </c>
      <c r="AK371" s="492" t="s">
        <v>832</v>
      </c>
      <c r="AL371" s="492" t="s">
        <v>34</v>
      </c>
      <c r="AM371" s="61" t="s">
        <v>3441</v>
      </c>
      <c r="AN371" s="490">
        <v>0</v>
      </c>
      <c r="AO371" s="490">
        <v>0</v>
      </c>
      <c r="AP371" s="61"/>
    </row>
    <row r="372" spans="1:85" x14ac:dyDescent="0.2">
      <c r="A372" s="61">
        <v>371</v>
      </c>
      <c r="B372" s="491" t="s">
        <v>462</v>
      </c>
      <c r="C372" s="492">
        <v>411462</v>
      </c>
      <c r="D372" s="492" t="s">
        <v>3468</v>
      </c>
      <c r="E372" s="492" t="s">
        <v>779</v>
      </c>
      <c r="F372" s="492" t="s">
        <v>780</v>
      </c>
      <c r="G372" s="492" t="s">
        <v>34</v>
      </c>
      <c r="H372" s="492" t="s">
        <v>835</v>
      </c>
      <c r="I372" s="492" t="s">
        <v>4270</v>
      </c>
      <c r="J372" s="492" t="s">
        <v>613</v>
      </c>
      <c r="K372" s="492" t="s">
        <v>839</v>
      </c>
      <c r="L372" s="492" t="s">
        <v>1977</v>
      </c>
      <c r="M372" s="493">
        <v>411462</v>
      </c>
      <c r="N372" s="492">
        <v>411462</v>
      </c>
      <c r="O372" s="492" t="s">
        <v>305</v>
      </c>
      <c r="P372" s="492" t="s">
        <v>1822</v>
      </c>
      <c r="Q372" s="492" t="s">
        <v>911</v>
      </c>
      <c r="R372" s="492" t="s">
        <v>892</v>
      </c>
      <c r="S372" s="492" t="s">
        <v>2191</v>
      </c>
      <c r="T372" s="492">
        <v>117.1</v>
      </c>
      <c r="U372" s="492" t="s">
        <v>687</v>
      </c>
      <c r="V372" s="492" t="s">
        <v>2068</v>
      </c>
      <c r="W372" s="492">
        <v>411462</v>
      </c>
      <c r="X372" s="492" t="s">
        <v>977</v>
      </c>
      <c r="Y372" s="492" t="s">
        <v>2068</v>
      </c>
      <c r="Z372" s="492">
        <v>411462</v>
      </c>
      <c r="AA372" s="492" t="s">
        <v>977</v>
      </c>
      <c r="AB372" s="492" t="s">
        <v>3011</v>
      </c>
      <c r="AC372" s="492" t="s">
        <v>830</v>
      </c>
      <c r="AD372" s="492" t="s">
        <v>831</v>
      </c>
      <c r="AE372" s="492" t="s">
        <v>612</v>
      </c>
      <c r="AF372" s="492" t="s">
        <v>2054</v>
      </c>
      <c r="AG372" s="492" t="s">
        <v>34</v>
      </c>
      <c r="AH372" s="492" t="s">
        <v>34</v>
      </c>
      <c r="AI372" s="492" t="s">
        <v>34</v>
      </c>
      <c r="AJ372" s="492" t="s">
        <v>34</v>
      </c>
      <c r="AK372" s="492" t="s">
        <v>832</v>
      </c>
      <c r="AL372" s="492" t="s">
        <v>34</v>
      </c>
      <c r="AM372" s="61" t="s">
        <v>3444</v>
      </c>
      <c r="AN372" s="490">
        <v>0</v>
      </c>
      <c r="AO372" s="490">
        <v>0</v>
      </c>
      <c r="AP372" s="61"/>
    </row>
    <row r="373" spans="1:85" x14ac:dyDescent="0.2">
      <c r="A373" s="61">
        <v>372</v>
      </c>
      <c r="B373" s="491" t="s">
        <v>462</v>
      </c>
      <c r="C373" s="492" t="s">
        <v>463</v>
      </c>
      <c r="D373" s="492" t="s">
        <v>2849</v>
      </c>
      <c r="E373" s="492" t="s">
        <v>779</v>
      </c>
      <c r="F373" s="492" t="s">
        <v>780</v>
      </c>
      <c r="G373" s="492" t="s">
        <v>34</v>
      </c>
      <c r="H373" s="492" t="s">
        <v>835</v>
      </c>
      <c r="I373" s="492" t="s">
        <v>4270</v>
      </c>
      <c r="J373" s="492" t="s">
        <v>613</v>
      </c>
      <c r="K373" s="492" t="s">
        <v>670</v>
      </c>
      <c r="L373" s="492" t="s">
        <v>1995</v>
      </c>
      <c r="M373" s="493" t="s">
        <v>463</v>
      </c>
      <c r="N373" s="492" t="s">
        <v>463</v>
      </c>
      <c r="O373" s="492" t="s">
        <v>305</v>
      </c>
      <c r="P373" s="492" t="s">
        <v>3421</v>
      </c>
      <c r="Q373" s="492" t="s">
        <v>833</v>
      </c>
      <c r="R373" s="492" t="s">
        <v>828</v>
      </c>
      <c r="S373" s="492" t="s">
        <v>2199</v>
      </c>
      <c r="T373" s="492">
        <v>5.6</v>
      </c>
      <c r="U373" s="492" t="s">
        <v>687</v>
      </c>
      <c r="V373" s="492" t="s">
        <v>1996</v>
      </c>
      <c r="W373" s="492" t="s">
        <v>463</v>
      </c>
      <c r="X373" s="492" t="s">
        <v>1718</v>
      </c>
      <c r="Y373" s="492" t="s">
        <v>108</v>
      </c>
      <c r="Z373" s="492" t="s">
        <v>108</v>
      </c>
      <c r="AA373" s="492" t="s">
        <v>108</v>
      </c>
      <c r="AB373" s="492" t="s">
        <v>1997</v>
      </c>
      <c r="AC373" s="492" t="s">
        <v>830</v>
      </c>
      <c r="AD373" s="492" t="s">
        <v>831</v>
      </c>
      <c r="AE373" s="492" t="s">
        <v>612</v>
      </c>
      <c r="AF373" s="492" t="s">
        <v>2054</v>
      </c>
      <c r="AG373" s="492" t="s">
        <v>34</v>
      </c>
      <c r="AH373" s="492" t="s">
        <v>34</v>
      </c>
      <c r="AI373" s="492" t="s">
        <v>34</v>
      </c>
      <c r="AJ373" s="492" t="s">
        <v>34</v>
      </c>
      <c r="AK373" s="492" t="s">
        <v>832</v>
      </c>
      <c r="AL373" s="492" t="s">
        <v>34</v>
      </c>
      <c r="AM373" s="61" t="s">
        <v>3444</v>
      </c>
      <c r="AN373" s="490">
        <v>0</v>
      </c>
      <c r="AO373" s="490">
        <v>0</v>
      </c>
      <c r="AP373" s="61"/>
    </row>
    <row r="374" spans="1:85" x14ac:dyDescent="0.2">
      <c r="A374" s="61">
        <v>373</v>
      </c>
      <c r="B374" s="491" t="s">
        <v>703</v>
      </c>
      <c r="C374" s="492" t="s">
        <v>269</v>
      </c>
      <c r="D374" s="492" t="s">
        <v>2850</v>
      </c>
      <c r="E374" s="492" t="s">
        <v>2200</v>
      </c>
      <c r="F374" s="492" t="s">
        <v>2201</v>
      </c>
      <c r="G374" s="492" t="s">
        <v>34</v>
      </c>
      <c r="H374" s="492" t="s">
        <v>835</v>
      </c>
      <c r="I374" s="492" t="s">
        <v>4311</v>
      </c>
      <c r="J374" s="492" t="s">
        <v>823</v>
      </c>
      <c r="K374" s="492" t="s">
        <v>1452</v>
      </c>
      <c r="L374" s="492" t="s">
        <v>1998</v>
      </c>
      <c r="M374" s="493" t="s">
        <v>1999</v>
      </c>
      <c r="N374" s="492" t="s">
        <v>269</v>
      </c>
      <c r="O374" s="492" t="s">
        <v>4312</v>
      </c>
      <c r="P374" s="492" t="s">
        <v>2202</v>
      </c>
      <c r="Q374" s="492" t="s">
        <v>3514</v>
      </c>
      <c r="R374" s="492" t="s">
        <v>828</v>
      </c>
      <c r="S374" s="492" t="s">
        <v>2203</v>
      </c>
      <c r="T374" s="492">
        <v>22.5</v>
      </c>
      <c r="U374" s="492" t="s">
        <v>858</v>
      </c>
      <c r="V374" s="492" t="s">
        <v>2000</v>
      </c>
      <c r="W374" s="492" t="s">
        <v>2001</v>
      </c>
      <c r="X374" s="492" t="s">
        <v>3502</v>
      </c>
      <c r="Y374" s="492" t="s">
        <v>2002</v>
      </c>
      <c r="Z374" s="492">
        <v>17350177</v>
      </c>
      <c r="AA374" s="492" t="s">
        <v>3502</v>
      </c>
      <c r="AB374" s="492" t="s">
        <v>34</v>
      </c>
      <c r="AC374" s="492" t="s">
        <v>830</v>
      </c>
      <c r="AD374" s="492" t="s">
        <v>831</v>
      </c>
      <c r="AE374" s="492" t="s">
        <v>612</v>
      </c>
      <c r="AF374" s="492">
        <v>8</v>
      </c>
      <c r="AG374" s="492">
        <v>2</v>
      </c>
      <c r="AH374" s="492" t="s">
        <v>34</v>
      </c>
      <c r="AI374" s="492" t="s">
        <v>34</v>
      </c>
      <c r="AJ374" s="492" t="s">
        <v>34</v>
      </c>
      <c r="AK374" s="492" t="s">
        <v>832</v>
      </c>
      <c r="AL374" s="492" t="s">
        <v>34</v>
      </c>
      <c r="AM374" s="61" t="s">
        <v>3444</v>
      </c>
      <c r="AN374" s="490">
        <v>0</v>
      </c>
      <c r="AO374" s="490">
        <v>0</v>
      </c>
      <c r="AP374" s="61"/>
    </row>
    <row r="375" spans="1:85" s="431" customFormat="1" x14ac:dyDescent="0.2">
      <c r="A375" s="502">
        <v>374</v>
      </c>
      <c r="B375" s="491" t="s">
        <v>703</v>
      </c>
      <c r="C375" s="492" t="s">
        <v>278</v>
      </c>
      <c r="D375" s="492" t="s">
        <v>2851</v>
      </c>
      <c r="E375" s="492" t="s">
        <v>2200</v>
      </c>
      <c r="F375" s="492" t="s">
        <v>2201</v>
      </c>
      <c r="G375" s="492" t="s">
        <v>34</v>
      </c>
      <c r="H375" s="492" t="s">
        <v>835</v>
      </c>
      <c r="I375" s="492" t="s">
        <v>4311</v>
      </c>
      <c r="J375" s="492" t="s">
        <v>823</v>
      </c>
      <c r="K375" s="492" t="s">
        <v>1452</v>
      </c>
      <c r="L375" s="492" t="s">
        <v>2003</v>
      </c>
      <c r="M375" s="493">
        <v>12989</v>
      </c>
      <c r="N375" s="492" t="s">
        <v>278</v>
      </c>
      <c r="O375" s="492" t="s">
        <v>4313</v>
      </c>
      <c r="P375" s="492" t="s">
        <v>2204</v>
      </c>
      <c r="Q375" s="492" t="s">
        <v>3514</v>
      </c>
      <c r="R375" s="492" t="s">
        <v>828</v>
      </c>
      <c r="S375" s="492" t="s">
        <v>2203</v>
      </c>
      <c r="T375" s="492">
        <v>22.5</v>
      </c>
      <c r="U375" s="492" t="s">
        <v>857</v>
      </c>
      <c r="V375" s="492" t="s">
        <v>2004</v>
      </c>
      <c r="W375" s="492" t="s">
        <v>2005</v>
      </c>
      <c r="X375" s="492" t="s">
        <v>3502</v>
      </c>
      <c r="Y375" s="492" t="s">
        <v>2006</v>
      </c>
      <c r="Z375" s="492">
        <v>18380123</v>
      </c>
      <c r="AA375" s="492" t="s">
        <v>3502</v>
      </c>
      <c r="AB375" s="492" t="s">
        <v>34</v>
      </c>
      <c r="AC375" s="492" t="s">
        <v>830</v>
      </c>
      <c r="AD375" s="492" t="s">
        <v>831</v>
      </c>
      <c r="AE375" s="492" t="s">
        <v>612</v>
      </c>
      <c r="AF375" s="492">
        <v>8</v>
      </c>
      <c r="AG375" s="492">
        <v>2</v>
      </c>
      <c r="AH375" s="492" t="s">
        <v>34</v>
      </c>
      <c r="AI375" s="492" t="s">
        <v>34</v>
      </c>
      <c r="AJ375" s="492" t="s">
        <v>34</v>
      </c>
      <c r="AK375" s="492" t="s">
        <v>832</v>
      </c>
      <c r="AL375" s="492" t="s">
        <v>34</v>
      </c>
      <c r="AM375" s="61" t="s">
        <v>3444</v>
      </c>
      <c r="AN375" s="490">
        <v>0</v>
      </c>
      <c r="AO375" s="490">
        <v>0</v>
      </c>
      <c r="AP375" s="502"/>
      <c r="CG375"/>
    </row>
    <row r="376" spans="1:85" x14ac:dyDescent="0.2">
      <c r="A376" s="61">
        <v>375</v>
      </c>
      <c r="B376" s="491" t="s">
        <v>3799</v>
      </c>
      <c r="C376" s="492" t="s">
        <v>4071</v>
      </c>
      <c r="D376" s="492" t="s">
        <v>4072</v>
      </c>
      <c r="E376" s="492" t="s">
        <v>2205</v>
      </c>
      <c r="F376" s="492" t="s">
        <v>781</v>
      </c>
      <c r="G376" s="492" t="s">
        <v>34</v>
      </c>
      <c r="H376" s="492" t="s">
        <v>835</v>
      </c>
      <c r="I376" s="492" t="s">
        <v>4270</v>
      </c>
      <c r="J376" s="492" t="s">
        <v>823</v>
      </c>
      <c r="K376" s="492" t="s">
        <v>4071</v>
      </c>
      <c r="L376" s="492" t="s">
        <v>3782</v>
      </c>
      <c r="M376" s="493" t="s">
        <v>3783</v>
      </c>
      <c r="N376" s="492" t="s">
        <v>4071</v>
      </c>
      <c r="O376" s="492" t="s">
        <v>1106</v>
      </c>
      <c r="P376" s="492" t="s">
        <v>1152</v>
      </c>
      <c r="Q376" s="492" t="s">
        <v>908</v>
      </c>
      <c r="R376" s="492" t="s">
        <v>828</v>
      </c>
      <c r="S376" s="492" t="s">
        <v>3784</v>
      </c>
      <c r="T376" s="492">
        <v>5730.7</v>
      </c>
      <c r="U376" s="492" t="s">
        <v>857</v>
      </c>
      <c r="V376" s="492" t="s">
        <v>3785</v>
      </c>
      <c r="W376" s="492" t="s">
        <v>3786</v>
      </c>
      <c r="X376" s="492" t="s">
        <v>1445</v>
      </c>
      <c r="Y376" s="492" t="s">
        <v>3787</v>
      </c>
      <c r="Z376" s="492" t="s">
        <v>3788</v>
      </c>
      <c r="AA376" s="492" t="s">
        <v>829</v>
      </c>
      <c r="AB376" s="492" t="s">
        <v>1701</v>
      </c>
      <c r="AC376" s="492" t="s">
        <v>830</v>
      </c>
      <c r="AD376" s="492" t="s">
        <v>831</v>
      </c>
      <c r="AE376" s="492" t="s">
        <v>612</v>
      </c>
      <c r="AF376" s="492" t="s">
        <v>3789</v>
      </c>
      <c r="AG376" s="492" t="s">
        <v>34</v>
      </c>
      <c r="AH376" s="492" t="s">
        <v>34</v>
      </c>
      <c r="AI376" s="492" t="s">
        <v>34</v>
      </c>
      <c r="AJ376" s="492" t="s">
        <v>34</v>
      </c>
      <c r="AK376" s="492" t="s">
        <v>832</v>
      </c>
      <c r="AL376" s="492" t="s">
        <v>34</v>
      </c>
      <c r="AM376" s="61" t="s">
        <v>3441</v>
      </c>
      <c r="AN376" s="490">
        <v>0</v>
      </c>
      <c r="AO376" s="490">
        <v>0</v>
      </c>
      <c r="AP376" s="61"/>
    </row>
    <row r="377" spans="1:85" x14ac:dyDescent="0.2">
      <c r="A377" s="61">
        <v>376</v>
      </c>
      <c r="B377" s="491" t="s">
        <v>608</v>
      </c>
      <c r="C377" s="492" t="s">
        <v>640</v>
      </c>
      <c r="D377" s="492" t="s">
        <v>2852</v>
      </c>
      <c r="E377" s="492" t="s">
        <v>2205</v>
      </c>
      <c r="F377" s="492" t="s">
        <v>781</v>
      </c>
      <c r="G377" s="492" t="s">
        <v>34</v>
      </c>
      <c r="H377" s="492" t="s">
        <v>835</v>
      </c>
      <c r="I377" s="492" t="s">
        <v>4270</v>
      </c>
      <c r="J377" s="492" t="s">
        <v>613</v>
      </c>
      <c r="K377" s="492" t="s">
        <v>2028</v>
      </c>
      <c r="L377" s="492" t="s">
        <v>962</v>
      </c>
      <c r="M377" s="493" t="s">
        <v>640</v>
      </c>
      <c r="N377" s="492" t="s">
        <v>640</v>
      </c>
      <c r="O377" s="492" t="s">
        <v>1106</v>
      </c>
      <c r="P377" s="492" t="s">
        <v>2221</v>
      </c>
      <c r="Q377" s="492" t="s">
        <v>908</v>
      </c>
      <c r="R377" s="492" t="s">
        <v>892</v>
      </c>
      <c r="S377" s="492" t="s">
        <v>2222</v>
      </c>
      <c r="T377" s="492">
        <v>1220</v>
      </c>
      <c r="U377" s="492" t="s">
        <v>108</v>
      </c>
      <c r="V377" s="492" t="s">
        <v>2012</v>
      </c>
      <c r="W377" s="492" t="s">
        <v>2013</v>
      </c>
      <c r="X377" s="492" t="s">
        <v>829</v>
      </c>
      <c r="Y377" s="492" t="s">
        <v>2012</v>
      </c>
      <c r="Z377" s="492" t="s">
        <v>2013</v>
      </c>
      <c r="AA377" s="492" t="s">
        <v>829</v>
      </c>
      <c r="AB377" s="492" t="s">
        <v>34</v>
      </c>
      <c r="AC377" s="492" t="s">
        <v>830</v>
      </c>
      <c r="AD377" s="492" t="s">
        <v>831</v>
      </c>
      <c r="AE377" s="492" t="s">
        <v>612</v>
      </c>
      <c r="AF377" s="492" t="s">
        <v>34</v>
      </c>
      <c r="AG377" s="492" t="s">
        <v>34</v>
      </c>
      <c r="AH377" s="492" t="s">
        <v>34</v>
      </c>
      <c r="AI377" s="492" t="s">
        <v>34</v>
      </c>
      <c r="AJ377" s="492" t="s">
        <v>34</v>
      </c>
      <c r="AK377" s="492" t="s">
        <v>832</v>
      </c>
      <c r="AL377" s="492" t="s">
        <v>34</v>
      </c>
      <c r="AM377" s="61" t="s">
        <v>3441</v>
      </c>
      <c r="AN377" s="490">
        <v>0</v>
      </c>
      <c r="AO377" s="490">
        <v>0</v>
      </c>
      <c r="AP377" s="61"/>
    </row>
    <row r="378" spans="1:85" x14ac:dyDescent="0.2">
      <c r="A378" s="61">
        <v>377</v>
      </c>
      <c r="B378" s="491" t="s">
        <v>608</v>
      </c>
      <c r="C378" s="492" t="s">
        <v>635</v>
      </c>
      <c r="D378" s="492" t="s">
        <v>2853</v>
      </c>
      <c r="E378" s="492" t="s">
        <v>2205</v>
      </c>
      <c r="F378" s="492" t="s">
        <v>781</v>
      </c>
      <c r="G378" s="492" t="s">
        <v>34</v>
      </c>
      <c r="H378" s="492" t="s">
        <v>835</v>
      </c>
      <c r="I378" s="492" t="s">
        <v>4270</v>
      </c>
      <c r="J378" s="492" t="s">
        <v>613</v>
      </c>
      <c r="K378" s="492" t="s">
        <v>2014</v>
      </c>
      <c r="L378" s="492" t="s">
        <v>2015</v>
      </c>
      <c r="M378" s="493">
        <v>42118153</v>
      </c>
      <c r="N378" s="492" t="s">
        <v>635</v>
      </c>
      <c r="O378" s="492" t="s">
        <v>1106</v>
      </c>
      <c r="P378" s="492" t="s">
        <v>2208</v>
      </c>
      <c r="Q378" s="492" t="s">
        <v>2209</v>
      </c>
      <c r="R378" s="492" t="s">
        <v>828</v>
      </c>
      <c r="S378" s="492" t="s">
        <v>2210</v>
      </c>
      <c r="T378" s="492">
        <v>0.98</v>
      </c>
      <c r="U378" s="492" t="s">
        <v>857</v>
      </c>
      <c r="V378" s="492" t="s">
        <v>903</v>
      </c>
      <c r="W378" s="492" t="s">
        <v>635</v>
      </c>
      <c r="X378" s="492" t="s">
        <v>2016</v>
      </c>
      <c r="Y378" s="492" t="s">
        <v>108</v>
      </c>
      <c r="Z378" s="492" t="s">
        <v>108</v>
      </c>
      <c r="AA378" s="492" t="s">
        <v>108</v>
      </c>
      <c r="AB378" s="492" t="s">
        <v>2017</v>
      </c>
      <c r="AC378" s="492" t="s">
        <v>830</v>
      </c>
      <c r="AD378" s="492" t="s">
        <v>831</v>
      </c>
      <c r="AE378" s="492" t="s">
        <v>612</v>
      </c>
      <c r="AF378" s="492" t="s">
        <v>34</v>
      </c>
      <c r="AG378" s="492" t="s">
        <v>34</v>
      </c>
      <c r="AH378" s="492" t="s">
        <v>34</v>
      </c>
      <c r="AI378" s="492" t="s">
        <v>34</v>
      </c>
      <c r="AJ378" s="492" t="s">
        <v>34</v>
      </c>
      <c r="AK378" s="492" t="s">
        <v>832</v>
      </c>
      <c r="AL378" s="492" t="s">
        <v>34</v>
      </c>
      <c r="AM378" s="61" t="s">
        <v>3441</v>
      </c>
      <c r="AN378" s="490">
        <v>0</v>
      </c>
      <c r="AO378" s="490">
        <v>0</v>
      </c>
      <c r="AP378" s="61"/>
    </row>
    <row r="379" spans="1:85" x14ac:dyDescent="0.2">
      <c r="A379" s="61">
        <v>378</v>
      </c>
      <c r="B379" s="491" t="s">
        <v>608</v>
      </c>
      <c r="C379" s="492" t="s">
        <v>637</v>
      </c>
      <c r="D379" s="492" t="s">
        <v>2854</v>
      </c>
      <c r="E379" s="492" t="s">
        <v>2205</v>
      </c>
      <c r="F379" s="492" t="s">
        <v>781</v>
      </c>
      <c r="G379" s="492" t="s">
        <v>34</v>
      </c>
      <c r="H379" s="492" t="s">
        <v>835</v>
      </c>
      <c r="I379" s="492" t="s">
        <v>4270</v>
      </c>
      <c r="J379" s="492" t="s">
        <v>613</v>
      </c>
      <c r="K379" s="492" t="s">
        <v>2211</v>
      </c>
      <c r="L379" s="492" t="s">
        <v>2212</v>
      </c>
      <c r="M379" s="493" t="s">
        <v>2213</v>
      </c>
      <c r="N379" s="492" t="s">
        <v>637</v>
      </c>
      <c r="O379" s="492" t="s">
        <v>1106</v>
      </c>
      <c r="P379" s="492" t="s">
        <v>1152</v>
      </c>
      <c r="Q379" s="492" t="s">
        <v>827</v>
      </c>
      <c r="R379" s="492" t="s">
        <v>828</v>
      </c>
      <c r="S379" s="492" t="s">
        <v>2214</v>
      </c>
      <c r="T379" s="492">
        <v>1517</v>
      </c>
      <c r="U379" s="492" t="s">
        <v>857</v>
      </c>
      <c r="V379" s="492" t="s">
        <v>2215</v>
      </c>
      <c r="W379" s="492" t="s">
        <v>2216</v>
      </c>
      <c r="X379" s="492" t="s">
        <v>829</v>
      </c>
      <c r="Y379" s="492" t="s">
        <v>108</v>
      </c>
      <c r="Z379" s="492" t="s">
        <v>108</v>
      </c>
      <c r="AA379" s="492" t="s">
        <v>108</v>
      </c>
      <c r="AB379" s="492" t="s">
        <v>2217</v>
      </c>
      <c r="AC379" s="492" t="s">
        <v>830</v>
      </c>
      <c r="AD379" s="492" t="s">
        <v>831</v>
      </c>
      <c r="AE379" s="492" t="s">
        <v>612</v>
      </c>
      <c r="AF379" s="492" t="s">
        <v>34</v>
      </c>
      <c r="AG379" s="492" t="s">
        <v>34</v>
      </c>
      <c r="AH379" s="492" t="s">
        <v>34</v>
      </c>
      <c r="AI379" s="492" t="s">
        <v>34</v>
      </c>
      <c r="AJ379" s="492" t="s">
        <v>34</v>
      </c>
      <c r="AK379" s="492" t="s">
        <v>832</v>
      </c>
      <c r="AL379" s="492" t="s">
        <v>34</v>
      </c>
      <c r="AM379" s="61" t="s">
        <v>3444</v>
      </c>
      <c r="AN379" s="490">
        <v>0</v>
      </c>
      <c r="AO379" s="490">
        <v>0</v>
      </c>
      <c r="AP379" s="61"/>
    </row>
    <row r="380" spans="1:85" x14ac:dyDescent="0.2">
      <c r="A380" s="61">
        <v>379</v>
      </c>
      <c r="B380" s="491" t="s">
        <v>608</v>
      </c>
      <c r="C380" s="492" t="s">
        <v>636</v>
      </c>
      <c r="D380" s="492" t="s">
        <v>2855</v>
      </c>
      <c r="E380" s="492" t="s">
        <v>2205</v>
      </c>
      <c r="F380" s="492" t="s">
        <v>781</v>
      </c>
      <c r="G380" s="492" t="s">
        <v>34</v>
      </c>
      <c r="H380" s="492" t="s">
        <v>835</v>
      </c>
      <c r="I380" s="492" t="s">
        <v>4270</v>
      </c>
      <c r="J380" s="492" t="s">
        <v>613</v>
      </c>
      <c r="K380" s="492" t="s">
        <v>2007</v>
      </c>
      <c r="L380" s="492" t="s">
        <v>2008</v>
      </c>
      <c r="M380" s="493" t="s">
        <v>636</v>
      </c>
      <c r="N380" s="492" t="s">
        <v>636</v>
      </c>
      <c r="O380" s="492" t="s">
        <v>1106</v>
      </c>
      <c r="P380" s="492" t="s">
        <v>895</v>
      </c>
      <c r="Q380" s="492" t="s">
        <v>833</v>
      </c>
      <c r="R380" s="492" t="s">
        <v>892</v>
      </c>
      <c r="S380" s="492" t="s">
        <v>2206</v>
      </c>
      <c r="T380" s="492">
        <v>4719</v>
      </c>
      <c r="U380" s="492" t="s">
        <v>857</v>
      </c>
      <c r="V380" s="492" t="s">
        <v>3012</v>
      </c>
      <c r="W380" s="492" t="s">
        <v>2018</v>
      </c>
      <c r="X380" s="492" t="s">
        <v>829</v>
      </c>
      <c r="Y380" s="492" t="s">
        <v>3012</v>
      </c>
      <c r="Z380" s="492" t="s">
        <v>2018</v>
      </c>
      <c r="AA380" s="492" t="s">
        <v>829</v>
      </c>
      <c r="AB380" s="492" t="s">
        <v>2019</v>
      </c>
      <c r="AC380" s="492" t="s">
        <v>830</v>
      </c>
      <c r="AD380" s="492" t="s">
        <v>831</v>
      </c>
      <c r="AE380" s="492" t="s">
        <v>612</v>
      </c>
      <c r="AF380" s="492" t="s">
        <v>34</v>
      </c>
      <c r="AG380" s="492" t="s">
        <v>34</v>
      </c>
      <c r="AH380" s="492" t="s">
        <v>34</v>
      </c>
      <c r="AI380" s="492" t="s">
        <v>34</v>
      </c>
      <c r="AJ380" s="492" t="s">
        <v>34</v>
      </c>
      <c r="AK380" s="492" t="s">
        <v>832</v>
      </c>
      <c r="AL380" s="492" t="s">
        <v>34</v>
      </c>
      <c r="AM380" s="61" t="s">
        <v>3443</v>
      </c>
      <c r="AN380" s="490">
        <v>0</v>
      </c>
      <c r="AO380" s="490">
        <v>0</v>
      </c>
      <c r="AP380" s="61"/>
    </row>
    <row r="381" spans="1:85" x14ac:dyDescent="0.2">
      <c r="A381" s="61">
        <v>380</v>
      </c>
      <c r="B381" s="491" t="s">
        <v>608</v>
      </c>
      <c r="C381" s="492" t="s">
        <v>633</v>
      </c>
      <c r="D381" s="492" t="s">
        <v>2856</v>
      </c>
      <c r="E381" s="492" t="s">
        <v>2205</v>
      </c>
      <c r="F381" s="492" t="s">
        <v>781</v>
      </c>
      <c r="G381" s="492" t="s">
        <v>34</v>
      </c>
      <c r="H381" s="492" t="s">
        <v>835</v>
      </c>
      <c r="I381" s="492" t="s">
        <v>4270</v>
      </c>
      <c r="J381" s="492" t="s">
        <v>613</v>
      </c>
      <c r="K381" s="492" t="s">
        <v>2007</v>
      </c>
      <c r="L381" s="492" t="s">
        <v>2008</v>
      </c>
      <c r="M381" s="493" t="s">
        <v>633</v>
      </c>
      <c r="N381" s="492" t="s">
        <v>633</v>
      </c>
      <c r="O381" s="492" t="s">
        <v>1106</v>
      </c>
      <c r="P381" s="492" t="s">
        <v>895</v>
      </c>
      <c r="Q381" s="492" t="s">
        <v>833</v>
      </c>
      <c r="R381" s="492" t="s">
        <v>892</v>
      </c>
      <c r="S381" s="492" t="s">
        <v>2206</v>
      </c>
      <c r="T381" s="492">
        <v>4719</v>
      </c>
      <c r="U381" s="492" t="s">
        <v>857</v>
      </c>
      <c r="V381" s="492" t="s">
        <v>3012</v>
      </c>
      <c r="W381" s="492" t="s">
        <v>2009</v>
      </c>
      <c r="X381" s="492" t="s">
        <v>829</v>
      </c>
      <c r="Y381" s="492" t="s">
        <v>3012</v>
      </c>
      <c r="Z381" s="492" t="s">
        <v>2009</v>
      </c>
      <c r="AA381" s="492" t="s">
        <v>829</v>
      </c>
      <c r="AB381" s="492" t="s">
        <v>2010</v>
      </c>
      <c r="AC381" s="492" t="s">
        <v>830</v>
      </c>
      <c r="AD381" s="492" t="s">
        <v>831</v>
      </c>
      <c r="AE381" s="492" t="s">
        <v>612</v>
      </c>
      <c r="AF381" s="492" t="s">
        <v>34</v>
      </c>
      <c r="AG381" s="492" t="s">
        <v>34</v>
      </c>
      <c r="AH381" s="492" t="s">
        <v>34</v>
      </c>
      <c r="AI381" s="492" t="s">
        <v>34</v>
      </c>
      <c r="AJ381" s="492" t="s">
        <v>34</v>
      </c>
      <c r="AK381" s="492" t="s">
        <v>832</v>
      </c>
      <c r="AL381" s="492" t="s">
        <v>34</v>
      </c>
      <c r="AM381" s="61" t="s">
        <v>3443</v>
      </c>
      <c r="AN381" s="490">
        <v>0</v>
      </c>
      <c r="AO381" s="490">
        <v>0</v>
      </c>
      <c r="AP381" s="61"/>
    </row>
    <row r="382" spans="1:85" ht="15" customHeight="1" x14ac:dyDescent="0.2">
      <c r="A382" s="61">
        <v>381</v>
      </c>
      <c r="B382" s="491" t="s">
        <v>608</v>
      </c>
      <c r="C382" s="492" t="s">
        <v>639</v>
      </c>
      <c r="D382" s="492" t="s">
        <v>2857</v>
      </c>
      <c r="E382" s="492" t="s">
        <v>2205</v>
      </c>
      <c r="F382" s="492" t="s">
        <v>781</v>
      </c>
      <c r="G382" s="492" t="s">
        <v>34</v>
      </c>
      <c r="H382" s="492" t="s">
        <v>835</v>
      </c>
      <c r="I382" s="492" t="s">
        <v>4270</v>
      </c>
      <c r="J382" s="492" t="s">
        <v>613</v>
      </c>
      <c r="K382" s="492" t="s">
        <v>2007</v>
      </c>
      <c r="L382" s="492" t="s">
        <v>2008</v>
      </c>
      <c r="M382" s="493" t="s">
        <v>639</v>
      </c>
      <c r="N382" s="492" t="s">
        <v>639</v>
      </c>
      <c r="O382" s="492" t="s">
        <v>1106</v>
      </c>
      <c r="P382" s="492" t="s">
        <v>895</v>
      </c>
      <c r="Q382" s="492" t="s">
        <v>833</v>
      </c>
      <c r="R382" s="492" t="s">
        <v>892</v>
      </c>
      <c r="S382" s="492" t="s">
        <v>2218</v>
      </c>
      <c r="T382" s="492">
        <v>1917</v>
      </c>
      <c r="U382" s="492" t="s">
        <v>857</v>
      </c>
      <c r="V382" s="492" t="s">
        <v>3012</v>
      </c>
      <c r="W382" s="492" t="s">
        <v>2020</v>
      </c>
      <c r="X382" s="492" t="s">
        <v>829</v>
      </c>
      <c r="Y382" s="492" t="s">
        <v>3012</v>
      </c>
      <c r="Z382" s="492" t="s">
        <v>2020</v>
      </c>
      <c r="AA382" s="492" t="s">
        <v>829</v>
      </c>
      <c r="AB382" s="492" t="s">
        <v>34</v>
      </c>
      <c r="AC382" s="492" t="s">
        <v>830</v>
      </c>
      <c r="AD382" s="492" t="s">
        <v>831</v>
      </c>
      <c r="AE382" s="492" t="s">
        <v>612</v>
      </c>
      <c r="AF382" s="492" t="s">
        <v>34</v>
      </c>
      <c r="AG382" s="492" t="s">
        <v>34</v>
      </c>
      <c r="AH382" s="492" t="s">
        <v>34</v>
      </c>
      <c r="AI382" s="492" t="s">
        <v>34</v>
      </c>
      <c r="AJ382" s="492" t="s">
        <v>34</v>
      </c>
      <c r="AK382" s="492" t="s">
        <v>832</v>
      </c>
      <c r="AL382" s="492" t="s">
        <v>34</v>
      </c>
      <c r="AM382" s="61" t="s">
        <v>3443</v>
      </c>
      <c r="AN382" s="490">
        <v>0</v>
      </c>
      <c r="AO382" s="490">
        <v>0</v>
      </c>
      <c r="AP382" s="61"/>
    </row>
    <row r="383" spans="1:85" ht="15" customHeight="1" x14ac:dyDescent="0.2">
      <c r="A383" s="61">
        <v>382</v>
      </c>
      <c r="B383" s="491" t="s">
        <v>608</v>
      </c>
      <c r="C383" s="492" t="s">
        <v>638</v>
      </c>
      <c r="D383" s="492" t="s">
        <v>2858</v>
      </c>
      <c r="E383" s="492" t="s">
        <v>2205</v>
      </c>
      <c r="F383" s="492" t="s">
        <v>781</v>
      </c>
      <c r="G383" s="492" t="s">
        <v>34</v>
      </c>
      <c r="H383" s="492" t="s">
        <v>835</v>
      </c>
      <c r="I383" s="492" t="s">
        <v>4270</v>
      </c>
      <c r="J383" s="492" t="s">
        <v>823</v>
      </c>
      <c r="K383" s="492" t="s">
        <v>2021</v>
      </c>
      <c r="L383" s="492" t="s">
        <v>2022</v>
      </c>
      <c r="M383" s="493" t="s">
        <v>2023</v>
      </c>
      <c r="N383" s="492" t="s">
        <v>3051</v>
      </c>
      <c r="O383" s="492" t="s">
        <v>2024</v>
      </c>
      <c r="P383" s="492" t="s">
        <v>1152</v>
      </c>
      <c r="Q383" s="492" t="s">
        <v>827</v>
      </c>
      <c r="R383" s="492" t="s">
        <v>828</v>
      </c>
      <c r="S383" s="492" t="s">
        <v>2219</v>
      </c>
      <c r="T383" s="492">
        <v>61.6</v>
      </c>
      <c r="U383" s="492" t="s">
        <v>857</v>
      </c>
      <c r="V383" s="492" t="s">
        <v>2025</v>
      </c>
      <c r="W383" s="492" t="s">
        <v>2026</v>
      </c>
      <c r="X383" s="492" t="s">
        <v>829</v>
      </c>
      <c r="Y383" s="492" t="s">
        <v>108</v>
      </c>
      <c r="Z383" s="492" t="s">
        <v>108</v>
      </c>
      <c r="AA383" s="492" t="s">
        <v>108</v>
      </c>
      <c r="AB383" s="492" t="s">
        <v>34</v>
      </c>
      <c r="AC383" s="492" t="s">
        <v>830</v>
      </c>
      <c r="AD383" s="492" t="s">
        <v>831</v>
      </c>
      <c r="AE383" s="492" t="s">
        <v>612</v>
      </c>
      <c r="AF383" s="492" t="s">
        <v>34</v>
      </c>
      <c r="AG383" s="492" t="s">
        <v>34</v>
      </c>
      <c r="AH383" s="492" t="s">
        <v>34</v>
      </c>
      <c r="AI383" s="492" t="s">
        <v>34</v>
      </c>
      <c r="AJ383" s="492" t="s">
        <v>34</v>
      </c>
      <c r="AK383" s="492" t="s">
        <v>832</v>
      </c>
      <c r="AL383" s="492" t="s">
        <v>34</v>
      </c>
      <c r="AM383" s="61" t="s">
        <v>3441</v>
      </c>
      <c r="AN383" s="490">
        <v>0</v>
      </c>
      <c r="AO383" s="490">
        <v>0</v>
      </c>
      <c r="AP383" s="61"/>
    </row>
    <row r="384" spans="1:85" ht="15" customHeight="1" x14ac:dyDescent="0.2">
      <c r="A384" s="61">
        <v>383</v>
      </c>
      <c r="B384" s="491" t="s">
        <v>608</v>
      </c>
      <c r="C384" s="492" t="s">
        <v>2475</v>
      </c>
      <c r="D384" s="492" t="s">
        <v>3004</v>
      </c>
      <c r="E384" s="492" t="s">
        <v>3005</v>
      </c>
      <c r="F384" s="492" t="s">
        <v>781</v>
      </c>
      <c r="G384" s="492" t="s">
        <v>34</v>
      </c>
      <c r="H384" s="492" t="s">
        <v>835</v>
      </c>
      <c r="I384" s="492" t="s">
        <v>4270</v>
      </c>
      <c r="J384" s="492" t="s">
        <v>613</v>
      </c>
      <c r="K384" s="492" t="s">
        <v>2007</v>
      </c>
      <c r="L384" s="492" t="s">
        <v>2008</v>
      </c>
      <c r="M384" s="493" t="s">
        <v>2475</v>
      </c>
      <c r="N384" s="492" t="s">
        <v>2475</v>
      </c>
      <c r="O384" s="492" t="s">
        <v>1106</v>
      </c>
      <c r="P384" s="492" t="s">
        <v>895</v>
      </c>
      <c r="Q384" s="492" t="s">
        <v>3006</v>
      </c>
      <c r="R384" s="492" t="s">
        <v>892</v>
      </c>
      <c r="S384" s="492" t="s">
        <v>1245</v>
      </c>
      <c r="T384" s="492">
        <v>4900</v>
      </c>
      <c r="U384" s="492" t="s">
        <v>857</v>
      </c>
      <c r="V384" s="492" t="s">
        <v>3012</v>
      </c>
      <c r="W384" s="492" t="s">
        <v>3007</v>
      </c>
      <c r="X384" s="492" t="s">
        <v>829</v>
      </c>
      <c r="Y384" s="492" t="s">
        <v>3012</v>
      </c>
      <c r="Z384" s="492" t="s">
        <v>3007</v>
      </c>
      <c r="AA384" s="492" t="s">
        <v>829</v>
      </c>
      <c r="AB384" s="492" t="s">
        <v>34</v>
      </c>
      <c r="AC384" s="492" t="s">
        <v>830</v>
      </c>
      <c r="AD384" s="492" t="s">
        <v>3008</v>
      </c>
      <c r="AE384" s="492" t="s">
        <v>612</v>
      </c>
      <c r="AF384" s="492" t="s">
        <v>34</v>
      </c>
      <c r="AG384" s="492" t="s">
        <v>34</v>
      </c>
      <c r="AH384" s="492" t="s">
        <v>34</v>
      </c>
      <c r="AI384" s="492" t="s">
        <v>34</v>
      </c>
      <c r="AJ384" s="492" t="s">
        <v>34</v>
      </c>
      <c r="AK384" s="492">
        <v>0</v>
      </c>
      <c r="AL384" s="492" t="s">
        <v>34</v>
      </c>
      <c r="AM384" s="61" t="s">
        <v>3443</v>
      </c>
      <c r="AN384" s="490">
        <v>0</v>
      </c>
      <c r="AO384" s="490">
        <v>0</v>
      </c>
      <c r="AP384" s="61"/>
    </row>
    <row r="385" spans="1:42" ht="15" customHeight="1" x14ac:dyDescent="0.2">
      <c r="A385" s="61">
        <v>384</v>
      </c>
      <c r="B385" s="61" t="s">
        <v>608</v>
      </c>
      <c r="C385" s="61" t="s">
        <v>674</v>
      </c>
      <c r="D385" s="61" t="s">
        <v>2859</v>
      </c>
      <c r="E385" s="61" t="s">
        <v>2205</v>
      </c>
      <c r="F385" s="61" t="s">
        <v>781</v>
      </c>
      <c r="G385" s="61" t="s">
        <v>34</v>
      </c>
      <c r="H385" s="61" t="s">
        <v>835</v>
      </c>
      <c r="I385" s="61" t="s">
        <v>4270</v>
      </c>
      <c r="J385" s="61" t="s">
        <v>613</v>
      </c>
      <c r="K385" s="61" t="s">
        <v>2027</v>
      </c>
      <c r="L385" s="61" t="s">
        <v>962</v>
      </c>
      <c r="M385" s="61" t="s">
        <v>2027</v>
      </c>
      <c r="N385" s="61" t="s">
        <v>674</v>
      </c>
      <c r="O385" s="61" t="s">
        <v>1106</v>
      </c>
      <c r="P385" s="61" t="s">
        <v>1478</v>
      </c>
      <c r="Q385" s="61" t="s">
        <v>908</v>
      </c>
      <c r="R385" s="61" t="s">
        <v>834</v>
      </c>
      <c r="S385" s="61" t="s">
        <v>2220</v>
      </c>
      <c r="T385" s="61">
        <v>1200</v>
      </c>
      <c r="U385" s="61" t="s">
        <v>687</v>
      </c>
      <c r="V385" s="61" t="s">
        <v>2012</v>
      </c>
      <c r="W385" s="61" t="s">
        <v>108</v>
      </c>
      <c r="X385" s="61" t="s">
        <v>968</v>
      </c>
      <c r="Y385" s="61" t="s">
        <v>2012</v>
      </c>
      <c r="Z385" s="61" t="s">
        <v>108</v>
      </c>
      <c r="AA385" s="61" t="s">
        <v>968</v>
      </c>
      <c r="AB385" s="61" t="s">
        <v>1790</v>
      </c>
      <c r="AC385" s="61" t="s">
        <v>830</v>
      </c>
      <c r="AD385" s="61" t="s">
        <v>831</v>
      </c>
      <c r="AE385" s="61" t="s">
        <v>612</v>
      </c>
      <c r="AF385" s="61" t="s">
        <v>34</v>
      </c>
      <c r="AG385" s="61" t="s">
        <v>34</v>
      </c>
      <c r="AH385" s="61" t="s">
        <v>34</v>
      </c>
      <c r="AI385" s="61" t="s">
        <v>34</v>
      </c>
      <c r="AJ385" s="61" t="s">
        <v>34</v>
      </c>
      <c r="AK385" s="61" t="s">
        <v>832</v>
      </c>
      <c r="AL385" s="61" t="s">
        <v>34</v>
      </c>
      <c r="AM385" s="61" t="s">
        <v>3441</v>
      </c>
      <c r="AN385" s="490">
        <v>0</v>
      </c>
      <c r="AO385" s="490">
        <v>0</v>
      </c>
      <c r="AP385" s="61"/>
    </row>
    <row r="386" spans="1:42" ht="15" customHeight="1" x14ac:dyDescent="0.2">
      <c r="A386" s="61">
        <v>385</v>
      </c>
      <c r="B386" s="61" t="s">
        <v>608</v>
      </c>
      <c r="C386" s="61" t="s">
        <v>634</v>
      </c>
      <c r="D386" s="61" t="s">
        <v>2860</v>
      </c>
      <c r="E386" s="61" t="s">
        <v>2205</v>
      </c>
      <c r="F386" s="61" t="s">
        <v>781</v>
      </c>
      <c r="G386" s="61" t="s">
        <v>34</v>
      </c>
      <c r="H386" s="61" t="s">
        <v>835</v>
      </c>
      <c r="I386" s="61" t="s">
        <v>4270</v>
      </c>
      <c r="J386" s="61" t="s">
        <v>613</v>
      </c>
      <c r="K386" s="61" t="s">
        <v>2011</v>
      </c>
      <c r="L386" s="61" t="s">
        <v>962</v>
      </c>
      <c r="M386" s="61" t="s">
        <v>634</v>
      </c>
      <c r="N386" s="61" t="s">
        <v>634</v>
      </c>
      <c r="O386" s="61" t="s">
        <v>1106</v>
      </c>
      <c r="P386" s="61" t="s">
        <v>1465</v>
      </c>
      <c r="Q386" s="61" t="s">
        <v>833</v>
      </c>
      <c r="R386" s="61" t="s">
        <v>828</v>
      </c>
      <c r="S386" s="61" t="s">
        <v>2207</v>
      </c>
      <c r="T386" s="61">
        <v>262.5</v>
      </c>
      <c r="U386" s="61" t="s">
        <v>108</v>
      </c>
      <c r="V386" s="61" t="s">
        <v>2012</v>
      </c>
      <c r="W386" s="61" t="s">
        <v>2013</v>
      </c>
      <c r="X386" s="61" t="s">
        <v>108</v>
      </c>
      <c r="Y386" s="61" t="s">
        <v>2012</v>
      </c>
      <c r="Z386" s="61" t="s">
        <v>2013</v>
      </c>
      <c r="AA386" s="61" t="s">
        <v>108</v>
      </c>
      <c r="AB386" s="61" t="s">
        <v>34</v>
      </c>
      <c r="AC386" s="61" t="s">
        <v>830</v>
      </c>
      <c r="AD386" s="61" t="s">
        <v>831</v>
      </c>
      <c r="AE386" s="61" t="s">
        <v>612</v>
      </c>
      <c r="AF386" s="61" t="s">
        <v>34</v>
      </c>
      <c r="AG386" s="61" t="s">
        <v>34</v>
      </c>
      <c r="AH386" s="61" t="s">
        <v>34</v>
      </c>
      <c r="AI386" s="61" t="s">
        <v>34</v>
      </c>
      <c r="AJ386" s="61" t="s">
        <v>34</v>
      </c>
      <c r="AK386" s="61" t="s">
        <v>832</v>
      </c>
      <c r="AL386" s="61" t="s">
        <v>34</v>
      </c>
      <c r="AM386" s="61" t="s">
        <v>3441</v>
      </c>
      <c r="AN386" s="490">
        <v>0</v>
      </c>
      <c r="AO386" s="490">
        <v>0</v>
      </c>
      <c r="AP386" s="61"/>
    </row>
    <row r="387" spans="1:42" ht="15" customHeight="1" x14ac:dyDescent="0.2">
      <c r="A387" s="61">
        <v>386</v>
      </c>
      <c r="B387" s="61" t="s">
        <v>465</v>
      </c>
      <c r="C387" s="61" t="s">
        <v>467</v>
      </c>
      <c r="D387" s="61" t="s">
        <v>2861</v>
      </c>
      <c r="E387" s="61" t="s">
        <v>782</v>
      </c>
      <c r="F387" s="61" t="s">
        <v>745</v>
      </c>
      <c r="G387" s="61" t="s">
        <v>34</v>
      </c>
      <c r="H387" s="61" t="s">
        <v>835</v>
      </c>
      <c r="I387" s="61" t="s">
        <v>4270</v>
      </c>
      <c r="J387" s="61" t="s">
        <v>823</v>
      </c>
      <c r="K387" s="61" t="s">
        <v>1327</v>
      </c>
      <c r="L387" s="61" t="s">
        <v>1251</v>
      </c>
      <c r="M387" s="61">
        <v>41745</v>
      </c>
      <c r="N387" s="61" t="s">
        <v>467</v>
      </c>
      <c r="O387" s="61" t="s">
        <v>4271</v>
      </c>
      <c r="P387" s="61" t="s">
        <v>2224</v>
      </c>
      <c r="Q387" s="61" t="s">
        <v>3501</v>
      </c>
      <c r="R387" s="61" t="s">
        <v>1002</v>
      </c>
      <c r="S387" s="61" t="s">
        <v>2225</v>
      </c>
      <c r="T387" s="61">
        <v>147</v>
      </c>
      <c r="U387" s="61" t="s">
        <v>855</v>
      </c>
      <c r="V387" s="61" t="s">
        <v>1174</v>
      </c>
      <c r="W387" s="61" t="s">
        <v>2031</v>
      </c>
      <c r="X387" s="61" t="s">
        <v>3502</v>
      </c>
      <c r="Y387" s="61" t="s">
        <v>1174</v>
      </c>
      <c r="Z387" s="61" t="s">
        <v>2031</v>
      </c>
      <c r="AA387" s="61" t="s">
        <v>3502</v>
      </c>
      <c r="AB387" s="61" t="s">
        <v>34</v>
      </c>
      <c r="AC387" s="61" t="s">
        <v>830</v>
      </c>
      <c r="AD387" s="61" t="s">
        <v>831</v>
      </c>
      <c r="AE387" s="61" t="s">
        <v>612</v>
      </c>
      <c r="AF387" s="61" t="s">
        <v>2529</v>
      </c>
      <c r="AG387" s="61">
        <v>10</v>
      </c>
      <c r="AH387" s="61">
        <v>0.8</v>
      </c>
      <c r="AI387" s="61" t="s">
        <v>34</v>
      </c>
      <c r="AJ387" s="61" t="s">
        <v>34</v>
      </c>
      <c r="AK387" s="61" t="s">
        <v>832</v>
      </c>
      <c r="AL387" s="61" t="s">
        <v>34</v>
      </c>
      <c r="AM387" s="61" t="s">
        <v>3444</v>
      </c>
      <c r="AN387" s="490">
        <v>0.21</v>
      </c>
      <c r="AO387" s="490">
        <v>0</v>
      </c>
      <c r="AP387" s="61"/>
    </row>
    <row r="388" spans="1:42" ht="15" customHeight="1" x14ac:dyDescent="0.2">
      <c r="A388" s="61">
        <v>387</v>
      </c>
      <c r="B388" s="61" t="s">
        <v>465</v>
      </c>
      <c r="C388" s="61" t="s">
        <v>466</v>
      </c>
      <c r="D388" s="61" t="s">
        <v>2862</v>
      </c>
      <c r="E388" s="61" t="s">
        <v>782</v>
      </c>
      <c r="F388" s="61" t="s">
        <v>745</v>
      </c>
      <c r="G388" s="61" t="s">
        <v>34</v>
      </c>
      <c r="H388" s="61" t="s">
        <v>835</v>
      </c>
      <c r="I388" s="61" t="s">
        <v>4270</v>
      </c>
      <c r="J388" s="61" t="s">
        <v>823</v>
      </c>
      <c r="K388" s="61" t="s">
        <v>1033</v>
      </c>
      <c r="L388" s="61" t="s">
        <v>826</v>
      </c>
      <c r="M388" s="61" t="s">
        <v>466</v>
      </c>
      <c r="N388" s="61" t="s">
        <v>466</v>
      </c>
      <c r="O388" s="61" t="s">
        <v>4271</v>
      </c>
      <c r="P388" s="61" t="s">
        <v>1034</v>
      </c>
      <c r="Q388" s="61" t="s">
        <v>3501</v>
      </c>
      <c r="R388" s="61" t="s">
        <v>993</v>
      </c>
      <c r="S388" s="61" t="s">
        <v>2223</v>
      </c>
      <c r="T388" s="61">
        <v>112</v>
      </c>
      <c r="U388" s="61" t="s">
        <v>855</v>
      </c>
      <c r="V388" s="61" t="s">
        <v>2029</v>
      </c>
      <c r="W388" s="61" t="s">
        <v>2030</v>
      </c>
      <c r="X388" s="61" t="s">
        <v>3502</v>
      </c>
      <c r="Y388" s="61" t="s">
        <v>2029</v>
      </c>
      <c r="Z388" s="61" t="s">
        <v>2030</v>
      </c>
      <c r="AA388" s="61" t="s">
        <v>3502</v>
      </c>
      <c r="AB388" s="61" t="s">
        <v>34</v>
      </c>
      <c r="AC388" s="61" t="s">
        <v>830</v>
      </c>
      <c r="AD388" s="61" t="s">
        <v>831</v>
      </c>
      <c r="AE388" s="61" t="s">
        <v>612</v>
      </c>
      <c r="AF388" s="61">
        <v>1</v>
      </c>
      <c r="AG388" s="61">
        <v>6</v>
      </c>
      <c r="AH388" s="61">
        <v>1</v>
      </c>
      <c r="AI388" s="61" t="s">
        <v>34</v>
      </c>
      <c r="AJ388" s="61" t="s">
        <v>34</v>
      </c>
      <c r="AK388" s="61" t="s">
        <v>832</v>
      </c>
      <c r="AL388" s="61" t="s">
        <v>34</v>
      </c>
      <c r="AM388" s="61" t="s">
        <v>3441</v>
      </c>
      <c r="AN388" s="490">
        <v>1.4583333333333332E-2</v>
      </c>
      <c r="AO388" s="490">
        <v>0</v>
      </c>
      <c r="AP388" s="61"/>
    </row>
    <row r="389" spans="1:42" ht="15" customHeight="1" x14ac:dyDescent="0.2">
      <c r="A389" s="61">
        <v>388</v>
      </c>
      <c r="B389" s="61" t="s">
        <v>623</v>
      </c>
      <c r="C389" s="61" t="s">
        <v>3955</v>
      </c>
      <c r="D389" s="61" t="s">
        <v>3956</v>
      </c>
      <c r="E389" s="61" t="s">
        <v>783</v>
      </c>
      <c r="F389" s="61" t="s">
        <v>711</v>
      </c>
      <c r="G389" s="61" t="s">
        <v>34</v>
      </c>
      <c r="H389" s="61" t="s">
        <v>835</v>
      </c>
      <c r="I389" s="61" t="s">
        <v>4270</v>
      </c>
      <c r="J389" s="61" t="s">
        <v>613</v>
      </c>
      <c r="K389" s="61" t="s">
        <v>2032</v>
      </c>
      <c r="L389" s="61" t="s">
        <v>962</v>
      </c>
      <c r="M389" s="61" t="s">
        <v>3955</v>
      </c>
      <c r="N389" s="61" t="s">
        <v>3955</v>
      </c>
      <c r="O389" s="61" t="s">
        <v>1106</v>
      </c>
      <c r="P389" s="61" t="s">
        <v>893</v>
      </c>
      <c r="Q389" s="61" t="s">
        <v>827</v>
      </c>
      <c r="R389" s="61" t="s">
        <v>892</v>
      </c>
      <c r="S389" s="61" t="s">
        <v>3957</v>
      </c>
      <c r="T389" s="61">
        <v>382.4</v>
      </c>
      <c r="U389" s="61" t="s">
        <v>857</v>
      </c>
      <c r="V389" s="61" t="s">
        <v>3958</v>
      </c>
      <c r="W389" s="61" t="s">
        <v>3541</v>
      </c>
      <c r="X389" s="61" t="s">
        <v>965</v>
      </c>
      <c r="Y389" s="61" t="s">
        <v>2035</v>
      </c>
      <c r="Z389" s="61" t="s">
        <v>2036</v>
      </c>
      <c r="AA389" s="61" t="s">
        <v>965</v>
      </c>
      <c r="AB389" s="61" t="s">
        <v>3040</v>
      </c>
      <c r="AC389" s="61" t="s">
        <v>830</v>
      </c>
      <c r="AD389" s="61" t="s">
        <v>831</v>
      </c>
      <c r="AE389" s="61" t="s">
        <v>612</v>
      </c>
      <c r="AF389" s="61" t="s">
        <v>2054</v>
      </c>
      <c r="AG389" s="61" t="s">
        <v>34</v>
      </c>
      <c r="AH389" s="61" t="s">
        <v>34</v>
      </c>
      <c r="AI389" s="61" t="s">
        <v>34</v>
      </c>
      <c r="AJ389" s="61" t="s">
        <v>34</v>
      </c>
      <c r="AK389" s="61" t="s">
        <v>832</v>
      </c>
      <c r="AL389" s="61" t="s">
        <v>34</v>
      </c>
      <c r="AM389" s="61" t="s">
        <v>3444</v>
      </c>
      <c r="AN389" s="490"/>
      <c r="AO389" s="490"/>
      <c r="AP389" s="61"/>
    </row>
    <row r="390" spans="1:42" ht="15" customHeight="1" x14ac:dyDescent="0.2">
      <c r="A390" s="61">
        <v>389</v>
      </c>
      <c r="B390" s="61" t="s">
        <v>623</v>
      </c>
      <c r="C390" s="61" t="s">
        <v>624</v>
      </c>
      <c r="D390" s="61" t="s">
        <v>2863</v>
      </c>
      <c r="E390" s="61" t="s">
        <v>783</v>
      </c>
      <c r="F390" s="61" t="s">
        <v>711</v>
      </c>
      <c r="G390" s="61" t="s">
        <v>34</v>
      </c>
      <c r="H390" s="61" t="s">
        <v>835</v>
      </c>
      <c r="I390" s="61" t="s">
        <v>4270</v>
      </c>
      <c r="J390" s="61" t="s">
        <v>613</v>
      </c>
      <c r="K390" s="61" t="s">
        <v>2032</v>
      </c>
      <c r="L390" s="61" t="s">
        <v>2033</v>
      </c>
      <c r="M390" s="61" t="s">
        <v>624</v>
      </c>
      <c r="N390" s="61" t="s">
        <v>624</v>
      </c>
      <c r="O390" s="61" t="s">
        <v>1106</v>
      </c>
      <c r="P390" s="61" t="s">
        <v>893</v>
      </c>
      <c r="Q390" s="61" t="s">
        <v>827</v>
      </c>
      <c r="R390" s="61" t="s">
        <v>892</v>
      </c>
      <c r="S390" s="61" t="s">
        <v>2226</v>
      </c>
      <c r="T390" s="61">
        <v>78</v>
      </c>
      <c r="U390" s="61" t="s">
        <v>857</v>
      </c>
      <c r="V390" s="61" t="s">
        <v>2033</v>
      </c>
      <c r="W390" s="61" t="s">
        <v>2034</v>
      </c>
      <c r="X390" s="61" t="s">
        <v>965</v>
      </c>
      <c r="Y390" s="61" t="s">
        <v>2035</v>
      </c>
      <c r="Z390" s="61" t="s">
        <v>2036</v>
      </c>
      <c r="AA390" s="61" t="s">
        <v>965</v>
      </c>
      <c r="AB390" s="61" t="s">
        <v>3040</v>
      </c>
      <c r="AC390" s="61" t="s">
        <v>830</v>
      </c>
      <c r="AD390" s="61" t="s">
        <v>831</v>
      </c>
      <c r="AE390" s="61" t="s">
        <v>612</v>
      </c>
      <c r="AF390" s="61">
        <v>0.15</v>
      </c>
      <c r="AG390" s="61" t="s">
        <v>2530</v>
      </c>
      <c r="AH390" s="61">
        <v>1.5</v>
      </c>
      <c r="AI390" s="61" t="s">
        <v>2597</v>
      </c>
      <c r="AJ390" s="61" t="s">
        <v>34</v>
      </c>
      <c r="AK390" s="61" t="s">
        <v>832</v>
      </c>
      <c r="AL390" s="61" t="s">
        <v>34</v>
      </c>
      <c r="AM390" s="61" t="s">
        <v>3444</v>
      </c>
      <c r="AN390" s="490">
        <v>0</v>
      </c>
      <c r="AO390" s="490">
        <v>2.1527777777777781E-2</v>
      </c>
      <c r="AP390" s="61"/>
    </row>
    <row r="391" spans="1:42" ht="15" customHeight="1" x14ac:dyDescent="0.2">
      <c r="A391" s="61">
        <v>390</v>
      </c>
      <c r="B391" s="61" t="s">
        <v>468</v>
      </c>
      <c r="C391" s="61" t="s">
        <v>471</v>
      </c>
      <c r="D391" s="61" t="s">
        <v>2864</v>
      </c>
      <c r="E391" s="61" t="s">
        <v>2227</v>
      </c>
      <c r="F391" s="61" t="s">
        <v>711</v>
      </c>
      <c r="G391" s="61" t="s">
        <v>34</v>
      </c>
      <c r="H391" s="61" t="s">
        <v>835</v>
      </c>
      <c r="I391" s="61" t="s">
        <v>1429</v>
      </c>
      <c r="J391" s="61" t="s">
        <v>613</v>
      </c>
      <c r="K391" s="61" t="s">
        <v>999</v>
      </c>
      <c r="L391" s="61" t="s">
        <v>962</v>
      </c>
      <c r="M391" s="61">
        <v>1</v>
      </c>
      <c r="N391" s="61" t="s">
        <v>4196</v>
      </c>
      <c r="O391" s="61" t="s">
        <v>1106</v>
      </c>
      <c r="P391" s="61" t="s">
        <v>1152</v>
      </c>
      <c r="Q391" s="61" t="s">
        <v>911</v>
      </c>
      <c r="R391" s="61" t="s">
        <v>3416</v>
      </c>
      <c r="S391" s="61" t="s">
        <v>2229</v>
      </c>
      <c r="T391" s="61">
        <v>2730</v>
      </c>
      <c r="U391" s="61" t="s">
        <v>858</v>
      </c>
      <c r="V391" s="61" t="s">
        <v>3365</v>
      </c>
      <c r="W391" s="61" t="s">
        <v>4197</v>
      </c>
      <c r="X391" s="61" t="s">
        <v>968</v>
      </c>
      <c r="Y391" s="61" t="s">
        <v>4198</v>
      </c>
      <c r="Z391" s="61" t="s">
        <v>4199</v>
      </c>
      <c r="AA391" s="61" t="s">
        <v>968</v>
      </c>
      <c r="AB391" s="61" t="s">
        <v>4200</v>
      </c>
      <c r="AC391" s="61" t="s">
        <v>830</v>
      </c>
      <c r="AD391" s="61" t="s">
        <v>3008</v>
      </c>
      <c r="AE391" s="61" t="s">
        <v>612</v>
      </c>
      <c r="AF391" s="61" t="s">
        <v>2054</v>
      </c>
      <c r="AG391" s="61" t="s">
        <v>34</v>
      </c>
      <c r="AH391" s="61" t="s">
        <v>34</v>
      </c>
      <c r="AI391" s="61" t="s">
        <v>34</v>
      </c>
      <c r="AJ391" s="61" t="s">
        <v>34</v>
      </c>
      <c r="AK391" s="61" t="s">
        <v>832</v>
      </c>
      <c r="AL391" s="61" t="s">
        <v>34</v>
      </c>
      <c r="AM391" s="61" t="s">
        <v>3441</v>
      </c>
      <c r="AN391" s="490">
        <v>0</v>
      </c>
      <c r="AO391" s="490">
        <v>0</v>
      </c>
      <c r="AP391" s="61"/>
    </row>
    <row r="392" spans="1:42" ht="15" customHeight="1" x14ac:dyDescent="0.2">
      <c r="A392" s="61">
        <v>391</v>
      </c>
      <c r="B392" s="61" t="s">
        <v>468</v>
      </c>
      <c r="C392" s="61" t="s">
        <v>323</v>
      </c>
      <c r="D392" s="61" t="s">
        <v>2865</v>
      </c>
      <c r="E392" s="61" t="s">
        <v>2227</v>
      </c>
      <c r="F392" s="61" t="s">
        <v>711</v>
      </c>
      <c r="G392" s="61" t="s">
        <v>34</v>
      </c>
      <c r="H392" s="61" t="s">
        <v>835</v>
      </c>
      <c r="I392" s="61" t="s">
        <v>1429</v>
      </c>
      <c r="J392" s="61" t="s">
        <v>613</v>
      </c>
      <c r="K392" s="61" t="s">
        <v>999</v>
      </c>
      <c r="L392" s="61" t="s">
        <v>962</v>
      </c>
      <c r="M392" s="61">
        <v>2</v>
      </c>
      <c r="N392" s="61" t="s">
        <v>4201</v>
      </c>
      <c r="O392" s="61" t="s">
        <v>1106</v>
      </c>
      <c r="P392" s="61" t="s">
        <v>1152</v>
      </c>
      <c r="Q392" s="61" t="s">
        <v>911</v>
      </c>
      <c r="R392" s="61" t="s">
        <v>3416</v>
      </c>
      <c r="S392" s="61" t="s">
        <v>4202</v>
      </c>
      <c r="T392" s="61">
        <v>3290</v>
      </c>
      <c r="U392" s="61" t="s">
        <v>858</v>
      </c>
      <c r="V392" s="61" t="s">
        <v>4203</v>
      </c>
      <c r="W392" s="61" t="s">
        <v>4204</v>
      </c>
      <c r="X392" s="61" t="s">
        <v>968</v>
      </c>
      <c r="Y392" s="61" t="s">
        <v>4198</v>
      </c>
      <c r="Z392" s="61" t="s">
        <v>4199</v>
      </c>
      <c r="AA392" s="61" t="s">
        <v>968</v>
      </c>
      <c r="AB392" s="61" t="s">
        <v>4205</v>
      </c>
      <c r="AC392" s="61" t="s">
        <v>830</v>
      </c>
      <c r="AD392" s="61" t="s">
        <v>3008</v>
      </c>
      <c r="AE392" s="61" t="s">
        <v>612</v>
      </c>
      <c r="AF392" s="61" t="s">
        <v>2054</v>
      </c>
      <c r="AG392" s="61" t="s">
        <v>34</v>
      </c>
      <c r="AH392" s="61" t="s">
        <v>34</v>
      </c>
      <c r="AI392" s="61" t="s">
        <v>34</v>
      </c>
      <c r="AJ392" s="61" t="s">
        <v>34</v>
      </c>
      <c r="AK392" s="61" t="s">
        <v>832</v>
      </c>
      <c r="AL392" s="61" t="s">
        <v>34</v>
      </c>
      <c r="AM392" s="61" t="s">
        <v>3441</v>
      </c>
      <c r="AN392" s="490">
        <v>0</v>
      </c>
      <c r="AO392" s="490">
        <v>0</v>
      </c>
      <c r="AP392" s="61"/>
    </row>
    <row r="393" spans="1:42" x14ac:dyDescent="0.2">
      <c r="A393" s="61">
        <v>392</v>
      </c>
      <c r="B393" s="61" t="s">
        <v>468</v>
      </c>
      <c r="C393" s="61" t="s">
        <v>469</v>
      </c>
      <c r="D393" s="61" t="s">
        <v>2866</v>
      </c>
      <c r="E393" s="61" t="s">
        <v>2227</v>
      </c>
      <c r="F393" s="61" t="s">
        <v>711</v>
      </c>
      <c r="G393" s="61" t="s">
        <v>34</v>
      </c>
      <c r="H393" s="61" t="s">
        <v>835</v>
      </c>
      <c r="I393" s="61" t="s">
        <v>1429</v>
      </c>
      <c r="J393" s="61" t="s">
        <v>613</v>
      </c>
      <c r="K393" s="61" t="s">
        <v>999</v>
      </c>
      <c r="L393" s="61" t="s">
        <v>1176</v>
      </c>
      <c r="M393" s="61">
        <v>3</v>
      </c>
      <c r="N393" s="61" t="s">
        <v>469</v>
      </c>
      <c r="O393" s="61" t="s">
        <v>1106</v>
      </c>
      <c r="P393" s="61" t="s">
        <v>893</v>
      </c>
      <c r="Q393" s="61" t="s">
        <v>827</v>
      </c>
      <c r="R393" s="61" t="s">
        <v>892</v>
      </c>
      <c r="S393" s="61" t="s">
        <v>2228</v>
      </c>
      <c r="T393" s="61">
        <v>294</v>
      </c>
      <c r="U393" s="61">
        <v>0</v>
      </c>
      <c r="V393" s="61">
        <v>0</v>
      </c>
      <c r="W393" s="61">
        <v>0</v>
      </c>
      <c r="X393" s="61">
        <v>0</v>
      </c>
      <c r="Y393" s="61">
        <v>0</v>
      </c>
      <c r="Z393" s="61">
        <v>0</v>
      </c>
      <c r="AA393" s="61">
        <v>0</v>
      </c>
      <c r="AB393" s="61" t="s">
        <v>34</v>
      </c>
      <c r="AC393" s="61" t="s">
        <v>830</v>
      </c>
      <c r="AD393" s="61" t="s">
        <v>831</v>
      </c>
      <c r="AE393" s="61" t="s">
        <v>612</v>
      </c>
      <c r="AF393" s="61" t="s">
        <v>34</v>
      </c>
      <c r="AG393" s="61" t="s">
        <v>34</v>
      </c>
      <c r="AH393" s="61" t="s">
        <v>34</v>
      </c>
      <c r="AI393" s="61" t="s">
        <v>34</v>
      </c>
      <c r="AJ393" s="61" t="s">
        <v>34</v>
      </c>
      <c r="AK393" s="61" t="s">
        <v>832</v>
      </c>
      <c r="AL393" s="61" t="s">
        <v>34</v>
      </c>
      <c r="AM393" s="61" t="s">
        <v>3441</v>
      </c>
      <c r="AN393" s="490">
        <v>0</v>
      </c>
      <c r="AO393" s="490">
        <v>0</v>
      </c>
      <c r="AP393" s="61"/>
    </row>
    <row r="394" spans="1:42" ht="15" customHeight="1" x14ac:dyDescent="0.2">
      <c r="A394" s="61">
        <v>393</v>
      </c>
      <c r="B394" s="61" t="s">
        <v>468</v>
      </c>
      <c r="C394" s="61" t="s">
        <v>3810</v>
      </c>
      <c r="D394" s="61" t="s">
        <v>3811</v>
      </c>
      <c r="E394" s="61" t="s">
        <v>2227</v>
      </c>
      <c r="F394" s="61" t="s">
        <v>711</v>
      </c>
      <c r="G394" s="61" t="s">
        <v>34</v>
      </c>
      <c r="H394" s="61" t="s">
        <v>835</v>
      </c>
      <c r="I394" s="61" t="s">
        <v>1429</v>
      </c>
      <c r="J394" s="61" t="s">
        <v>613</v>
      </c>
      <c r="K394" s="61" t="s">
        <v>999</v>
      </c>
      <c r="L394" s="61" t="s">
        <v>1176</v>
      </c>
      <c r="M394" s="61">
        <v>4</v>
      </c>
      <c r="N394" s="61" t="s">
        <v>3810</v>
      </c>
      <c r="O394" s="61" t="s">
        <v>1106</v>
      </c>
      <c r="P394" s="61" t="s">
        <v>1152</v>
      </c>
      <c r="Q394" s="61" t="s">
        <v>911</v>
      </c>
      <c r="R394" s="61" t="s">
        <v>892</v>
      </c>
      <c r="S394" s="61" t="s">
        <v>3812</v>
      </c>
      <c r="T394" s="61">
        <v>3872</v>
      </c>
      <c r="U394" s="61" t="s">
        <v>3813</v>
      </c>
      <c r="V394" s="61">
        <v>0</v>
      </c>
      <c r="W394" s="61">
        <v>0</v>
      </c>
      <c r="X394" s="61">
        <v>0</v>
      </c>
      <c r="Y394" s="61">
        <v>0</v>
      </c>
      <c r="Z394" s="61">
        <v>0</v>
      </c>
      <c r="AA394" s="61">
        <v>0</v>
      </c>
      <c r="AB394" s="61" t="s">
        <v>34</v>
      </c>
      <c r="AC394" s="61" t="s">
        <v>830</v>
      </c>
      <c r="AD394" s="61" t="s">
        <v>831</v>
      </c>
      <c r="AE394" s="61" t="s">
        <v>612</v>
      </c>
      <c r="AF394" s="61" t="s">
        <v>34</v>
      </c>
      <c r="AG394" s="61" t="s">
        <v>34</v>
      </c>
      <c r="AH394" s="61" t="s">
        <v>34</v>
      </c>
      <c r="AI394" s="61" t="s">
        <v>34</v>
      </c>
      <c r="AJ394" s="61" t="s">
        <v>34</v>
      </c>
      <c r="AK394" s="61" t="s">
        <v>832</v>
      </c>
      <c r="AL394" s="61" t="s">
        <v>34</v>
      </c>
      <c r="AM394" s="61" t="s">
        <v>3441</v>
      </c>
      <c r="AN394" s="490"/>
      <c r="AO394" s="490"/>
      <c r="AP394" s="61"/>
    </row>
    <row r="395" spans="1:42" ht="15" customHeight="1" x14ac:dyDescent="0.2">
      <c r="A395" s="61">
        <v>394</v>
      </c>
      <c r="B395" s="61" t="s">
        <v>468</v>
      </c>
      <c r="C395" s="61" t="s">
        <v>470</v>
      </c>
      <c r="D395" s="61" t="s">
        <v>2867</v>
      </c>
      <c r="E395" s="61" t="s">
        <v>2227</v>
      </c>
      <c r="F395" s="61" t="s">
        <v>711</v>
      </c>
      <c r="G395" s="61" t="s">
        <v>34</v>
      </c>
      <c r="H395" s="61" t="s">
        <v>835</v>
      </c>
      <c r="I395" s="61" t="s">
        <v>1429</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830</v>
      </c>
      <c r="AD395" s="61" t="s">
        <v>831</v>
      </c>
      <c r="AE395" s="61" t="s">
        <v>612</v>
      </c>
      <c r="AF395" s="61" t="s">
        <v>34</v>
      </c>
      <c r="AG395" s="61" t="s">
        <v>34</v>
      </c>
      <c r="AH395" s="61" t="s">
        <v>34</v>
      </c>
      <c r="AI395" s="61" t="s">
        <v>34</v>
      </c>
      <c r="AJ395" s="61" t="s">
        <v>34</v>
      </c>
      <c r="AK395" s="61" t="s">
        <v>832</v>
      </c>
      <c r="AL395" s="61" t="s">
        <v>34</v>
      </c>
      <c r="AM395" s="61" t="s">
        <v>3441</v>
      </c>
      <c r="AN395" s="490">
        <v>0</v>
      </c>
      <c r="AO395" s="490">
        <v>0</v>
      </c>
      <c r="AP395" s="61"/>
    </row>
    <row r="396" spans="1:42" x14ac:dyDescent="0.2">
      <c r="A396" s="61">
        <v>395</v>
      </c>
      <c r="B396" s="61" t="s">
        <v>468</v>
      </c>
      <c r="C396" s="61" t="s">
        <v>409</v>
      </c>
      <c r="D396" s="61" t="s">
        <v>2868</v>
      </c>
      <c r="E396" s="61" t="s">
        <v>2227</v>
      </c>
      <c r="F396" s="61" t="s">
        <v>711</v>
      </c>
      <c r="G396" s="61" t="s">
        <v>34</v>
      </c>
      <c r="H396" s="61" t="s">
        <v>835</v>
      </c>
      <c r="I396" s="61" t="s">
        <v>1429</v>
      </c>
      <c r="J396" s="61" t="s">
        <v>613</v>
      </c>
      <c r="K396" s="61" t="s">
        <v>2032</v>
      </c>
      <c r="L396" s="61" t="s">
        <v>962</v>
      </c>
      <c r="M396" s="61" t="s">
        <v>4236</v>
      </c>
      <c r="N396" s="61" t="s">
        <v>4206</v>
      </c>
      <c r="O396" s="61" t="s">
        <v>1106</v>
      </c>
      <c r="P396" s="61" t="s">
        <v>893</v>
      </c>
      <c r="Q396" s="61" t="s">
        <v>827</v>
      </c>
      <c r="R396" s="61" t="s">
        <v>3416</v>
      </c>
      <c r="S396" s="61" t="s">
        <v>2230</v>
      </c>
      <c r="T396" s="61">
        <v>1470</v>
      </c>
      <c r="U396" s="61" t="s">
        <v>858</v>
      </c>
      <c r="V396" s="61" t="s">
        <v>4207</v>
      </c>
      <c r="W396" s="61" t="s">
        <v>4208</v>
      </c>
      <c r="X396" s="61" t="s">
        <v>968</v>
      </c>
      <c r="Y396" s="61" t="s">
        <v>3230</v>
      </c>
      <c r="Z396" s="61" t="s">
        <v>4209</v>
      </c>
      <c r="AA396" s="61" t="s">
        <v>968</v>
      </c>
      <c r="AB396" s="61" t="s">
        <v>4205</v>
      </c>
      <c r="AC396" s="61" t="s">
        <v>830</v>
      </c>
      <c r="AD396" s="61" t="s">
        <v>3008</v>
      </c>
      <c r="AE396" s="61" t="s">
        <v>612</v>
      </c>
      <c r="AF396" s="61" t="s">
        <v>2054</v>
      </c>
      <c r="AG396" s="61" t="s">
        <v>34</v>
      </c>
      <c r="AH396" s="61" t="s">
        <v>34</v>
      </c>
      <c r="AI396" s="61" t="s">
        <v>34</v>
      </c>
      <c r="AJ396" s="61" t="s">
        <v>34</v>
      </c>
      <c r="AK396" s="61" t="s">
        <v>832</v>
      </c>
      <c r="AL396" s="61" t="s">
        <v>34</v>
      </c>
      <c r="AM396" s="61" t="s">
        <v>3441</v>
      </c>
      <c r="AN396" s="490">
        <v>0</v>
      </c>
      <c r="AO396" s="490">
        <v>0</v>
      </c>
      <c r="AP396" s="61"/>
    </row>
    <row r="397" spans="1:42" x14ac:dyDescent="0.2">
      <c r="A397" s="61">
        <v>396</v>
      </c>
      <c r="B397" s="61" t="s">
        <v>468</v>
      </c>
      <c r="C397" s="61" t="s">
        <v>4210</v>
      </c>
      <c r="D397" s="61" t="s">
        <v>4211</v>
      </c>
      <c r="E397" s="61" t="s">
        <v>2227</v>
      </c>
      <c r="F397" s="61" t="s">
        <v>711</v>
      </c>
      <c r="G397" s="61" t="s">
        <v>34</v>
      </c>
      <c r="H397" s="61" t="s">
        <v>835</v>
      </c>
      <c r="I397" s="61" t="s">
        <v>1429</v>
      </c>
      <c r="J397" s="61" t="s">
        <v>613</v>
      </c>
      <c r="K397" s="61" t="s">
        <v>4212</v>
      </c>
      <c r="L397" s="61" t="s">
        <v>4213</v>
      </c>
      <c r="M397" s="61" t="s">
        <v>4237</v>
      </c>
      <c r="N397" s="61" t="s">
        <v>4214</v>
      </c>
      <c r="O397" s="61" t="s">
        <v>1106</v>
      </c>
      <c r="P397" s="61" t="s">
        <v>4215</v>
      </c>
      <c r="Q397" s="61" t="s">
        <v>827</v>
      </c>
      <c r="R397" s="61" t="s">
        <v>3416</v>
      </c>
      <c r="S397" s="61" t="s">
        <v>4216</v>
      </c>
      <c r="T397" s="61">
        <v>390</v>
      </c>
      <c r="U397" s="61" t="s">
        <v>858</v>
      </c>
      <c r="V397" s="61" t="s">
        <v>3365</v>
      </c>
      <c r="W397" s="61" t="s">
        <v>2054</v>
      </c>
      <c r="X397" s="61" t="s">
        <v>968</v>
      </c>
      <c r="Y397" s="61" t="s">
        <v>3230</v>
      </c>
      <c r="Z397" s="61" t="s">
        <v>4209</v>
      </c>
      <c r="AA397" s="61" t="s">
        <v>977</v>
      </c>
      <c r="AB397" s="61" t="s">
        <v>4217</v>
      </c>
      <c r="AC397" s="61" t="s">
        <v>830</v>
      </c>
      <c r="AD397" s="61" t="s">
        <v>3008</v>
      </c>
      <c r="AE397" s="61" t="s">
        <v>612</v>
      </c>
      <c r="AF397" s="61" t="s">
        <v>2054</v>
      </c>
      <c r="AG397" s="61" t="s">
        <v>34</v>
      </c>
      <c r="AH397" s="61" t="s">
        <v>34</v>
      </c>
      <c r="AI397" s="61" t="s">
        <v>34</v>
      </c>
      <c r="AJ397" s="61" t="s">
        <v>34</v>
      </c>
      <c r="AK397" s="61" t="s">
        <v>832</v>
      </c>
      <c r="AL397" s="61" t="s">
        <v>34</v>
      </c>
      <c r="AM397" s="61" t="s">
        <v>3441</v>
      </c>
      <c r="AN397" s="490">
        <v>0</v>
      </c>
      <c r="AO397" s="490">
        <v>0</v>
      </c>
      <c r="AP397" s="61"/>
    </row>
    <row r="398" spans="1:42" x14ac:dyDescent="0.2">
      <c r="A398" s="61">
        <v>397</v>
      </c>
      <c r="B398" s="61" t="s">
        <v>468</v>
      </c>
      <c r="C398" s="61" t="s">
        <v>4218</v>
      </c>
      <c r="D398" s="61" t="s">
        <v>4219</v>
      </c>
      <c r="E398" s="61" t="s">
        <v>2227</v>
      </c>
      <c r="F398" s="61" t="s">
        <v>711</v>
      </c>
      <c r="G398" s="61" t="s">
        <v>34</v>
      </c>
      <c r="H398" s="61" t="s">
        <v>835</v>
      </c>
      <c r="I398" s="61" t="s">
        <v>1429</v>
      </c>
      <c r="J398" s="61" t="s">
        <v>613</v>
      </c>
      <c r="K398" s="61" t="s">
        <v>4220</v>
      </c>
      <c r="L398" s="61" t="s">
        <v>4213</v>
      </c>
      <c r="M398" s="61" t="s">
        <v>4238</v>
      </c>
      <c r="N398" s="61" t="s">
        <v>4218</v>
      </c>
      <c r="O398" s="61" t="s">
        <v>1106</v>
      </c>
      <c r="P398" s="61" t="s">
        <v>4221</v>
      </c>
      <c r="Q398" s="61" t="s">
        <v>827</v>
      </c>
      <c r="R398" s="61" t="s">
        <v>3416</v>
      </c>
      <c r="S398" s="61" t="s">
        <v>4216</v>
      </c>
      <c r="T398" s="61">
        <v>390</v>
      </c>
      <c r="U398" s="61" t="s">
        <v>858</v>
      </c>
      <c r="V398" s="61" t="s">
        <v>3365</v>
      </c>
      <c r="W398" s="61" t="s">
        <v>2054</v>
      </c>
      <c r="X398" s="61" t="s">
        <v>968</v>
      </c>
      <c r="Y398" s="61" t="s">
        <v>3230</v>
      </c>
      <c r="Z398" s="61" t="s">
        <v>4209</v>
      </c>
      <c r="AA398" s="61" t="s">
        <v>977</v>
      </c>
      <c r="AB398" s="61" t="s">
        <v>4222</v>
      </c>
      <c r="AC398" s="61" t="s">
        <v>830</v>
      </c>
      <c r="AD398" s="61" t="s">
        <v>3008</v>
      </c>
      <c r="AE398" s="61" t="s">
        <v>612</v>
      </c>
      <c r="AF398" s="61" t="s">
        <v>2054</v>
      </c>
      <c r="AG398" s="61" t="s">
        <v>34</v>
      </c>
      <c r="AH398" s="61" t="s">
        <v>34</v>
      </c>
      <c r="AI398" s="61" t="s">
        <v>34</v>
      </c>
      <c r="AJ398" s="61" t="s">
        <v>34</v>
      </c>
      <c r="AK398" s="61" t="s">
        <v>832</v>
      </c>
      <c r="AL398" s="61" t="s">
        <v>34</v>
      </c>
      <c r="AM398" s="61" t="s">
        <v>3441</v>
      </c>
      <c r="AN398" s="490">
        <v>0</v>
      </c>
      <c r="AO398" s="490">
        <v>0</v>
      </c>
      <c r="AP398" s="61"/>
    </row>
    <row r="399" spans="1:42" x14ac:dyDescent="0.2">
      <c r="A399" s="61">
        <v>398</v>
      </c>
      <c r="B399" s="61" t="s">
        <v>468</v>
      </c>
      <c r="C399" s="61" t="s">
        <v>4223</v>
      </c>
      <c r="D399" s="61" t="s">
        <v>4224</v>
      </c>
      <c r="E399" s="61" t="s">
        <v>2227</v>
      </c>
      <c r="F399" s="61" t="s">
        <v>711</v>
      </c>
      <c r="G399" s="61" t="s">
        <v>34</v>
      </c>
      <c r="H399" s="61" t="s">
        <v>835</v>
      </c>
      <c r="I399" s="61" t="s">
        <v>1429</v>
      </c>
      <c r="J399" s="61" t="s">
        <v>613</v>
      </c>
      <c r="K399" s="61" t="s">
        <v>4225</v>
      </c>
      <c r="L399" s="61" t="s">
        <v>4213</v>
      </c>
      <c r="M399" s="61" t="s">
        <v>470</v>
      </c>
      <c r="N399" s="61" t="s">
        <v>4223</v>
      </c>
      <c r="O399" s="61" t="s">
        <v>1106</v>
      </c>
      <c r="P399" s="61" t="s">
        <v>4226</v>
      </c>
      <c r="Q399" s="61" t="s">
        <v>827</v>
      </c>
      <c r="R399" s="61" t="s">
        <v>3416</v>
      </c>
      <c r="S399" s="61" t="s">
        <v>4216</v>
      </c>
      <c r="T399" s="61">
        <v>390</v>
      </c>
      <c r="U399" s="61" t="s">
        <v>858</v>
      </c>
      <c r="V399" s="61" t="s">
        <v>3365</v>
      </c>
      <c r="W399" s="61" t="s">
        <v>2054</v>
      </c>
      <c r="X399" s="61" t="s">
        <v>968</v>
      </c>
      <c r="Y399" s="61" t="s">
        <v>3230</v>
      </c>
      <c r="Z399" s="61" t="s">
        <v>4209</v>
      </c>
      <c r="AA399" s="61" t="s">
        <v>977</v>
      </c>
      <c r="AB399" s="61" t="s">
        <v>4222</v>
      </c>
      <c r="AC399" s="61" t="s">
        <v>830</v>
      </c>
      <c r="AD399" s="61" t="s">
        <v>3008</v>
      </c>
      <c r="AE399" s="61" t="s">
        <v>612</v>
      </c>
      <c r="AF399" s="61" t="s">
        <v>2054</v>
      </c>
      <c r="AG399" s="61" t="s">
        <v>34</v>
      </c>
      <c r="AH399" s="61" t="s">
        <v>34</v>
      </c>
      <c r="AI399" s="61" t="s">
        <v>34</v>
      </c>
      <c r="AJ399" s="61" t="s">
        <v>34</v>
      </c>
      <c r="AK399" s="61" t="s">
        <v>832</v>
      </c>
      <c r="AL399" s="61" t="s">
        <v>34</v>
      </c>
      <c r="AM399" s="61" t="s">
        <v>3441</v>
      </c>
      <c r="AN399" s="490">
        <v>0</v>
      </c>
      <c r="AO399" s="490">
        <v>0</v>
      </c>
      <c r="AP399" s="61"/>
    </row>
    <row r="400" spans="1:42" x14ac:dyDescent="0.2">
      <c r="A400" s="61">
        <v>399</v>
      </c>
      <c r="B400" s="61" t="s">
        <v>468</v>
      </c>
      <c r="C400" s="61" t="s">
        <v>4227</v>
      </c>
      <c r="D400" s="61" t="s">
        <v>4228</v>
      </c>
      <c r="E400" s="61" t="s">
        <v>2227</v>
      </c>
      <c r="F400" s="61" t="s">
        <v>711</v>
      </c>
      <c r="G400" s="61" t="s">
        <v>34</v>
      </c>
      <c r="H400" s="61" t="s">
        <v>835</v>
      </c>
      <c r="I400" s="61" t="s">
        <v>1429</v>
      </c>
      <c r="J400" s="61" t="s">
        <v>613</v>
      </c>
      <c r="K400" s="61" t="s">
        <v>4229</v>
      </c>
      <c r="L400" s="61" t="s">
        <v>4213</v>
      </c>
      <c r="M400" s="61" t="s">
        <v>4227</v>
      </c>
      <c r="N400" s="61" t="s">
        <v>4227</v>
      </c>
      <c r="O400" s="61" t="s">
        <v>1106</v>
      </c>
      <c r="P400" s="61" t="s">
        <v>4230</v>
      </c>
      <c r="Q400" s="61" t="s">
        <v>827</v>
      </c>
      <c r="R400" s="61" t="s">
        <v>3416</v>
      </c>
      <c r="S400" s="61" t="s">
        <v>4216</v>
      </c>
      <c r="T400" s="61">
        <v>390</v>
      </c>
      <c r="U400" s="61" t="s">
        <v>858</v>
      </c>
      <c r="V400" s="61" t="s">
        <v>3365</v>
      </c>
      <c r="W400" s="61" t="s">
        <v>2054</v>
      </c>
      <c r="X400" s="61" t="s">
        <v>968</v>
      </c>
      <c r="Y400" s="61" t="s">
        <v>3230</v>
      </c>
      <c r="Z400" s="61" t="s">
        <v>4209</v>
      </c>
      <c r="AA400" s="61" t="s">
        <v>977</v>
      </c>
      <c r="AB400" s="61" t="s">
        <v>4231</v>
      </c>
      <c r="AC400" s="61" t="s">
        <v>830</v>
      </c>
      <c r="AD400" s="61" t="s">
        <v>3008</v>
      </c>
      <c r="AE400" s="61" t="s">
        <v>612</v>
      </c>
      <c r="AF400" s="61" t="s">
        <v>2054</v>
      </c>
      <c r="AG400" s="61" t="s">
        <v>34</v>
      </c>
      <c r="AH400" s="61" t="s">
        <v>34</v>
      </c>
      <c r="AI400" s="61" t="s">
        <v>34</v>
      </c>
      <c r="AJ400" s="61" t="s">
        <v>34</v>
      </c>
      <c r="AK400" s="61" t="s">
        <v>832</v>
      </c>
      <c r="AL400" s="61" t="s">
        <v>34</v>
      </c>
      <c r="AM400" s="61" t="s">
        <v>3441</v>
      </c>
      <c r="AN400" s="490">
        <v>0</v>
      </c>
      <c r="AO400" s="490">
        <v>0</v>
      </c>
      <c r="AP400" s="61"/>
    </row>
    <row r="401" spans="1:42" ht="15" customHeight="1" x14ac:dyDescent="0.2">
      <c r="A401" s="61">
        <v>400</v>
      </c>
      <c r="B401" s="61" t="s">
        <v>468</v>
      </c>
      <c r="C401" s="61" t="s">
        <v>4232</v>
      </c>
      <c r="D401" s="61" t="s">
        <v>4233</v>
      </c>
      <c r="E401" s="61" t="s">
        <v>2227</v>
      </c>
      <c r="F401" s="61" t="s">
        <v>711</v>
      </c>
      <c r="G401" s="61" t="s">
        <v>34</v>
      </c>
      <c r="H401" s="61" t="s">
        <v>835</v>
      </c>
      <c r="I401" s="61" t="s">
        <v>1429</v>
      </c>
      <c r="J401" s="61" t="s">
        <v>613</v>
      </c>
      <c r="K401" s="61" t="s">
        <v>4234</v>
      </c>
      <c r="L401" s="61" t="s">
        <v>4213</v>
      </c>
      <c r="M401" s="61" t="s">
        <v>4239</v>
      </c>
      <c r="N401" s="61" t="s">
        <v>4232</v>
      </c>
      <c r="O401" s="61" t="s">
        <v>1106</v>
      </c>
      <c r="P401" s="61" t="s">
        <v>4221</v>
      </c>
      <c r="Q401" s="61" t="s">
        <v>827</v>
      </c>
      <c r="R401" s="61" t="s">
        <v>3416</v>
      </c>
      <c r="S401" s="61" t="s">
        <v>4235</v>
      </c>
      <c r="T401" s="61">
        <v>78</v>
      </c>
      <c r="U401" s="61" t="s">
        <v>858</v>
      </c>
      <c r="V401" s="61" t="s">
        <v>3365</v>
      </c>
      <c r="W401" s="61" t="s">
        <v>2054</v>
      </c>
      <c r="X401" s="61" t="s">
        <v>968</v>
      </c>
      <c r="Y401" s="61" t="s">
        <v>3230</v>
      </c>
      <c r="Z401" s="61" t="s">
        <v>4209</v>
      </c>
      <c r="AA401" s="61" t="s">
        <v>977</v>
      </c>
      <c r="AB401" s="61" t="s">
        <v>4222</v>
      </c>
      <c r="AC401" s="61" t="s">
        <v>830</v>
      </c>
      <c r="AD401" s="61" t="s">
        <v>3008</v>
      </c>
      <c r="AE401" s="61" t="s">
        <v>612</v>
      </c>
      <c r="AF401" s="61" t="s">
        <v>2054</v>
      </c>
      <c r="AG401" s="61" t="s">
        <v>34</v>
      </c>
      <c r="AH401" s="61" t="s">
        <v>34</v>
      </c>
      <c r="AI401" s="61" t="s">
        <v>34</v>
      </c>
      <c r="AJ401" s="61" t="s">
        <v>34</v>
      </c>
      <c r="AK401" s="61" t="s">
        <v>832</v>
      </c>
      <c r="AL401" s="61" t="s">
        <v>34</v>
      </c>
      <c r="AM401" s="61" t="s">
        <v>3441</v>
      </c>
      <c r="AN401" s="490">
        <v>0</v>
      </c>
      <c r="AO401" s="490">
        <v>0</v>
      </c>
      <c r="AP401" s="61"/>
    </row>
    <row r="402" spans="1:42" ht="15" customHeight="1" x14ac:dyDescent="0.2">
      <c r="A402" s="61">
        <v>401</v>
      </c>
      <c r="B402" s="61" t="s">
        <v>4073</v>
      </c>
      <c r="C402" s="61" t="s">
        <v>4074</v>
      </c>
      <c r="D402" s="61" t="s">
        <v>4075</v>
      </c>
      <c r="E402" s="61" t="s">
        <v>4076</v>
      </c>
      <c r="F402" s="61" t="s">
        <v>739</v>
      </c>
      <c r="G402" s="61" t="s">
        <v>34</v>
      </c>
      <c r="H402" s="61" t="s">
        <v>835</v>
      </c>
      <c r="I402" s="61" t="s">
        <v>1429</v>
      </c>
      <c r="J402" s="61" t="s">
        <v>613</v>
      </c>
      <c r="K402" s="61" t="s">
        <v>4077</v>
      </c>
      <c r="L402" s="61" t="s">
        <v>1176</v>
      </c>
      <c r="M402" s="61" t="s">
        <v>4078</v>
      </c>
      <c r="N402" s="61" t="s">
        <v>4077</v>
      </c>
      <c r="O402" s="61" t="s">
        <v>1106</v>
      </c>
      <c r="P402" s="61" t="s">
        <v>4079</v>
      </c>
      <c r="Q402" s="61" t="s">
        <v>827</v>
      </c>
      <c r="R402" s="61">
        <v>0</v>
      </c>
      <c r="S402" s="61">
        <v>0</v>
      </c>
      <c r="T402" s="61">
        <v>0</v>
      </c>
      <c r="U402" s="61">
        <v>0</v>
      </c>
      <c r="V402" s="61">
        <v>0</v>
      </c>
      <c r="W402" s="61">
        <v>0</v>
      </c>
      <c r="X402" s="61">
        <v>0</v>
      </c>
      <c r="Y402" s="61">
        <v>0</v>
      </c>
      <c r="Z402" s="61">
        <v>0</v>
      </c>
      <c r="AA402" s="61">
        <v>0</v>
      </c>
      <c r="AB402" s="61" t="s">
        <v>34</v>
      </c>
      <c r="AC402" s="61" t="s">
        <v>830</v>
      </c>
      <c r="AD402" s="61" t="s">
        <v>831</v>
      </c>
      <c r="AE402" s="61" t="s">
        <v>612</v>
      </c>
      <c r="AF402" s="61" t="s">
        <v>34</v>
      </c>
      <c r="AG402" s="61" t="s">
        <v>34</v>
      </c>
      <c r="AH402" s="61" t="s">
        <v>34</v>
      </c>
      <c r="AI402" s="61" t="s">
        <v>34</v>
      </c>
      <c r="AJ402" s="61" t="s">
        <v>34</v>
      </c>
      <c r="AK402" s="61" t="s">
        <v>832</v>
      </c>
      <c r="AL402" s="61" t="s">
        <v>34</v>
      </c>
      <c r="AM402" s="61" t="s">
        <v>3441</v>
      </c>
      <c r="AN402" s="490"/>
      <c r="AO402" s="490"/>
      <c r="AP402" s="61"/>
    </row>
    <row r="403" spans="1:42" ht="15" customHeight="1" x14ac:dyDescent="0.2">
      <c r="A403" s="61">
        <v>402</v>
      </c>
      <c r="B403" s="61" t="s">
        <v>4073</v>
      </c>
      <c r="C403" s="61" t="s">
        <v>4080</v>
      </c>
      <c r="D403" s="61" t="s">
        <v>4081</v>
      </c>
      <c r="E403" s="61" t="s">
        <v>4076</v>
      </c>
      <c r="F403" s="61" t="s">
        <v>739</v>
      </c>
      <c r="G403" s="61" t="s">
        <v>34</v>
      </c>
      <c r="H403" s="61" t="s">
        <v>835</v>
      </c>
      <c r="I403" s="61" t="s">
        <v>1429</v>
      </c>
      <c r="J403" s="61" t="s">
        <v>613</v>
      </c>
      <c r="K403" s="61" t="s">
        <v>4082</v>
      </c>
      <c r="L403" s="61" t="s">
        <v>1176</v>
      </c>
      <c r="M403" s="61" t="s">
        <v>4083</v>
      </c>
      <c r="N403" s="61" t="s">
        <v>4082</v>
      </c>
      <c r="O403" s="61" t="s">
        <v>1106</v>
      </c>
      <c r="P403" s="61" t="s">
        <v>4084</v>
      </c>
      <c r="Q403" s="61" t="s">
        <v>827</v>
      </c>
      <c r="R403" s="61">
        <v>0</v>
      </c>
      <c r="S403" s="61">
        <v>0</v>
      </c>
      <c r="T403" s="61">
        <v>0</v>
      </c>
      <c r="U403" s="61">
        <v>0</v>
      </c>
      <c r="V403" s="61">
        <v>0</v>
      </c>
      <c r="W403" s="61">
        <v>0</v>
      </c>
      <c r="X403" s="61">
        <v>0</v>
      </c>
      <c r="Y403" s="61">
        <v>0</v>
      </c>
      <c r="Z403" s="61">
        <v>0</v>
      </c>
      <c r="AA403" s="61">
        <v>0</v>
      </c>
      <c r="AB403" s="61" t="s">
        <v>34</v>
      </c>
      <c r="AC403" s="61" t="s">
        <v>830</v>
      </c>
      <c r="AD403" s="61" t="s">
        <v>831</v>
      </c>
      <c r="AE403" s="61" t="s">
        <v>612</v>
      </c>
      <c r="AF403" s="61" t="s">
        <v>34</v>
      </c>
      <c r="AG403" s="61" t="s">
        <v>34</v>
      </c>
      <c r="AH403" s="61" t="s">
        <v>34</v>
      </c>
      <c r="AI403" s="61" t="s">
        <v>34</v>
      </c>
      <c r="AJ403" s="61" t="s">
        <v>34</v>
      </c>
      <c r="AK403" s="61" t="s">
        <v>832</v>
      </c>
      <c r="AL403" s="61" t="s">
        <v>34</v>
      </c>
      <c r="AM403" s="61" t="s">
        <v>3441</v>
      </c>
      <c r="AN403" s="490"/>
      <c r="AO403" s="490"/>
      <c r="AP403" s="61"/>
    </row>
    <row r="404" spans="1:42" ht="15" customHeight="1" x14ac:dyDescent="0.2">
      <c r="A404" s="61">
        <v>403</v>
      </c>
      <c r="B404" s="61" t="s">
        <v>472</v>
      </c>
      <c r="C404" s="61" t="s">
        <v>3619</v>
      </c>
      <c r="D404" s="61" t="s">
        <v>3620</v>
      </c>
      <c r="E404" s="61" t="s">
        <v>2231</v>
      </c>
      <c r="F404" s="61" t="s">
        <v>784</v>
      </c>
      <c r="G404" s="61" t="s">
        <v>34</v>
      </c>
      <c r="H404" s="61" t="s">
        <v>835</v>
      </c>
      <c r="I404" s="61" t="s">
        <v>4270</v>
      </c>
      <c r="J404" s="61" t="s">
        <v>613</v>
      </c>
      <c r="K404" s="61" t="s">
        <v>1011</v>
      </c>
      <c r="L404" s="61" t="s">
        <v>2070</v>
      </c>
      <c r="M404" s="61">
        <v>10229</v>
      </c>
      <c r="N404" s="61" t="s">
        <v>324</v>
      </c>
      <c r="O404" s="61" t="s">
        <v>1106</v>
      </c>
      <c r="P404" s="61" t="s">
        <v>2243</v>
      </c>
      <c r="Q404" s="61" t="s">
        <v>911</v>
      </c>
      <c r="R404" s="61" t="s">
        <v>828</v>
      </c>
      <c r="S404" s="61" t="s">
        <v>2245</v>
      </c>
      <c r="T404" s="61">
        <v>476.3</v>
      </c>
      <c r="U404" s="61" t="s">
        <v>858</v>
      </c>
      <c r="V404" s="61" t="s">
        <v>2071</v>
      </c>
      <c r="W404" s="61" t="s">
        <v>2072</v>
      </c>
      <c r="X404" s="61" t="s">
        <v>829</v>
      </c>
      <c r="Y404" s="61" t="s">
        <v>2071</v>
      </c>
      <c r="Z404" s="61" t="s">
        <v>2073</v>
      </c>
      <c r="AA404" s="61" t="s">
        <v>829</v>
      </c>
      <c r="AB404" s="61" t="s">
        <v>34</v>
      </c>
      <c r="AC404" s="61" t="s">
        <v>830</v>
      </c>
      <c r="AD404" s="61" t="s">
        <v>831</v>
      </c>
      <c r="AE404" s="61" t="s">
        <v>612</v>
      </c>
      <c r="AF404" s="61" t="s">
        <v>2054</v>
      </c>
      <c r="AG404" s="61" t="s">
        <v>34</v>
      </c>
      <c r="AH404" s="61" t="s">
        <v>34</v>
      </c>
      <c r="AI404" s="61" t="s">
        <v>34</v>
      </c>
      <c r="AJ404" s="61" t="s">
        <v>34</v>
      </c>
      <c r="AK404" s="61" t="s">
        <v>832</v>
      </c>
      <c r="AL404" s="61" t="s">
        <v>34</v>
      </c>
      <c r="AM404" s="61" t="s">
        <v>3441</v>
      </c>
      <c r="AN404" s="490"/>
      <c r="AO404" s="490"/>
      <c r="AP404" s="61"/>
    </row>
    <row r="405" spans="1:42" ht="15" customHeight="1" x14ac:dyDescent="0.2">
      <c r="A405" s="61">
        <v>404</v>
      </c>
      <c r="B405" s="61" t="s">
        <v>472</v>
      </c>
      <c r="C405" s="61" t="s">
        <v>294</v>
      </c>
      <c r="D405" s="61" t="s">
        <v>2869</v>
      </c>
      <c r="E405" s="61" t="s">
        <v>2231</v>
      </c>
      <c r="F405" s="61" t="s">
        <v>784</v>
      </c>
      <c r="G405" s="61" t="s">
        <v>34</v>
      </c>
      <c r="H405" s="61" t="s">
        <v>835</v>
      </c>
      <c r="I405" s="61" t="s">
        <v>4270</v>
      </c>
      <c r="J405" s="61" t="s">
        <v>613</v>
      </c>
      <c r="K405" s="61" t="s">
        <v>1011</v>
      </c>
      <c r="L405" s="61" t="s">
        <v>2066</v>
      </c>
      <c r="M405" s="61" t="s">
        <v>2067</v>
      </c>
      <c r="N405" s="61" t="s">
        <v>294</v>
      </c>
      <c r="O405" s="61" t="s">
        <v>305</v>
      </c>
      <c r="P405" s="61" t="s">
        <v>2190</v>
      </c>
      <c r="Q405" s="61" t="s">
        <v>3501</v>
      </c>
      <c r="R405" s="61" t="s">
        <v>828</v>
      </c>
      <c r="S405" s="61" t="s">
        <v>2244</v>
      </c>
      <c r="T405" s="61">
        <v>115.4</v>
      </c>
      <c r="U405" s="61" t="s">
        <v>858</v>
      </c>
      <c r="V405" s="61" t="s">
        <v>2068</v>
      </c>
      <c r="W405" s="61" t="s">
        <v>2069</v>
      </c>
      <c r="X405" s="61" t="s">
        <v>3502</v>
      </c>
      <c r="Y405" s="61" t="s">
        <v>2068</v>
      </c>
      <c r="Z405" s="61" t="s">
        <v>2069</v>
      </c>
      <c r="AA405" s="61" t="s">
        <v>3502</v>
      </c>
      <c r="AB405" s="61" t="s">
        <v>34</v>
      </c>
      <c r="AC405" s="61" t="s">
        <v>830</v>
      </c>
      <c r="AD405" s="61" t="s">
        <v>831</v>
      </c>
      <c r="AE405" s="61" t="s">
        <v>612</v>
      </c>
      <c r="AF405" s="61" t="s">
        <v>2054</v>
      </c>
      <c r="AG405" s="61" t="s">
        <v>34</v>
      </c>
      <c r="AH405" s="61" t="s">
        <v>34</v>
      </c>
      <c r="AI405" s="61" t="s">
        <v>34</v>
      </c>
      <c r="AJ405" s="61" t="s">
        <v>34</v>
      </c>
      <c r="AK405" s="61" t="s">
        <v>832</v>
      </c>
      <c r="AL405" s="61" t="s">
        <v>34</v>
      </c>
      <c r="AM405" s="61" t="s">
        <v>3441</v>
      </c>
      <c r="AN405" s="490">
        <v>0</v>
      </c>
      <c r="AO405" s="490">
        <v>0</v>
      </c>
      <c r="AP405" s="61"/>
    </row>
    <row r="406" spans="1:42" ht="15" customHeight="1" x14ac:dyDescent="0.2">
      <c r="A406" s="61">
        <v>405</v>
      </c>
      <c r="B406" s="61" t="s">
        <v>472</v>
      </c>
      <c r="C406" s="61" t="s">
        <v>3621</v>
      </c>
      <c r="D406" s="61" t="s">
        <v>3622</v>
      </c>
      <c r="E406" s="61" t="s">
        <v>2231</v>
      </c>
      <c r="F406" s="61" t="s">
        <v>784</v>
      </c>
      <c r="G406" s="61" t="s">
        <v>34</v>
      </c>
      <c r="H406" s="61" t="s">
        <v>835</v>
      </c>
      <c r="I406" s="61" t="s">
        <v>4314</v>
      </c>
      <c r="J406" s="61" t="s">
        <v>823</v>
      </c>
      <c r="K406" s="61" t="s">
        <v>1011</v>
      </c>
      <c r="L406" s="61" t="s">
        <v>2066</v>
      </c>
      <c r="M406" s="61" t="s">
        <v>2067</v>
      </c>
      <c r="N406" s="61" t="s">
        <v>294</v>
      </c>
      <c r="O406" s="61" t="s">
        <v>4315</v>
      </c>
      <c r="P406" s="61" t="s">
        <v>2243</v>
      </c>
      <c r="Q406" s="61" t="s">
        <v>3501</v>
      </c>
      <c r="R406" s="61" t="s">
        <v>828</v>
      </c>
      <c r="S406" s="61" t="s">
        <v>2244</v>
      </c>
      <c r="T406" s="61">
        <v>115.4</v>
      </c>
      <c r="U406" s="61" t="s">
        <v>858</v>
      </c>
      <c r="V406" s="61" t="s">
        <v>2068</v>
      </c>
      <c r="W406" s="61" t="s">
        <v>2069</v>
      </c>
      <c r="X406" s="61" t="s">
        <v>3502</v>
      </c>
      <c r="Y406" s="61" t="s">
        <v>2068</v>
      </c>
      <c r="Z406" s="61" t="s">
        <v>2069</v>
      </c>
      <c r="AA406" s="61" t="s">
        <v>3502</v>
      </c>
      <c r="AB406" s="61" t="s">
        <v>34</v>
      </c>
      <c r="AC406" s="61" t="s">
        <v>830</v>
      </c>
      <c r="AD406" s="61" t="s">
        <v>831</v>
      </c>
      <c r="AE406" s="61" t="s">
        <v>612</v>
      </c>
      <c r="AF406" s="61" t="s">
        <v>2054</v>
      </c>
      <c r="AG406" s="61" t="s">
        <v>34</v>
      </c>
      <c r="AH406" s="61" t="s">
        <v>34</v>
      </c>
      <c r="AI406" s="61" t="s">
        <v>34</v>
      </c>
      <c r="AJ406" s="61" t="s">
        <v>34</v>
      </c>
      <c r="AK406" s="61" t="s">
        <v>832</v>
      </c>
      <c r="AL406" s="61" t="s">
        <v>34</v>
      </c>
      <c r="AM406" s="61" t="s">
        <v>3441</v>
      </c>
      <c r="AN406" s="490"/>
      <c r="AO406" s="490"/>
      <c r="AP406" s="61"/>
    </row>
    <row r="407" spans="1:42" ht="15" customHeight="1" x14ac:dyDescent="0.2">
      <c r="A407" s="61">
        <v>406</v>
      </c>
      <c r="B407" s="61" t="s">
        <v>472</v>
      </c>
      <c r="C407" s="61" t="s">
        <v>704</v>
      </c>
      <c r="D407" s="61" t="s">
        <v>2870</v>
      </c>
      <c r="E407" s="61" t="s">
        <v>2231</v>
      </c>
      <c r="F407" s="61" t="s">
        <v>784</v>
      </c>
      <c r="G407" s="61" t="s">
        <v>34</v>
      </c>
      <c r="H407" s="61" t="s">
        <v>835</v>
      </c>
      <c r="I407" s="61" t="s">
        <v>4270</v>
      </c>
      <c r="J407" s="61" t="s">
        <v>613</v>
      </c>
      <c r="K407" s="61" t="s">
        <v>704</v>
      </c>
      <c r="L407" s="61" t="s">
        <v>2037</v>
      </c>
      <c r="M407" s="61">
        <v>639997</v>
      </c>
      <c r="N407" s="61" t="s">
        <v>704</v>
      </c>
      <c r="O407" s="61" t="s">
        <v>1106</v>
      </c>
      <c r="P407" s="61" t="s">
        <v>3234</v>
      </c>
      <c r="Q407" s="61" t="s">
        <v>2170</v>
      </c>
      <c r="R407" s="61" t="s">
        <v>892</v>
      </c>
      <c r="S407" s="61" t="s">
        <v>2232</v>
      </c>
      <c r="T407" s="61">
        <v>3.8</v>
      </c>
      <c r="U407" s="61" t="s">
        <v>687</v>
      </c>
      <c r="V407" s="61" t="s">
        <v>2038</v>
      </c>
      <c r="W407" s="61">
        <v>639997</v>
      </c>
      <c r="X407" s="61" t="s">
        <v>2039</v>
      </c>
      <c r="Y407" s="61" t="s">
        <v>108</v>
      </c>
      <c r="Z407" s="61" t="s">
        <v>108</v>
      </c>
      <c r="AA407" s="61" t="s">
        <v>108</v>
      </c>
      <c r="AB407" s="61" t="s">
        <v>2040</v>
      </c>
      <c r="AC407" s="61" t="s">
        <v>830</v>
      </c>
      <c r="AD407" s="61" t="s">
        <v>831</v>
      </c>
      <c r="AE407" s="61" t="s">
        <v>612</v>
      </c>
      <c r="AF407" s="61" t="s">
        <v>34</v>
      </c>
      <c r="AG407" s="61" t="s">
        <v>34</v>
      </c>
      <c r="AH407" s="61" t="s">
        <v>34</v>
      </c>
      <c r="AI407" s="61" t="s">
        <v>34</v>
      </c>
      <c r="AJ407" s="61" t="s">
        <v>34</v>
      </c>
      <c r="AK407" s="61" t="s">
        <v>832</v>
      </c>
      <c r="AL407" s="61" t="s">
        <v>34</v>
      </c>
      <c r="AM407" s="61" t="s">
        <v>3441</v>
      </c>
      <c r="AN407" s="490">
        <v>0</v>
      </c>
      <c r="AO407" s="490">
        <v>0</v>
      </c>
      <c r="AP407" s="61"/>
    </row>
    <row r="408" spans="1:42" ht="15" customHeight="1" x14ac:dyDescent="0.2">
      <c r="A408" s="61">
        <v>407</v>
      </c>
      <c r="B408" s="61" t="s">
        <v>472</v>
      </c>
      <c r="C408" s="61" t="s">
        <v>681</v>
      </c>
      <c r="D408" s="61" t="s">
        <v>2871</v>
      </c>
      <c r="E408" s="61" t="s">
        <v>2231</v>
      </c>
      <c r="F408" s="61" t="s">
        <v>784</v>
      </c>
      <c r="G408" s="61" t="s">
        <v>34</v>
      </c>
      <c r="H408" s="61" t="s">
        <v>835</v>
      </c>
      <c r="I408" s="61" t="s">
        <v>4270</v>
      </c>
      <c r="J408" s="61" t="s">
        <v>613</v>
      </c>
      <c r="K408" s="61" t="s">
        <v>921</v>
      </c>
      <c r="L408" s="61" t="s">
        <v>2051</v>
      </c>
      <c r="M408" s="61">
        <v>89786</v>
      </c>
      <c r="N408" s="61" t="s">
        <v>681</v>
      </c>
      <c r="O408" s="61" t="s">
        <v>1106</v>
      </c>
      <c r="P408" s="61" t="s">
        <v>2235</v>
      </c>
      <c r="Q408" s="61" t="s">
        <v>2237</v>
      </c>
      <c r="R408" s="61" t="s">
        <v>828</v>
      </c>
      <c r="S408" s="61" t="s">
        <v>2236</v>
      </c>
      <c r="T408" s="61">
        <v>0.37</v>
      </c>
      <c r="U408" s="61" t="s">
        <v>687</v>
      </c>
      <c r="V408" s="61" t="s">
        <v>1130</v>
      </c>
      <c r="W408" s="61" t="s">
        <v>2052</v>
      </c>
      <c r="X408" s="61" t="s">
        <v>829</v>
      </c>
      <c r="Y408" s="61" t="s">
        <v>108</v>
      </c>
      <c r="Z408" s="61" t="s">
        <v>108</v>
      </c>
      <c r="AA408" s="61" t="s">
        <v>108</v>
      </c>
      <c r="AB408" s="61" t="s">
        <v>2053</v>
      </c>
      <c r="AC408" s="61" t="s">
        <v>830</v>
      </c>
      <c r="AD408" s="61" t="s">
        <v>831</v>
      </c>
      <c r="AE408" s="61" t="s">
        <v>612</v>
      </c>
      <c r="AF408" s="61">
        <v>5</v>
      </c>
      <c r="AG408" s="61">
        <v>87</v>
      </c>
      <c r="AH408" s="61">
        <v>14</v>
      </c>
      <c r="AI408" s="61" t="s">
        <v>34</v>
      </c>
      <c r="AJ408" s="61" t="s">
        <v>34</v>
      </c>
      <c r="AK408" s="61" t="s">
        <v>832</v>
      </c>
      <c r="AL408" s="61" t="s">
        <v>34</v>
      </c>
      <c r="AM408" s="61" t="s">
        <v>3441</v>
      </c>
      <c r="AN408" s="490">
        <v>0</v>
      </c>
      <c r="AO408" s="490">
        <v>0</v>
      </c>
      <c r="AP408" s="61"/>
    </row>
    <row r="409" spans="1:42" ht="15" customHeight="1" x14ac:dyDescent="0.2">
      <c r="A409" s="61">
        <v>408</v>
      </c>
      <c r="B409" s="61" t="s">
        <v>472</v>
      </c>
      <c r="C409" s="61" t="s">
        <v>682</v>
      </c>
      <c r="D409" s="61" t="s">
        <v>2872</v>
      </c>
      <c r="E409" s="61" t="s">
        <v>2231</v>
      </c>
      <c r="F409" s="61" t="s">
        <v>784</v>
      </c>
      <c r="G409" s="61" t="s">
        <v>34</v>
      </c>
      <c r="H409" s="61" t="s">
        <v>835</v>
      </c>
      <c r="I409" s="61" t="s">
        <v>4270</v>
      </c>
      <c r="J409" s="61" t="s">
        <v>613</v>
      </c>
      <c r="K409" s="61" t="s">
        <v>921</v>
      </c>
      <c r="L409" s="61" t="s">
        <v>2051</v>
      </c>
      <c r="M409" s="61">
        <v>1111556</v>
      </c>
      <c r="N409" s="61" t="s">
        <v>682</v>
      </c>
      <c r="O409" s="61" t="s">
        <v>1106</v>
      </c>
      <c r="P409" s="61" t="s">
        <v>2235</v>
      </c>
      <c r="Q409" s="61" t="s">
        <v>2237</v>
      </c>
      <c r="R409" s="61" t="s">
        <v>828</v>
      </c>
      <c r="S409" s="61" t="s">
        <v>2236</v>
      </c>
      <c r="T409" s="61">
        <v>0.37</v>
      </c>
      <c r="U409" s="61" t="s">
        <v>687</v>
      </c>
      <c r="V409" s="61" t="s">
        <v>1130</v>
      </c>
      <c r="W409" s="61" t="s">
        <v>2054</v>
      </c>
      <c r="X409" s="61" t="s">
        <v>829</v>
      </c>
      <c r="Y409" s="61" t="s">
        <v>108</v>
      </c>
      <c r="Z409" s="61" t="s">
        <v>108</v>
      </c>
      <c r="AA409" s="61" t="s">
        <v>108</v>
      </c>
      <c r="AB409" s="61" t="s">
        <v>2053</v>
      </c>
      <c r="AC409" s="61" t="s">
        <v>830</v>
      </c>
      <c r="AD409" s="61" t="s">
        <v>831</v>
      </c>
      <c r="AE409" s="61" t="s">
        <v>612</v>
      </c>
      <c r="AF409" s="61" t="s">
        <v>3907</v>
      </c>
      <c r="AG409" s="61" t="s">
        <v>34</v>
      </c>
      <c r="AH409" s="61" t="s">
        <v>34</v>
      </c>
      <c r="AI409" s="61" t="s">
        <v>34</v>
      </c>
      <c r="AJ409" s="61" t="s">
        <v>34</v>
      </c>
      <c r="AK409" s="61" t="s">
        <v>832</v>
      </c>
      <c r="AL409" s="61" t="s">
        <v>34</v>
      </c>
      <c r="AM409" s="61" t="s">
        <v>3441</v>
      </c>
      <c r="AN409" s="490">
        <v>0</v>
      </c>
      <c r="AO409" s="490">
        <v>0</v>
      </c>
      <c r="AP409" s="61"/>
    </row>
    <row r="410" spans="1:42" ht="15" customHeight="1" x14ac:dyDescent="0.2">
      <c r="A410" s="61">
        <v>409</v>
      </c>
      <c r="B410" s="61" t="s">
        <v>472</v>
      </c>
      <c r="C410" s="61" t="s">
        <v>476</v>
      </c>
      <c r="D410" s="61" t="s">
        <v>2873</v>
      </c>
      <c r="E410" s="61" t="s">
        <v>2231</v>
      </c>
      <c r="F410" s="61" t="s">
        <v>784</v>
      </c>
      <c r="G410" s="61" t="s">
        <v>34</v>
      </c>
      <c r="H410" s="61" t="s">
        <v>835</v>
      </c>
      <c r="I410" s="61" t="s">
        <v>4270</v>
      </c>
      <c r="J410" s="61" t="s">
        <v>823</v>
      </c>
      <c r="K410" s="61" t="s">
        <v>839</v>
      </c>
      <c r="L410" s="61" t="s">
        <v>2063</v>
      </c>
      <c r="M410" s="61" t="s">
        <v>476</v>
      </c>
      <c r="N410" s="61" t="s">
        <v>476</v>
      </c>
      <c r="O410" s="61" t="s">
        <v>305</v>
      </c>
      <c r="P410" s="61" t="s">
        <v>1648</v>
      </c>
      <c r="Q410" s="61" t="s">
        <v>911</v>
      </c>
      <c r="R410" s="61" t="s">
        <v>828</v>
      </c>
      <c r="S410" s="61" t="s">
        <v>2242</v>
      </c>
      <c r="T410" s="61">
        <v>264.39999999999998</v>
      </c>
      <c r="U410" s="61" t="s">
        <v>687</v>
      </c>
      <c r="V410" s="61" t="s">
        <v>1110</v>
      </c>
      <c r="W410" s="61">
        <v>6233</v>
      </c>
      <c r="X410" s="61" t="s">
        <v>829</v>
      </c>
      <c r="Y410" s="61" t="s">
        <v>1174</v>
      </c>
      <c r="Z410" s="61" t="s">
        <v>2064</v>
      </c>
      <c r="AA410" s="61" t="s">
        <v>829</v>
      </c>
      <c r="AB410" s="61" t="s">
        <v>2065</v>
      </c>
      <c r="AC410" s="61" t="s">
        <v>830</v>
      </c>
      <c r="AD410" s="61" t="s">
        <v>831</v>
      </c>
      <c r="AE410" s="61" t="s">
        <v>612</v>
      </c>
      <c r="AF410" s="61" t="s">
        <v>34</v>
      </c>
      <c r="AG410" s="61" t="s">
        <v>34</v>
      </c>
      <c r="AH410" s="61" t="s">
        <v>34</v>
      </c>
      <c r="AI410" s="61" t="s">
        <v>34</v>
      </c>
      <c r="AJ410" s="61" t="s">
        <v>34</v>
      </c>
      <c r="AK410" s="61" t="s">
        <v>832</v>
      </c>
      <c r="AL410" s="61" t="s">
        <v>34</v>
      </c>
      <c r="AM410" s="61" t="s">
        <v>3441</v>
      </c>
      <c r="AN410" s="490">
        <v>0</v>
      </c>
      <c r="AO410" s="490">
        <v>0</v>
      </c>
      <c r="AP410" s="61"/>
    </row>
    <row r="411" spans="1:42" ht="15" customHeight="1" x14ac:dyDescent="0.2">
      <c r="A411" s="61">
        <v>410</v>
      </c>
      <c r="B411" s="61" t="s">
        <v>472</v>
      </c>
      <c r="C411" s="61" t="s">
        <v>475</v>
      </c>
      <c r="D411" s="61" t="s">
        <v>2874</v>
      </c>
      <c r="E411" s="61" t="s">
        <v>2231</v>
      </c>
      <c r="F411" s="61" t="s">
        <v>784</v>
      </c>
      <c r="G411" s="61" t="s">
        <v>34</v>
      </c>
      <c r="H411" s="61" t="s">
        <v>835</v>
      </c>
      <c r="I411" s="61" t="s">
        <v>4270</v>
      </c>
      <c r="J411" s="61" t="s">
        <v>823</v>
      </c>
      <c r="K411" s="61" t="s">
        <v>2055</v>
      </c>
      <c r="L411" s="61" t="s">
        <v>2056</v>
      </c>
      <c r="M411" s="61">
        <v>64583</v>
      </c>
      <c r="N411" s="61" t="s">
        <v>475</v>
      </c>
      <c r="O411" s="61" t="s">
        <v>305</v>
      </c>
      <c r="P411" s="61" t="s">
        <v>2238</v>
      </c>
      <c r="Q411" s="61" t="s">
        <v>911</v>
      </c>
      <c r="R411" s="61" t="s">
        <v>993</v>
      </c>
      <c r="S411" s="61" t="s">
        <v>2239</v>
      </c>
      <c r="T411" s="61">
        <v>318.7</v>
      </c>
      <c r="U411" s="61" t="s">
        <v>687</v>
      </c>
      <c r="V411" s="61" t="s">
        <v>2057</v>
      </c>
      <c r="W411" s="61" t="s">
        <v>3436</v>
      </c>
      <c r="X411" s="61" t="s">
        <v>829</v>
      </c>
      <c r="Y411" s="61" t="s">
        <v>1264</v>
      </c>
      <c r="Z411" s="61" t="s">
        <v>3726</v>
      </c>
      <c r="AA411" s="61" t="s">
        <v>829</v>
      </c>
      <c r="AB411" s="61" t="s">
        <v>34</v>
      </c>
      <c r="AC411" s="61" t="s">
        <v>830</v>
      </c>
      <c r="AD411" s="61" t="s">
        <v>831</v>
      </c>
      <c r="AE411" s="61" t="s">
        <v>612</v>
      </c>
      <c r="AF411" s="61" t="s">
        <v>2531</v>
      </c>
      <c r="AG411" s="61">
        <v>0.66</v>
      </c>
      <c r="AH411" s="61">
        <v>0.5</v>
      </c>
      <c r="AI411" s="61" t="s">
        <v>2598</v>
      </c>
      <c r="AJ411" s="61" t="s">
        <v>34</v>
      </c>
      <c r="AK411" s="61" t="s">
        <v>832</v>
      </c>
      <c r="AL411" s="61" t="s">
        <v>34</v>
      </c>
      <c r="AM411" s="61" t="s">
        <v>3441</v>
      </c>
      <c r="AN411" s="490">
        <v>0</v>
      </c>
      <c r="AO411" s="490">
        <v>0</v>
      </c>
      <c r="AP411" s="61"/>
    </row>
    <row r="412" spans="1:42" ht="15" customHeight="1" x14ac:dyDescent="0.2">
      <c r="A412" s="61">
        <v>411</v>
      </c>
      <c r="B412" s="61" t="s">
        <v>472</v>
      </c>
      <c r="C412" s="61" t="s">
        <v>705</v>
      </c>
      <c r="D412" s="61" t="s">
        <v>2875</v>
      </c>
      <c r="E412" s="61" t="s">
        <v>2231</v>
      </c>
      <c r="F412" s="61" t="s">
        <v>784</v>
      </c>
      <c r="G412" s="61" t="s">
        <v>34</v>
      </c>
      <c r="H412" s="61" t="s">
        <v>835</v>
      </c>
      <c r="I412" s="61" t="s">
        <v>4270</v>
      </c>
      <c r="J412" s="61" t="s">
        <v>823</v>
      </c>
      <c r="K412" s="61" t="s">
        <v>670</v>
      </c>
      <c r="L412" s="61" t="s">
        <v>2041</v>
      </c>
      <c r="M412" s="61">
        <v>27265</v>
      </c>
      <c r="N412" s="61" t="s">
        <v>705</v>
      </c>
      <c r="O412" s="61" t="s">
        <v>1106</v>
      </c>
      <c r="P412" s="61" t="s">
        <v>3259</v>
      </c>
      <c r="Q412" s="61" t="s">
        <v>3115</v>
      </c>
      <c r="R412" s="61" t="s">
        <v>1002</v>
      </c>
      <c r="S412" s="61" t="s">
        <v>2233</v>
      </c>
      <c r="T412" s="61">
        <v>67.400000000000006</v>
      </c>
      <c r="U412" s="61" t="s">
        <v>687</v>
      </c>
      <c r="V412" s="61" t="s">
        <v>2042</v>
      </c>
      <c r="W412" s="61" t="s">
        <v>2043</v>
      </c>
      <c r="X412" s="61" t="s">
        <v>829</v>
      </c>
      <c r="Y412" s="61" t="s">
        <v>2044</v>
      </c>
      <c r="Z412" s="61" t="s">
        <v>2045</v>
      </c>
      <c r="AA412" s="61" t="s">
        <v>829</v>
      </c>
      <c r="AB412" s="61" t="s">
        <v>34</v>
      </c>
      <c r="AC412" s="61" t="s">
        <v>830</v>
      </c>
      <c r="AD412" s="61" t="s">
        <v>831</v>
      </c>
      <c r="AE412" s="61" t="s">
        <v>612</v>
      </c>
      <c r="AF412" s="61">
        <v>20</v>
      </c>
      <c r="AG412" s="61">
        <v>0.98</v>
      </c>
      <c r="AH412" s="61">
        <v>0</v>
      </c>
      <c r="AI412" s="61" t="s">
        <v>34</v>
      </c>
      <c r="AJ412" s="61" t="s">
        <v>34</v>
      </c>
      <c r="AK412" s="61" t="s">
        <v>832</v>
      </c>
      <c r="AL412" s="61" t="s">
        <v>34</v>
      </c>
      <c r="AM412" s="61" t="s">
        <v>3441</v>
      </c>
      <c r="AN412" s="490">
        <v>0</v>
      </c>
      <c r="AO412" s="490">
        <v>0</v>
      </c>
      <c r="AP412" s="61"/>
    </row>
    <row r="413" spans="1:42" ht="15" customHeight="1" x14ac:dyDescent="0.2">
      <c r="A413" s="61">
        <v>412</v>
      </c>
      <c r="B413" s="61" t="s">
        <v>472</v>
      </c>
      <c r="C413" s="61" t="s">
        <v>3695</v>
      </c>
      <c r="D413" s="61" t="s">
        <v>3696</v>
      </c>
      <c r="E413" s="61" t="s">
        <v>2231</v>
      </c>
      <c r="F413" s="61" t="s">
        <v>784</v>
      </c>
      <c r="G413" s="61" t="s">
        <v>34</v>
      </c>
      <c r="H413" s="61" t="s">
        <v>835</v>
      </c>
      <c r="I413" s="61" t="s">
        <v>4270</v>
      </c>
      <c r="J413" s="61" t="s">
        <v>613</v>
      </c>
      <c r="K413" s="61" t="s">
        <v>3695</v>
      </c>
      <c r="L413" s="61" t="s">
        <v>3697</v>
      </c>
      <c r="M413" s="61">
        <v>19008</v>
      </c>
      <c r="N413" s="61" t="s">
        <v>3695</v>
      </c>
      <c r="O413" s="61" t="s">
        <v>1106</v>
      </c>
      <c r="P413" s="61" t="s">
        <v>3698</v>
      </c>
      <c r="Q413" s="61" t="s">
        <v>911</v>
      </c>
      <c r="R413" s="61" t="s">
        <v>828</v>
      </c>
      <c r="S413" s="61" t="s">
        <v>3699</v>
      </c>
      <c r="T413" s="61">
        <v>22.2</v>
      </c>
      <c r="U413" s="61" t="s">
        <v>687</v>
      </c>
      <c r="V413" s="61" t="s">
        <v>1615</v>
      </c>
      <c r="W413" s="61" t="s">
        <v>3700</v>
      </c>
      <c r="X413" s="61" t="s">
        <v>829</v>
      </c>
      <c r="Y413" s="61" t="s">
        <v>3230</v>
      </c>
      <c r="Z413" s="61" t="s">
        <v>3701</v>
      </c>
      <c r="AA413" s="61" t="s">
        <v>829</v>
      </c>
      <c r="AB413" s="61" t="s">
        <v>3524</v>
      </c>
      <c r="AC413" s="61" t="s">
        <v>830</v>
      </c>
      <c r="AD413" s="61" t="s">
        <v>831</v>
      </c>
      <c r="AE413" s="61" t="s">
        <v>612</v>
      </c>
      <c r="AF413" s="61">
        <v>1</v>
      </c>
      <c r="AG413" s="61" t="s">
        <v>3702</v>
      </c>
      <c r="AH413" s="61" t="s">
        <v>3702</v>
      </c>
      <c r="AI413" s="61" t="s">
        <v>34</v>
      </c>
      <c r="AJ413" s="61" t="s">
        <v>34</v>
      </c>
      <c r="AK413" s="61" t="s">
        <v>832</v>
      </c>
      <c r="AL413" s="61" t="s">
        <v>34</v>
      </c>
      <c r="AM413" s="61" t="s">
        <v>3442</v>
      </c>
      <c r="AN413" s="490"/>
      <c r="AO413" s="490"/>
      <c r="AP413" s="61"/>
    </row>
    <row r="414" spans="1:42" ht="15" customHeight="1" x14ac:dyDescent="0.2">
      <c r="A414" s="61">
        <v>413</v>
      </c>
      <c r="B414" s="61" t="s">
        <v>472</v>
      </c>
      <c r="C414" s="61" t="s">
        <v>3755</v>
      </c>
      <c r="D414" s="61" t="s">
        <v>3756</v>
      </c>
      <c r="E414" s="61" t="s">
        <v>2231</v>
      </c>
      <c r="F414" s="61" t="s">
        <v>784</v>
      </c>
      <c r="G414" s="61" t="s">
        <v>34</v>
      </c>
      <c r="H414" s="61" t="s">
        <v>835</v>
      </c>
      <c r="I414" s="61" t="s">
        <v>4270</v>
      </c>
      <c r="J414" s="61" t="s">
        <v>613</v>
      </c>
      <c r="K414" s="61" t="s">
        <v>3755</v>
      </c>
      <c r="L414" s="61" t="s">
        <v>3517</v>
      </c>
      <c r="M414" s="61" t="s">
        <v>3518</v>
      </c>
      <c r="N414" s="61" t="s">
        <v>3755</v>
      </c>
      <c r="O414" s="61" t="s">
        <v>1106</v>
      </c>
      <c r="P414" s="61" t="s">
        <v>3519</v>
      </c>
      <c r="Q414" s="61" t="s">
        <v>911</v>
      </c>
      <c r="R414" s="61" t="s">
        <v>3520</v>
      </c>
      <c r="S414" s="61" t="s">
        <v>3521</v>
      </c>
      <c r="T414" s="61">
        <v>306.94</v>
      </c>
      <c r="U414" s="61" t="s">
        <v>687</v>
      </c>
      <c r="V414" s="61" t="s">
        <v>3522</v>
      </c>
      <c r="W414" s="61" t="s">
        <v>3523</v>
      </c>
      <c r="X414" s="61" t="s">
        <v>829</v>
      </c>
      <c r="Y414" s="61" t="s">
        <v>108</v>
      </c>
      <c r="Z414" s="61" t="s">
        <v>108</v>
      </c>
      <c r="AA414" s="61" t="s">
        <v>108</v>
      </c>
      <c r="AB414" s="61" t="s">
        <v>3524</v>
      </c>
      <c r="AC414" s="61" t="s">
        <v>830</v>
      </c>
      <c r="AD414" s="61" t="s">
        <v>831</v>
      </c>
      <c r="AE414" s="61" t="s">
        <v>612</v>
      </c>
      <c r="AF414" s="61" t="s">
        <v>108</v>
      </c>
      <c r="AG414" s="61" t="s">
        <v>34</v>
      </c>
      <c r="AH414" s="61" t="s">
        <v>34</v>
      </c>
      <c r="AI414" s="61" t="s">
        <v>34</v>
      </c>
      <c r="AJ414" s="61" t="s">
        <v>34</v>
      </c>
      <c r="AK414" s="61" t="s">
        <v>832</v>
      </c>
      <c r="AL414" s="61" t="s">
        <v>34</v>
      </c>
      <c r="AM414" s="61" t="s">
        <v>3441</v>
      </c>
      <c r="AN414" s="490"/>
      <c r="AO414" s="490"/>
      <c r="AP414" s="61"/>
    </row>
    <row r="415" spans="1:42" x14ac:dyDescent="0.2">
      <c r="A415" s="61">
        <v>414</v>
      </c>
      <c r="B415" s="61" t="s">
        <v>472</v>
      </c>
      <c r="C415" s="61" t="s">
        <v>3515</v>
      </c>
      <c r="D415" s="61" t="s">
        <v>3516</v>
      </c>
      <c r="E415" s="61" t="s">
        <v>2231</v>
      </c>
      <c r="F415" s="61" t="s">
        <v>784</v>
      </c>
      <c r="G415" s="61" t="s">
        <v>34</v>
      </c>
      <c r="H415" s="61" t="s">
        <v>835</v>
      </c>
      <c r="I415" s="61" t="s">
        <v>4270</v>
      </c>
      <c r="J415" s="61" t="s">
        <v>613</v>
      </c>
      <c r="K415" s="61" t="s">
        <v>3515</v>
      </c>
      <c r="L415" s="61" t="s">
        <v>3517</v>
      </c>
      <c r="M415" s="61" t="s">
        <v>3518</v>
      </c>
      <c r="N415" s="61" t="s">
        <v>3515</v>
      </c>
      <c r="O415" s="61" t="s">
        <v>1106</v>
      </c>
      <c r="P415" s="61" t="s">
        <v>3519</v>
      </c>
      <c r="Q415" s="61" t="s">
        <v>911</v>
      </c>
      <c r="R415" s="61" t="s">
        <v>3520</v>
      </c>
      <c r="S415" s="61" t="s">
        <v>3521</v>
      </c>
      <c r="T415" s="61">
        <v>306.94</v>
      </c>
      <c r="U415" s="61" t="s">
        <v>687</v>
      </c>
      <c r="V415" s="61" t="s">
        <v>3522</v>
      </c>
      <c r="W415" s="61" t="s">
        <v>3523</v>
      </c>
      <c r="X415" s="61" t="s">
        <v>829</v>
      </c>
      <c r="Y415" s="61" t="s">
        <v>108</v>
      </c>
      <c r="Z415" s="61" t="s">
        <v>108</v>
      </c>
      <c r="AA415" s="61" t="s">
        <v>108</v>
      </c>
      <c r="AB415" s="61" t="s">
        <v>3524</v>
      </c>
      <c r="AC415" s="61" t="s">
        <v>830</v>
      </c>
      <c r="AD415" s="61" t="s">
        <v>831</v>
      </c>
      <c r="AE415" s="61" t="s">
        <v>612</v>
      </c>
      <c r="AF415" s="61" t="s">
        <v>108</v>
      </c>
      <c r="AG415" s="61" t="s">
        <v>34</v>
      </c>
      <c r="AH415" s="61" t="s">
        <v>34</v>
      </c>
      <c r="AI415" s="61" t="s">
        <v>34</v>
      </c>
      <c r="AJ415" s="61" t="s">
        <v>34</v>
      </c>
      <c r="AK415" s="61" t="s">
        <v>832</v>
      </c>
      <c r="AL415" s="61" t="s">
        <v>34</v>
      </c>
      <c r="AM415" s="61" t="s">
        <v>3441</v>
      </c>
      <c r="AN415" s="490">
        <v>0</v>
      </c>
      <c r="AO415" s="490">
        <v>0</v>
      </c>
      <c r="AP415" s="61"/>
    </row>
    <row r="416" spans="1:42" x14ac:dyDescent="0.2">
      <c r="A416" s="61">
        <v>415</v>
      </c>
      <c r="B416" s="61" t="s">
        <v>472</v>
      </c>
      <c r="C416" s="61" t="s">
        <v>3013</v>
      </c>
      <c r="D416" s="61" t="s">
        <v>3014</v>
      </c>
      <c r="E416" s="61" t="s">
        <v>2231</v>
      </c>
      <c r="F416" s="61" t="s">
        <v>784</v>
      </c>
      <c r="G416" s="61" t="s">
        <v>34</v>
      </c>
      <c r="H416" s="61" t="s">
        <v>835</v>
      </c>
      <c r="I416" s="61" t="s">
        <v>4270</v>
      </c>
      <c r="J416" s="61" t="s">
        <v>613</v>
      </c>
      <c r="K416" s="61" t="s">
        <v>1616</v>
      </c>
      <c r="L416" s="61" t="s">
        <v>3015</v>
      </c>
      <c r="M416" s="61">
        <v>113240809</v>
      </c>
      <c r="N416" s="61" t="s">
        <v>3013</v>
      </c>
      <c r="O416" s="61" t="s">
        <v>305</v>
      </c>
      <c r="P416" s="61" t="s">
        <v>3016</v>
      </c>
      <c r="Q416" s="61" t="s">
        <v>911</v>
      </c>
      <c r="R416" s="61" t="s">
        <v>828</v>
      </c>
      <c r="S416" s="61" t="s">
        <v>1245</v>
      </c>
      <c r="T416" s="61">
        <v>18</v>
      </c>
      <c r="U416" s="61" t="s">
        <v>687</v>
      </c>
      <c r="V416" s="61" t="s">
        <v>3017</v>
      </c>
      <c r="W416" s="61">
        <v>113240809</v>
      </c>
      <c r="X416" s="61" t="s">
        <v>937</v>
      </c>
      <c r="Y416" s="61" t="s">
        <v>108</v>
      </c>
      <c r="Z416" s="61" t="s">
        <v>108</v>
      </c>
      <c r="AA416" s="61" t="s">
        <v>108</v>
      </c>
      <c r="AB416" s="61" t="s">
        <v>899</v>
      </c>
      <c r="AC416" s="61" t="s">
        <v>830</v>
      </c>
      <c r="AD416" s="61" t="s">
        <v>3018</v>
      </c>
      <c r="AE416" s="61" t="s">
        <v>612</v>
      </c>
      <c r="AF416" s="61">
        <v>10</v>
      </c>
      <c r="AG416" s="61">
        <v>5</v>
      </c>
      <c r="AH416" s="61">
        <v>1.1499999999999999</v>
      </c>
      <c r="AI416" s="61" t="s">
        <v>34</v>
      </c>
      <c r="AJ416" s="61" t="s">
        <v>34</v>
      </c>
      <c r="AK416" s="61" t="s">
        <v>832</v>
      </c>
      <c r="AL416" s="61" t="s">
        <v>34</v>
      </c>
      <c r="AM416" s="61" t="s">
        <v>3441</v>
      </c>
      <c r="AN416" s="490">
        <v>0</v>
      </c>
      <c r="AO416" s="490">
        <v>0</v>
      </c>
      <c r="AP416" s="61"/>
    </row>
    <row r="417" spans="1:88" x14ac:dyDescent="0.2">
      <c r="A417" s="61">
        <v>416</v>
      </c>
      <c r="B417" s="61" t="s">
        <v>472</v>
      </c>
      <c r="C417" s="61" t="s">
        <v>654</v>
      </c>
      <c r="D417" s="61" t="s">
        <v>2876</v>
      </c>
      <c r="E417" s="61" t="s">
        <v>2231</v>
      </c>
      <c r="F417" s="61" t="s">
        <v>784</v>
      </c>
      <c r="G417" s="61" t="s">
        <v>34</v>
      </c>
      <c r="H417" s="61" t="s">
        <v>835</v>
      </c>
      <c r="I417" s="61" t="s">
        <v>4270</v>
      </c>
      <c r="J417" s="61" t="s">
        <v>613</v>
      </c>
      <c r="K417" s="61" t="s">
        <v>839</v>
      </c>
      <c r="L417" s="61" t="s">
        <v>1616</v>
      </c>
      <c r="M417" s="61" t="s">
        <v>2046</v>
      </c>
      <c r="N417" s="61" t="s">
        <v>654</v>
      </c>
      <c r="O417" s="61" t="s">
        <v>1106</v>
      </c>
      <c r="P417" s="61" t="s">
        <v>3630</v>
      </c>
      <c r="Q417" s="61" t="s">
        <v>1318</v>
      </c>
      <c r="R417" s="61" t="s">
        <v>993</v>
      </c>
      <c r="S417" s="61" t="s">
        <v>2234</v>
      </c>
      <c r="T417" s="61">
        <v>2893</v>
      </c>
      <c r="U417" s="61" t="s">
        <v>687</v>
      </c>
      <c r="V417" s="61" t="s">
        <v>2047</v>
      </c>
      <c r="W417" s="61" t="s">
        <v>2048</v>
      </c>
      <c r="X417" s="61" t="s">
        <v>829</v>
      </c>
      <c r="Y417" s="61" t="s">
        <v>2049</v>
      </c>
      <c r="Z417" s="61" t="s">
        <v>962</v>
      </c>
      <c r="AA417" s="61" t="s">
        <v>829</v>
      </c>
      <c r="AB417" s="61" t="s">
        <v>2050</v>
      </c>
      <c r="AC417" s="61" t="s">
        <v>830</v>
      </c>
      <c r="AD417" s="61" t="s">
        <v>831</v>
      </c>
      <c r="AE417" s="61" t="s">
        <v>612</v>
      </c>
      <c r="AF417" s="61" t="s">
        <v>34</v>
      </c>
      <c r="AG417" s="61" t="s">
        <v>34</v>
      </c>
      <c r="AH417" s="61" t="s">
        <v>34</v>
      </c>
      <c r="AI417" s="61" t="s">
        <v>34</v>
      </c>
      <c r="AJ417" s="61" t="s">
        <v>34</v>
      </c>
      <c r="AK417" s="61" t="s">
        <v>832</v>
      </c>
      <c r="AL417" s="61" t="s">
        <v>34</v>
      </c>
      <c r="AM417" s="61" t="s">
        <v>3441</v>
      </c>
      <c r="AN417" s="490">
        <v>0</v>
      </c>
      <c r="AO417" s="490">
        <v>0</v>
      </c>
      <c r="AP417" s="61"/>
    </row>
    <row r="418" spans="1:88" s="478" customFormat="1" x14ac:dyDescent="0.2">
      <c r="A418" s="503">
        <v>417</v>
      </c>
      <c r="B418" s="61" t="s">
        <v>472</v>
      </c>
      <c r="C418" s="61" t="s">
        <v>473</v>
      </c>
      <c r="D418" s="61" t="s">
        <v>2877</v>
      </c>
      <c r="E418" s="61" t="s">
        <v>2231</v>
      </c>
      <c r="F418" s="61" t="s">
        <v>784</v>
      </c>
      <c r="G418" s="61" t="s">
        <v>34</v>
      </c>
      <c r="H418" s="61" t="s">
        <v>835</v>
      </c>
      <c r="I418" s="61" t="s">
        <v>4270</v>
      </c>
      <c r="J418" s="61" t="s">
        <v>613</v>
      </c>
      <c r="K418" s="61" t="s">
        <v>839</v>
      </c>
      <c r="L418" s="61" t="s">
        <v>1616</v>
      </c>
      <c r="M418" s="61" t="s">
        <v>2061</v>
      </c>
      <c r="N418" s="61" t="s">
        <v>473</v>
      </c>
      <c r="O418" s="61" t="s">
        <v>1106</v>
      </c>
      <c r="P418" s="61" t="s">
        <v>3908</v>
      </c>
      <c r="Q418" s="61" t="s">
        <v>911</v>
      </c>
      <c r="R418" s="61" t="s">
        <v>993</v>
      </c>
      <c r="S418" s="61" t="s">
        <v>2241</v>
      </c>
      <c r="T418" s="61">
        <v>1584</v>
      </c>
      <c r="U418" s="61" t="s">
        <v>687</v>
      </c>
      <c r="V418" s="61" t="s">
        <v>1048</v>
      </c>
      <c r="W418" s="61" t="s">
        <v>2062</v>
      </c>
      <c r="X418" s="61" t="s">
        <v>829</v>
      </c>
      <c r="Y418" s="61" t="s">
        <v>2059</v>
      </c>
      <c r="Z418" s="61" t="s">
        <v>950</v>
      </c>
      <c r="AA418" s="61" t="s">
        <v>829</v>
      </c>
      <c r="AB418" s="61" t="s">
        <v>2060</v>
      </c>
      <c r="AC418" s="61" t="s">
        <v>830</v>
      </c>
      <c r="AD418" s="61" t="s">
        <v>831</v>
      </c>
      <c r="AE418" s="61" t="s">
        <v>612</v>
      </c>
      <c r="AF418" s="61" t="s">
        <v>2054</v>
      </c>
      <c r="AG418" s="61" t="s">
        <v>34</v>
      </c>
      <c r="AH418" s="61" t="s">
        <v>34</v>
      </c>
      <c r="AI418" s="61" t="s">
        <v>34</v>
      </c>
      <c r="AJ418" s="61" t="s">
        <v>34</v>
      </c>
      <c r="AK418" s="61" t="s">
        <v>832</v>
      </c>
      <c r="AL418" s="61" t="s">
        <v>34</v>
      </c>
      <c r="AM418" s="61" t="s">
        <v>3441</v>
      </c>
      <c r="AN418" s="490">
        <v>0</v>
      </c>
      <c r="AO418" s="490">
        <v>0</v>
      </c>
      <c r="AP418" s="503"/>
      <c r="CG418"/>
    </row>
    <row r="419" spans="1:88" x14ac:dyDescent="0.2">
      <c r="A419" s="61">
        <v>418</v>
      </c>
      <c r="B419" s="61" t="s">
        <v>472</v>
      </c>
      <c r="C419" s="61" t="s">
        <v>474</v>
      </c>
      <c r="D419" s="61" t="s">
        <v>2878</v>
      </c>
      <c r="E419" s="61" t="s">
        <v>2231</v>
      </c>
      <c r="F419" s="61" t="s">
        <v>784</v>
      </c>
      <c r="G419" s="61" t="s">
        <v>34</v>
      </c>
      <c r="H419" s="61" t="s">
        <v>835</v>
      </c>
      <c r="I419" s="61" t="s">
        <v>4270</v>
      </c>
      <c r="J419" s="61" t="s">
        <v>613</v>
      </c>
      <c r="K419" s="61" t="s">
        <v>839</v>
      </c>
      <c r="L419" s="61" t="s">
        <v>1616</v>
      </c>
      <c r="M419" s="61" t="s">
        <v>2046</v>
      </c>
      <c r="N419" s="61" t="s">
        <v>474</v>
      </c>
      <c r="O419" s="61" t="s">
        <v>1106</v>
      </c>
      <c r="P419" s="61" t="s">
        <v>3909</v>
      </c>
      <c r="Q419" s="61" t="s">
        <v>1318</v>
      </c>
      <c r="R419" s="61" t="s">
        <v>993</v>
      </c>
      <c r="S419" s="61" t="s">
        <v>2240</v>
      </c>
      <c r="T419" s="61">
        <v>1254</v>
      </c>
      <c r="U419" s="61" t="s">
        <v>687</v>
      </c>
      <c r="V419" s="61" t="s">
        <v>2058</v>
      </c>
      <c r="W419" s="61" t="s">
        <v>3910</v>
      </c>
      <c r="X419" s="61" t="s">
        <v>829</v>
      </c>
      <c r="Y419" s="61" t="s">
        <v>2059</v>
      </c>
      <c r="Z419" s="61" t="s">
        <v>950</v>
      </c>
      <c r="AA419" s="61" t="s">
        <v>829</v>
      </c>
      <c r="AB419" s="61" t="s">
        <v>2060</v>
      </c>
      <c r="AC419" s="61" t="s">
        <v>830</v>
      </c>
      <c r="AD419" s="61" t="s">
        <v>831</v>
      </c>
      <c r="AE419" s="61" t="s">
        <v>612</v>
      </c>
      <c r="AF419" s="61" t="s">
        <v>2054</v>
      </c>
      <c r="AG419" s="61" t="s">
        <v>34</v>
      </c>
      <c r="AH419" s="61" t="s">
        <v>34</v>
      </c>
      <c r="AI419" s="61" t="s">
        <v>34</v>
      </c>
      <c r="AJ419" s="61" t="s">
        <v>34</v>
      </c>
      <c r="AK419" s="61" t="s">
        <v>832</v>
      </c>
      <c r="AL419" s="61" t="s">
        <v>34</v>
      </c>
      <c r="AM419" s="61" t="s">
        <v>3441</v>
      </c>
      <c r="AN419" s="490">
        <v>0</v>
      </c>
      <c r="AO419" s="490">
        <v>0</v>
      </c>
      <c r="AP419" s="61"/>
    </row>
    <row r="420" spans="1:88" ht="15" customHeight="1" x14ac:dyDescent="0.2">
      <c r="A420" s="61">
        <v>419</v>
      </c>
      <c r="B420" s="61" t="s">
        <v>477</v>
      </c>
      <c r="C420" s="61" t="s">
        <v>478</v>
      </c>
      <c r="D420" s="61" t="s">
        <v>2879</v>
      </c>
      <c r="E420" s="61" t="s">
        <v>785</v>
      </c>
      <c r="F420" s="61" t="s">
        <v>726</v>
      </c>
      <c r="G420" s="61" t="s">
        <v>34</v>
      </c>
      <c r="H420" s="61" t="s">
        <v>835</v>
      </c>
      <c r="I420" s="61" t="s">
        <v>4270</v>
      </c>
      <c r="J420" s="61" t="s">
        <v>823</v>
      </c>
      <c r="K420" s="61" t="s">
        <v>2074</v>
      </c>
      <c r="L420" s="61" t="s">
        <v>2075</v>
      </c>
      <c r="M420" s="61" t="s">
        <v>2076</v>
      </c>
      <c r="N420" s="61" t="s">
        <v>478</v>
      </c>
      <c r="O420" s="61" t="s">
        <v>4288</v>
      </c>
      <c r="P420" s="61" t="s">
        <v>2246</v>
      </c>
      <c r="Q420" s="61" t="s">
        <v>3499</v>
      </c>
      <c r="R420" s="61" t="s">
        <v>892</v>
      </c>
      <c r="S420" s="61" t="s">
        <v>2247</v>
      </c>
      <c r="T420" s="61">
        <v>0.44</v>
      </c>
      <c r="U420" s="61" t="s">
        <v>858</v>
      </c>
      <c r="V420" s="61" t="s">
        <v>2077</v>
      </c>
      <c r="W420" s="61">
        <v>4179702002</v>
      </c>
      <c r="X420" s="61" t="s">
        <v>3528</v>
      </c>
      <c r="Y420" s="61" t="s">
        <v>915</v>
      </c>
      <c r="Z420" s="61" t="s">
        <v>2078</v>
      </c>
      <c r="AA420" s="61" t="s">
        <v>3528</v>
      </c>
      <c r="AB420" s="61" t="s">
        <v>34</v>
      </c>
      <c r="AC420" s="61" t="s">
        <v>830</v>
      </c>
      <c r="AD420" s="61" t="s">
        <v>831</v>
      </c>
      <c r="AE420" s="61" t="s">
        <v>612</v>
      </c>
      <c r="AF420" s="61">
        <v>2.5</v>
      </c>
      <c r="AG420" s="61" t="s">
        <v>2532</v>
      </c>
      <c r="AH420" s="61" t="s">
        <v>34</v>
      </c>
      <c r="AI420" s="61" t="s">
        <v>34</v>
      </c>
      <c r="AJ420" s="61" t="s">
        <v>34</v>
      </c>
      <c r="AK420" s="61" t="s">
        <v>832</v>
      </c>
      <c r="AL420" s="61" t="s">
        <v>34</v>
      </c>
      <c r="AM420" s="61" t="s">
        <v>3441</v>
      </c>
      <c r="AN420" s="490">
        <v>0</v>
      </c>
      <c r="AO420" s="490">
        <v>0</v>
      </c>
      <c r="AP420" s="61"/>
    </row>
    <row r="421" spans="1:88" ht="15" customHeight="1" x14ac:dyDescent="0.2">
      <c r="A421" s="61">
        <v>420</v>
      </c>
      <c r="B421" s="61" t="s">
        <v>479</v>
      </c>
      <c r="C421" s="61" t="s">
        <v>480</v>
      </c>
      <c r="D421" s="61" t="s">
        <v>2880</v>
      </c>
      <c r="E421" s="61" t="s">
        <v>2248</v>
      </c>
      <c r="F421" s="61" t="s">
        <v>786</v>
      </c>
      <c r="G421" s="61" t="s">
        <v>34</v>
      </c>
      <c r="H421" s="61" t="s">
        <v>835</v>
      </c>
      <c r="I421" s="61" t="s">
        <v>4270</v>
      </c>
      <c r="J421" s="61" t="s">
        <v>613</v>
      </c>
      <c r="K421" s="61" t="s">
        <v>480</v>
      </c>
      <c r="L421" s="61" t="s">
        <v>2083</v>
      </c>
      <c r="M421" s="61" t="s">
        <v>2084</v>
      </c>
      <c r="N421" s="61" t="s">
        <v>480</v>
      </c>
      <c r="O421" s="61" t="s">
        <v>305</v>
      </c>
      <c r="P421" s="61" t="s">
        <v>1484</v>
      </c>
      <c r="Q421" s="61" t="s">
        <v>911</v>
      </c>
      <c r="R421" s="61" t="s">
        <v>828</v>
      </c>
      <c r="S421" s="61" t="s">
        <v>2250</v>
      </c>
      <c r="T421" s="61">
        <v>1290</v>
      </c>
      <c r="U421" s="61" t="s">
        <v>858</v>
      </c>
      <c r="V421" s="61" t="s">
        <v>1956</v>
      </c>
      <c r="W421" s="61" t="s">
        <v>2085</v>
      </c>
      <c r="X421" s="61" t="s">
        <v>829</v>
      </c>
      <c r="Y421" s="61" t="s">
        <v>915</v>
      </c>
      <c r="Z421" s="61" t="s">
        <v>2086</v>
      </c>
      <c r="AA421" s="61" t="s">
        <v>829</v>
      </c>
      <c r="AB421" s="61" t="s">
        <v>34</v>
      </c>
      <c r="AC421" s="61" t="s">
        <v>830</v>
      </c>
      <c r="AD421" s="61" t="s">
        <v>831</v>
      </c>
      <c r="AE421" s="61" t="s">
        <v>612</v>
      </c>
      <c r="AF421" s="61">
        <v>10.199999999999999</v>
      </c>
      <c r="AG421" s="61" t="s">
        <v>2533</v>
      </c>
      <c r="AH421" s="61">
        <v>1.36</v>
      </c>
      <c r="AI421" s="61" t="s">
        <v>2599</v>
      </c>
      <c r="AJ421" s="61" t="s">
        <v>34</v>
      </c>
      <c r="AK421" s="61" t="s">
        <v>832</v>
      </c>
      <c r="AL421" s="61" t="s">
        <v>34</v>
      </c>
      <c r="AM421" s="61" t="s">
        <v>3443</v>
      </c>
      <c r="AN421" s="490">
        <v>0</v>
      </c>
      <c r="AO421" s="490">
        <v>0</v>
      </c>
      <c r="AP421" s="61"/>
    </row>
    <row r="422" spans="1:88" s="368" customFormat="1" ht="15" customHeight="1" x14ac:dyDescent="0.2">
      <c r="A422" s="61">
        <v>421</v>
      </c>
      <c r="B422" s="61" t="s">
        <v>479</v>
      </c>
      <c r="C422" s="61" t="s">
        <v>4337</v>
      </c>
      <c r="D422" s="61" t="s">
        <v>4338</v>
      </c>
      <c r="E422" s="61" t="s">
        <v>2248</v>
      </c>
      <c r="F422" s="61" t="s">
        <v>786</v>
      </c>
      <c r="G422" s="61"/>
      <c r="H422" s="61" t="s">
        <v>835</v>
      </c>
      <c r="I422" s="61" t="s">
        <v>4270</v>
      </c>
      <c r="J422" s="61" t="s">
        <v>613</v>
      </c>
      <c r="K422" s="61" t="s">
        <v>2007</v>
      </c>
      <c r="L422" s="61" t="s">
        <v>4339</v>
      </c>
      <c r="M422" s="61" t="s">
        <v>4340</v>
      </c>
      <c r="N422" s="61" t="s">
        <v>4341</v>
      </c>
      <c r="O422" s="61" t="s">
        <v>305</v>
      </c>
      <c r="P422" s="61" t="s">
        <v>4342</v>
      </c>
      <c r="Q422" s="61" t="s">
        <v>911</v>
      </c>
      <c r="R422" s="61" t="s">
        <v>1002</v>
      </c>
      <c r="S422" s="61" t="s">
        <v>4343</v>
      </c>
      <c r="T422" s="61">
        <v>1959</v>
      </c>
      <c r="U422" s="61" t="s">
        <v>858</v>
      </c>
      <c r="V422" s="61" t="s">
        <v>2181</v>
      </c>
      <c r="W422" s="61" t="s">
        <v>903</v>
      </c>
      <c r="X422" s="61" t="s">
        <v>2112</v>
      </c>
      <c r="Y422" s="61" t="s">
        <v>108</v>
      </c>
      <c r="Z422" s="61" t="s">
        <v>108</v>
      </c>
      <c r="AA422" s="61" t="s">
        <v>108</v>
      </c>
      <c r="AB422" s="61" t="s">
        <v>4344</v>
      </c>
      <c r="AC422" s="61" t="s">
        <v>830</v>
      </c>
      <c r="AD422" s="61" t="s">
        <v>831</v>
      </c>
      <c r="AE422" s="61" t="s">
        <v>612</v>
      </c>
      <c r="AF422" s="61" t="s">
        <v>4345</v>
      </c>
      <c r="AG422" s="61"/>
      <c r="AH422" s="61"/>
      <c r="AI422" s="61"/>
      <c r="AJ422" s="61"/>
      <c r="AK422" s="61" t="s">
        <v>832</v>
      </c>
      <c r="AL422" s="61"/>
      <c r="AM422" s="61" t="s">
        <v>3441</v>
      </c>
      <c r="AN422" s="490">
        <v>0</v>
      </c>
      <c r="AO422" s="490">
        <v>0</v>
      </c>
      <c r="AP422" s="61"/>
      <c r="AQ422"/>
      <c r="AR422"/>
      <c r="CE422"/>
      <c r="CG422"/>
      <c r="CI422"/>
      <c r="CJ422"/>
    </row>
    <row r="423" spans="1:88" s="367" customFormat="1" ht="15" customHeight="1" x14ac:dyDescent="0.2">
      <c r="A423" s="61">
        <v>422</v>
      </c>
      <c r="B423" s="61" t="s">
        <v>479</v>
      </c>
      <c r="C423" s="61" t="s">
        <v>481</v>
      </c>
      <c r="D423" s="61" t="s">
        <v>2881</v>
      </c>
      <c r="E423" s="61" t="s">
        <v>2248</v>
      </c>
      <c r="F423" s="61" t="s">
        <v>786</v>
      </c>
      <c r="G423" s="61" t="s">
        <v>34</v>
      </c>
      <c r="H423" s="61" t="s">
        <v>835</v>
      </c>
      <c r="I423" s="61" t="s">
        <v>4270</v>
      </c>
      <c r="J423" s="61" t="s">
        <v>613</v>
      </c>
      <c r="K423" s="61" t="s">
        <v>2089</v>
      </c>
      <c r="L423" s="61" t="s">
        <v>2090</v>
      </c>
      <c r="M423" s="61" t="s">
        <v>481</v>
      </c>
      <c r="N423" s="61" t="s">
        <v>481</v>
      </c>
      <c r="O423" s="61" t="s">
        <v>305</v>
      </c>
      <c r="P423" s="61" t="s">
        <v>2252</v>
      </c>
      <c r="Q423" s="61" t="s">
        <v>911</v>
      </c>
      <c r="R423" s="61" t="s">
        <v>1002</v>
      </c>
      <c r="S423" s="61" t="s">
        <v>2253</v>
      </c>
      <c r="T423" s="61">
        <v>702</v>
      </c>
      <c r="U423" s="61" t="s">
        <v>857</v>
      </c>
      <c r="V423" s="61" t="s">
        <v>2091</v>
      </c>
      <c r="W423" s="61" t="s">
        <v>481</v>
      </c>
      <c r="X423" s="61" t="s">
        <v>988</v>
      </c>
      <c r="Y423" s="61" t="s">
        <v>108</v>
      </c>
      <c r="Z423" s="61" t="s">
        <v>108</v>
      </c>
      <c r="AA423" s="61" t="s">
        <v>108</v>
      </c>
      <c r="AB423" s="61" t="s">
        <v>2092</v>
      </c>
      <c r="AC423" s="61" t="s">
        <v>830</v>
      </c>
      <c r="AD423" s="61" t="s">
        <v>831</v>
      </c>
      <c r="AE423" s="61" t="s">
        <v>612</v>
      </c>
      <c r="AF423" s="61" t="s">
        <v>34</v>
      </c>
      <c r="AG423" s="61" t="s">
        <v>34</v>
      </c>
      <c r="AH423" s="61" t="s">
        <v>34</v>
      </c>
      <c r="AI423" s="61" t="s">
        <v>34</v>
      </c>
      <c r="AJ423" s="61" t="s">
        <v>34</v>
      </c>
      <c r="AK423" s="61" t="s">
        <v>832</v>
      </c>
      <c r="AL423" s="61" t="s">
        <v>34</v>
      </c>
      <c r="AM423" s="61" t="s">
        <v>3441</v>
      </c>
      <c r="AN423" s="490">
        <v>0</v>
      </c>
      <c r="AO423" s="490">
        <v>0</v>
      </c>
      <c r="AP423" s="61"/>
      <c r="AQ423"/>
      <c r="AR423"/>
      <c r="CE423"/>
      <c r="CG423"/>
      <c r="CI423"/>
      <c r="CJ423"/>
    </row>
    <row r="424" spans="1:88" s="368" customFormat="1" ht="15" customHeight="1" x14ac:dyDescent="0.2">
      <c r="A424" s="61">
        <v>423</v>
      </c>
      <c r="B424" s="61" t="s">
        <v>479</v>
      </c>
      <c r="C424" s="61" t="s">
        <v>482</v>
      </c>
      <c r="D424" s="61" t="s">
        <v>2882</v>
      </c>
      <c r="E424" s="61" t="s">
        <v>2248</v>
      </c>
      <c r="F424" s="61" t="s">
        <v>786</v>
      </c>
      <c r="G424" s="61" t="s">
        <v>34</v>
      </c>
      <c r="H424" s="61" t="s">
        <v>835</v>
      </c>
      <c r="I424" s="61" t="s">
        <v>4270</v>
      </c>
      <c r="J424" s="61" t="s">
        <v>613</v>
      </c>
      <c r="K424" s="61" t="s">
        <v>398</v>
      </c>
      <c r="L424" s="61" t="s">
        <v>950</v>
      </c>
      <c r="M424" s="61" t="s">
        <v>2087</v>
      </c>
      <c r="N424" s="61" t="s">
        <v>482</v>
      </c>
      <c r="O424" s="61" t="s">
        <v>1106</v>
      </c>
      <c r="P424" s="61" t="s">
        <v>1465</v>
      </c>
      <c r="Q424" s="61" t="s">
        <v>827</v>
      </c>
      <c r="R424" s="61" t="s">
        <v>828</v>
      </c>
      <c r="S424" s="61" t="s">
        <v>2251</v>
      </c>
      <c r="T424" s="61">
        <v>25.1</v>
      </c>
      <c r="U424" s="61" t="s">
        <v>857</v>
      </c>
      <c r="V424" s="61" t="s">
        <v>2080</v>
      </c>
      <c r="W424" s="61" t="s">
        <v>2088</v>
      </c>
      <c r="X424" s="61" t="s">
        <v>829</v>
      </c>
      <c r="Y424" s="61" t="s">
        <v>108</v>
      </c>
      <c r="Z424" s="61" t="s">
        <v>108</v>
      </c>
      <c r="AA424" s="61" t="s">
        <v>108</v>
      </c>
      <c r="AB424" s="61" t="s">
        <v>34</v>
      </c>
      <c r="AC424" s="61" t="s">
        <v>830</v>
      </c>
      <c r="AD424" s="61" t="s">
        <v>831</v>
      </c>
      <c r="AE424" s="61" t="s">
        <v>612</v>
      </c>
      <c r="AF424" s="61">
        <v>25</v>
      </c>
      <c r="AG424" s="61" t="s">
        <v>2534</v>
      </c>
      <c r="AH424" s="61" t="s">
        <v>2600</v>
      </c>
      <c r="AI424" s="61" t="s">
        <v>2601</v>
      </c>
      <c r="AJ424" s="61" t="s">
        <v>34</v>
      </c>
      <c r="AK424" s="61" t="s">
        <v>832</v>
      </c>
      <c r="AL424" s="61" t="s">
        <v>34</v>
      </c>
      <c r="AM424" s="61" t="s">
        <v>3441</v>
      </c>
      <c r="AN424" s="490">
        <v>0</v>
      </c>
      <c r="AO424" s="490">
        <v>0</v>
      </c>
      <c r="AP424" s="61"/>
      <c r="AQ424"/>
      <c r="AR424"/>
      <c r="CE424"/>
      <c r="CG424"/>
      <c r="CI424"/>
      <c r="CJ424"/>
    </row>
    <row r="425" spans="1:88" s="367" customFormat="1" ht="15" customHeight="1" x14ac:dyDescent="0.2">
      <c r="A425" s="61">
        <v>424</v>
      </c>
      <c r="B425" s="61" t="s">
        <v>479</v>
      </c>
      <c r="C425" s="61" t="s">
        <v>706</v>
      </c>
      <c r="D425" s="61" t="s">
        <v>2883</v>
      </c>
      <c r="E425" s="61" t="s">
        <v>2248</v>
      </c>
      <c r="F425" s="61" t="s">
        <v>786</v>
      </c>
      <c r="G425" s="61" t="s">
        <v>34</v>
      </c>
      <c r="H425" s="61" t="s">
        <v>835</v>
      </c>
      <c r="I425" s="61" t="s">
        <v>4299</v>
      </c>
      <c r="J425" s="61" t="s">
        <v>823</v>
      </c>
      <c r="K425" s="61" t="s">
        <v>2079</v>
      </c>
      <c r="L425" s="61" t="s">
        <v>962</v>
      </c>
      <c r="M425" s="61" t="s">
        <v>706</v>
      </c>
      <c r="N425" s="61" t="s">
        <v>706</v>
      </c>
      <c r="O425" s="61" t="s">
        <v>3549</v>
      </c>
      <c r="P425" s="61" t="s">
        <v>1152</v>
      </c>
      <c r="Q425" s="61" t="s">
        <v>827</v>
      </c>
      <c r="R425" s="61" t="s">
        <v>892</v>
      </c>
      <c r="S425" s="61" t="s">
        <v>2249</v>
      </c>
      <c r="T425" s="61">
        <v>177.6</v>
      </c>
      <c r="U425" s="61" t="s">
        <v>857</v>
      </c>
      <c r="V425" s="61" t="s">
        <v>2080</v>
      </c>
      <c r="W425" s="61" t="s">
        <v>2081</v>
      </c>
      <c r="X425" s="61" t="s">
        <v>911</v>
      </c>
      <c r="Y425" s="61" t="s">
        <v>108</v>
      </c>
      <c r="Z425" s="61" t="s">
        <v>108</v>
      </c>
      <c r="AA425" s="61" t="s">
        <v>108</v>
      </c>
      <c r="AB425" s="61" t="s">
        <v>2082</v>
      </c>
      <c r="AC425" s="61" t="s">
        <v>830</v>
      </c>
      <c r="AD425" s="61" t="s">
        <v>831</v>
      </c>
      <c r="AE425" s="61" t="s">
        <v>612</v>
      </c>
      <c r="AF425" s="61" t="s">
        <v>2054</v>
      </c>
      <c r="AG425" s="61" t="s">
        <v>34</v>
      </c>
      <c r="AH425" s="61" t="s">
        <v>34</v>
      </c>
      <c r="AI425" s="61" t="s">
        <v>34</v>
      </c>
      <c r="AJ425" s="61" t="s">
        <v>34</v>
      </c>
      <c r="AK425" s="61" t="s">
        <v>832</v>
      </c>
      <c r="AL425" s="61" t="s">
        <v>34</v>
      </c>
      <c r="AM425" s="61" t="s">
        <v>3441</v>
      </c>
      <c r="AN425" s="490"/>
      <c r="AO425" s="490"/>
      <c r="AP425" s="61"/>
      <c r="AQ425"/>
      <c r="AR425"/>
      <c r="CE425"/>
      <c r="CG425"/>
      <c r="CI425"/>
      <c r="CJ425"/>
    </row>
    <row r="426" spans="1:88" s="368" customFormat="1" ht="15" customHeight="1" x14ac:dyDescent="0.2">
      <c r="A426" s="61">
        <v>425</v>
      </c>
      <c r="B426" s="61" t="s">
        <v>479</v>
      </c>
      <c r="C426" s="61" t="s">
        <v>3634</v>
      </c>
      <c r="D426" s="61" t="s">
        <v>3635</v>
      </c>
      <c r="E426" s="61" t="s">
        <v>2248</v>
      </c>
      <c r="F426" s="61" t="s">
        <v>786</v>
      </c>
      <c r="G426" s="61" t="s">
        <v>34</v>
      </c>
      <c r="H426" s="61" t="s">
        <v>835</v>
      </c>
      <c r="I426" s="61" t="s">
        <v>4270</v>
      </c>
      <c r="J426" s="61" t="s">
        <v>613</v>
      </c>
      <c r="K426" s="61" t="s">
        <v>3636</v>
      </c>
      <c r="L426" s="61" t="s">
        <v>3637</v>
      </c>
      <c r="M426" s="61" t="s">
        <v>3638</v>
      </c>
      <c r="N426" s="61" t="s">
        <v>3639</v>
      </c>
      <c r="O426" s="61" t="s">
        <v>3640</v>
      </c>
      <c r="P426" s="61" t="s">
        <v>895</v>
      </c>
      <c r="Q426" s="61" t="s">
        <v>911</v>
      </c>
      <c r="R426" s="61" t="s">
        <v>828</v>
      </c>
      <c r="S426" s="61" t="s">
        <v>3641</v>
      </c>
      <c r="T426" s="61">
        <v>2340.4</v>
      </c>
      <c r="U426" s="61" t="s">
        <v>858</v>
      </c>
      <c r="V426" s="61" t="s">
        <v>1248</v>
      </c>
      <c r="W426" s="61" t="s">
        <v>3642</v>
      </c>
      <c r="X426" s="61" t="s">
        <v>829</v>
      </c>
      <c r="Y426" s="61" t="s">
        <v>3230</v>
      </c>
      <c r="Z426" s="61" t="s">
        <v>3643</v>
      </c>
      <c r="AA426" s="61" t="s">
        <v>829</v>
      </c>
      <c r="AB426" s="61" t="s">
        <v>34</v>
      </c>
      <c r="AC426" s="61" t="s">
        <v>830</v>
      </c>
      <c r="AD426" s="61" t="s">
        <v>831</v>
      </c>
      <c r="AE426" s="61" t="s">
        <v>612</v>
      </c>
      <c r="AF426" s="61" t="s">
        <v>2054</v>
      </c>
      <c r="AG426" s="61" t="s">
        <v>34</v>
      </c>
      <c r="AH426" s="61" t="s">
        <v>34</v>
      </c>
      <c r="AI426" s="61" t="s">
        <v>34</v>
      </c>
      <c r="AJ426" s="61" t="s">
        <v>34</v>
      </c>
      <c r="AK426" s="61" t="s">
        <v>832</v>
      </c>
      <c r="AL426" s="61" t="s">
        <v>34</v>
      </c>
      <c r="AM426" s="61" t="s">
        <v>3441</v>
      </c>
      <c r="AN426" s="490">
        <v>0</v>
      </c>
      <c r="AO426" s="490">
        <v>0</v>
      </c>
      <c r="AP426" s="61"/>
      <c r="AQ426"/>
      <c r="AR426"/>
      <c r="CE426"/>
      <c r="CG426"/>
      <c r="CI426"/>
      <c r="CJ426"/>
    </row>
    <row r="427" spans="1:88" s="367" customFormat="1" ht="15" customHeight="1" x14ac:dyDescent="0.2">
      <c r="A427" s="61">
        <v>426</v>
      </c>
      <c r="B427" s="61" t="s">
        <v>479</v>
      </c>
      <c r="C427" s="61" t="s">
        <v>4386</v>
      </c>
      <c r="D427" s="61" t="s">
        <v>4387</v>
      </c>
      <c r="E427" s="61" t="s">
        <v>2248</v>
      </c>
      <c r="F427" s="61" t="s">
        <v>786</v>
      </c>
      <c r="G427" s="61"/>
      <c r="H427" s="61" t="s">
        <v>835</v>
      </c>
      <c r="I427" s="61" t="s">
        <v>4270</v>
      </c>
      <c r="J427" s="61" t="s">
        <v>613</v>
      </c>
      <c r="K427" s="61" t="s">
        <v>4388</v>
      </c>
      <c r="L427" s="61" t="s">
        <v>4389</v>
      </c>
      <c r="M427" s="61" t="s">
        <v>4390</v>
      </c>
      <c r="N427" s="61" t="s">
        <v>4386</v>
      </c>
      <c r="O427" s="61" t="s">
        <v>1106</v>
      </c>
      <c r="P427" s="61" t="s">
        <v>4391</v>
      </c>
      <c r="Q427" s="61" t="s">
        <v>911</v>
      </c>
      <c r="R427" s="61" t="s">
        <v>3416</v>
      </c>
      <c r="S427" s="61" t="s">
        <v>4392</v>
      </c>
      <c r="T427" s="61">
        <v>190.3</v>
      </c>
      <c r="U427" s="61"/>
      <c r="V427" s="61" t="s">
        <v>962</v>
      </c>
      <c r="W427" s="61" t="s">
        <v>4393</v>
      </c>
      <c r="X427" s="61" t="s">
        <v>829</v>
      </c>
      <c r="Y427" s="61" t="s">
        <v>962</v>
      </c>
      <c r="Z427" s="61" t="s">
        <v>4393</v>
      </c>
      <c r="AA427" s="61" t="s">
        <v>829</v>
      </c>
      <c r="AB427" s="61"/>
      <c r="AC427" s="61" t="s">
        <v>830</v>
      </c>
      <c r="AD427" s="61" t="s">
        <v>831</v>
      </c>
      <c r="AE427" s="61" t="s">
        <v>612</v>
      </c>
      <c r="AF427" s="61" t="s">
        <v>2054</v>
      </c>
      <c r="AG427" s="61"/>
      <c r="AH427" s="61"/>
      <c r="AI427" s="61"/>
      <c r="AJ427" s="61"/>
      <c r="AK427" s="61" t="s">
        <v>832</v>
      </c>
      <c r="AL427" s="61"/>
      <c r="AM427" s="61" t="s">
        <v>3441</v>
      </c>
      <c r="AN427" s="490"/>
      <c r="AO427" s="490"/>
      <c r="AP427" s="61"/>
      <c r="AQ427"/>
      <c r="AR427"/>
      <c r="CE427"/>
      <c r="CG427"/>
      <c r="CI427"/>
      <c r="CJ427"/>
    </row>
    <row r="428" spans="1:88" s="368" customFormat="1" ht="15" customHeight="1" x14ac:dyDescent="0.2">
      <c r="A428" s="61">
        <v>427</v>
      </c>
      <c r="B428" s="61" t="s">
        <v>479</v>
      </c>
      <c r="C428" s="61" t="s">
        <v>4394</v>
      </c>
      <c r="D428" s="61" t="s">
        <v>4395</v>
      </c>
      <c r="E428" s="61" t="s">
        <v>2248</v>
      </c>
      <c r="F428" s="61" t="s">
        <v>786</v>
      </c>
      <c r="G428" s="61"/>
      <c r="H428" s="61" t="s">
        <v>835</v>
      </c>
      <c r="I428" s="61" t="s">
        <v>4270</v>
      </c>
      <c r="J428" s="61" t="s">
        <v>613</v>
      </c>
      <c r="K428" s="61" t="s">
        <v>4396</v>
      </c>
      <c r="L428" s="61" t="s">
        <v>4389</v>
      </c>
      <c r="M428" s="61" t="s">
        <v>4397</v>
      </c>
      <c r="N428" s="61" t="s">
        <v>4394</v>
      </c>
      <c r="O428" s="61" t="s">
        <v>1106</v>
      </c>
      <c r="P428" s="61" t="s">
        <v>4391</v>
      </c>
      <c r="Q428" s="61" t="s">
        <v>911</v>
      </c>
      <c r="R428" s="61" t="s">
        <v>3416</v>
      </c>
      <c r="S428" s="61" t="s">
        <v>4392</v>
      </c>
      <c r="T428" s="61">
        <v>190.3</v>
      </c>
      <c r="U428" s="61"/>
      <c r="V428" s="61" t="s">
        <v>962</v>
      </c>
      <c r="W428" s="61" t="s">
        <v>4393</v>
      </c>
      <c r="X428" s="61" t="s">
        <v>829</v>
      </c>
      <c r="Y428" s="61" t="s">
        <v>962</v>
      </c>
      <c r="Z428" s="61" t="s">
        <v>4393</v>
      </c>
      <c r="AA428" s="61" t="s">
        <v>829</v>
      </c>
      <c r="AB428" s="61"/>
      <c r="AC428" s="61" t="s">
        <v>830</v>
      </c>
      <c r="AD428" s="61" t="s">
        <v>831</v>
      </c>
      <c r="AE428" s="61" t="s">
        <v>612</v>
      </c>
      <c r="AF428" s="61" t="s">
        <v>2054</v>
      </c>
      <c r="AG428" s="61"/>
      <c r="AH428" s="61"/>
      <c r="AI428" s="61"/>
      <c r="AJ428" s="61"/>
      <c r="AK428" s="61" t="s">
        <v>832</v>
      </c>
      <c r="AL428" s="61"/>
      <c r="AM428" s="61" t="s">
        <v>3441</v>
      </c>
      <c r="AN428" s="490"/>
      <c r="AO428" s="490"/>
      <c r="AP428" s="61"/>
      <c r="AQ428"/>
      <c r="AR428"/>
      <c r="CE428"/>
      <c r="CG428"/>
      <c r="CI428"/>
      <c r="CJ428"/>
    </row>
    <row r="429" spans="1:88" s="367" customFormat="1" ht="15" customHeight="1" x14ac:dyDescent="0.2">
      <c r="A429" s="61">
        <v>428</v>
      </c>
      <c r="B429" s="61" t="s">
        <v>479</v>
      </c>
      <c r="C429" s="61" t="s">
        <v>4398</v>
      </c>
      <c r="D429" s="61" t="s">
        <v>4399</v>
      </c>
      <c r="E429" s="61" t="s">
        <v>2248</v>
      </c>
      <c r="F429" s="61" t="s">
        <v>786</v>
      </c>
      <c r="G429" s="61"/>
      <c r="H429" s="61" t="s">
        <v>835</v>
      </c>
      <c r="I429" s="61" t="s">
        <v>4270</v>
      </c>
      <c r="J429" s="61" t="s">
        <v>613</v>
      </c>
      <c r="K429" s="61" t="s">
        <v>4400</v>
      </c>
      <c r="L429" s="61" t="s">
        <v>4389</v>
      </c>
      <c r="M429" s="61" t="s">
        <v>4401</v>
      </c>
      <c r="N429" s="61" t="s">
        <v>4398</v>
      </c>
      <c r="O429" s="61" t="s">
        <v>1106</v>
      </c>
      <c r="P429" s="61" t="s">
        <v>4402</v>
      </c>
      <c r="Q429" s="61" t="s">
        <v>911</v>
      </c>
      <c r="R429" s="61" t="s">
        <v>3416</v>
      </c>
      <c r="S429" s="61" t="s">
        <v>4392</v>
      </c>
      <c r="T429" s="61">
        <v>190.3</v>
      </c>
      <c r="U429" s="61"/>
      <c r="V429" s="61" t="s">
        <v>962</v>
      </c>
      <c r="W429" s="61" t="s">
        <v>4393</v>
      </c>
      <c r="X429" s="61" t="s">
        <v>829</v>
      </c>
      <c r="Y429" s="61" t="s">
        <v>962</v>
      </c>
      <c r="Z429" s="61" t="s">
        <v>4393</v>
      </c>
      <c r="AA429" s="61" t="s">
        <v>829</v>
      </c>
      <c r="AB429" s="61"/>
      <c r="AC429" s="61" t="s">
        <v>830</v>
      </c>
      <c r="AD429" s="61" t="s">
        <v>831</v>
      </c>
      <c r="AE429" s="61" t="s">
        <v>612</v>
      </c>
      <c r="AF429" s="61" t="s">
        <v>2054</v>
      </c>
      <c r="AG429" s="61"/>
      <c r="AH429" s="61"/>
      <c r="AI429" s="61"/>
      <c r="AJ429" s="61"/>
      <c r="AK429" s="61" t="s">
        <v>832</v>
      </c>
      <c r="AL429" s="61"/>
      <c r="AM429" s="61" t="s">
        <v>3441</v>
      </c>
      <c r="AN429" s="490"/>
      <c r="AO429" s="490"/>
      <c r="AP429" s="61"/>
      <c r="AQ429"/>
      <c r="AR429"/>
      <c r="CE429"/>
      <c r="CG429"/>
      <c r="CI429"/>
      <c r="CJ429"/>
    </row>
    <row r="430" spans="1:88" s="368" customFormat="1" ht="12.75" customHeight="1" x14ac:dyDescent="0.2">
      <c r="A430" s="61">
        <v>429</v>
      </c>
      <c r="B430" s="61" t="s">
        <v>479</v>
      </c>
      <c r="C430" s="61" t="s">
        <v>4403</v>
      </c>
      <c r="D430" s="61" t="s">
        <v>4404</v>
      </c>
      <c r="E430" s="61" t="s">
        <v>2248</v>
      </c>
      <c r="F430" s="61" t="s">
        <v>786</v>
      </c>
      <c r="G430" s="61"/>
      <c r="H430" s="61" t="s">
        <v>835</v>
      </c>
      <c r="I430" s="61" t="s">
        <v>4270</v>
      </c>
      <c r="J430" s="61" t="s">
        <v>613</v>
      </c>
      <c r="K430" s="61" t="s">
        <v>4405</v>
      </c>
      <c r="L430" s="61" t="s">
        <v>4389</v>
      </c>
      <c r="M430" s="61" t="s">
        <v>4406</v>
      </c>
      <c r="N430" s="61" t="s">
        <v>4403</v>
      </c>
      <c r="O430" s="61" t="s">
        <v>1106</v>
      </c>
      <c r="P430" s="61" t="s">
        <v>4402</v>
      </c>
      <c r="Q430" s="61" t="s">
        <v>911</v>
      </c>
      <c r="R430" s="61" t="s">
        <v>3416</v>
      </c>
      <c r="S430" s="61" t="s">
        <v>4392</v>
      </c>
      <c r="T430" s="61">
        <v>190.3</v>
      </c>
      <c r="U430" s="61"/>
      <c r="V430" s="61" t="s">
        <v>962</v>
      </c>
      <c r="W430" s="61" t="s">
        <v>4393</v>
      </c>
      <c r="X430" s="61" t="s">
        <v>829</v>
      </c>
      <c r="Y430" s="61" t="s">
        <v>962</v>
      </c>
      <c r="Z430" s="61" t="s">
        <v>4393</v>
      </c>
      <c r="AA430" s="61" t="s">
        <v>829</v>
      </c>
      <c r="AB430" s="61"/>
      <c r="AC430" s="61" t="s">
        <v>830</v>
      </c>
      <c r="AD430" s="61" t="s">
        <v>831</v>
      </c>
      <c r="AE430" s="61" t="s">
        <v>612</v>
      </c>
      <c r="AF430" s="61" t="s">
        <v>2054</v>
      </c>
      <c r="AG430" s="61"/>
      <c r="AH430" s="61"/>
      <c r="AI430" s="61"/>
      <c r="AJ430" s="61"/>
      <c r="AK430" s="61" t="s">
        <v>832</v>
      </c>
      <c r="AL430" s="61"/>
      <c r="AM430" s="61" t="s">
        <v>3441</v>
      </c>
      <c r="AN430" s="490"/>
      <c r="AO430" s="490"/>
      <c r="AP430" s="61"/>
      <c r="AQ430"/>
      <c r="AR430"/>
      <c r="CE430"/>
      <c r="CG430"/>
      <c r="CI430"/>
      <c r="CJ430"/>
    </row>
    <row r="431" spans="1:88" s="367" customFormat="1" ht="15" customHeight="1" x14ac:dyDescent="0.2">
      <c r="A431" s="61">
        <v>430</v>
      </c>
      <c r="B431" s="61" t="s">
        <v>479</v>
      </c>
      <c r="C431" s="61" t="s">
        <v>4407</v>
      </c>
      <c r="D431" s="61" t="s">
        <v>4408</v>
      </c>
      <c r="E431" s="61" t="s">
        <v>2248</v>
      </c>
      <c r="F431" s="61" t="s">
        <v>786</v>
      </c>
      <c r="G431" s="61"/>
      <c r="H431" s="61" t="s">
        <v>835</v>
      </c>
      <c r="I431" s="61" t="s">
        <v>4270</v>
      </c>
      <c r="J431" s="61" t="s">
        <v>613</v>
      </c>
      <c r="K431" s="61" t="s">
        <v>4409</v>
      </c>
      <c r="L431" s="61" t="s">
        <v>4389</v>
      </c>
      <c r="M431" s="61" t="s">
        <v>4410</v>
      </c>
      <c r="N431" s="61" t="s">
        <v>4407</v>
      </c>
      <c r="O431" s="61" t="s">
        <v>1106</v>
      </c>
      <c r="P431" s="61" t="s">
        <v>4411</v>
      </c>
      <c r="Q431" s="61" t="s">
        <v>911</v>
      </c>
      <c r="R431" s="61" t="s">
        <v>3416</v>
      </c>
      <c r="S431" s="61" t="s">
        <v>4392</v>
      </c>
      <c r="T431" s="61">
        <v>190.3</v>
      </c>
      <c r="U431" s="61"/>
      <c r="V431" s="61" t="s">
        <v>962</v>
      </c>
      <c r="W431" s="61" t="s">
        <v>4393</v>
      </c>
      <c r="X431" s="61" t="s">
        <v>829</v>
      </c>
      <c r="Y431" s="61" t="s">
        <v>962</v>
      </c>
      <c r="Z431" s="61" t="s">
        <v>4393</v>
      </c>
      <c r="AA431" s="61" t="s">
        <v>829</v>
      </c>
      <c r="AB431" s="61"/>
      <c r="AC431" s="61" t="s">
        <v>830</v>
      </c>
      <c r="AD431" s="61" t="s">
        <v>831</v>
      </c>
      <c r="AE431" s="61" t="s">
        <v>612</v>
      </c>
      <c r="AF431" s="61" t="s">
        <v>2054</v>
      </c>
      <c r="AG431" s="61"/>
      <c r="AH431" s="61"/>
      <c r="AI431" s="61"/>
      <c r="AJ431" s="61"/>
      <c r="AK431" s="61" t="s">
        <v>832</v>
      </c>
      <c r="AL431" s="61"/>
      <c r="AM431" s="61" t="s">
        <v>3441</v>
      </c>
      <c r="AN431" s="490"/>
      <c r="AO431" s="490"/>
      <c r="AP431" s="61"/>
      <c r="AQ431"/>
      <c r="AR431"/>
      <c r="CE431"/>
      <c r="CG431"/>
      <c r="CI431"/>
      <c r="CJ431"/>
    </row>
    <row r="432" spans="1:88" s="368" customFormat="1" ht="15" customHeight="1" x14ac:dyDescent="0.2">
      <c r="A432" s="61">
        <v>431</v>
      </c>
      <c r="B432" s="61" t="s">
        <v>479</v>
      </c>
      <c r="C432" s="61" t="s">
        <v>4412</v>
      </c>
      <c r="D432" s="61" t="s">
        <v>4413</v>
      </c>
      <c r="E432" s="61" t="s">
        <v>2248</v>
      </c>
      <c r="F432" s="61" t="s">
        <v>786</v>
      </c>
      <c r="G432" s="61"/>
      <c r="H432" s="61" t="s">
        <v>835</v>
      </c>
      <c r="I432" s="61" t="s">
        <v>4270</v>
      </c>
      <c r="J432" s="61" t="s">
        <v>613</v>
      </c>
      <c r="K432" s="61" t="s">
        <v>4414</v>
      </c>
      <c r="L432" s="61" t="s">
        <v>4389</v>
      </c>
      <c r="M432" s="61" t="s">
        <v>4415</v>
      </c>
      <c r="N432" s="61" t="s">
        <v>4412</v>
      </c>
      <c r="O432" s="61" t="s">
        <v>1106</v>
      </c>
      <c r="P432" s="61" t="s">
        <v>4416</v>
      </c>
      <c r="Q432" s="61" t="s">
        <v>911</v>
      </c>
      <c r="R432" s="61" t="s">
        <v>3416</v>
      </c>
      <c r="S432" s="61" t="s">
        <v>4392</v>
      </c>
      <c r="T432" s="61">
        <v>190.3</v>
      </c>
      <c r="U432" s="61"/>
      <c r="V432" s="61" t="s">
        <v>962</v>
      </c>
      <c r="W432" s="61" t="s">
        <v>4393</v>
      </c>
      <c r="X432" s="61" t="s">
        <v>829</v>
      </c>
      <c r="Y432" s="61" t="s">
        <v>962</v>
      </c>
      <c r="Z432" s="61" t="s">
        <v>4393</v>
      </c>
      <c r="AA432" s="61" t="s">
        <v>829</v>
      </c>
      <c r="AB432" s="61"/>
      <c r="AC432" s="61" t="s">
        <v>830</v>
      </c>
      <c r="AD432" s="61" t="s">
        <v>831</v>
      </c>
      <c r="AE432" s="61" t="s">
        <v>612</v>
      </c>
      <c r="AF432" s="61" t="s">
        <v>2054</v>
      </c>
      <c r="AG432" s="61"/>
      <c r="AH432" s="61"/>
      <c r="AI432" s="61"/>
      <c r="AJ432" s="61"/>
      <c r="AK432" s="61" t="s">
        <v>832</v>
      </c>
      <c r="AL432" s="61"/>
      <c r="AM432" s="61" t="s">
        <v>3441</v>
      </c>
      <c r="AN432" s="490"/>
      <c r="AO432" s="490"/>
      <c r="AP432" s="61"/>
      <c r="AQ432"/>
      <c r="AR432"/>
      <c r="CE432"/>
      <c r="CG432"/>
      <c r="CI432"/>
      <c r="CJ432"/>
    </row>
    <row r="433" spans="1:88" s="367" customFormat="1" ht="15" customHeight="1" x14ac:dyDescent="0.2">
      <c r="A433" s="61">
        <v>432</v>
      </c>
      <c r="B433" s="61" t="s">
        <v>479</v>
      </c>
      <c r="C433" s="61" t="s">
        <v>4417</v>
      </c>
      <c r="D433" s="61" t="s">
        <v>4418</v>
      </c>
      <c r="E433" s="61" t="s">
        <v>2248</v>
      </c>
      <c r="F433" s="61" t="s">
        <v>786</v>
      </c>
      <c r="G433" s="61"/>
      <c r="H433" s="61" t="s">
        <v>835</v>
      </c>
      <c r="I433" s="61" t="s">
        <v>4270</v>
      </c>
      <c r="J433" s="61" t="s">
        <v>613</v>
      </c>
      <c r="K433" s="61" t="s">
        <v>4419</v>
      </c>
      <c r="L433" s="61" t="s">
        <v>4389</v>
      </c>
      <c r="M433" s="61" t="s">
        <v>4420</v>
      </c>
      <c r="N433" s="61" t="s">
        <v>4417</v>
      </c>
      <c r="O433" s="61" t="s">
        <v>1106</v>
      </c>
      <c r="P433" s="61" t="s">
        <v>4411</v>
      </c>
      <c r="Q433" s="61" t="s">
        <v>911</v>
      </c>
      <c r="R433" s="61" t="s">
        <v>3416</v>
      </c>
      <c r="S433" s="61" t="s">
        <v>4392</v>
      </c>
      <c r="T433" s="61">
        <v>190.3</v>
      </c>
      <c r="U433" s="61"/>
      <c r="V433" s="61" t="s">
        <v>962</v>
      </c>
      <c r="W433" s="61" t="s">
        <v>4393</v>
      </c>
      <c r="X433" s="61" t="s">
        <v>829</v>
      </c>
      <c r="Y433" s="61" t="s">
        <v>962</v>
      </c>
      <c r="Z433" s="61" t="s">
        <v>4393</v>
      </c>
      <c r="AA433" s="61" t="s">
        <v>829</v>
      </c>
      <c r="AB433" s="61"/>
      <c r="AC433" s="61" t="s">
        <v>830</v>
      </c>
      <c r="AD433" s="61" t="s">
        <v>831</v>
      </c>
      <c r="AE433" s="61" t="s">
        <v>612</v>
      </c>
      <c r="AF433" s="61" t="s">
        <v>2054</v>
      </c>
      <c r="AG433" s="61"/>
      <c r="AH433" s="61"/>
      <c r="AI433" s="61"/>
      <c r="AJ433" s="61"/>
      <c r="AK433" s="61" t="s">
        <v>832</v>
      </c>
      <c r="AL433" s="61"/>
      <c r="AM433" s="61" t="s">
        <v>3441</v>
      </c>
      <c r="AN433" s="490"/>
      <c r="AO433" s="490"/>
      <c r="AP433" s="61"/>
      <c r="AQ433"/>
      <c r="AR433"/>
      <c r="CE433"/>
      <c r="CG433"/>
      <c r="CI433"/>
      <c r="CJ433"/>
    </row>
    <row r="434" spans="1:88" s="368" customFormat="1" ht="15" customHeight="1" x14ac:dyDescent="0.2">
      <c r="A434" s="61">
        <v>433</v>
      </c>
      <c r="B434" s="61" t="s">
        <v>479</v>
      </c>
      <c r="C434" s="61" t="s">
        <v>4421</v>
      </c>
      <c r="D434" s="61" t="s">
        <v>4422</v>
      </c>
      <c r="E434" s="61" t="s">
        <v>2248</v>
      </c>
      <c r="F434" s="61" t="s">
        <v>786</v>
      </c>
      <c r="G434" s="61"/>
      <c r="H434" s="61" t="s">
        <v>835</v>
      </c>
      <c r="I434" s="61" t="s">
        <v>4270</v>
      </c>
      <c r="J434" s="61" t="s">
        <v>613</v>
      </c>
      <c r="K434" s="61" t="s">
        <v>4423</v>
      </c>
      <c r="L434" s="61" t="s">
        <v>4389</v>
      </c>
      <c r="M434" s="61" t="s">
        <v>4424</v>
      </c>
      <c r="N434" s="61" t="s">
        <v>4421</v>
      </c>
      <c r="O434" s="61" t="s">
        <v>1106</v>
      </c>
      <c r="P434" s="61" t="s">
        <v>4391</v>
      </c>
      <c r="Q434" s="61" t="s">
        <v>911</v>
      </c>
      <c r="R434" s="61" t="s">
        <v>3416</v>
      </c>
      <c r="S434" s="61" t="s">
        <v>4392</v>
      </c>
      <c r="T434" s="61">
        <v>190.3</v>
      </c>
      <c r="U434" s="61"/>
      <c r="V434" s="61" t="s">
        <v>962</v>
      </c>
      <c r="W434" s="61" t="s">
        <v>4393</v>
      </c>
      <c r="X434" s="61" t="s">
        <v>829</v>
      </c>
      <c r="Y434" s="61" t="s">
        <v>962</v>
      </c>
      <c r="Z434" s="61" t="s">
        <v>4393</v>
      </c>
      <c r="AA434" s="61" t="s">
        <v>829</v>
      </c>
      <c r="AB434" s="61"/>
      <c r="AC434" s="61" t="s">
        <v>830</v>
      </c>
      <c r="AD434" s="61" t="s">
        <v>831</v>
      </c>
      <c r="AE434" s="61" t="s">
        <v>612</v>
      </c>
      <c r="AF434" s="61" t="s">
        <v>2054</v>
      </c>
      <c r="AG434" s="61"/>
      <c r="AH434" s="61"/>
      <c r="AI434" s="61"/>
      <c r="AJ434" s="61"/>
      <c r="AK434" s="61" t="s">
        <v>832</v>
      </c>
      <c r="AL434" s="61"/>
      <c r="AM434" s="61" t="s">
        <v>3441</v>
      </c>
      <c r="AN434" s="490"/>
      <c r="AO434" s="490"/>
      <c r="AP434" s="61"/>
      <c r="AQ434"/>
      <c r="AR434"/>
      <c r="CE434"/>
      <c r="CG434"/>
      <c r="CI434"/>
      <c r="CJ434"/>
    </row>
    <row r="435" spans="1:88" s="367" customFormat="1" ht="15" customHeight="1" x14ac:dyDescent="0.2">
      <c r="A435" s="61">
        <v>434</v>
      </c>
      <c r="B435" s="61" t="s">
        <v>479</v>
      </c>
      <c r="C435" s="61" t="s">
        <v>4425</v>
      </c>
      <c r="D435" s="61" t="s">
        <v>4426</v>
      </c>
      <c r="E435" s="61" t="s">
        <v>2248</v>
      </c>
      <c r="F435" s="61" t="s">
        <v>786</v>
      </c>
      <c r="G435" s="61"/>
      <c r="H435" s="61" t="s">
        <v>835</v>
      </c>
      <c r="I435" s="61" t="s">
        <v>4270</v>
      </c>
      <c r="J435" s="61" t="s">
        <v>613</v>
      </c>
      <c r="K435" s="61" t="s">
        <v>4427</v>
      </c>
      <c r="L435" s="61" t="s">
        <v>4389</v>
      </c>
      <c r="M435" s="61" t="s">
        <v>4428</v>
      </c>
      <c r="N435" s="61" t="s">
        <v>4425</v>
      </c>
      <c r="O435" s="61" t="s">
        <v>1106</v>
      </c>
      <c r="P435" s="61" t="s">
        <v>4391</v>
      </c>
      <c r="Q435" s="61" t="s">
        <v>911</v>
      </c>
      <c r="R435" s="61" t="s">
        <v>3416</v>
      </c>
      <c r="S435" s="61" t="s">
        <v>4392</v>
      </c>
      <c r="T435" s="61">
        <v>190.3</v>
      </c>
      <c r="U435" s="61"/>
      <c r="V435" s="61" t="s">
        <v>962</v>
      </c>
      <c r="W435" s="61" t="s">
        <v>4393</v>
      </c>
      <c r="X435" s="61" t="s">
        <v>829</v>
      </c>
      <c r="Y435" s="61" t="s">
        <v>962</v>
      </c>
      <c r="Z435" s="61" t="s">
        <v>4393</v>
      </c>
      <c r="AA435" s="61" t="s">
        <v>829</v>
      </c>
      <c r="AB435" s="61"/>
      <c r="AC435" s="61" t="s">
        <v>830</v>
      </c>
      <c r="AD435" s="61" t="s">
        <v>831</v>
      </c>
      <c r="AE435" s="61" t="s">
        <v>612</v>
      </c>
      <c r="AF435" s="61" t="s">
        <v>2054</v>
      </c>
      <c r="AG435" s="61"/>
      <c r="AH435" s="61"/>
      <c r="AI435" s="61"/>
      <c r="AJ435" s="61"/>
      <c r="AK435" s="61" t="s">
        <v>832</v>
      </c>
      <c r="AL435" s="61"/>
      <c r="AM435" s="61" t="s">
        <v>3441</v>
      </c>
      <c r="AN435" s="490"/>
      <c r="AO435" s="490"/>
      <c r="AP435" s="61"/>
      <c r="AQ435"/>
      <c r="AR435"/>
      <c r="CE435"/>
      <c r="CG435"/>
      <c r="CI435"/>
      <c r="CJ435"/>
    </row>
    <row r="436" spans="1:88" s="368" customFormat="1" ht="15" customHeight="1" x14ac:dyDescent="0.2">
      <c r="A436" s="61">
        <v>435</v>
      </c>
      <c r="B436" s="61" t="s">
        <v>479</v>
      </c>
      <c r="C436" s="61" t="s">
        <v>4429</v>
      </c>
      <c r="D436" s="61" t="s">
        <v>4430</v>
      </c>
      <c r="E436" s="61" t="s">
        <v>2248</v>
      </c>
      <c r="F436" s="61" t="s">
        <v>786</v>
      </c>
      <c r="G436" s="61"/>
      <c r="H436" s="61" t="s">
        <v>835</v>
      </c>
      <c r="I436" s="61" t="s">
        <v>4270</v>
      </c>
      <c r="J436" s="61" t="s">
        <v>613</v>
      </c>
      <c r="K436" s="61" t="s">
        <v>4431</v>
      </c>
      <c r="L436" s="61" t="s">
        <v>4389</v>
      </c>
      <c r="M436" s="61" t="s">
        <v>4432</v>
      </c>
      <c r="N436" s="61" t="s">
        <v>4429</v>
      </c>
      <c r="O436" s="61" t="s">
        <v>1106</v>
      </c>
      <c r="P436" s="61" t="s">
        <v>4433</v>
      </c>
      <c r="Q436" s="61" t="s">
        <v>911</v>
      </c>
      <c r="R436" s="61" t="s">
        <v>3416</v>
      </c>
      <c r="S436" s="61" t="s">
        <v>4392</v>
      </c>
      <c r="T436" s="61">
        <v>190.3</v>
      </c>
      <c r="U436" s="61"/>
      <c r="V436" s="61" t="s">
        <v>962</v>
      </c>
      <c r="W436" s="61" t="s">
        <v>4393</v>
      </c>
      <c r="X436" s="61" t="s">
        <v>829</v>
      </c>
      <c r="Y436" s="61" t="s">
        <v>962</v>
      </c>
      <c r="Z436" s="61" t="s">
        <v>4393</v>
      </c>
      <c r="AA436" s="61" t="s">
        <v>829</v>
      </c>
      <c r="AB436" s="61"/>
      <c r="AC436" s="61" t="s">
        <v>830</v>
      </c>
      <c r="AD436" s="61" t="s">
        <v>831</v>
      </c>
      <c r="AE436" s="61" t="s">
        <v>612</v>
      </c>
      <c r="AF436" s="61" t="s">
        <v>2054</v>
      </c>
      <c r="AG436" s="61"/>
      <c r="AH436" s="61"/>
      <c r="AI436" s="61"/>
      <c r="AJ436" s="61"/>
      <c r="AK436" s="61" t="s">
        <v>832</v>
      </c>
      <c r="AL436" s="61"/>
      <c r="AM436" s="61" t="s">
        <v>3441</v>
      </c>
      <c r="AN436" s="490"/>
      <c r="AO436" s="490"/>
      <c r="AP436" s="61"/>
      <c r="AQ436"/>
      <c r="AR436"/>
      <c r="CE436"/>
      <c r="CG436"/>
      <c r="CI436"/>
      <c r="CJ436"/>
    </row>
    <row r="437" spans="1:88" s="367" customFormat="1" ht="15" customHeight="1" x14ac:dyDescent="0.2">
      <c r="A437" s="61">
        <v>436</v>
      </c>
      <c r="B437" s="61" t="s">
        <v>479</v>
      </c>
      <c r="C437" s="61" t="s">
        <v>4434</v>
      </c>
      <c r="D437" s="61" t="s">
        <v>4435</v>
      </c>
      <c r="E437" s="61" t="s">
        <v>2248</v>
      </c>
      <c r="F437" s="61" t="s">
        <v>786</v>
      </c>
      <c r="G437" s="61"/>
      <c r="H437" s="61" t="s">
        <v>835</v>
      </c>
      <c r="I437" s="61" t="s">
        <v>4270</v>
      </c>
      <c r="J437" s="61" t="s">
        <v>613</v>
      </c>
      <c r="K437" s="61" t="s">
        <v>4436</v>
      </c>
      <c r="L437" s="61" t="s">
        <v>4389</v>
      </c>
      <c r="M437" s="61" t="s">
        <v>4437</v>
      </c>
      <c r="N437" s="61" t="s">
        <v>4434</v>
      </c>
      <c r="O437" s="61" t="s">
        <v>1106</v>
      </c>
      <c r="P437" s="61" t="s">
        <v>4438</v>
      </c>
      <c r="Q437" s="61" t="s">
        <v>911</v>
      </c>
      <c r="R437" s="61" t="s">
        <v>3416</v>
      </c>
      <c r="S437" s="61" t="s">
        <v>4392</v>
      </c>
      <c r="T437" s="61">
        <v>190.3</v>
      </c>
      <c r="U437" s="61"/>
      <c r="V437" s="61" t="s">
        <v>962</v>
      </c>
      <c r="W437" s="61" t="s">
        <v>4393</v>
      </c>
      <c r="X437" s="61" t="s">
        <v>829</v>
      </c>
      <c r="Y437" s="61" t="s">
        <v>962</v>
      </c>
      <c r="Z437" s="61" t="s">
        <v>4393</v>
      </c>
      <c r="AA437" s="61" t="s">
        <v>829</v>
      </c>
      <c r="AB437" s="61"/>
      <c r="AC437" s="61" t="s">
        <v>830</v>
      </c>
      <c r="AD437" s="61" t="s">
        <v>831</v>
      </c>
      <c r="AE437" s="61" t="s">
        <v>612</v>
      </c>
      <c r="AF437" s="61" t="s">
        <v>2054</v>
      </c>
      <c r="AG437" s="61"/>
      <c r="AH437" s="61"/>
      <c r="AI437" s="61"/>
      <c r="AJ437" s="61"/>
      <c r="AK437" s="61" t="s">
        <v>832</v>
      </c>
      <c r="AL437" s="61"/>
      <c r="AM437" s="61" t="s">
        <v>3441</v>
      </c>
      <c r="AN437" s="490"/>
      <c r="AO437" s="490"/>
      <c r="AP437" s="61"/>
      <c r="AQ437"/>
      <c r="AR437"/>
      <c r="CE437"/>
      <c r="CG437"/>
      <c r="CI437"/>
      <c r="CJ437"/>
    </row>
    <row r="438" spans="1:88" s="368" customFormat="1" ht="15" customHeight="1" x14ac:dyDescent="0.2">
      <c r="A438" s="61">
        <v>437</v>
      </c>
      <c r="B438" s="61" t="s">
        <v>479</v>
      </c>
      <c r="C438" s="61" t="s">
        <v>4439</v>
      </c>
      <c r="D438" s="61" t="s">
        <v>4440</v>
      </c>
      <c r="E438" s="61" t="s">
        <v>2248</v>
      </c>
      <c r="F438" s="61" t="s">
        <v>786</v>
      </c>
      <c r="G438" s="61"/>
      <c r="H438" s="61" t="s">
        <v>835</v>
      </c>
      <c r="I438" s="61" t="s">
        <v>4270</v>
      </c>
      <c r="J438" s="61" t="s">
        <v>613</v>
      </c>
      <c r="K438" s="61" t="s">
        <v>4441</v>
      </c>
      <c r="L438" s="61" t="s">
        <v>4389</v>
      </c>
      <c r="M438" s="61" t="s">
        <v>4442</v>
      </c>
      <c r="N438" s="61" t="s">
        <v>4439</v>
      </c>
      <c r="O438" s="61" t="s">
        <v>1106</v>
      </c>
      <c r="P438" s="61" t="s">
        <v>4438</v>
      </c>
      <c r="Q438" s="61" t="s">
        <v>911</v>
      </c>
      <c r="R438" s="61" t="s">
        <v>3416</v>
      </c>
      <c r="S438" s="61" t="s">
        <v>4392</v>
      </c>
      <c r="T438" s="61">
        <v>190.3</v>
      </c>
      <c r="U438" s="61"/>
      <c r="V438" s="61" t="s">
        <v>962</v>
      </c>
      <c r="W438" s="61" t="s">
        <v>4393</v>
      </c>
      <c r="X438" s="61" t="s">
        <v>829</v>
      </c>
      <c r="Y438" s="61" t="s">
        <v>962</v>
      </c>
      <c r="Z438" s="61" t="s">
        <v>4393</v>
      </c>
      <c r="AA438" s="61" t="s">
        <v>829</v>
      </c>
      <c r="AB438" s="61"/>
      <c r="AC438" s="61" t="s">
        <v>830</v>
      </c>
      <c r="AD438" s="61" t="s">
        <v>831</v>
      </c>
      <c r="AE438" s="61" t="s">
        <v>612</v>
      </c>
      <c r="AF438" s="61" t="s">
        <v>2054</v>
      </c>
      <c r="AG438" s="61"/>
      <c r="AH438" s="61"/>
      <c r="AI438" s="61"/>
      <c r="AJ438" s="61"/>
      <c r="AK438" s="61" t="s">
        <v>832</v>
      </c>
      <c r="AL438" s="61"/>
      <c r="AM438" s="61" t="s">
        <v>3441</v>
      </c>
      <c r="AN438" s="490"/>
      <c r="AO438" s="490"/>
      <c r="AP438" s="61"/>
      <c r="AQ438"/>
      <c r="AR438"/>
      <c r="CE438"/>
      <c r="CG438"/>
      <c r="CI438"/>
      <c r="CJ438"/>
    </row>
    <row r="439" spans="1:88" ht="15" customHeight="1" x14ac:dyDescent="0.2">
      <c r="A439" s="61">
        <v>438</v>
      </c>
      <c r="B439" s="61" t="s">
        <v>479</v>
      </c>
      <c r="C439" s="61" t="s">
        <v>4443</v>
      </c>
      <c r="D439" s="61" t="s">
        <v>4444</v>
      </c>
      <c r="E439" s="61" t="s">
        <v>2248</v>
      </c>
      <c r="F439" s="61" t="s">
        <v>786</v>
      </c>
      <c r="G439" s="61"/>
      <c r="H439" s="61" t="s">
        <v>835</v>
      </c>
      <c r="I439" s="61" t="s">
        <v>4270</v>
      </c>
      <c r="J439" s="61" t="s">
        <v>613</v>
      </c>
      <c r="K439" s="61" t="s">
        <v>4445</v>
      </c>
      <c r="L439" s="61" t="s">
        <v>4389</v>
      </c>
      <c r="M439" s="61" t="s">
        <v>4446</v>
      </c>
      <c r="N439" s="61" t="s">
        <v>4443</v>
      </c>
      <c r="O439" s="61" t="s">
        <v>1106</v>
      </c>
      <c r="P439" s="61" t="s">
        <v>4447</v>
      </c>
      <c r="Q439" s="61" t="s">
        <v>911</v>
      </c>
      <c r="R439" s="61" t="s">
        <v>3416</v>
      </c>
      <c r="S439" s="61" t="s">
        <v>4392</v>
      </c>
      <c r="T439" s="61">
        <v>190.3</v>
      </c>
      <c r="U439" s="61"/>
      <c r="V439" s="61" t="s">
        <v>962</v>
      </c>
      <c r="W439" s="61" t="s">
        <v>4393</v>
      </c>
      <c r="X439" s="61" t="s">
        <v>829</v>
      </c>
      <c r="Y439" s="61" t="s">
        <v>962</v>
      </c>
      <c r="Z439" s="61" t="s">
        <v>4393</v>
      </c>
      <c r="AA439" s="61" t="s">
        <v>829</v>
      </c>
      <c r="AB439" s="61"/>
      <c r="AC439" s="61" t="s">
        <v>830</v>
      </c>
      <c r="AD439" s="61" t="s">
        <v>831</v>
      </c>
      <c r="AE439" s="61" t="s">
        <v>612</v>
      </c>
      <c r="AF439" s="61" t="s">
        <v>2054</v>
      </c>
      <c r="AG439" s="61"/>
      <c r="AH439" s="61"/>
      <c r="AI439" s="61"/>
      <c r="AJ439" s="61"/>
      <c r="AK439" s="61" t="s">
        <v>832</v>
      </c>
      <c r="AL439" s="61"/>
      <c r="AM439" s="61" t="s">
        <v>3441</v>
      </c>
      <c r="AN439" s="490"/>
      <c r="AO439" s="490"/>
      <c r="AP439" s="61"/>
    </row>
    <row r="440" spans="1:88" s="368" customFormat="1" ht="15" customHeight="1" x14ac:dyDescent="0.2">
      <c r="A440" s="61">
        <v>439</v>
      </c>
      <c r="B440" s="61" t="s">
        <v>479</v>
      </c>
      <c r="C440" s="61" t="s">
        <v>4448</v>
      </c>
      <c r="D440" s="61" t="s">
        <v>4449</v>
      </c>
      <c r="E440" s="61" t="s">
        <v>2248</v>
      </c>
      <c r="F440" s="61" t="s">
        <v>786</v>
      </c>
      <c r="G440" s="61"/>
      <c r="H440" s="61" t="s">
        <v>835</v>
      </c>
      <c r="I440" s="61" t="s">
        <v>4270</v>
      </c>
      <c r="J440" s="61" t="s">
        <v>613</v>
      </c>
      <c r="K440" s="61" t="s">
        <v>4450</v>
      </c>
      <c r="L440" s="61" t="s">
        <v>4389</v>
      </c>
      <c r="M440" s="61" t="s">
        <v>4451</v>
      </c>
      <c r="N440" s="61" t="s">
        <v>4448</v>
      </c>
      <c r="O440" s="61" t="s">
        <v>1106</v>
      </c>
      <c r="P440" s="61" t="s">
        <v>4452</v>
      </c>
      <c r="Q440" s="61" t="s">
        <v>911</v>
      </c>
      <c r="R440" s="61" t="s">
        <v>3416</v>
      </c>
      <c r="S440" s="61" t="s">
        <v>4392</v>
      </c>
      <c r="T440" s="61">
        <v>190.3</v>
      </c>
      <c r="U440" s="61"/>
      <c r="V440" s="61" t="s">
        <v>962</v>
      </c>
      <c r="W440" s="61" t="s">
        <v>4393</v>
      </c>
      <c r="X440" s="61" t="s">
        <v>829</v>
      </c>
      <c r="Y440" s="61" t="s">
        <v>962</v>
      </c>
      <c r="Z440" s="61" t="s">
        <v>4393</v>
      </c>
      <c r="AA440" s="61" t="s">
        <v>829</v>
      </c>
      <c r="AB440" s="61"/>
      <c r="AC440" s="61" t="s">
        <v>830</v>
      </c>
      <c r="AD440" s="61" t="s">
        <v>831</v>
      </c>
      <c r="AE440" s="61" t="s">
        <v>612</v>
      </c>
      <c r="AF440" s="61" t="s">
        <v>2054</v>
      </c>
      <c r="AG440" s="61"/>
      <c r="AH440" s="61"/>
      <c r="AI440" s="61"/>
      <c r="AJ440" s="61"/>
      <c r="AK440" s="61" t="s">
        <v>832</v>
      </c>
      <c r="AL440" s="61"/>
      <c r="AM440" s="61" t="s">
        <v>3441</v>
      </c>
      <c r="AN440" s="490"/>
      <c r="AO440" s="490"/>
      <c r="AP440" s="61"/>
      <c r="AQ440"/>
      <c r="AR440"/>
      <c r="CE440"/>
      <c r="CG440"/>
      <c r="CI440"/>
      <c r="CJ440"/>
    </row>
    <row r="441" spans="1:88" s="367" customFormat="1" ht="15" customHeight="1" x14ac:dyDescent="0.2">
      <c r="A441" s="61">
        <v>440</v>
      </c>
      <c r="B441" s="61" t="s">
        <v>483</v>
      </c>
      <c r="C441" s="61">
        <v>330735</v>
      </c>
      <c r="D441" s="61" t="s">
        <v>3437</v>
      </c>
      <c r="E441" s="61" t="s">
        <v>3438</v>
      </c>
      <c r="F441" s="61" t="s">
        <v>752</v>
      </c>
      <c r="G441" s="61" t="s">
        <v>34</v>
      </c>
      <c r="H441" s="61" t="s">
        <v>835</v>
      </c>
      <c r="I441" s="61" t="s">
        <v>4270</v>
      </c>
      <c r="J441" s="61" t="s">
        <v>1447</v>
      </c>
      <c r="K441" s="61" t="s">
        <v>349</v>
      </c>
      <c r="L441" s="61" t="s">
        <v>1492</v>
      </c>
      <c r="M441" s="61">
        <v>330735</v>
      </c>
      <c r="N441" s="61">
        <v>330735</v>
      </c>
      <c r="O441" s="61" t="s">
        <v>305</v>
      </c>
      <c r="P441" s="61" t="s">
        <v>901</v>
      </c>
      <c r="Q441" s="61" t="s">
        <v>908</v>
      </c>
      <c r="R441" s="61" t="s">
        <v>892</v>
      </c>
      <c r="S441" s="61" t="s">
        <v>1493</v>
      </c>
      <c r="T441" s="61">
        <v>8</v>
      </c>
      <c r="U441" s="61" t="s">
        <v>687</v>
      </c>
      <c r="V441" s="61" t="s">
        <v>4085</v>
      </c>
      <c r="W441" s="61" t="s">
        <v>4086</v>
      </c>
      <c r="X441" s="61" t="s">
        <v>829</v>
      </c>
      <c r="Y441" s="61" t="s">
        <v>4087</v>
      </c>
      <c r="Z441" s="61" t="s">
        <v>3024</v>
      </c>
      <c r="AA441" s="61" t="s">
        <v>829</v>
      </c>
      <c r="AB441" s="61" t="s">
        <v>34</v>
      </c>
      <c r="AC441" s="61" t="s">
        <v>830</v>
      </c>
      <c r="AD441" s="61" t="s">
        <v>831</v>
      </c>
      <c r="AE441" s="61" t="s">
        <v>612</v>
      </c>
      <c r="AF441" s="61">
        <v>0.5</v>
      </c>
      <c r="AG441" s="61">
        <v>15</v>
      </c>
      <c r="AH441" s="61" t="s">
        <v>34</v>
      </c>
      <c r="AI441" s="61" t="s">
        <v>34</v>
      </c>
      <c r="AJ441" s="61" t="s">
        <v>34</v>
      </c>
      <c r="AK441" s="61" t="s">
        <v>832</v>
      </c>
      <c r="AL441" s="61" t="s">
        <v>34</v>
      </c>
      <c r="AM441" s="61" t="s">
        <v>3441</v>
      </c>
      <c r="AN441" s="490"/>
      <c r="AO441" s="490"/>
      <c r="AP441" s="61"/>
      <c r="AQ441"/>
      <c r="AR441"/>
      <c r="CE441"/>
      <c r="CG441"/>
      <c r="CI441"/>
      <c r="CJ441"/>
    </row>
    <row r="442" spans="1:88" s="368" customFormat="1" ht="15" customHeight="1" x14ac:dyDescent="0.2">
      <c r="A442" s="61">
        <v>441</v>
      </c>
      <c r="B442" s="61" t="s">
        <v>483</v>
      </c>
      <c r="C442" s="61" t="s">
        <v>648</v>
      </c>
      <c r="D442" s="61" t="s">
        <v>3669</v>
      </c>
      <c r="E442" s="61" t="s">
        <v>787</v>
      </c>
      <c r="F442" s="61" t="s">
        <v>717</v>
      </c>
      <c r="G442" s="61" t="s">
        <v>34</v>
      </c>
      <c r="H442" s="61" t="s">
        <v>835</v>
      </c>
      <c r="I442" s="61" t="s">
        <v>4270</v>
      </c>
      <c r="J442" s="61" t="s">
        <v>613</v>
      </c>
      <c r="K442" s="61" t="s">
        <v>648</v>
      </c>
      <c r="L442" s="61" t="s">
        <v>3670</v>
      </c>
      <c r="M442" s="61" t="s">
        <v>1489</v>
      </c>
      <c r="N442" s="61" t="s">
        <v>648</v>
      </c>
      <c r="O442" s="61" t="s">
        <v>1106</v>
      </c>
      <c r="P442" s="61" t="s">
        <v>3671</v>
      </c>
      <c r="Q442" s="61" t="s">
        <v>911</v>
      </c>
      <c r="R442" s="61" t="s">
        <v>3141</v>
      </c>
      <c r="S442" s="61" t="s">
        <v>2192</v>
      </c>
      <c r="T442" s="61">
        <v>19.28</v>
      </c>
      <c r="U442" s="61" t="s">
        <v>687</v>
      </c>
      <c r="V442" s="61" t="s">
        <v>903</v>
      </c>
      <c r="W442" s="61" t="s">
        <v>3672</v>
      </c>
      <c r="X442" s="61" t="s">
        <v>829</v>
      </c>
      <c r="Y442" s="61" t="s">
        <v>903</v>
      </c>
      <c r="Z442" s="61" t="s">
        <v>3672</v>
      </c>
      <c r="AA442" s="61" t="s">
        <v>829</v>
      </c>
      <c r="AB442" s="61" t="s">
        <v>34</v>
      </c>
      <c r="AC442" s="61" t="s">
        <v>830</v>
      </c>
      <c r="AD442" s="61" t="s">
        <v>3145</v>
      </c>
      <c r="AE442" s="61" t="s">
        <v>612</v>
      </c>
      <c r="AF442" s="61" t="s">
        <v>2054</v>
      </c>
      <c r="AG442" s="61" t="s">
        <v>34</v>
      </c>
      <c r="AH442" s="61" t="s">
        <v>34</v>
      </c>
      <c r="AI442" s="61" t="s">
        <v>34</v>
      </c>
      <c r="AJ442" s="61" t="s">
        <v>34</v>
      </c>
      <c r="AK442" s="61" t="s">
        <v>832</v>
      </c>
      <c r="AL442" s="61" t="s">
        <v>34</v>
      </c>
      <c r="AM442" s="61" t="s">
        <v>3442</v>
      </c>
      <c r="AN442" s="490">
        <v>0</v>
      </c>
      <c r="AO442" s="490">
        <v>0</v>
      </c>
      <c r="AP442" s="61"/>
      <c r="AQ442"/>
      <c r="AR442"/>
      <c r="CE442"/>
      <c r="CG442"/>
      <c r="CI442"/>
      <c r="CJ442"/>
    </row>
    <row r="443" spans="1:88" s="367" customFormat="1" ht="15" customHeight="1" x14ac:dyDescent="0.2">
      <c r="A443" s="61">
        <v>442</v>
      </c>
      <c r="B443" s="61" t="s">
        <v>483</v>
      </c>
      <c r="C443" s="61" t="s">
        <v>487</v>
      </c>
      <c r="D443" s="61" t="s">
        <v>2884</v>
      </c>
      <c r="E443" s="61" t="s">
        <v>787</v>
      </c>
      <c r="F443" s="61" t="s">
        <v>717</v>
      </c>
      <c r="G443" s="61" t="s">
        <v>34</v>
      </c>
      <c r="H443" s="61" t="s">
        <v>835</v>
      </c>
      <c r="I443" s="61" t="s">
        <v>4270</v>
      </c>
      <c r="J443" s="61" t="s">
        <v>613</v>
      </c>
      <c r="K443" s="61" t="s">
        <v>2122</v>
      </c>
      <c r="L443" s="61" t="s">
        <v>2123</v>
      </c>
      <c r="M443" s="61" t="s">
        <v>2124</v>
      </c>
      <c r="N443" s="61" t="s">
        <v>655</v>
      </c>
      <c r="O443" s="61" t="s">
        <v>108</v>
      </c>
      <c r="P443" s="61" t="s">
        <v>2266</v>
      </c>
      <c r="Q443" s="61" t="s">
        <v>2266</v>
      </c>
      <c r="R443" s="61" t="s">
        <v>892</v>
      </c>
      <c r="S443" s="61" t="s">
        <v>2267</v>
      </c>
      <c r="T443" s="61">
        <v>13.6</v>
      </c>
      <c r="U443" s="61" t="s">
        <v>687</v>
      </c>
      <c r="V443" s="61" t="s">
        <v>1095</v>
      </c>
      <c r="W443" s="61" t="s">
        <v>2124</v>
      </c>
      <c r="X443" s="61">
        <v>0</v>
      </c>
      <c r="Y443" s="61">
        <v>0</v>
      </c>
      <c r="Z443" s="61">
        <v>0</v>
      </c>
      <c r="AA443" s="61">
        <v>0</v>
      </c>
      <c r="AB443" s="61" t="s">
        <v>34</v>
      </c>
      <c r="AC443" s="61" t="s">
        <v>108</v>
      </c>
      <c r="AD443" s="61">
        <v>0</v>
      </c>
      <c r="AE443" s="61" t="s">
        <v>612</v>
      </c>
      <c r="AF443" s="61" t="s">
        <v>34</v>
      </c>
      <c r="AG443" s="61" t="s">
        <v>34</v>
      </c>
      <c r="AH443" s="61" t="s">
        <v>34</v>
      </c>
      <c r="AI443" s="61" t="s">
        <v>34</v>
      </c>
      <c r="AJ443" s="61" t="s">
        <v>34</v>
      </c>
      <c r="AK443" s="61" t="s">
        <v>832</v>
      </c>
      <c r="AL443" s="61" t="s">
        <v>34</v>
      </c>
      <c r="AM443" s="61" t="s">
        <v>3458</v>
      </c>
      <c r="AN443" s="490">
        <v>0</v>
      </c>
      <c r="AO443" s="490">
        <v>0</v>
      </c>
      <c r="AP443" s="61"/>
      <c r="AQ443"/>
      <c r="AR443"/>
      <c r="CE443"/>
      <c r="CG443"/>
      <c r="CI443"/>
      <c r="CJ443"/>
    </row>
    <row r="444" spans="1:88" s="368" customFormat="1" ht="15" customHeight="1" x14ac:dyDescent="0.2">
      <c r="A444" s="61">
        <v>443</v>
      </c>
      <c r="B444" s="61" t="s">
        <v>483</v>
      </c>
      <c r="C444" s="61" t="s">
        <v>3525</v>
      </c>
      <c r="D444" s="61" t="s">
        <v>3526</v>
      </c>
      <c r="E444" s="61" t="s">
        <v>787</v>
      </c>
      <c r="F444" s="61" t="s">
        <v>717</v>
      </c>
      <c r="G444" s="61" t="s">
        <v>34</v>
      </c>
      <c r="H444" s="61" t="s">
        <v>835</v>
      </c>
      <c r="I444" s="61" t="s">
        <v>4270</v>
      </c>
      <c r="J444" s="61" t="s">
        <v>613</v>
      </c>
      <c r="K444" s="61" t="s">
        <v>1012</v>
      </c>
      <c r="L444" s="61" t="s">
        <v>2114</v>
      </c>
      <c r="M444" s="61" t="s">
        <v>2115</v>
      </c>
      <c r="N444" s="61" t="s">
        <v>3525</v>
      </c>
      <c r="O444" s="61" t="s">
        <v>108</v>
      </c>
      <c r="P444" s="61" t="s">
        <v>4088</v>
      </c>
      <c r="Q444" s="61" t="s">
        <v>4088</v>
      </c>
      <c r="R444" s="61" t="s">
        <v>892</v>
      </c>
      <c r="S444" s="61" t="s">
        <v>2263</v>
      </c>
      <c r="T444" s="61">
        <v>136</v>
      </c>
      <c r="U444" s="61" t="s">
        <v>687</v>
      </c>
      <c r="V444" s="61" t="s">
        <v>1095</v>
      </c>
      <c r="W444" s="61" t="s">
        <v>2115</v>
      </c>
      <c r="X444" s="61" t="s">
        <v>1718</v>
      </c>
      <c r="Y444" s="61" t="s">
        <v>3482</v>
      </c>
      <c r="Z444" s="61" t="s">
        <v>3483</v>
      </c>
      <c r="AA444" s="61" t="s">
        <v>4089</v>
      </c>
      <c r="AB444" s="61" t="s">
        <v>3484</v>
      </c>
      <c r="AC444" s="61" t="s">
        <v>830</v>
      </c>
      <c r="AD444" s="61" t="s">
        <v>831</v>
      </c>
      <c r="AE444" s="61" t="s">
        <v>612</v>
      </c>
      <c r="AF444" s="61" t="s">
        <v>34</v>
      </c>
      <c r="AG444" s="61" t="s">
        <v>34</v>
      </c>
      <c r="AH444" s="61" t="s">
        <v>34</v>
      </c>
      <c r="AI444" s="61" t="s">
        <v>34</v>
      </c>
      <c r="AJ444" s="61" t="s">
        <v>34</v>
      </c>
      <c r="AK444" s="61" t="s">
        <v>832</v>
      </c>
      <c r="AL444" s="61" t="s">
        <v>34</v>
      </c>
      <c r="AM444" s="61" t="s">
        <v>3458</v>
      </c>
      <c r="AN444" s="490"/>
      <c r="AO444" s="490"/>
      <c r="AP444" s="61"/>
      <c r="AQ444"/>
      <c r="AR444"/>
      <c r="CE444"/>
      <c r="CG444"/>
      <c r="CI444"/>
      <c r="CJ444"/>
    </row>
    <row r="445" spans="1:88" s="367" customFormat="1" ht="15" customHeight="1" x14ac:dyDescent="0.2">
      <c r="A445" s="61">
        <v>444</v>
      </c>
      <c r="B445" s="61" t="s">
        <v>483</v>
      </c>
      <c r="C445" s="61" t="s">
        <v>4090</v>
      </c>
      <c r="D445" s="61" t="s">
        <v>4091</v>
      </c>
      <c r="E445" s="61" t="s">
        <v>787</v>
      </c>
      <c r="F445" s="61" t="s">
        <v>717</v>
      </c>
      <c r="G445" s="61" t="s">
        <v>34</v>
      </c>
      <c r="H445" s="61" t="s">
        <v>835</v>
      </c>
      <c r="I445" s="61" t="s">
        <v>4270</v>
      </c>
      <c r="J445" s="61" t="s">
        <v>613</v>
      </c>
      <c r="K445" s="61" t="s">
        <v>487</v>
      </c>
      <c r="L445" s="61" t="s">
        <v>4092</v>
      </c>
      <c r="M445" s="61" t="s">
        <v>4093</v>
      </c>
      <c r="N445" s="61" t="s">
        <v>4090</v>
      </c>
      <c r="O445" s="61" t="s">
        <v>108</v>
      </c>
      <c r="P445" s="61" t="s">
        <v>2266</v>
      </c>
      <c r="Q445" s="61" t="s">
        <v>2266</v>
      </c>
      <c r="R445" s="61" t="s">
        <v>892</v>
      </c>
      <c r="S445" s="61" t="s">
        <v>4094</v>
      </c>
      <c r="T445" s="61">
        <v>56.25</v>
      </c>
      <c r="U445" s="61" t="s">
        <v>687</v>
      </c>
      <c r="V445" s="61" t="s">
        <v>4095</v>
      </c>
      <c r="W445" s="61" t="s">
        <v>4096</v>
      </c>
      <c r="X445" s="61" t="s">
        <v>1445</v>
      </c>
      <c r="Y445" s="61" t="s">
        <v>3738</v>
      </c>
      <c r="Z445" s="61" t="s">
        <v>3541</v>
      </c>
      <c r="AA445" s="61" t="s">
        <v>3739</v>
      </c>
      <c r="AB445" s="61" t="s">
        <v>2113</v>
      </c>
      <c r="AC445" s="61" t="s">
        <v>830</v>
      </c>
      <c r="AD445" s="61" t="s">
        <v>4097</v>
      </c>
      <c r="AE445" s="61" t="s">
        <v>612</v>
      </c>
      <c r="AF445" s="61" t="s">
        <v>3030</v>
      </c>
      <c r="AG445" s="61" t="s">
        <v>34</v>
      </c>
      <c r="AH445" s="61" t="s">
        <v>34</v>
      </c>
      <c r="AI445" s="61" t="s">
        <v>34</v>
      </c>
      <c r="AJ445" s="61" t="s">
        <v>34</v>
      </c>
      <c r="AK445" s="61" t="s">
        <v>832</v>
      </c>
      <c r="AL445" s="61" t="s">
        <v>34</v>
      </c>
      <c r="AM445" s="61" t="s">
        <v>3458</v>
      </c>
      <c r="AN445" s="490">
        <v>0</v>
      </c>
      <c r="AO445" s="490">
        <v>0</v>
      </c>
      <c r="AP445" s="61"/>
      <c r="AQ445"/>
      <c r="AR445"/>
      <c r="CE445"/>
      <c r="CG445"/>
      <c r="CI445"/>
      <c r="CJ445"/>
    </row>
    <row r="446" spans="1:88" s="368" customFormat="1" ht="15" customHeight="1" x14ac:dyDescent="0.2">
      <c r="A446" s="61">
        <v>445</v>
      </c>
      <c r="B446" s="61" t="s">
        <v>483</v>
      </c>
      <c r="C446" s="61" t="s">
        <v>421</v>
      </c>
      <c r="D446" s="61" t="s">
        <v>3740</v>
      </c>
      <c r="E446" s="61" t="s">
        <v>787</v>
      </c>
      <c r="F446" s="61" t="s">
        <v>717</v>
      </c>
      <c r="G446" s="61" t="s">
        <v>34</v>
      </c>
      <c r="H446" s="61" t="s">
        <v>835</v>
      </c>
      <c r="I446" s="61" t="s">
        <v>4270</v>
      </c>
      <c r="J446" s="61" t="s">
        <v>613</v>
      </c>
      <c r="K446" s="61" t="s">
        <v>1012</v>
      </c>
      <c r="L446" s="61" t="s">
        <v>2117</v>
      </c>
      <c r="M446" s="61" t="s">
        <v>2118</v>
      </c>
      <c r="N446" s="61" t="s">
        <v>421</v>
      </c>
      <c r="O446" s="61" t="s">
        <v>108</v>
      </c>
      <c r="P446" s="61" t="s">
        <v>2260</v>
      </c>
      <c r="Q446" s="61" t="s">
        <v>2260</v>
      </c>
      <c r="R446" s="61" t="s">
        <v>892</v>
      </c>
      <c r="S446" s="61" t="s">
        <v>2264</v>
      </c>
      <c r="T446" s="61">
        <v>19.600000000000001</v>
      </c>
      <c r="U446" s="61" t="s">
        <v>687</v>
      </c>
      <c r="V446" s="61" t="s">
        <v>1095</v>
      </c>
      <c r="W446" s="61" t="s">
        <v>2118</v>
      </c>
      <c r="X446" s="61" t="s">
        <v>1445</v>
      </c>
      <c r="Y446" s="61" t="s">
        <v>3738</v>
      </c>
      <c r="Z446" s="61" t="s">
        <v>3024</v>
      </c>
      <c r="AA446" s="61" t="s">
        <v>3739</v>
      </c>
      <c r="AB446" s="61" t="s">
        <v>2113</v>
      </c>
      <c r="AC446" s="61" t="s">
        <v>830</v>
      </c>
      <c r="AD446" s="61" t="s">
        <v>831</v>
      </c>
      <c r="AE446" s="61" t="s">
        <v>612</v>
      </c>
      <c r="AF446" s="61" t="s">
        <v>34</v>
      </c>
      <c r="AG446" s="61" t="s">
        <v>34</v>
      </c>
      <c r="AH446" s="61" t="s">
        <v>34</v>
      </c>
      <c r="AI446" s="61" t="s">
        <v>34</v>
      </c>
      <c r="AJ446" s="61" t="s">
        <v>34</v>
      </c>
      <c r="AK446" s="61" t="s">
        <v>832</v>
      </c>
      <c r="AL446" s="61" t="s">
        <v>34</v>
      </c>
      <c r="AM446" s="61" t="s">
        <v>3458</v>
      </c>
      <c r="AN446" s="490">
        <v>0</v>
      </c>
      <c r="AO446" s="490">
        <v>0</v>
      </c>
      <c r="AP446" s="61"/>
      <c r="AQ446"/>
      <c r="AR446"/>
      <c r="CE446"/>
      <c r="CG446"/>
      <c r="CI446"/>
      <c r="CJ446"/>
    </row>
    <row r="447" spans="1:88" s="367" customFormat="1" ht="15" customHeight="1" x14ac:dyDescent="0.2">
      <c r="A447" s="61">
        <v>446</v>
      </c>
      <c r="B447" s="61" t="s">
        <v>483</v>
      </c>
      <c r="C447" s="61" t="s">
        <v>488</v>
      </c>
      <c r="D447" s="61" t="s">
        <v>2885</v>
      </c>
      <c r="E447" s="61" t="s">
        <v>787</v>
      </c>
      <c r="F447" s="61" t="s">
        <v>717</v>
      </c>
      <c r="G447" s="61" t="s">
        <v>34</v>
      </c>
      <c r="H447" s="61" t="s">
        <v>835</v>
      </c>
      <c r="I447" s="61" t="s">
        <v>4270</v>
      </c>
      <c r="J447" s="61" t="s">
        <v>613</v>
      </c>
      <c r="K447" s="61" t="s">
        <v>1012</v>
      </c>
      <c r="L447" s="61" t="s">
        <v>2119</v>
      </c>
      <c r="M447" s="61" t="s">
        <v>2120</v>
      </c>
      <c r="N447" s="61" t="s">
        <v>488</v>
      </c>
      <c r="O447" s="61" t="s">
        <v>108</v>
      </c>
      <c r="P447" s="61" t="s">
        <v>2260</v>
      </c>
      <c r="Q447" s="61" t="s">
        <v>2260</v>
      </c>
      <c r="R447" s="61" t="s">
        <v>892</v>
      </c>
      <c r="S447" s="61" t="s">
        <v>2265</v>
      </c>
      <c r="T447" s="61">
        <v>19.899999999999999</v>
      </c>
      <c r="U447" s="61" t="s">
        <v>687</v>
      </c>
      <c r="V447" s="61" t="s">
        <v>1095</v>
      </c>
      <c r="W447" s="61" t="s">
        <v>2121</v>
      </c>
      <c r="X447" s="61" t="s">
        <v>1445</v>
      </c>
      <c r="Y447" s="61" t="s">
        <v>3041</v>
      </c>
      <c r="Z447" s="61" t="s">
        <v>3024</v>
      </c>
      <c r="AA447" s="61" t="s">
        <v>2112</v>
      </c>
      <c r="AB447" s="61" t="s">
        <v>2116</v>
      </c>
      <c r="AC447" s="61" t="s">
        <v>830</v>
      </c>
      <c r="AD447" s="61" t="s">
        <v>831</v>
      </c>
      <c r="AE447" s="61" t="s">
        <v>612</v>
      </c>
      <c r="AF447" s="61" t="s">
        <v>34</v>
      </c>
      <c r="AG447" s="61" t="s">
        <v>34</v>
      </c>
      <c r="AH447" s="61" t="s">
        <v>34</v>
      </c>
      <c r="AI447" s="61" t="s">
        <v>34</v>
      </c>
      <c r="AJ447" s="61" t="s">
        <v>34</v>
      </c>
      <c r="AK447" s="61" t="s">
        <v>832</v>
      </c>
      <c r="AL447" s="61" t="s">
        <v>34</v>
      </c>
      <c r="AM447" s="61" t="s">
        <v>3458</v>
      </c>
      <c r="AN447" s="490">
        <v>0</v>
      </c>
      <c r="AO447" s="490">
        <v>0</v>
      </c>
      <c r="AP447" s="61"/>
      <c r="AQ447"/>
      <c r="AR447"/>
      <c r="CE447"/>
      <c r="CG447"/>
      <c r="CI447"/>
      <c r="CJ447"/>
    </row>
    <row r="448" spans="1:88" s="368" customFormat="1" ht="15" customHeight="1" x14ac:dyDescent="0.2">
      <c r="A448" s="61">
        <v>447</v>
      </c>
      <c r="B448" s="61" t="s">
        <v>483</v>
      </c>
      <c r="C448" s="61" t="s">
        <v>490</v>
      </c>
      <c r="D448" s="61" t="s">
        <v>2886</v>
      </c>
      <c r="E448" s="61" t="s">
        <v>787</v>
      </c>
      <c r="F448" s="61" t="s">
        <v>717</v>
      </c>
      <c r="G448" s="61" t="s">
        <v>34</v>
      </c>
      <c r="H448" s="61" t="s">
        <v>835</v>
      </c>
      <c r="I448" s="61" t="s">
        <v>4270</v>
      </c>
      <c r="J448" s="61" t="s">
        <v>613</v>
      </c>
      <c r="K448" s="61" t="s">
        <v>487</v>
      </c>
      <c r="L448" s="61" t="s">
        <v>2105</v>
      </c>
      <c r="M448" s="61" t="s">
        <v>2106</v>
      </c>
      <c r="N448" s="61" t="s">
        <v>490</v>
      </c>
      <c r="O448" s="61" t="s">
        <v>1106</v>
      </c>
      <c r="P448" s="61" t="s">
        <v>2260</v>
      </c>
      <c r="Q448" s="61" t="s">
        <v>2260</v>
      </c>
      <c r="R448" s="61" t="s">
        <v>892</v>
      </c>
      <c r="S448" s="61" t="s">
        <v>2261</v>
      </c>
      <c r="T448" s="61">
        <v>34.9</v>
      </c>
      <c r="U448" s="61" t="s">
        <v>687</v>
      </c>
      <c r="V448" s="61" t="s">
        <v>2107</v>
      </c>
      <c r="W448" s="61" t="s">
        <v>2108</v>
      </c>
      <c r="X448" s="61" t="s">
        <v>1718</v>
      </c>
      <c r="Y448" s="61" t="s">
        <v>2104</v>
      </c>
      <c r="Z448" s="61" t="s">
        <v>2109</v>
      </c>
      <c r="AA448" s="61" t="s">
        <v>908</v>
      </c>
      <c r="AB448" s="61" t="s">
        <v>2110</v>
      </c>
      <c r="AC448" s="61" t="s">
        <v>830</v>
      </c>
      <c r="AD448" s="61" t="s">
        <v>831</v>
      </c>
      <c r="AE448" s="61" t="s">
        <v>612</v>
      </c>
      <c r="AF448" s="61" t="s">
        <v>34</v>
      </c>
      <c r="AG448" s="61" t="s">
        <v>34</v>
      </c>
      <c r="AH448" s="61" t="s">
        <v>34</v>
      </c>
      <c r="AI448" s="61" t="s">
        <v>34</v>
      </c>
      <c r="AJ448" s="61" t="s">
        <v>34</v>
      </c>
      <c r="AK448" s="61" t="s">
        <v>832</v>
      </c>
      <c r="AL448" s="61" t="s">
        <v>34</v>
      </c>
      <c r="AM448" s="61" t="s">
        <v>3458</v>
      </c>
      <c r="AN448" s="490">
        <v>0</v>
      </c>
      <c r="AO448" s="490">
        <v>0</v>
      </c>
      <c r="AP448" s="61"/>
      <c r="AQ448"/>
      <c r="AR448"/>
      <c r="CE448"/>
      <c r="CG448"/>
      <c r="CI448"/>
      <c r="CJ448"/>
    </row>
    <row r="449" spans="1:88" ht="15" customHeight="1" x14ac:dyDescent="0.2">
      <c r="A449" s="61">
        <v>448</v>
      </c>
      <c r="B449" s="61" t="s">
        <v>483</v>
      </c>
      <c r="C449" s="61" t="s">
        <v>3485</v>
      </c>
      <c r="D449" s="61" t="s">
        <v>3486</v>
      </c>
      <c r="E449" s="61" t="s">
        <v>787</v>
      </c>
      <c r="F449" s="61" t="s">
        <v>717</v>
      </c>
      <c r="G449" s="61" t="s">
        <v>34</v>
      </c>
      <c r="H449" s="61" t="s">
        <v>835</v>
      </c>
      <c r="I449" s="61" t="s">
        <v>4270</v>
      </c>
      <c r="J449" s="61" t="s">
        <v>613</v>
      </c>
      <c r="K449" s="61" t="s">
        <v>3487</v>
      </c>
      <c r="L449" s="61" t="s">
        <v>4176</v>
      </c>
      <c r="M449" s="61" t="s">
        <v>2124</v>
      </c>
      <c r="N449" s="61" t="s">
        <v>3488</v>
      </c>
      <c r="O449" s="61" t="s">
        <v>108</v>
      </c>
      <c r="P449" s="61" t="s">
        <v>1078</v>
      </c>
      <c r="Q449" s="61" t="s">
        <v>1078</v>
      </c>
      <c r="R449" s="61" t="s">
        <v>892</v>
      </c>
      <c r="S449" s="61" t="s">
        <v>2267</v>
      </c>
      <c r="T449" s="61">
        <v>13.6</v>
      </c>
      <c r="U449" s="61" t="s">
        <v>687</v>
      </c>
      <c r="V449" s="61" t="s">
        <v>1095</v>
      </c>
      <c r="W449" s="61" t="s">
        <v>108</v>
      </c>
      <c r="X449" s="61" t="s">
        <v>1445</v>
      </c>
      <c r="Y449" s="61" t="s">
        <v>3482</v>
      </c>
      <c r="Z449" s="61" t="s">
        <v>3483</v>
      </c>
      <c r="AA449" s="61" t="s">
        <v>908</v>
      </c>
      <c r="AB449" s="61" t="s">
        <v>3489</v>
      </c>
      <c r="AC449" s="61" t="s">
        <v>3084</v>
      </c>
      <c r="AD449" s="61" t="s">
        <v>3008</v>
      </c>
      <c r="AE449" s="61" t="s">
        <v>612</v>
      </c>
      <c r="AF449" s="61" t="s">
        <v>3435</v>
      </c>
      <c r="AG449" s="61" t="s">
        <v>34</v>
      </c>
      <c r="AH449" s="61" t="s">
        <v>34</v>
      </c>
      <c r="AI449" s="61" t="s">
        <v>34</v>
      </c>
      <c r="AJ449" s="61" t="s">
        <v>34</v>
      </c>
      <c r="AK449" s="61" t="s">
        <v>832</v>
      </c>
      <c r="AL449" s="61" t="s">
        <v>34</v>
      </c>
      <c r="AM449" s="61" t="s">
        <v>3458</v>
      </c>
      <c r="AN449" s="490">
        <v>0</v>
      </c>
      <c r="AO449" s="490">
        <v>0</v>
      </c>
      <c r="AP449" s="61"/>
    </row>
    <row r="450" spans="1:88" s="368" customFormat="1" ht="15" customHeight="1" x14ac:dyDescent="0.2">
      <c r="A450" s="61">
        <v>449</v>
      </c>
      <c r="B450" s="61" t="s">
        <v>483</v>
      </c>
      <c r="C450" s="61" t="s">
        <v>489</v>
      </c>
      <c r="D450" s="61" t="s">
        <v>2887</v>
      </c>
      <c r="E450" s="61" t="s">
        <v>787</v>
      </c>
      <c r="F450" s="61" t="s">
        <v>717</v>
      </c>
      <c r="G450" s="61" t="s">
        <v>34</v>
      </c>
      <c r="H450" s="61" t="s">
        <v>835</v>
      </c>
      <c r="I450" s="61" t="s">
        <v>4270</v>
      </c>
      <c r="J450" s="61" t="s">
        <v>613</v>
      </c>
      <c r="K450" s="61" t="s">
        <v>487</v>
      </c>
      <c r="L450" s="61" t="s">
        <v>2100</v>
      </c>
      <c r="M450" s="61">
        <v>8091238</v>
      </c>
      <c r="N450" s="61" t="s">
        <v>489</v>
      </c>
      <c r="O450" s="61" t="s">
        <v>108</v>
      </c>
      <c r="P450" s="61" t="s">
        <v>2262</v>
      </c>
      <c r="Q450" s="61" t="s">
        <v>2262</v>
      </c>
      <c r="R450" s="61" t="s">
        <v>828</v>
      </c>
      <c r="S450" s="61" t="s">
        <v>2259</v>
      </c>
      <c r="T450" s="61">
        <v>4.3</v>
      </c>
      <c r="U450" s="61" t="s">
        <v>687</v>
      </c>
      <c r="V450" s="61" t="s">
        <v>2102</v>
      </c>
      <c r="W450" s="61" t="s">
        <v>2111</v>
      </c>
      <c r="X450" s="61" t="s">
        <v>1445</v>
      </c>
      <c r="Y450" s="61" t="s">
        <v>3041</v>
      </c>
      <c r="Z450" s="61" t="s">
        <v>3024</v>
      </c>
      <c r="AA450" s="61" t="s">
        <v>2112</v>
      </c>
      <c r="AB450" s="61" t="s">
        <v>2113</v>
      </c>
      <c r="AC450" s="61" t="s">
        <v>830</v>
      </c>
      <c r="AD450" s="61" t="s">
        <v>831</v>
      </c>
      <c r="AE450" s="61" t="s">
        <v>612</v>
      </c>
      <c r="AF450" s="61" t="s">
        <v>2520</v>
      </c>
      <c r="AG450" s="61" t="s">
        <v>34</v>
      </c>
      <c r="AH450" s="61" t="s">
        <v>34</v>
      </c>
      <c r="AI450" s="61" t="s">
        <v>34</v>
      </c>
      <c r="AJ450" s="61" t="s">
        <v>34</v>
      </c>
      <c r="AK450" s="61" t="s">
        <v>832</v>
      </c>
      <c r="AL450" s="61" t="s">
        <v>34</v>
      </c>
      <c r="AM450" s="61" t="s">
        <v>3458</v>
      </c>
      <c r="AN450" s="490">
        <v>0</v>
      </c>
      <c r="AO450" s="490">
        <v>0</v>
      </c>
      <c r="AP450" s="61"/>
      <c r="AQ450"/>
      <c r="AR450"/>
      <c r="CE450"/>
      <c r="CG450"/>
      <c r="CI450"/>
      <c r="CJ450"/>
    </row>
    <row r="451" spans="1:88" s="367" customFormat="1" ht="15" customHeight="1" x14ac:dyDescent="0.2">
      <c r="A451" s="61">
        <v>450</v>
      </c>
      <c r="B451" s="61" t="s">
        <v>483</v>
      </c>
      <c r="C451" s="61" t="s">
        <v>492</v>
      </c>
      <c r="D451" s="61" t="s">
        <v>2888</v>
      </c>
      <c r="E451" s="61" t="s">
        <v>787</v>
      </c>
      <c r="F451" s="61" t="s">
        <v>717</v>
      </c>
      <c r="G451" s="61" t="s">
        <v>34</v>
      </c>
      <c r="H451" s="61" t="s">
        <v>835</v>
      </c>
      <c r="I451" s="61" t="s">
        <v>4270</v>
      </c>
      <c r="J451" s="61" t="s">
        <v>613</v>
      </c>
      <c r="K451" s="61" t="s">
        <v>487</v>
      </c>
      <c r="L451" s="61" t="s">
        <v>2100</v>
      </c>
      <c r="M451" s="61">
        <v>910619</v>
      </c>
      <c r="N451" s="61" t="s">
        <v>492</v>
      </c>
      <c r="O451" s="61" t="s">
        <v>1106</v>
      </c>
      <c r="P451" s="61" t="s">
        <v>2262</v>
      </c>
      <c r="Q451" s="61" t="s">
        <v>2262</v>
      </c>
      <c r="R451" s="61" t="s">
        <v>892</v>
      </c>
      <c r="S451" s="61" t="s">
        <v>2258</v>
      </c>
      <c r="T451" s="61">
        <v>7.5</v>
      </c>
      <c r="U451" s="61" t="s">
        <v>687</v>
      </c>
      <c r="V451" s="61" t="s">
        <v>2101</v>
      </c>
      <c r="W451" s="61">
        <v>910619</v>
      </c>
      <c r="X451" s="61" t="s">
        <v>1718</v>
      </c>
      <c r="Y451" s="61" t="s">
        <v>3041</v>
      </c>
      <c r="Z451" s="61" t="s">
        <v>3024</v>
      </c>
      <c r="AA451" s="61" t="s">
        <v>3817</v>
      </c>
      <c r="AB451" s="61" t="s">
        <v>3818</v>
      </c>
      <c r="AC451" s="61" t="s">
        <v>830</v>
      </c>
      <c r="AD451" s="61" t="s">
        <v>831</v>
      </c>
      <c r="AE451" s="61" t="s">
        <v>612</v>
      </c>
      <c r="AF451" s="61" t="s">
        <v>108</v>
      </c>
      <c r="AG451" s="61" t="s">
        <v>34</v>
      </c>
      <c r="AH451" s="61" t="s">
        <v>34</v>
      </c>
      <c r="AI451" s="61" t="s">
        <v>34</v>
      </c>
      <c r="AJ451" s="61" t="s">
        <v>34</v>
      </c>
      <c r="AK451" s="61" t="s">
        <v>832</v>
      </c>
      <c r="AL451" s="61" t="s">
        <v>34</v>
      </c>
      <c r="AM451" s="61" t="s">
        <v>3458</v>
      </c>
      <c r="AN451" s="490">
        <v>0</v>
      </c>
      <c r="AO451" s="490">
        <v>0</v>
      </c>
      <c r="AP451" s="61"/>
      <c r="AQ451"/>
      <c r="AR451"/>
      <c r="CE451"/>
      <c r="CG451"/>
      <c r="CI451"/>
      <c r="CJ451"/>
    </row>
    <row r="452" spans="1:88" s="368" customFormat="1" ht="15" customHeight="1" x14ac:dyDescent="0.2">
      <c r="A452" s="61">
        <v>451</v>
      </c>
      <c r="B452" s="61" t="s">
        <v>483</v>
      </c>
      <c r="C452" s="61" t="s">
        <v>491</v>
      </c>
      <c r="D452" s="61" t="s">
        <v>2889</v>
      </c>
      <c r="E452" s="61" t="s">
        <v>787</v>
      </c>
      <c r="F452" s="61" t="s">
        <v>717</v>
      </c>
      <c r="G452" s="61" t="s">
        <v>34</v>
      </c>
      <c r="H452" s="61" t="s">
        <v>835</v>
      </c>
      <c r="I452" s="61" t="s">
        <v>4270</v>
      </c>
      <c r="J452" s="61" t="s">
        <v>613</v>
      </c>
      <c r="K452" s="61" t="s">
        <v>487</v>
      </c>
      <c r="L452" s="61" t="s">
        <v>2100</v>
      </c>
      <c r="M452" s="61">
        <v>910620</v>
      </c>
      <c r="N452" s="61" t="s">
        <v>491</v>
      </c>
      <c r="O452" s="61" t="s">
        <v>108</v>
      </c>
      <c r="P452" s="61" t="s">
        <v>2257</v>
      </c>
      <c r="Q452" s="61" t="s">
        <v>2257</v>
      </c>
      <c r="R452" s="61" t="s">
        <v>828</v>
      </c>
      <c r="S452" s="61" t="s">
        <v>2259</v>
      </c>
      <c r="T452" s="61">
        <v>4.3</v>
      </c>
      <c r="U452" s="61" t="s">
        <v>687</v>
      </c>
      <c r="V452" s="61" t="s">
        <v>4005</v>
      </c>
      <c r="W452" s="61" t="s">
        <v>2103</v>
      </c>
      <c r="X452" s="61" t="s">
        <v>1445</v>
      </c>
      <c r="Y452" s="61" t="s">
        <v>3041</v>
      </c>
      <c r="Z452" s="61" t="s">
        <v>3024</v>
      </c>
      <c r="AA452" s="61" t="s">
        <v>4006</v>
      </c>
      <c r="AB452" s="61" t="s">
        <v>4007</v>
      </c>
      <c r="AC452" s="61" t="s">
        <v>830</v>
      </c>
      <c r="AD452" s="61" t="s">
        <v>831</v>
      </c>
      <c r="AE452" s="61" t="s">
        <v>612</v>
      </c>
      <c r="AF452" s="61" t="s">
        <v>34</v>
      </c>
      <c r="AG452" s="61" t="s">
        <v>34</v>
      </c>
      <c r="AH452" s="61" t="s">
        <v>34</v>
      </c>
      <c r="AI452" s="61" t="s">
        <v>34</v>
      </c>
      <c r="AJ452" s="61" t="s">
        <v>34</v>
      </c>
      <c r="AK452" s="61" t="s">
        <v>832</v>
      </c>
      <c r="AL452" s="61" t="s">
        <v>34</v>
      </c>
      <c r="AM452" s="61" t="s">
        <v>3458</v>
      </c>
      <c r="AN452" s="490"/>
      <c r="AO452" s="490"/>
      <c r="AP452" s="61"/>
      <c r="AQ452"/>
      <c r="AR452"/>
      <c r="CE452"/>
      <c r="CG452"/>
      <c r="CI452"/>
      <c r="CJ452"/>
    </row>
    <row r="453" spans="1:88" s="367" customFormat="1" ht="15" customHeight="1" x14ac:dyDescent="0.2">
      <c r="A453" s="61">
        <v>452</v>
      </c>
      <c r="B453" s="61" t="s">
        <v>483</v>
      </c>
      <c r="C453" s="61" t="s">
        <v>4098</v>
      </c>
      <c r="D453" s="61" t="s">
        <v>4099</v>
      </c>
      <c r="E453" s="61" t="s">
        <v>787</v>
      </c>
      <c r="F453" s="61" t="s">
        <v>717</v>
      </c>
      <c r="G453" s="61" t="s">
        <v>34</v>
      </c>
      <c r="H453" s="61" t="s">
        <v>835</v>
      </c>
      <c r="I453" s="61" t="s">
        <v>4270</v>
      </c>
      <c r="J453" s="61" t="s">
        <v>613</v>
      </c>
      <c r="K453" s="61" t="s">
        <v>487</v>
      </c>
      <c r="L453" s="61" t="s">
        <v>4100</v>
      </c>
      <c r="M453" s="61">
        <v>506311</v>
      </c>
      <c r="N453" s="61" t="s">
        <v>4098</v>
      </c>
      <c r="O453" s="61" t="s">
        <v>108</v>
      </c>
      <c r="P453" s="61" t="s">
        <v>2262</v>
      </c>
      <c r="Q453" s="61" t="s">
        <v>4101</v>
      </c>
      <c r="R453" s="61" t="s">
        <v>892</v>
      </c>
      <c r="S453" s="61" t="s">
        <v>4102</v>
      </c>
      <c r="T453" s="61">
        <v>14.35</v>
      </c>
      <c r="U453" s="61" t="s">
        <v>687</v>
      </c>
      <c r="V453" s="61" t="s">
        <v>4005</v>
      </c>
      <c r="W453" s="61" t="s">
        <v>4103</v>
      </c>
      <c r="X453" s="61" t="s">
        <v>1445</v>
      </c>
      <c r="Y453" s="61" t="s">
        <v>3738</v>
      </c>
      <c r="Z453" s="61" t="s">
        <v>3541</v>
      </c>
      <c r="AA453" s="61" t="s">
        <v>4104</v>
      </c>
      <c r="AB453" s="61" t="s">
        <v>2113</v>
      </c>
      <c r="AC453" s="61" t="s">
        <v>830</v>
      </c>
      <c r="AD453" s="61" t="s">
        <v>4105</v>
      </c>
      <c r="AE453" s="61" t="s">
        <v>612</v>
      </c>
      <c r="AF453" s="61" t="s">
        <v>3030</v>
      </c>
      <c r="AG453" s="61" t="s">
        <v>34</v>
      </c>
      <c r="AH453" s="61" t="s">
        <v>34</v>
      </c>
      <c r="AI453" s="61" t="s">
        <v>34</v>
      </c>
      <c r="AJ453" s="61" t="s">
        <v>34</v>
      </c>
      <c r="AK453" s="61" t="s">
        <v>832</v>
      </c>
      <c r="AL453" s="61" t="s">
        <v>34</v>
      </c>
      <c r="AM453" s="61" t="s">
        <v>3458</v>
      </c>
      <c r="AN453" s="490">
        <v>0</v>
      </c>
      <c r="AO453" s="490">
        <v>0</v>
      </c>
      <c r="AP453" s="61"/>
      <c r="AQ453"/>
      <c r="AR453"/>
      <c r="CE453"/>
      <c r="CG453"/>
      <c r="CI453"/>
      <c r="CJ453"/>
    </row>
    <row r="454" spans="1:88" s="368" customFormat="1" x14ac:dyDescent="0.2">
      <c r="A454" s="61">
        <v>453</v>
      </c>
      <c r="B454" s="61" t="s">
        <v>483</v>
      </c>
      <c r="C454" s="61" t="s">
        <v>493</v>
      </c>
      <c r="D454" s="61" t="s">
        <v>2890</v>
      </c>
      <c r="E454" s="61" t="s">
        <v>787</v>
      </c>
      <c r="F454" s="61" t="s">
        <v>717</v>
      </c>
      <c r="G454" s="61" t="s">
        <v>34</v>
      </c>
      <c r="H454" s="61" t="s">
        <v>835</v>
      </c>
      <c r="I454" s="61" t="s">
        <v>4270</v>
      </c>
      <c r="J454" s="61" t="s">
        <v>613</v>
      </c>
      <c r="K454" s="61" t="s">
        <v>349</v>
      </c>
      <c r="L454" s="61" t="s">
        <v>2143</v>
      </c>
      <c r="M454" s="61">
        <v>157157</v>
      </c>
      <c r="N454" s="61" t="s">
        <v>493</v>
      </c>
      <c r="O454" s="61" t="s">
        <v>1106</v>
      </c>
      <c r="P454" s="61" t="s">
        <v>2273</v>
      </c>
      <c r="Q454" s="61" t="s">
        <v>833</v>
      </c>
      <c r="R454" s="61" t="s">
        <v>892</v>
      </c>
      <c r="S454" s="61" t="s">
        <v>2274</v>
      </c>
      <c r="T454" s="61">
        <v>12</v>
      </c>
      <c r="U454" s="61" t="s">
        <v>687</v>
      </c>
      <c r="V454" s="61" t="s">
        <v>2144</v>
      </c>
      <c r="W454" s="61" t="s">
        <v>1176</v>
      </c>
      <c r="X454" s="61" t="s">
        <v>908</v>
      </c>
      <c r="Y454" s="61" t="s">
        <v>2145</v>
      </c>
      <c r="Z454" s="61" t="s">
        <v>2146</v>
      </c>
      <c r="AA454" s="61" t="s">
        <v>908</v>
      </c>
      <c r="AB454" s="61" t="s">
        <v>34</v>
      </c>
      <c r="AC454" s="61" t="s">
        <v>830</v>
      </c>
      <c r="AD454" s="61" t="s">
        <v>831</v>
      </c>
      <c r="AE454" s="61" t="s">
        <v>612</v>
      </c>
      <c r="AF454" s="61" t="s">
        <v>34</v>
      </c>
      <c r="AG454" s="61" t="s">
        <v>34</v>
      </c>
      <c r="AH454" s="61" t="s">
        <v>34</v>
      </c>
      <c r="AI454" s="61" t="s">
        <v>34</v>
      </c>
      <c r="AJ454" s="61" t="s">
        <v>34</v>
      </c>
      <c r="AK454" s="61" t="s">
        <v>832</v>
      </c>
      <c r="AL454" s="61" t="s">
        <v>34</v>
      </c>
      <c r="AM454" s="61" t="s">
        <v>3441</v>
      </c>
      <c r="AN454" s="490">
        <v>0</v>
      </c>
      <c r="AO454" s="490">
        <v>0</v>
      </c>
      <c r="AP454" s="61"/>
      <c r="AQ454"/>
      <c r="AR454"/>
      <c r="CE454"/>
      <c r="CG454"/>
      <c r="CI454"/>
      <c r="CJ454"/>
    </row>
    <row r="455" spans="1:88" s="367" customFormat="1" ht="15" customHeight="1" x14ac:dyDescent="0.2">
      <c r="A455" s="61">
        <v>454</v>
      </c>
      <c r="B455" s="61" t="s">
        <v>483</v>
      </c>
      <c r="C455" s="61" t="s">
        <v>484</v>
      </c>
      <c r="D455" s="61" t="s">
        <v>2891</v>
      </c>
      <c r="E455" s="61" t="s">
        <v>787</v>
      </c>
      <c r="F455" s="61" t="s">
        <v>717</v>
      </c>
      <c r="G455" s="61" t="s">
        <v>34</v>
      </c>
      <c r="H455" s="61" t="s">
        <v>835</v>
      </c>
      <c r="I455" s="61" t="s">
        <v>4270</v>
      </c>
      <c r="J455" s="61" t="s">
        <v>823</v>
      </c>
      <c r="K455" s="61" t="s">
        <v>2125</v>
      </c>
      <c r="L455" s="61" t="s">
        <v>2126</v>
      </c>
      <c r="M455" s="61" t="s">
        <v>2955</v>
      </c>
      <c r="N455" s="61" t="s">
        <v>484</v>
      </c>
      <c r="O455" s="61" t="s">
        <v>1106</v>
      </c>
      <c r="P455" s="61" t="s">
        <v>2268</v>
      </c>
      <c r="Q455" s="61" t="s">
        <v>2209</v>
      </c>
      <c r="R455" s="61" t="s">
        <v>828</v>
      </c>
      <c r="S455" s="61" t="s">
        <v>2269</v>
      </c>
      <c r="T455" s="61">
        <v>15.3</v>
      </c>
      <c r="U455" s="61" t="s">
        <v>687</v>
      </c>
      <c r="V455" s="61" t="s">
        <v>2127</v>
      </c>
      <c r="W455" s="61" t="s">
        <v>1176</v>
      </c>
      <c r="X455" s="61" t="s">
        <v>2128</v>
      </c>
      <c r="Y455" s="61" t="s">
        <v>2956</v>
      </c>
      <c r="Z455" s="61" t="s">
        <v>2957</v>
      </c>
      <c r="AA455" s="61" t="s">
        <v>2128</v>
      </c>
      <c r="AB455" s="61" t="s">
        <v>2129</v>
      </c>
      <c r="AC455" s="61" t="s">
        <v>830</v>
      </c>
      <c r="AD455" s="61" t="s">
        <v>831</v>
      </c>
      <c r="AE455" s="61" t="s">
        <v>612</v>
      </c>
      <c r="AF455" s="61" t="s">
        <v>34</v>
      </c>
      <c r="AG455" s="61" t="s">
        <v>34</v>
      </c>
      <c r="AH455" s="61" t="s">
        <v>34</v>
      </c>
      <c r="AI455" s="61" t="s">
        <v>34</v>
      </c>
      <c r="AJ455" s="61" t="s">
        <v>34</v>
      </c>
      <c r="AK455" s="61" t="s">
        <v>832</v>
      </c>
      <c r="AL455" s="61" t="s">
        <v>34</v>
      </c>
      <c r="AM455" s="61" t="s">
        <v>3442</v>
      </c>
      <c r="AN455" s="490">
        <v>0</v>
      </c>
      <c r="AO455" s="490">
        <v>0</v>
      </c>
      <c r="AP455" s="61"/>
      <c r="AQ455"/>
      <c r="AR455"/>
      <c r="CE455"/>
      <c r="CG455"/>
      <c r="CI455"/>
      <c r="CJ455"/>
    </row>
    <row r="456" spans="1:88" s="368" customFormat="1" ht="15" customHeight="1" x14ac:dyDescent="0.2">
      <c r="A456" s="61">
        <v>455</v>
      </c>
      <c r="B456" s="61" t="s">
        <v>483</v>
      </c>
      <c r="C456" s="61" t="s">
        <v>485</v>
      </c>
      <c r="D456" s="61" t="s">
        <v>2892</v>
      </c>
      <c r="E456" s="61" t="s">
        <v>787</v>
      </c>
      <c r="F456" s="61" t="s">
        <v>717</v>
      </c>
      <c r="G456" s="61" t="s">
        <v>34</v>
      </c>
      <c r="H456" s="61" t="s">
        <v>835</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830</v>
      </c>
      <c r="AD456" s="61" t="s">
        <v>831</v>
      </c>
      <c r="AE456" s="61" t="s">
        <v>612</v>
      </c>
      <c r="AF456" s="61" t="s">
        <v>34</v>
      </c>
      <c r="AG456" s="61" t="s">
        <v>34</v>
      </c>
      <c r="AH456" s="61" t="s">
        <v>34</v>
      </c>
      <c r="AI456" s="61" t="s">
        <v>34</v>
      </c>
      <c r="AJ456" s="61" t="s">
        <v>34</v>
      </c>
      <c r="AK456" s="61" t="s">
        <v>832</v>
      </c>
      <c r="AL456" s="61" t="s">
        <v>34</v>
      </c>
      <c r="AM456" s="61" t="s">
        <v>3441</v>
      </c>
      <c r="AN456" s="490">
        <v>0</v>
      </c>
      <c r="AO456" s="490">
        <v>0</v>
      </c>
      <c r="AP456" s="61"/>
      <c r="AQ456"/>
      <c r="AR456"/>
      <c r="CE456"/>
      <c r="CG456"/>
      <c r="CI456"/>
      <c r="CJ456"/>
    </row>
    <row r="457" spans="1:88" s="367" customFormat="1" ht="15" customHeight="1" x14ac:dyDescent="0.2">
      <c r="A457" s="61">
        <v>456</v>
      </c>
      <c r="B457" s="61" t="s">
        <v>483</v>
      </c>
      <c r="C457" s="61" t="s">
        <v>3137</v>
      </c>
      <c r="D457" s="61" t="s">
        <v>3138</v>
      </c>
      <c r="E457" s="61" t="s">
        <v>787</v>
      </c>
      <c r="F457" s="61" t="s">
        <v>717</v>
      </c>
      <c r="G457" s="61" t="s">
        <v>34</v>
      </c>
      <c r="H457" s="61" t="s">
        <v>835</v>
      </c>
      <c r="I457" s="61" t="s">
        <v>4270</v>
      </c>
      <c r="J457" s="61" t="s">
        <v>613</v>
      </c>
      <c r="K457" s="61" t="s">
        <v>349</v>
      </c>
      <c r="L457" s="61" t="s">
        <v>3139</v>
      </c>
      <c r="M457" s="61">
        <v>142142</v>
      </c>
      <c r="N457" s="61" t="s">
        <v>3137</v>
      </c>
      <c r="O457" s="61" t="s">
        <v>1106</v>
      </c>
      <c r="P457" s="61" t="s">
        <v>3140</v>
      </c>
      <c r="Q457" s="61" t="s">
        <v>2016</v>
      </c>
      <c r="R457" s="61" t="s">
        <v>3141</v>
      </c>
      <c r="S457" s="61" t="s">
        <v>3142</v>
      </c>
      <c r="T457" s="61">
        <v>25</v>
      </c>
      <c r="U457" s="61" t="s">
        <v>687</v>
      </c>
      <c r="V457" s="61" t="s">
        <v>3139</v>
      </c>
      <c r="W457" s="61">
        <v>142142</v>
      </c>
      <c r="X457" s="61" t="s">
        <v>3022</v>
      </c>
      <c r="Y457" s="61" t="s">
        <v>3143</v>
      </c>
      <c r="Z457" s="61" t="s">
        <v>3144</v>
      </c>
      <c r="AA457" s="61" t="s">
        <v>3022</v>
      </c>
      <c r="AB457" s="61" t="s">
        <v>899</v>
      </c>
      <c r="AC457" s="61" t="s">
        <v>830</v>
      </c>
      <c r="AD457" s="61" t="s">
        <v>3145</v>
      </c>
      <c r="AE457" s="61" t="s">
        <v>612</v>
      </c>
      <c r="AF457" s="61" t="s">
        <v>2054</v>
      </c>
      <c r="AG457" s="61" t="s">
        <v>34</v>
      </c>
      <c r="AH457" s="61" t="s">
        <v>34</v>
      </c>
      <c r="AI457" s="61" t="s">
        <v>34</v>
      </c>
      <c r="AJ457" s="61" t="s">
        <v>34</v>
      </c>
      <c r="AK457" s="61" t="s">
        <v>832</v>
      </c>
      <c r="AL457" s="61" t="s">
        <v>34</v>
      </c>
      <c r="AM457" s="61" t="s">
        <v>3441</v>
      </c>
      <c r="AN457" s="490">
        <v>0</v>
      </c>
      <c r="AO457" s="490">
        <v>0</v>
      </c>
      <c r="AP457" s="61"/>
      <c r="AQ457"/>
      <c r="AR457"/>
      <c r="CE457"/>
      <c r="CG457"/>
      <c r="CI457"/>
      <c r="CJ457"/>
    </row>
    <row r="458" spans="1:88" x14ac:dyDescent="0.2">
      <c r="A458" s="61">
        <v>457</v>
      </c>
      <c r="B458" s="61" t="s">
        <v>483</v>
      </c>
      <c r="C458" s="61" t="s">
        <v>497</v>
      </c>
      <c r="D458" s="61" t="s">
        <v>2893</v>
      </c>
      <c r="E458" s="61" t="s">
        <v>787</v>
      </c>
      <c r="F458" s="61" t="s">
        <v>717</v>
      </c>
      <c r="G458" s="61" t="s">
        <v>34</v>
      </c>
      <c r="H458" s="61" t="s">
        <v>835</v>
      </c>
      <c r="I458" s="61" t="s">
        <v>4270</v>
      </c>
      <c r="J458" s="61" t="s">
        <v>613</v>
      </c>
      <c r="K458" s="61" t="s">
        <v>2093</v>
      </c>
      <c r="L458" s="61" t="s">
        <v>2094</v>
      </c>
      <c r="M458" s="61" t="s">
        <v>2095</v>
      </c>
      <c r="N458" s="61" t="s">
        <v>497</v>
      </c>
      <c r="O458" s="61" t="s">
        <v>108</v>
      </c>
      <c r="P458" s="61" t="s">
        <v>2254</v>
      </c>
      <c r="Q458" s="61" t="s">
        <v>2255</v>
      </c>
      <c r="R458" s="61" t="s">
        <v>987</v>
      </c>
      <c r="S458" s="61" t="s">
        <v>2256</v>
      </c>
      <c r="T458" s="61">
        <v>236</v>
      </c>
      <c r="U458" s="61" t="s">
        <v>687</v>
      </c>
      <c r="V458" s="61" t="s">
        <v>2094</v>
      </c>
      <c r="W458" s="61" t="s">
        <v>2095</v>
      </c>
      <c r="X458" s="61" t="s">
        <v>1434</v>
      </c>
      <c r="Y458" s="61" t="s">
        <v>2096</v>
      </c>
      <c r="Z458" s="61" t="s">
        <v>2097</v>
      </c>
      <c r="AA458" s="61" t="s">
        <v>2098</v>
      </c>
      <c r="AB458" s="61" t="s">
        <v>2099</v>
      </c>
      <c r="AC458" s="61" t="s">
        <v>830</v>
      </c>
      <c r="AD458" s="61" t="s">
        <v>831</v>
      </c>
      <c r="AE458" s="61" t="s">
        <v>612</v>
      </c>
      <c r="AF458" s="61" t="s">
        <v>34</v>
      </c>
      <c r="AG458" s="61" t="s">
        <v>34</v>
      </c>
      <c r="AH458" s="61" t="s">
        <v>34</v>
      </c>
      <c r="AI458" s="61" t="s">
        <v>34</v>
      </c>
      <c r="AJ458" s="61" t="s">
        <v>34</v>
      </c>
      <c r="AK458" s="61" t="s">
        <v>832</v>
      </c>
      <c r="AL458" s="61" t="s">
        <v>34</v>
      </c>
      <c r="AM458" s="61" t="s">
        <v>3458</v>
      </c>
      <c r="AN458" s="490">
        <v>0</v>
      </c>
      <c r="AO458" s="490">
        <v>0</v>
      </c>
      <c r="AP458" s="61"/>
    </row>
    <row r="459" spans="1:88" s="367" customFormat="1" ht="15" customHeight="1" x14ac:dyDescent="0.2">
      <c r="A459" s="61">
        <v>458</v>
      </c>
      <c r="B459" s="61" t="s">
        <v>483</v>
      </c>
      <c r="C459" s="61" t="s">
        <v>486</v>
      </c>
      <c r="D459" s="61" t="s">
        <v>2894</v>
      </c>
      <c r="E459" s="61" t="s">
        <v>787</v>
      </c>
      <c r="F459" s="61" t="s">
        <v>717</v>
      </c>
      <c r="G459" s="61" t="s">
        <v>34</v>
      </c>
      <c r="H459" s="61" t="s">
        <v>835</v>
      </c>
      <c r="I459" s="61" t="s">
        <v>4270</v>
      </c>
      <c r="J459" s="61" t="s">
        <v>613</v>
      </c>
      <c r="K459" s="61" t="s">
        <v>2093</v>
      </c>
      <c r="L459" s="61" t="s">
        <v>2094</v>
      </c>
      <c r="M459" s="61" t="s">
        <v>2130</v>
      </c>
      <c r="N459" s="61" t="s">
        <v>486</v>
      </c>
      <c r="O459" s="61" t="s">
        <v>108</v>
      </c>
      <c r="P459" s="61" t="s">
        <v>2270</v>
      </c>
      <c r="Q459" s="61" t="s">
        <v>2255</v>
      </c>
      <c r="R459" s="61" t="s">
        <v>987</v>
      </c>
      <c r="S459" s="61" t="s">
        <v>2256</v>
      </c>
      <c r="T459" s="61">
        <v>23.6</v>
      </c>
      <c r="U459" s="61" t="s">
        <v>687</v>
      </c>
      <c r="V459" s="61" t="s">
        <v>2131</v>
      </c>
      <c r="W459" s="61" t="s">
        <v>2130</v>
      </c>
      <c r="X459" s="61" t="s">
        <v>958</v>
      </c>
      <c r="Y459" s="61" t="s">
        <v>2132</v>
      </c>
      <c r="Z459" s="61" t="s">
        <v>2132</v>
      </c>
      <c r="AA459" s="61" t="s">
        <v>958</v>
      </c>
      <c r="AB459" s="61" t="s">
        <v>2133</v>
      </c>
      <c r="AC459" s="61" t="s">
        <v>830</v>
      </c>
      <c r="AD459" s="61" t="s">
        <v>831</v>
      </c>
      <c r="AE459" s="61" t="s">
        <v>612</v>
      </c>
      <c r="AF459" s="61" t="s">
        <v>34</v>
      </c>
      <c r="AG459" s="61" t="s">
        <v>34</v>
      </c>
      <c r="AH459" s="61" t="s">
        <v>34</v>
      </c>
      <c r="AI459" s="61" t="s">
        <v>34</v>
      </c>
      <c r="AJ459" s="61" t="s">
        <v>34</v>
      </c>
      <c r="AK459" s="61" t="s">
        <v>832</v>
      </c>
      <c r="AL459" s="61" t="s">
        <v>34</v>
      </c>
      <c r="AM459" s="61" t="s">
        <v>3458</v>
      </c>
      <c r="AN459" s="490">
        <v>0</v>
      </c>
      <c r="AO459" s="490">
        <v>0</v>
      </c>
      <c r="AP459" s="61"/>
      <c r="AQ459"/>
      <c r="AR459"/>
      <c r="CE459"/>
      <c r="CG459"/>
      <c r="CI459"/>
      <c r="CJ459"/>
    </row>
    <row r="460" spans="1:88" s="368" customFormat="1" ht="15" customHeight="1" x14ac:dyDescent="0.2">
      <c r="A460" s="61">
        <v>459</v>
      </c>
      <c r="B460" s="61" t="s">
        <v>483</v>
      </c>
      <c r="C460" s="61" t="s">
        <v>496</v>
      </c>
      <c r="D460" s="61" t="s">
        <v>2895</v>
      </c>
      <c r="E460" s="61" t="s">
        <v>787</v>
      </c>
      <c r="F460" s="61" t="s">
        <v>717</v>
      </c>
      <c r="G460" s="61" t="s">
        <v>34</v>
      </c>
      <c r="H460" s="61" t="s">
        <v>835</v>
      </c>
      <c r="I460" s="61" t="s">
        <v>4270</v>
      </c>
      <c r="J460" s="61" t="s">
        <v>613</v>
      </c>
      <c r="K460" s="61" t="s">
        <v>2093</v>
      </c>
      <c r="L460" s="61" t="s">
        <v>2134</v>
      </c>
      <c r="M460" s="61" t="s">
        <v>2135</v>
      </c>
      <c r="N460" s="61" t="s">
        <v>496</v>
      </c>
      <c r="O460" s="61" t="s">
        <v>108</v>
      </c>
      <c r="P460" s="61" t="s">
        <v>2270</v>
      </c>
      <c r="Q460" s="61" t="s">
        <v>2255</v>
      </c>
      <c r="R460" s="61" t="s">
        <v>987</v>
      </c>
      <c r="S460" s="61" t="s">
        <v>2256</v>
      </c>
      <c r="T460" s="61">
        <v>23.6</v>
      </c>
      <c r="U460" s="61" t="s">
        <v>687</v>
      </c>
      <c r="V460" s="61" t="s">
        <v>2134</v>
      </c>
      <c r="W460" s="61" t="s">
        <v>2135</v>
      </c>
      <c r="X460" s="61" t="s">
        <v>1434</v>
      </c>
      <c r="Y460" s="61" t="s">
        <v>4008</v>
      </c>
      <c r="Z460" s="61" t="s">
        <v>2957</v>
      </c>
      <c r="AA460" s="61" t="s">
        <v>2098</v>
      </c>
      <c r="AB460" s="61" t="s">
        <v>2136</v>
      </c>
      <c r="AC460" s="61" t="s">
        <v>830</v>
      </c>
      <c r="AD460" s="61" t="s">
        <v>831</v>
      </c>
      <c r="AE460" s="61" t="s">
        <v>612</v>
      </c>
      <c r="AF460" s="61" t="s">
        <v>34</v>
      </c>
      <c r="AG460" s="61" t="s">
        <v>34</v>
      </c>
      <c r="AH460" s="61" t="s">
        <v>34</v>
      </c>
      <c r="AI460" s="61" t="s">
        <v>34</v>
      </c>
      <c r="AJ460" s="61" t="s">
        <v>34</v>
      </c>
      <c r="AK460" s="61" t="s">
        <v>832</v>
      </c>
      <c r="AL460" s="61" t="s">
        <v>34</v>
      </c>
      <c r="AM460" s="61" t="s">
        <v>3458</v>
      </c>
      <c r="AN460" s="490">
        <v>0</v>
      </c>
      <c r="AO460" s="490">
        <v>0</v>
      </c>
      <c r="AP460" s="61"/>
      <c r="AQ460"/>
      <c r="AR460"/>
      <c r="CE460"/>
      <c r="CG460"/>
      <c r="CI460"/>
      <c r="CJ460"/>
    </row>
    <row r="461" spans="1:88" x14ac:dyDescent="0.2">
      <c r="A461" s="61">
        <v>460</v>
      </c>
      <c r="B461" s="61" t="s">
        <v>483</v>
      </c>
      <c r="C461" s="61" t="s">
        <v>498</v>
      </c>
      <c r="D461" s="61" t="s">
        <v>2896</v>
      </c>
      <c r="E461" s="61" t="s">
        <v>787</v>
      </c>
      <c r="F461" s="61" t="s">
        <v>717</v>
      </c>
      <c r="G461" s="61" t="s">
        <v>34</v>
      </c>
      <c r="H461" s="61" t="s">
        <v>835</v>
      </c>
      <c r="I461" s="61" t="s">
        <v>4270</v>
      </c>
      <c r="J461" s="61" t="s">
        <v>613</v>
      </c>
      <c r="K461" s="61" t="s">
        <v>2093</v>
      </c>
      <c r="L461" s="61" t="s">
        <v>2137</v>
      </c>
      <c r="M461" s="61">
        <v>300085972</v>
      </c>
      <c r="N461" s="61" t="s">
        <v>498</v>
      </c>
      <c r="O461" s="61" t="s">
        <v>108</v>
      </c>
      <c r="P461" s="61" t="s">
        <v>2255</v>
      </c>
      <c r="Q461" s="61" t="s">
        <v>2255</v>
      </c>
      <c r="R461" s="61" t="s">
        <v>987</v>
      </c>
      <c r="S461" s="61" t="s">
        <v>2256</v>
      </c>
      <c r="T461" s="61">
        <v>23.6</v>
      </c>
      <c r="U461" s="61" t="s">
        <v>687</v>
      </c>
      <c r="V461" s="61" t="s">
        <v>2094</v>
      </c>
      <c r="W461" s="61" t="s">
        <v>2095</v>
      </c>
      <c r="X461" s="61" t="s">
        <v>1434</v>
      </c>
      <c r="Y461" s="61" t="s">
        <v>2096</v>
      </c>
      <c r="Z461" s="61" t="s">
        <v>2097</v>
      </c>
      <c r="AA461" s="61" t="s">
        <v>2098</v>
      </c>
      <c r="AB461" s="61" t="s">
        <v>2136</v>
      </c>
      <c r="AC461" s="61" t="s">
        <v>830</v>
      </c>
      <c r="AD461" s="61" t="s">
        <v>831</v>
      </c>
      <c r="AE461" s="61" t="s">
        <v>612</v>
      </c>
      <c r="AF461" s="61" t="s">
        <v>34</v>
      </c>
      <c r="AG461" s="61" t="s">
        <v>34</v>
      </c>
      <c r="AH461" s="61" t="s">
        <v>34</v>
      </c>
      <c r="AI461" s="61" t="s">
        <v>34</v>
      </c>
      <c r="AJ461" s="61" t="s">
        <v>34</v>
      </c>
      <c r="AK461" s="61" t="s">
        <v>832</v>
      </c>
      <c r="AL461" s="61" t="s">
        <v>34</v>
      </c>
      <c r="AM461" s="61" t="s">
        <v>3458</v>
      </c>
      <c r="AN461" s="490">
        <v>0</v>
      </c>
      <c r="AO461" s="490">
        <v>0</v>
      </c>
      <c r="AP461" s="61"/>
    </row>
    <row r="462" spans="1:88" s="368" customFormat="1" x14ac:dyDescent="0.2">
      <c r="A462" s="61">
        <v>461</v>
      </c>
      <c r="B462" s="61" t="s">
        <v>483</v>
      </c>
      <c r="C462" s="61" t="s">
        <v>3490</v>
      </c>
      <c r="D462" s="61" t="s">
        <v>3491</v>
      </c>
      <c r="E462" s="61" t="s">
        <v>787</v>
      </c>
      <c r="F462" s="61" t="s">
        <v>717</v>
      </c>
      <c r="G462" s="61" t="s">
        <v>34</v>
      </c>
      <c r="H462" s="61" t="s">
        <v>835</v>
      </c>
      <c r="I462" s="61" t="s">
        <v>4270</v>
      </c>
      <c r="J462" s="61" t="s">
        <v>613</v>
      </c>
      <c r="K462" s="61" t="s">
        <v>2093</v>
      </c>
      <c r="L462" s="61" t="s">
        <v>2142</v>
      </c>
      <c r="M462" s="61">
        <v>300072009</v>
      </c>
      <c r="N462" s="61" t="s">
        <v>3490</v>
      </c>
      <c r="O462" s="61" t="s">
        <v>108</v>
      </c>
      <c r="P462" s="61" t="s">
        <v>3492</v>
      </c>
      <c r="Q462" s="61" t="s">
        <v>3493</v>
      </c>
      <c r="R462" s="61" t="s">
        <v>987</v>
      </c>
      <c r="S462" s="61" t="s">
        <v>1245</v>
      </c>
      <c r="T462" s="61">
        <v>23.6</v>
      </c>
      <c r="U462" s="61" t="s">
        <v>687</v>
      </c>
      <c r="V462" s="61" t="s">
        <v>3494</v>
      </c>
      <c r="W462" s="61">
        <v>300072009</v>
      </c>
      <c r="X462" s="61" t="s">
        <v>958</v>
      </c>
      <c r="Y462" s="61" t="s">
        <v>3495</v>
      </c>
      <c r="Z462" s="61" t="s">
        <v>2132</v>
      </c>
      <c r="AA462" s="61" t="s">
        <v>958</v>
      </c>
      <c r="AB462" s="61" t="s">
        <v>2133</v>
      </c>
      <c r="AC462" s="61" t="s">
        <v>830</v>
      </c>
      <c r="AD462" s="61" t="s">
        <v>831</v>
      </c>
      <c r="AE462" s="61" t="s">
        <v>612</v>
      </c>
      <c r="AF462" s="61" t="s">
        <v>108</v>
      </c>
      <c r="AG462" s="61" t="s">
        <v>108</v>
      </c>
      <c r="AH462" s="61" t="s">
        <v>108</v>
      </c>
      <c r="AI462" s="61" t="s">
        <v>108</v>
      </c>
      <c r="AJ462" s="61" t="s">
        <v>108</v>
      </c>
      <c r="AK462" s="61" t="s">
        <v>832</v>
      </c>
      <c r="AL462" s="61" t="s">
        <v>34</v>
      </c>
      <c r="AM462" s="61" t="s">
        <v>3458</v>
      </c>
      <c r="AN462" s="490">
        <v>0</v>
      </c>
      <c r="AO462" s="490">
        <v>0</v>
      </c>
      <c r="AP462" s="61"/>
      <c r="AQ462"/>
      <c r="AR462"/>
      <c r="CE462"/>
      <c r="CG462"/>
      <c r="CI462"/>
      <c r="CJ462"/>
    </row>
    <row r="463" spans="1:88" x14ac:dyDescent="0.2">
      <c r="A463" s="61">
        <v>462</v>
      </c>
      <c r="B463" s="61" t="s">
        <v>483</v>
      </c>
      <c r="C463" s="61" t="s">
        <v>495</v>
      </c>
      <c r="D463" s="61" t="s">
        <v>2897</v>
      </c>
      <c r="E463" s="61" t="s">
        <v>787</v>
      </c>
      <c r="F463" s="61" t="s">
        <v>717</v>
      </c>
      <c r="G463" s="61" t="s">
        <v>34</v>
      </c>
      <c r="H463" s="61" t="s">
        <v>835</v>
      </c>
      <c r="I463" s="61" t="s">
        <v>4270</v>
      </c>
      <c r="J463" s="61" t="s">
        <v>613</v>
      </c>
      <c r="K463" s="61" t="s">
        <v>2147</v>
      </c>
      <c r="L463" s="61" t="s">
        <v>2148</v>
      </c>
      <c r="M463" s="61">
        <v>300135477</v>
      </c>
      <c r="N463" s="61" t="s">
        <v>495</v>
      </c>
      <c r="O463" s="61" t="s">
        <v>108</v>
      </c>
      <c r="P463" s="61" t="s">
        <v>4106</v>
      </c>
      <c r="Q463" s="61" t="s">
        <v>4106</v>
      </c>
      <c r="R463" s="61" t="s">
        <v>987</v>
      </c>
      <c r="S463" s="61" t="s">
        <v>2275</v>
      </c>
      <c r="T463" s="61">
        <v>23.6</v>
      </c>
      <c r="U463" s="61" t="s">
        <v>687</v>
      </c>
      <c r="V463" s="61" t="s">
        <v>2142</v>
      </c>
      <c r="W463" s="61">
        <v>300135477</v>
      </c>
      <c r="X463" s="61" t="s">
        <v>3022</v>
      </c>
      <c r="Y463" s="61" t="s">
        <v>3023</v>
      </c>
      <c r="Z463" s="61" t="s">
        <v>3024</v>
      </c>
      <c r="AA463" s="61" t="s">
        <v>2098</v>
      </c>
      <c r="AB463" s="61" t="s">
        <v>3496</v>
      </c>
      <c r="AC463" s="61" t="s">
        <v>830</v>
      </c>
      <c r="AD463" s="61" t="s">
        <v>831</v>
      </c>
      <c r="AE463" s="61" t="s">
        <v>612</v>
      </c>
      <c r="AF463" s="61" t="s">
        <v>34</v>
      </c>
      <c r="AG463" s="61" t="s">
        <v>34</v>
      </c>
      <c r="AH463" s="61" t="s">
        <v>34</v>
      </c>
      <c r="AI463" s="61" t="s">
        <v>34</v>
      </c>
      <c r="AJ463" s="61" t="s">
        <v>34</v>
      </c>
      <c r="AK463" s="61" t="s">
        <v>832</v>
      </c>
      <c r="AL463" s="61" t="s">
        <v>34</v>
      </c>
      <c r="AM463" s="61" t="s">
        <v>3458</v>
      </c>
      <c r="AN463" s="490">
        <v>0</v>
      </c>
      <c r="AO463" s="490">
        <v>0</v>
      </c>
      <c r="AP463" s="61"/>
    </row>
    <row r="464" spans="1:88" x14ac:dyDescent="0.2">
      <c r="A464" s="61">
        <v>463</v>
      </c>
      <c r="B464" s="61" t="s">
        <v>483</v>
      </c>
      <c r="C464" s="61" t="s">
        <v>683</v>
      </c>
      <c r="D464" s="61" t="s">
        <v>2898</v>
      </c>
      <c r="E464" s="61" t="s">
        <v>787</v>
      </c>
      <c r="F464" s="61" t="s">
        <v>717</v>
      </c>
      <c r="G464" s="61" t="s">
        <v>34</v>
      </c>
      <c r="H464" s="61" t="s">
        <v>835</v>
      </c>
      <c r="I464" s="61" t="s">
        <v>4270</v>
      </c>
      <c r="J464" s="61" t="s">
        <v>613</v>
      </c>
      <c r="K464" s="61" t="s">
        <v>2093</v>
      </c>
      <c r="L464" s="61" t="s">
        <v>2137</v>
      </c>
      <c r="M464" s="61">
        <v>300152049</v>
      </c>
      <c r="N464" s="61" t="s">
        <v>683</v>
      </c>
      <c r="O464" s="61" t="s">
        <v>1106</v>
      </c>
      <c r="P464" s="61" t="s">
        <v>2255</v>
      </c>
      <c r="Q464" s="61" t="s">
        <v>2255</v>
      </c>
      <c r="R464" s="61" t="s">
        <v>987</v>
      </c>
      <c r="S464" s="61" t="s">
        <v>2256</v>
      </c>
      <c r="T464" s="61">
        <v>23.6</v>
      </c>
      <c r="U464" s="61" t="s">
        <v>687</v>
      </c>
      <c r="V464" s="61" t="s">
        <v>2138</v>
      </c>
      <c r="W464" s="61" t="s">
        <v>2095</v>
      </c>
      <c r="X464" s="61" t="s">
        <v>1445</v>
      </c>
      <c r="Y464" s="61" t="s">
        <v>3738</v>
      </c>
      <c r="Z464" s="61" t="s">
        <v>3024</v>
      </c>
      <c r="AA464" s="61" t="s">
        <v>2098</v>
      </c>
      <c r="AB464" s="61" t="s">
        <v>2139</v>
      </c>
      <c r="AC464" s="61" t="s">
        <v>830</v>
      </c>
      <c r="AD464" s="61" t="s">
        <v>831</v>
      </c>
      <c r="AE464" s="61" t="s">
        <v>612</v>
      </c>
      <c r="AF464" s="61" t="s">
        <v>34</v>
      </c>
      <c r="AG464" s="61" t="s">
        <v>34</v>
      </c>
      <c r="AH464" s="61" t="s">
        <v>34</v>
      </c>
      <c r="AI464" s="61" t="s">
        <v>34</v>
      </c>
      <c r="AJ464" s="61" t="s">
        <v>34</v>
      </c>
      <c r="AK464" s="61" t="s">
        <v>832</v>
      </c>
      <c r="AL464" s="61" t="s">
        <v>34</v>
      </c>
      <c r="AM464" s="61" t="s">
        <v>3458</v>
      </c>
      <c r="AN464" s="490">
        <v>0</v>
      </c>
      <c r="AO464" s="490">
        <v>0</v>
      </c>
      <c r="AP464" s="61"/>
    </row>
    <row r="465" spans="1:88" s="367" customFormat="1" ht="15" customHeight="1" x14ac:dyDescent="0.2">
      <c r="A465" s="61">
        <v>464</v>
      </c>
      <c r="B465" s="61" t="s">
        <v>483</v>
      </c>
      <c r="C465" s="61" t="s">
        <v>3052</v>
      </c>
      <c r="D465" s="61" t="s">
        <v>3053</v>
      </c>
      <c r="E465" s="61" t="s">
        <v>787</v>
      </c>
      <c r="F465" s="61" t="s">
        <v>717</v>
      </c>
      <c r="G465" s="61" t="s">
        <v>34</v>
      </c>
      <c r="H465" s="61" t="s">
        <v>835</v>
      </c>
      <c r="I465" s="61" t="s">
        <v>4270</v>
      </c>
      <c r="J465" s="61" t="s">
        <v>613</v>
      </c>
      <c r="K465" s="61" t="s">
        <v>3052</v>
      </c>
      <c r="L465" s="61" t="s">
        <v>3054</v>
      </c>
      <c r="M465" s="61" t="s">
        <v>3055</v>
      </c>
      <c r="N465" s="61" t="s">
        <v>3055</v>
      </c>
      <c r="O465" s="61" t="s">
        <v>1106</v>
      </c>
      <c r="P465" s="61" t="s">
        <v>2266</v>
      </c>
      <c r="Q465" s="61" t="s">
        <v>2266</v>
      </c>
      <c r="R465" s="61" t="s">
        <v>987</v>
      </c>
      <c r="S465" s="61" t="s">
        <v>3056</v>
      </c>
      <c r="T465" s="61">
        <v>539</v>
      </c>
      <c r="U465" s="61" t="s">
        <v>687</v>
      </c>
      <c r="V465" s="61" t="s">
        <v>3057</v>
      </c>
      <c r="W465" s="61" t="s">
        <v>3058</v>
      </c>
      <c r="X465" s="61" t="s">
        <v>1445</v>
      </c>
      <c r="Y465" s="61" t="s">
        <v>3482</v>
      </c>
      <c r="Z465" s="61" t="s">
        <v>3483</v>
      </c>
      <c r="AA465" s="61" t="s">
        <v>3497</v>
      </c>
      <c r="AB465" s="61" t="s">
        <v>3498</v>
      </c>
      <c r="AC465" s="61" t="s">
        <v>830</v>
      </c>
      <c r="AD465" s="61" t="s">
        <v>831</v>
      </c>
      <c r="AE465" s="61" t="s">
        <v>612</v>
      </c>
      <c r="AF465" s="61" t="s">
        <v>34</v>
      </c>
      <c r="AG465" s="61" t="s">
        <v>34</v>
      </c>
      <c r="AH465" s="61" t="s">
        <v>34</v>
      </c>
      <c r="AI465" s="61" t="s">
        <v>34</v>
      </c>
      <c r="AJ465" s="61" t="s">
        <v>34</v>
      </c>
      <c r="AK465" s="61" t="s">
        <v>832</v>
      </c>
      <c r="AL465" s="61" t="s">
        <v>34</v>
      </c>
      <c r="AM465" s="61" t="s">
        <v>3458</v>
      </c>
      <c r="AN465" s="490">
        <v>0</v>
      </c>
      <c r="AO465" s="490">
        <v>0</v>
      </c>
      <c r="AP465" s="61"/>
      <c r="AQ465"/>
      <c r="AR465"/>
      <c r="CE465"/>
      <c r="CG465"/>
      <c r="CI465"/>
      <c r="CJ465"/>
    </row>
    <row r="466" spans="1:88" s="368" customFormat="1" ht="15" customHeight="1" x14ac:dyDescent="0.2">
      <c r="A466" s="61">
        <v>465</v>
      </c>
      <c r="B466" s="61" t="s">
        <v>483</v>
      </c>
      <c r="C466" s="61" t="s">
        <v>3181</v>
      </c>
      <c r="D466" s="61" t="s">
        <v>3182</v>
      </c>
      <c r="E466" s="61" t="s">
        <v>787</v>
      </c>
      <c r="F466" s="61" t="s">
        <v>717</v>
      </c>
      <c r="G466" s="61" t="s">
        <v>34</v>
      </c>
      <c r="H466" s="61" t="s">
        <v>835</v>
      </c>
      <c r="I466" s="61" t="s">
        <v>4270</v>
      </c>
      <c r="J466" s="61" t="s">
        <v>613</v>
      </c>
      <c r="K466" s="61" t="s">
        <v>3183</v>
      </c>
      <c r="L466" s="61" t="s">
        <v>3184</v>
      </c>
      <c r="M466" s="61" t="s">
        <v>3189</v>
      </c>
      <c r="N466" s="61" t="s">
        <v>3185</v>
      </c>
      <c r="O466" s="61" t="s">
        <v>108</v>
      </c>
      <c r="P466" s="61" t="s">
        <v>3186</v>
      </c>
      <c r="Q466" s="61" t="s">
        <v>3187</v>
      </c>
      <c r="R466" s="61" t="s">
        <v>987</v>
      </c>
      <c r="S466" s="61" t="s">
        <v>1245</v>
      </c>
      <c r="T466" s="61">
        <v>23.6</v>
      </c>
      <c r="U466" s="61" t="s">
        <v>687</v>
      </c>
      <c r="V466" s="61" t="s">
        <v>3188</v>
      </c>
      <c r="W466" s="61" t="s">
        <v>3189</v>
      </c>
      <c r="X466" s="61" t="s">
        <v>2128</v>
      </c>
      <c r="Y466" s="61" t="s">
        <v>3190</v>
      </c>
      <c r="Z466" s="61" t="s">
        <v>3191</v>
      </c>
      <c r="AA466" s="61" t="s">
        <v>2128</v>
      </c>
      <c r="AB466" s="61" t="s">
        <v>3192</v>
      </c>
      <c r="AC466" s="61" t="s">
        <v>830</v>
      </c>
      <c r="AD466" s="61" t="s">
        <v>3193</v>
      </c>
      <c r="AE466" s="61" t="s">
        <v>612</v>
      </c>
      <c r="AF466" s="61" t="s">
        <v>108</v>
      </c>
      <c r="AG466" s="61" t="s">
        <v>108</v>
      </c>
      <c r="AH466" s="61" t="s">
        <v>108</v>
      </c>
      <c r="AI466" s="61" t="s">
        <v>108</v>
      </c>
      <c r="AJ466" s="61" t="s">
        <v>108</v>
      </c>
      <c r="AK466" s="61" t="s">
        <v>832</v>
      </c>
      <c r="AL466" s="61" t="s">
        <v>34</v>
      </c>
      <c r="AM466" s="61" t="s">
        <v>3458</v>
      </c>
      <c r="AN466" s="490">
        <v>0</v>
      </c>
      <c r="AO466" s="490">
        <v>0</v>
      </c>
      <c r="AP466" s="61"/>
      <c r="AQ466"/>
      <c r="AR466"/>
      <c r="CE466"/>
      <c r="CG466"/>
      <c r="CI466"/>
      <c r="CJ466"/>
    </row>
    <row r="467" spans="1:88" s="367" customFormat="1" ht="15" customHeight="1" x14ac:dyDescent="0.2">
      <c r="A467" s="61">
        <v>466</v>
      </c>
      <c r="B467" s="61" t="s">
        <v>499</v>
      </c>
      <c r="C467" s="61" t="s">
        <v>3160</v>
      </c>
      <c r="D467" s="61" t="s">
        <v>3161</v>
      </c>
      <c r="E467" s="61" t="s">
        <v>788</v>
      </c>
      <c r="F467" s="61" t="s">
        <v>717</v>
      </c>
      <c r="G467" s="61" t="s">
        <v>34</v>
      </c>
      <c r="H467" s="61" t="s">
        <v>835</v>
      </c>
      <c r="I467" s="61" t="s">
        <v>4270</v>
      </c>
      <c r="J467" s="61" t="s">
        <v>2152</v>
      </c>
      <c r="K467" s="61" t="s">
        <v>1089</v>
      </c>
      <c r="L467" s="61" t="s">
        <v>3162</v>
      </c>
      <c r="M467" s="61" t="s">
        <v>3160</v>
      </c>
      <c r="N467" s="61" t="s">
        <v>3160</v>
      </c>
      <c r="O467" s="61" t="s">
        <v>108</v>
      </c>
      <c r="P467" s="61" t="s">
        <v>3163</v>
      </c>
      <c r="Q467" s="61" t="s">
        <v>3164</v>
      </c>
      <c r="R467" s="61" t="s">
        <v>828</v>
      </c>
      <c r="S467" s="61" t="s">
        <v>3165</v>
      </c>
      <c r="T467" s="61">
        <v>0</v>
      </c>
      <c r="U467" s="61" t="s">
        <v>858</v>
      </c>
      <c r="V467" s="61" t="s">
        <v>959</v>
      </c>
      <c r="W467" s="61" t="s">
        <v>3160</v>
      </c>
      <c r="X467" s="61" t="s">
        <v>2158</v>
      </c>
      <c r="Y467" s="61" t="s">
        <v>108</v>
      </c>
      <c r="Z467" s="61" t="s">
        <v>108</v>
      </c>
      <c r="AA467" s="61" t="s">
        <v>108</v>
      </c>
      <c r="AB467" s="61" t="s">
        <v>3166</v>
      </c>
      <c r="AC467" s="61" t="s">
        <v>830</v>
      </c>
      <c r="AD467" s="61" t="s">
        <v>831</v>
      </c>
      <c r="AE467" s="61" t="s">
        <v>612</v>
      </c>
      <c r="AF467" s="61" t="s">
        <v>2054</v>
      </c>
      <c r="AG467" s="61" t="s">
        <v>34</v>
      </c>
      <c r="AH467" s="61" t="s">
        <v>34</v>
      </c>
      <c r="AI467" s="61" t="s">
        <v>34</v>
      </c>
      <c r="AJ467" s="61" t="s">
        <v>34</v>
      </c>
      <c r="AK467" s="61" t="s">
        <v>832</v>
      </c>
      <c r="AL467" s="61" t="s">
        <v>34</v>
      </c>
      <c r="AM467" s="61" t="s">
        <v>3446</v>
      </c>
      <c r="AN467" s="490">
        <v>0</v>
      </c>
      <c r="AO467" s="490">
        <v>0</v>
      </c>
      <c r="AP467" s="61"/>
      <c r="AQ467"/>
      <c r="AR467"/>
      <c r="CE467"/>
      <c r="CG467"/>
      <c r="CI467"/>
      <c r="CJ467"/>
    </row>
    <row r="468" spans="1:88" s="368" customFormat="1" ht="15" customHeight="1" x14ac:dyDescent="0.2">
      <c r="A468" s="61">
        <v>467</v>
      </c>
      <c r="B468" s="61" t="s">
        <v>499</v>
      </c>
      <c r="C468" s="61" t="s">
        <v>3347</v>
      </c>
      <c r="D468" s="61" t="s">
        <v>3348</v>
      </c>
      <c r="E468" s="61" t="s">
        <v>788</v>
      </c>
      <c r="F468" s="61" t="s">
        <v>717</v>
      </c>
      <c r="G468" s="61" t="s">
        <v>34</v>
      </c>
      <c r="H468" s="61" t="s">
        <v>835</v>
      </c>
      <c r="I468" s="61" t="s">
        <v>4270</v>
      </c>
      <c r="J468" s="61" t="s">
        <v>3349</v>
      </c>
      <c r="K468" s="61" t="s">
        <v>1089</v>
      </c>
      <c r="L468" s="61" t="s">
        <v>2169</v>
      </c>
      <c r="M468" s="61" t="s">
        <v>3347</v>
      </c>
      <c r="N468" s="61" t="s">
        <v>3347</v>
      </c>
      <c r="O468" s="61" t="s">
        <v>108</v>
      </c>
      <c r="P468" s="61" t="s">
        <v>1092</v>
      </c>
      <c r="Q468" s="61" t="s">
        <v>2282</v>
      </c>
      <c r="R468" s="61" t="s">
        <v>828</v>
      </c>
      <c r="S468" s="61" t="s">
        <v>2283</v>
      </c>
      <c r="T468" s="61">
        <v>6</v>
      </c>
      <c r="U468" s="61" t="s">
        <v>858</v>
      </c>
      <c r="V468" s="61" t="s">
        <v>959</v>
      </c>
      <c r="W468" s="61" t="s">
        <v>501</v>
      </c>
      <c r="X468" s="61" t="s">
        <v>2170</v>
      </c>
      <c r="Y468" s="61" t="s">
        <v>108</v>
      </c>
      <c r="Z468" s="61" t="s">
        <v>108</v>
      </c>
      <c r="AA468" s="61" t="s">
        <v>108</v>
      </c>
      <c r="AB468" s="61" t="s">
        <v>4139</v>
      </c>
      <c r="AC468" s="61" t="s">
        <v>830</v>
      </c>
      <c r="AD468" s="61" t="s">
        <v>831</v>
      </c>
      <c r="AE468" s="61" t="s">
        <v>612</v>
      </c>
      <c r="AF468" s="61" t="s">
        <v>34</v>
      </c>
      <c r="AG468" s="61" t="s">
        <v>34</v>
      </c>
      <c r="AH468" s="61" t="s">
        <v>34</v>
      </c>
      <c r="AI468" s="61" t="s">
        <v>34</v>
      </c>
      <c r="AJ468" s="61" t="s">
        <v>34</v>
      </c>
      <c r="AK468" s="61" t="s">
        <v>832</v>
      </c>
      <c r="AL468" s="61" t="s">
        <v>34</v>
      </c>
      <c r="AM468" s="61" t="s">
        <v>3446</v>
      </c>
      <c r="AN468" s="490">
        <v>0</v>
      </c>
      <c r="AO468" s="490">
        <v>0</v>
      </c>
      <c r="AP468" s="61"/>
      <c r="AQ468"/>
      <c r="AR468"/>
      <c r="CE468"/>
      <c r="CG468"/>
      <c r="CI468"/>
      <c r="CJ468"/>
    </row>
    <row r="469" spans="1:88" s="367" customFormat="1" ht="15" customHeight="1" x14ac:dyDescent="0.2">
      <c r="A469" s="61">
        <v>468</v>
      </c>
      <c r="B469" s="61" t="s">
        <v>499</v>
      </c>
      <c r="C469" s="61" t="s">
        <v>502</v>
      </c>
      <c r="D469" s="61" t="s">
        <v>2899</v>
      </c>
      <c r="E469" s="61" t="s">
        <v>788</v>
      </c>
      <c r="F469" s="61" t="s">
        <v>717</v>
      </c>
      <c r="G469" s="61" t="s">
        <v>34</v>
      </c>
      <c r="H469" s="61" t="s">
        <v>835</v>
      </c>
      <c r="I469" s="61" t="s">
        <v>4270</v>
      </c>
      <c r="J469" s="61" t="s">
        <v>3349</v>
      </c>
      <c r="K469" s="61" t="s">
        <v>1089</v>
      </c>
      <c r="L469" s="61" t="s">
        <v>2169</v>
      </c>
      <c r="M469" s="61" t="s">
        <v>502</v>
      </c>
      <c r="N469" s="61" t="s">
        <v>502</v>
      </c>
      <c r="O469" s="61" t="s">
        <v>108</v>
      </c>
      <c r="P469" s="61" t="s">
        <v>1092</v>
      </c>
      <c r="Q469" s="61" t="s">
        <v>2282</v>
      </c>
      <c r="R469" s="61" t="s">
        <v>828</v>
      </c>
      <c r="S469" s="61" t="s">
        <v>2283</v>
      </c>
      <c r="T469" s="61">
        <v>6</v>
      </c>
      <c r="U469" s="61" t="s">
        <v>858</v>
      </c>
      <c r="V469" s="61" t="s">
        <v>959</v>
      </c>
      <c r="W469" s="61" t="s">
        <v>502</v>
      </c>
      <c r="X469" s="61" t="s">
        <v>2172</v>
      </c>
      <c r="Y469" s="61" t="s">
        <v>108</v>
      </c>
      <c r="Z469" s="61" t="s">
        <v>108</v>
      </c>
      <c r="AA469" s="61" t="s">
        <v>108</v>
      </c>
      <c r="AB469" s="61" t="s">
        <v>2163</v>
      </c>
      <c r="AC469" s="61" t="s">
        <v>830</v>
      </c>
      <c r="AD469" s="61" t="s">
        <v>831</v>
      </c>
      <c r="AE469" s="61" t="s">
        <v>612</v>
      </c>
      <c r="AF469" s="61" t="s">
        <v>34</v>
      </c>
      <c r="AG469" s="61" t="s">
        <v>34</v>
      </c>
      <c r="AH469" s="61" t="s">
        <v>34</v>
      </c>
      <c r="AI469" s="61" t="s">
        <v>34</v>
      </c>
      <c r="AJ469" s="61" t="s">
        <v>34</v>
      </c>
      <c r="AK469" s="61" t="s">
        <v>832</v>
      </c>
      <c r="AL469" s="61" t="s">
        <v>34</v>
      </c>
      <c r="AM469" s="61" t="s">
        <v>3446</v>
      </c>
      <c r="AN469" s="490">
        <v>0</v>
      </c>
      <c r="AO469" s="490">
        <v>0</v>
      </c>
      <c r="AP469" s="61"/>
      <c r="AQ469"/>
      <c r="AR469"/>
      <c r="CE469"/>
      <c r="CG469"/>
      <c r="CI469"/>
      <c r="CJ469"/>
    </row>
    <row r="470" spans="1:88" s="368" customFormat="1" ht="15" customHeight="1" x14ac:dyDescent="0.2">
      <c r="A470" s="61">
        <v>469</v>
      </c>
      <c r="B470" s="61" t="s">
        <v>499</v>
      </c>
      <c r="C470" s="61" t="s">
        <v>503</v>
      </c>
      <c r="D470" s="61" t="s">
        <v>2900</v>
      </c>
      <c r="E470" s="61" t="s">
        <v>788</v>
      </c>
      <c r="F470" s="61" t="s">
        <v>717</v>
      </c>
      <c r="G470" s="61" t="s">
        <v>34</v>
      </c>
      <c r="H470" s="61" t="s">
        <v>835</v>
      </c>
      <c r="I470" s="61" t="s">
        <v>4316</v>
      </c>
      <c r="J470" s="61" t="s">
        <v>3349</v>
      </c>
      <c r="K470" s="61" t="s">
        <v>1089</v>
      </c>
      <c r="L470" s="61" t="s">
        <v>2169</v>
      </c>
      <c r="M470" s="61" t="s">
        <v>503</v>
      </c>
      <c r="N470" s="61" t="s">
        <v>503</v>
      </c>
      <c r="O470" s="61" t="s">
        <v>1106</v>
      </c>
      <c r="P470" s="61" t="s">
        <v>1092</v>
      </c>
      <c r="Q470" s="61" t="s">
        <v>2282</v>
      </c>
      <c r="R470" s="61" t="s">
        <v>828</v>
      </c>
      <c r="S470" s="61" t="s">
        <v>2283</v>
      </c>
      <c r="T470" s="61">
        <v>6</v>
      </c>
      <c r="U470" s="61" t="s">
        <v>858</v>
      </c>
      <c r="V470" s="61" t="s">
        <v>959</v>
      </c>
      <c r="W470" s="61" t="s">
        <v>503</v>
      </c>
      <c r="X470" s="61" t="s">
        <v>2172</v>
      </c>
      <c r="Y470" s="61" t="s">
        <v>108</v>
      </c>
      <c r="Z470" s="61" t="s">
        <v>108</v>
      </c>
      <c r="AA470" s="61" t="s">
        <v>108</v>
      </c>
      <c r="AB470" s="61" t="s">
        <v>2173</v>
      </c>
      <c r="AC470" s="61" t="s">
        <v>830</v>
      </c>
      <c r="AD470" s="61" t="s">
        <v>831</v>
      </c>
      <c r="AE470" s="61" t="s">
        <v>612</v>
      </c>
      <c r="AF470" s="61" t="s">
        <v>34</v>
      </c>
      <c r="AG470" s="61" t="s">
        <v>34</v>
      </c>
      <c r="AH470" s="61" t="s">
        <v>34</v>
      </c>
      <c r="AI470" s="61" t="s">
        <v>34</v>
      </c>
      <c r="AJ470" s="61" t="s">
        <v>34</v>
      </c>
      <c r="AK470" s="61" t="s">
        <v>832</v>
      </c>
      <c r="AL470" s="61" t="s">
        <v>34</v>
      </c>
      <c r="AM470" s="61" t="s">
        <v>3446</v>
      </c>
      <c r="AN470" s="490">
        <v>0</v>
      </c>
      <c r="AO470" s="490">
        <v>0</v>
      </c>
      <c r="AP470" s="61"/>
      <c r="AQ470"/>
      <c r="AR470"/>
      <c r="CE470"/>
      <c r="CG470"/>
      <c r="CI470"/>
      <c r="CJ470"/>
    </row>
    <row r="471" spans="1:88" s="367" customFormat="1" ht="15" customHeight="1" x14ac:dyDescent="0.2">
      <c r="A471" s="61">
        <v>470</v>
      </c>
      <c r="B471" s="61" t="s">
        <v>499</v>
      </c>
      <c r="C471" s="61" t="s">
        <v>504</v>
      </c>
      <c r="D471" s="61" t="s">
        <v>2901</v>
      </c>
      <c r="E471" s="61" t="s">
        <v>788</v>
      </c>
      <c r="F471" s="61" t="s">
        <v>717</v>
      </c>
      <c r="G471" s="61" t="s">
        <v>34</v>
      </c>
      <c r="H471" s="61" t="s">
        <v>835</v>
      </c>
      <c r="I471" s="61" t="s">
        <v>4270</v>
      </c>
      <c r="J471" s="61" t="s">
        <v>3349</v>
      </c>
      <c r="K471" s="61" t="s">
        <v>1089</v>
      </c>
      <c r="L471" s="61" t="s">
        <v>2169</v>
      </c>
      <c r="M471" s="61" t="s">
        <v>504</v>
      </c>
      <c r="N471" s="61" t="s">
        <v>504</v>
      </c>
      <c r="O471" s="61" t="s">
        <v>108</v>
      </c>
      <c r="P471" s="61" t="s">
        <v>1092</v>
      </c>
      <c r="Q471" s="61" t="s">
        <v>2282</v>
      </c>
      <c r="R471" s="61" t="s">
        <v>828</v>
      </c>
      <c r="S471" s="61" t="s">
        <v>2283</v>
      </c>
      <c r="T471" s="61">
        <v>6</v>
      </c>
      <c r="U471" s="61" t="s">
        <v>858</v>
      </c>
      <c r="V471" s="61" t="s">
        <v>959</v>
      </c>
      <c r="W471" s="61" t="s">
        <v>504</v>
      </c>
      <c r="X471" s="61" t="s">
        <v>2170</v>
      </c>
      <c r="Y471" s="61" t="s">
        <v>108</v>
      </c>
      <c r="Z471" s="61" t="s">
        <v>108</v>
      </c>
      <c r="AA471" s="61" t="s">
        <v>108</v>
      </c>
      <c r="AB471" s="61" t="s">
        <v>2175</v>
      </c>
      <c r="AC471" s="61" t="s">
        <v>830</v>
      </c>
      <c r="AD471" s="61" t="s">
        <v>831</v>
      </c>
      <c r="AE471" s="61" t="s">
        <v>612</v>
      </c>
      <c r="AF471" s="61" t="s">
        <v>34</v>
      </c>
      <c r="AG471" s="61" t="s">
        <v>34</v>
      </c>
      <c r="AH471" s="61" t="s">
        <v>34</v>
      </c>
      <c r="AI471" s="61" t="s">
        <v>34</v>
      </c>
      <c r="AJ471" s="61" t="s">
        <v>34</v>
      </c>
      <c r="AK471" s="61" t="s">
        <v>832</v>
      </c>
      <c r="AL471" s="61" t="s">
        <v>34</v>
      </c>
      <c r="AM471" s="61" t="s">
        <v>3446</v>
      </c>
      <c r="AN471" s="490">
        <v>0</v>
      </c>
      <c r="AO471" s="490">
        <v>0</v>
      </c>
      <c r="AP471" s="61"/>
      <c r="AQ471"/>
      <c r="AR471"/>
      <c r="CE471"/>
      <c r="CG471"/>
      <c r="CI471"/>
      <c r="CJ471"/>
    </row>
    <row r="472" spans="1:88" s="368" customFormat="1" ht="15" customHeight="1" x14ac:dyDescent="0.2">
      <c r="A472" s="61">
        <v>471</v>
      </c>
      <c r="B472" s="61" t="s">
        <v>499</v>
      </c>
      <c r="C472" s="61" t="s">
        <v>505</v>
      </c>
      <c r="D472" s="61" t="s">
        <v>2902</v>
      </c>
      <c r="E472" s="61" t="s">
        <v>788</v>
      </c>
      <c r="F472" s="61" t="s">
        <v>717</v>
      </c>
      <c r="G472" s="61" t="s">
        <v>34</v>
      </c>
      <c r="H472" s="61" t="s">
        <v>835</v>
      </c>
      <c r="I472" s="61" t="s">
        <v>4270</v>
      </c>
      <c r="J472" s="61" t="s">
        <v>3349</v>
      </c>
      <c r="K472" s="61" t="s">
        <v>1089</v>
      </c>
      <c r="L472" s="61" t="s">
        <v>2169</v>
      </c>
      <c r="M472" s="61" t="s">
        <v>505</v>
      </c>
      <c r="N472" s="61" t="s">
        <v>505</v>
      </c>
      <c r="O472" s="61" t="s">
        <v>108</v>
      </c>
      <c r="P472" s="61" t="s">
        <v>1092</v>
      </c>
      <c r="Q472" s="61" t="s">
        <v>2282</v>
      </c>
      <c r="R472" s="61" t="s">
        <v>828</v>
      </c>
      <c r="S472" s="61" t="s">
        <v>2283</v>
      </c>
      <c r="T472" s="61">
        <v>6</v>
      </c>
      <c r="U472" s="61" t="s">
        <v>858</v>
      </c>
      <c r="V472" s="61" t="s">
        <v>903</v>
      </c>
      <c r="W472" s="61" t="s">
        <v>505</v>
      </c>
      <c r="X472" s="61" t="s">
        <v>2170</v>
      </c>
      <c r="Y472" s="61" t="s">
        <v>108</v>
      </c>
      <c r="Z472" s="61" t="s">
        <v>108</v>
      </c>
      <c r="AA472" s="61" t="s">
        <v>108</v>
      </c>
      <c r="AB472" s="61" t="s">
        <v>2174</v>
      </c>
      <c r="AC472" s="61" t="s">
        <v>830</v>
      </c>
      <c r="AD472" s="61" t="s">
        <v>831</v>
      </c>
      <c r="AE472" s="61" t="s">
        <v>612</v>
      </c>
      <c r="AF472" s="61" t="s">
        <v>34</v>
      </c>
      <c r="AG472" s="61" t="s">
        <v>34</v>
      </c>
      <c r="AH472" s="61" t="s">
        <v>34</v>
      </c>
      <c r="AI472" s="61" t="s">
        <v>34</v>
      </c>
      <c r="AJ472" s="61" t="s">
        <v>34</v>
      </c>
      <c r="AK472" s="61" t="s">
        <v>832</v>
      </c>
      <c r="AL472" s="61" t="s">
        <v>34</v>
      </c>
      <c r="AM472" s="61" t="s">
        <v>3446</v>
      </c>
      <c r="AN472" s="490">
        <v>0</v>
      </c>
      <c r="AO472" s="490">
        <v>0</v>
      </c>
      <c r="AP472" s="61"/>
      <c r="AQ472"/>
      <c r="AR472"/>
      <c r="CE472"/>
      <c r="CG472"/>
      <c r="CI472"/>
      <c r="CJ472"/>
    </row>
    <row r="473" spans="1:88" s="367" customFormat="1" ht="15" customHeight="1" x14ac:dyDescent="0.2">
      <c r="A473" s="61">
        <v>472</v>
      </c>
      <c r="B473" s="61" t="s">
        <v>499</v>
      </c>
      <c r="C473" s="61" t="s">
        <v>506</v>
      </c>
      <c r="D473" s="61" t="s">
        <v>2903</v>
      </c>
      <c r="E473" s="61" t="s">
        <v>788</v>
      </c>
      <c r="F473" s="61" t="s">
        <v>717</v>
      </c>
      <c r="G473" s="61" t="s">
        <v>34</v>
      </c>
      <c r="H473" s="61" t="s">
        <v>835</v>
      </c>
      <c r="I473" s="61" t="s">
        <v>4316</v>
      </c>
      <c r="J473" s="61" t="s">
        <v>3349</v>
      </c>
      <c r="K473" s="61" t="s">
        <v>1089</v>
      </c>
      <c r="L473" s="61" t="s">
        <v>1090</v>
      </c>
      <c r="M473" s="61" t="s">
        <v>506</v>
      </c>
      <c r="N473" s="61" t="s">
        <v>506</v>
      </c>
      <c r="O473" s="61" t="s">
        <v>1106</v>
      </c>
      <c r="P473" s="61" t="s">
        <v>1092</v>
      </c>
      <c r="Q473" s="61" t="s">
        <v>2282</v>
      </c>
      <c r="R473" s="61" t="s">
        <v>828</v>
      </c>
      <c r="S473" s="61" t="s">
        <v>2283</v>
      </c>
      <c r="T473" s="61">
        <v>6</v>
      </c>
      <c r="U473" s="61" t="s">
        <v>858</v>
      </c>
      <c r="V473" s="61" t="s">
        <v>959</v>
      </c>
      <c r="W473" s="61" t="s">
        <v>506</v>
      </c>
      <c r="X473" s="61" t="s">
        <v>2172</v>
      </c>
      <c r="Y473" s="61" t="s">
        <v>108</v>
      </c>
      <c r="Z473" s="61" t="s">
        <v>108</v>
      </c>
      <c r="AA473" s="61" t="s">
        <v>108</v>
      </c>
      <c r="AB473" s="61" t="s">
        <v>2173</v>
      </c>
      <c r="AC473" s="61" t="s">
        <v>830</v>
      </c>
      <c r="AD473" s="61" t="s">
        <v>831</v>
      </c>
      <c r="AE473" s="61" t="s">
        <v>612</v>
      </c>
      <c r="AF473" s="61" t="s">
        <v>34</v>
      </c>
      <c r="AG473" s="61" t="s">
        <v>34</v>
      </c>
      <c r="AH473" s="61" t="s">
        <v>34</v>
      </c>
      <c r="AI473" s="61" t="s">
        <v>34</v>
      </c>
      <c r="AJ473" s="61" t="s">
        <v>34</v>
      </c>
      <c r="AK473" s="61" t="s">
        <v>832</v>
      </c>
      <c r="AL473" s="61" t="s">
        <v>34</v>
      </c>
      <c r="AM473" s="61" t="s">
        <v>3446</v>
      </c>
      <c r="AN473" s="490">
        <v>0</v>
      </c>
      <c r="AO473" s="490">
        <v>0</v>
      </c>
      <c r="AP473" s="61"/>
      <c r="AQ473"/>
      <c r="AR473"/>
      <c r="CE473"/>
      <c r="CG473"/>
      <c r="CI473"/>
      <c r="CJ473"/>
    </row>
    <row r="474" spans="1:88" s="368" customFormat="1" ht="15" customHeight="1" x14ac:dyDescent="0.2">
      <c r="A474" s="61">
        <v>473</v>
      </c>
      <c r="B474" s="61" t="s">
        <v>499</v>
      </c>
      <c r="C474" s="61" t="s">
        <v>507</v>
      </c>
      <c r="D474" s="61" t="s">
        <v>2904</v>
      </c>
      <c r="E474" s="61" t="s">
        <v>788</v>
      </c>
      <c r="F474" s="61" t="s">
        <v>717</v>
      </c>
      <c r="G474" s="61" t="s">
        <v>34</v>
      </c>
      <c r="H474" s="61" t="s">
        <v>835</v>
      </c>
      <c r="I474" s="61" t="s">
        <v>4270</v>
      </c>
      <c r="J474" s="61" t="s">
        <v>3349</v>
      </c>
      <c r="K474" s="61" t="s">
        <v>1089</v>
      </c>
      <c r="L474" s="61" t="s">
        <v>2169</v>
      </c>
      <c r="M474" s="61" t="s">
        <v>507</v>
      </c>
      <c r="N474" s="61" t="s">
        <v>507</v>
      </c>
      <c r="O474" s="61" t="s">
        <v>108</v>
      </c>
      <c r="P474" s="61" t="s">
        <v>1092</v>
      </c>
      <c r="Q474" s="61" t="s">
        <v>2282</v>
      </c>
      <c r="R474" s="61" t="s">
        <v>828</v>
      </c>
      <c r="S474" s="61" t="s">
        <v>2283</v>
      </c>
      <c r="T474" s="61">
        <v>6</v>
      </c>
      <c r="U474" s="61" t="s">
        <v>858</v>
      </c>
      <c r="V474" s="61" t="s">
        <v>959</v>
      </c>
      <c r="W474" s="61" t="s">
        <v>501</v>
      </c>
      <c r="X474" s="61" t="s">
        <v>2170</v>
      </c>
      <c r="Y474" s="61" t="s">
        <v>108</v>
      </c>
      <c r="Z474" s="61" t="s">
        <v>108</v>
      </c>
      <c r="AA474" s="61" t="s">
        <v>108</v>
      </c>
      <c r="AB474" s="61" t="s">
        <v>2171</v>
      </c>
      <c r="AC474" s="61" t="s">
        <v>830</v>
      </c>
      <c r="AD474" s="61" t="s">
        <v>831</v>
      </c>
      <c r="AE474" s="61" t="s">
        <v>612</v>
      </c>
      <c r="AF474" s="61" t="s">
        <v>34</v>
      </c>
      <c r="AG474" s="61" t="s">
        <v>34</v>
      </c>
      <c r="AH474" s="61" t="s">
        <v>34</v>
      </c>
      <c r="AI474" s="61" t="s">
        <v>34</v>
      </c>
      <c r="AJ474" s="61" t="s">
        <v>34</v>
      </c>
      <c r="AK474" s="61" t="s">
        <v>832</v>
      </c>
      <c r="AL474" s="61" t="s">
        <v>34</v>
      </c>
      <c r="AM474" s="61" t="s">
        <v>3446</v>
      </c>
      <c r="AN474" s="490">
        <v>0</v>
      </c>
      <c r="AO474" s="490">
        <v>0</v>
      </c>
      <c r="AP474" s="61"/>
      <c r="AQ474"/>
      <c r="AR474"/>
      <c r="CE474"/>
      <c r="CG474"/>
      <c r="CI474"/>
      <c r="CJ474"/>
    </row>
    <row r="475" spans="1:88" s="367" customFormat="1" ht="15" customHeight="1" x14ac:dyDescent="0.2">
      <c r="A475" s="61">
        <v>474</v>
      </c>
      <c r="B475" s="61" t="s">
        <v>499</v>
      </c>
      <c r="C475" s="61" t="s">
        <v>3246</v>
      </c>
      <c r="D475" s="61" t="s">
        <v>3247</v>
      </c>
      <c r="E475" s="61" t="s">
        <v>788</v>
      </c>
      <c r="F475" s="61" t="s">
        <v>717</v>
      </c>
      <c r="G475" s="61" t="s">
        <v>34</v>
      </c>
      <c r="H475" s="61" t="s">
        <v>835</v>
      </c>
      <c r="I475" s="61" t="s">
        <v>4270</v>
      </c>
      <c r="J475" s="61" t="s">
        <v>3349</v>
      </c>
      <c r="K475" s="61" t="s">
        <v>1089</v>
      </c>
      <c r="L475" s="61" t="s">
        <v>2169</v>
      </c>
      <c r="M475" s="61" t="s">
        <v>3246</v>
      </c>
      <c r="N475" s="61" t="s">
        <v>3246</v>
      </c>
      <c r="O475" s="61" t="s">
        <v>108</v>
      </c>
      <c r="P475" s="61" t="s">
        <v>1092</v>
      </c>
      <c r="Q475" s="61" t="s">
        <v>2282</v>
      </c>
      <c r="R475" s="61" t="s">
        <v>828</v>
      </c>
      <c r="S475" s="61" t="s">
        <v>2283</v>
      </c>
      <c r="T475" s="61">
        <v>6</v>
      </c>
      <c r="U475" s="61" t="s">
        <v>858</v>
      </c>
      <c r="V475" s="61" t="s">
        <v>959</v>
      </c>
      <c r="W475" s="61" t="s">
        <v>3246</v>
      </c>
      <c r="X475" s="61" t="s">
        <v>2170</v>
      </c>
      <c r="Y475" s="61" t="s">
        <v>108</v>
      </c>
      <c r="Z475" s="61" t="s">
        <v>108</v>
      </c>
      <c r="AA475" s="61" t="s">
        <v>108</v>
      </c>
      <c r="AB475" s="61" t="s">
        <v>2171</v>
      </c>
      <c r="AC475" s="61" t="s">
        <v>830</v>
      </c>
      <c r="AD475" s="61" t="s">
        <v>831</v>
      </c>
      <c r="AE475" s="61" t="s">
        <v>612</v>
      </c>
      <c r="AF475" s="61" t="s">
        <v>2054</v>
      </c>
      <c r="AG475" s="61" t="s">
        <v>34</v>
      </c>
      <c r="AH475" s="61" t="s">
        <v>34</v>
      </c>
      <c r="AI475" s="61" t="s">
        <v>34</v>
      </c>
      <c r="AJ475" s="61" t="s">
        <v>34</v>
      </c>
      <c r="AK475" s="61" t="s">
        <v>832</v>
      </c>
      <c r="AL475" s="61" t="s">
        <v>34</v>
      </c>
      <c r="AM475" s="61" t="s">
        <v>3446</v>
      </c>
      <c r="AN475" s="490">
        <v>0</v>
      </c>
      <c r="AO475" s="490">
        <v>0</v>
      </c>
      <c r="AP475" s="61"/>
      <c r="AQ475"/>
      <c r="AR475"/>
      <c r="CE475"/>
      <c r="CG475"/>
      <c r="CI475"/>
      <c r="CJ475"/>
    </row>
    <row r="476" spans="1:88" s="368" customFormat="1" ht="15" customHeight="1" x14ac:dyDescent="0.2">
      <c r="A476" s="61">
        <v>475</v>
      </c>
      <c r="B476" s="61" t="s">
        <v>499</v>
      </c>
      <c r="C476" s="61" t="s">
        <v>269</v>
      </c>
      <c r="D476" s="61" t="s">
        <v>2905</v>
      </c>
      <c r="E476" s="61" t="s">
        <v>788</v>
      </c>
      <c r="F476" s="61" t="s">
        <v>717</v>
      </c>
      <c r="G476" s="61" t="s">
        <v>34</v>
      </c>
      <c r="H476" s="61" t="s">
        <v>835</v>
      </c>
      <c r="I476" s="61" t="s">
        <v>4270</v>
      </c>
      <c r="J476" s="61" t="s">
        <v>613</v>
      </c>
      <c r="K476" s="61" t="s">
        <v>839</v>
      </c>
      <c r="L476" s="61" t="s">
        <v>2149</v>
      </c>
      <c r="M476" s="61">
        <v>176667</v>
      </c>
      <c r="N476" s="61" t="s">
        <v>269</v>
      </c>
      <c r="O476" s="61" t="s">
        <v>1106</v>
      </c>
      <c r="P476" s="61" t="s">
        <v>2278</v>
      </c>
      <c r="Q476" s="61" t="s">
        <v>911</v>
      </c>
      <c r="R476" s="61" t="s">
        <v>892</v>
      </c>
      <c r="S476" s="61" t="s">
        <v>2279</v>
      </c>
      <c r="T476" s="61">
        <v>27.2</v>
      </c>
      <c r="U476" s="61" t="s">
        <v>687</v>
      </c>
      <c r="V476" s="61" t="s">
        <v>2150</v>
      </c>
      <c r="W476" s="61" t="s">
        <v>2151</v>
      </c>
      <c r="X476" s="61" t="s">
        <v>829</v>
      </c>
      <c r="Y476" s="61" t="s">
        <v>108</v>
      </c>
      <c r="Z476" s="61" t="s">
        <v>108</v>
      </c>
      <c r="AA476" s="61" t="s">
        <v>108</v>
      </c>
      <c r="AB476" s="61" t="s">
        <v>34</v>
      </c>
      <c r="AC476" s="61" t="s">
        <v>830</v>
      </c>
      <c r="AD476" s="61" t="s">
        <v>831</v>
      </c>
      <c r="AE476" s="61" t="s">
        <v>612</v>
      </c>
      <c r="AF476" s="61">
        <v>10</v>
      </c>
      <c r="AG476" s="61">
        <v>2</v>
      </c>
      <c r="AH476" s="61">
        <v>0</v>
      </c>
      <c r="AI476" s="61" t="s">
        <v>2594</v>
      </c>
      <c r="AJ476" s="61" t="s">
        <v>34</v>
      </c>
      <c r="AK476" s="61" t="s">
        <v>832</v>
      </c>
      <c r="AL476" s="61" t="s">
        <v>34</v>
      </c>
      <c r="AM476" s="61" t="s">
        <v>3441</v>
      </c>
      <c r="AN476" s="490">
        <v>0</v>
      </c>
      <c r="AO476" s="490">
        <v>0</v>
      </c>
      <c r="AP476" s="61"/>
      <c r="AQ476"/>
      <c r="AR476"/>
      <c r="CE476"/>
      <c r="CG476"/>
      <c r="CI476"/>
      <c r="CJ476"/>
    </row>
    <row r="477" spans="1:88" s="367" customFormat="1" ht="15" customHeight="1" x14ac:dyDescent="0.2">
      <c r="A477" s="61">
        <v>476</v>
      </c>
      <c r="B477" s="61" t="s">
        <v>499</v>
      </c>
      <c r="C477" s="61" t="s">
        <v>278</v>
      </c>
      <c r="D477" s="61" t="s">
        <v>2906</v>
      </c>
      <c r="E477" s="61" t="s">
        <v>788</v>
      </c>
      <c r="F477" s="61" t="s">
        <v>717</v>
      </c>
      <c r="G477" s="61" t="s">
        <v>34</v>
      </c>
      <c r="H477" s="61" t="s">
        <v>835</v>
      </c>
      <c r="I477" s="61" t="s">
        <v>4270</v>
      </c>
      <c r="J477" s="61" t="s">
        <v>823</v>
      </c>
      <c r="K477" s="61" t="s">
        <v>480</v>
      </c>
      <c r="L477" s="61" t="s">
        <v>2176</v>
      </c>
      <c r="M477" s="61" t="s">
        <v>2177</v>
      </c>
      <c r="N477" s="61" t="s">
        <v>278</v>
      </c>
      <c r="O477" s="61" t="s">
        <v>1106</v>
      </c>
      <c r="P477" s="61" t="s">
        <v>2284</v>
      </c>
      <c r="Q477" s="61" t="s">
        <v>911</v>
      </c>
      <c r="R477" s="61" t="s">
        <v>892</v>
      </c>
      <c r="S477" s="61" t="s">
        <v>2279</v>
      </c>
      <c r="T477" s="61">
        <v>26.1</v>
      </c>
      <c r="U477" s="61" t="s">
        <v>687</v>
      </c>
      <c r="V477" s="61" t="s">
        <v>2150</v>
      </c>
      <c r="W477" s="61" t="s">
        <v>2178</v>
      </c>
      <c r="X477" s="61" t="s">
        <v>829</v>
      </c>
      <c r="Y477" s="61" t="s">
        <v>108</v>
      </c>
      <c r="Z477" s="61" t="s">
        <v>108</v>
      </c>
      <c r="AA477" s="61" t="s">
        <v>108</v>
      </c>
      <c r="AB477" s="61" t="s">
        <v>34</v>
      </c>
      <c r="AC477" s="61" t="s">
        <v>830</v>
      </c>
      <c r="AD477" s="61" t="s">
        <v>831</v>
      </c>
      <c r="AE477" s="61" t="s">
        <v>612</v>
      </c>
      <c r="AF477" s="61">
        <v>10</v>
      </c>
      <c r="AG477" s="61">
        <v>2</v>
      </c>
      <c r="AH477" s="61">
        <v>0</v>
      </c>
      <c r="AI477" s="61" t="s">
        <v>2594</v>
      </c>
      <c r="AJ477" s="61" t="s">
        <v>34</v>
      </c>
      <c r="AK477" s="61" t="s">
        <v>832</v>
      </c>
      <c r="AL477" s="61" t="s">
        <v>34</v>
      </c>
      <c r="AM477" s="61" t="s">
        <v>3441</v>
      </c>
      <c r="AN477" s="490">
        <v>0</v>
      </c>
      <c r="AO477" s="490">
        <v>0</v>
      </c>
      <c r="AP477" s="61"/>
      <c r="AQ477"/>
      <c r="AR477"/>
      <c r="CE477"/>
      <c r="CG477"/>
      <c r="CI477"/>
      <c r="CJ477"/>
    </row>
    <row r="478" spans="1:88" s="368" customFormat="1" ht="15" customHeight="1" x14ac:dyDescent="0.2">
      <c r="A478" s="61">
        <v>477</v>
      </c>
      <c r="B478" s="61" t="s">
        <v>499</v>
      </c>
      <c r="C478" s="61" t="s">
        <v>656</v>
      </c>
      <c r="D478" s="61" t="s">
        <v>2907</v>
      </c>
      <c r="E478" s="61" t="s">
        <v>788</v>
      </c>
      <c r="F478" s="61" t="s">
        <v>717</v>
      </c>
      <c r="G478" s="61" t="s">
        <v>34</v>
      </c>
      <c r="H478" s="61" t="s">
        <v>835</v>
      </c>
      <c r="I478" s="61" t="s">
        <v>4270</v>
      </c>
      <c r="J478" s="61" t="s">
        <v>3350</v>
      </c>
      <c r="K478" s="61" t="s">
        <v>1089</v>
      </c>
      <c r="L478" s="61" t="s">
        <v>2153</v>
      </c>
      <c r="M478" s="61" t="s">
        <v>656</v>
      </c>
      <c r="N478" s="61" t="s">
        <v>656</v>
      </c>
      <c r="O478" s="61" t="s">
        <v>1106</v>
      </c>
      <c r="P478" s="61" t="s">
        <v>2276</v>
      </c>
      <c r="Q478" s="61" t="s">
        <v>3368</v>
      </c>
      <c r="R478" s="61" t="s">
        <v>828</v>
      </c>
      <c r="S478" s="61" t="s">
        <v>2277</v>
      </c>
      <c r="T478" s="61">
        <v>1.6</v>
      </c>
      <c r="U478" s="61" t="s">
        <v>858</v>
      </c>
      <c r="V478" s="61" t="s">
        <v>959</v>
      </c>
      <c r="W478" s="61" t="s">
        <v>656</v>
      </c>
      <c r="X478" s="61" t="s">
        <v>2154</v>
      </c>
      <c r="Y478" s="61" t="s">
        <v>108</v>
      </c>
      <c r="Z478" s="61" t="s">
        <v>108</v>
      </c>
      <c r="AA478" s="61" t="s">
        <v>108</v>
      </c>
      <c r="AB478" s="61" t="s">
        <v>2155</v>
      </c>
      <c r="AC478" s="61" t="s">
        <v>830</v>
      </c>
      <c r="AD478" s="61" t="s">
        <v>831</v>
      </c>
      <c r="AE478" s="61" t="s">
        <v>612</v>
      </c>
      <c r="AF478" s="61" t="s">
        <v>34</v>
      </c>
      <c r="AG478" s="61" t="s">
        <v>34</v>
      </c>
      <c r="AH478" s="61" t="s">
        <v>34</v>
      </c>
      <c r="AI478" s="61" t="s">
        <v>34</v>
      </c>
      <c r="AJ478" s="61" t="s">
        <v>34</v>
      </c>
      <c r="AK478" s="61" t="s">
        <v>832</v>
      </c>
      <c r="AL478" s="61" t="s">
        <v>34</v>
      </c>
      <c r="AM478" s="61" t="s">
        <v>3446</v>
      </c>
      <c r="AN478" s="490">
        <v>0</v>
      </c>
      <c r="AO478" s="490">
        <v>0</v>
      </c>
      <c r="AP478" s="61"/>
      <c r="AQ478"/>
      <c r="AR478"/>
      <c r="CE478"/>
      <c r="CG478"/>
      <c r="CI478"/>
      <c r="CJ478"/>
    </row>
    <row r="479" spans="1:88" s="367" customFormat="1" ht="15" customHeight="1" x14ac:dyDescent="0.2">
      <c r="A479" s="61">
        <v>478</v>
      </c>
      <c r="B479" s="61" t="s">
        <v>499</v>
      </c>
      <c r="C479" s="61" t="s">
        <v>508</v>
      </c>
      <c r="D479" s="61" t="s">
        <v>2908</v>
      </c>
      <c r="E479" s="61" t="s">
        <v>788</v>
      </c>
      <c r="F479" s="61" t="s">
        <v>717</v>
      </c>
      <c r="G479" s="61" t="s">
        <v>34</v>
      </c>
      <c r="H479" s="61" t="s">
        <v>835</v>
      </c>
      <c r="I479" s="61" t="s">
        <v>4270</v>
      </c>
      <c r="J479" s="61" t="s">
        <v>3350</v>
      </c>
      <c r="K479" s="61" t="s">
        <v>1089</v>
      </c>
      <c r="L479" s="61" t="s">
        <v>2166</v>
      </c>
      <c r="M479" s="61" t="s">
        <v>508</v>
      </c>
      <c r="N479" s="61" t="s">
        <v>508</v>
      </c>
      <c r="O479" s="61" t="s">
        <v>1106</v>
      </c>
      <c r="P479" s="61" t="s">
        <v>2276</v>
      </c>
      <c r="Q479" s="61" t="s">
        <v>3368</v>
      </c>
      <c r="R479" s="61" t="s">
        <v>828</v>
      </c>
      <c r="S479" s="61" t="s">
        <v>2277</v>
      </c>
      <c r="T479" s="61">
        <v>1.6</v>
      </c>
      <c r="U479" s="61" t="s">
        <v>858</v>
      </c>
      <c r="V479" s="61" t="s">
        <v>959</v>
      </c>
      <c r="W479" s="61" t="s">
        <v>508</v>
      </c>
      <c r="X479" s="61" t="s">
        <v>2167</v>
      </c>
      <c r="Y479" s="61" t="s">
        <v>108</v>
      </c>
      <c r="Z479" s="61" t="s">
        <v>108</v>
      </c>
      <c r="AA479" s="61" t="s">
        <v>108</v>
      </c>
      <c r="AB479" s="61" t="s">
        <v>2168</v>
      </c>
      <c r="AC479" s="61" t="s">
        <v>830</v>
      </c>
      <c r="AD479" s="61" t="s">
        <v>831</v>
      </c>
      <c r="AE479" s="61" t="s">
        <v>612</v>
      </c>
      <c r="AF479" s="61" t="s">
        <v>34</v>
      </c>
      <c r="AG479" s="61" t="s">
        <v>34</v>
      </c>
      <c r="AH479" s="61" t="s">
        <v>34</v>
      </c>
      <c r="AI479" s="61" t="s">
        <v>34</v>
      </c>
      <c r="AJ479" s="61" t="s">
        <v>34</v>
      </c>
      <c r="AK479" s="61" t="s">
        <v>832</v>
      </c>
      <c r="AL479" s="61" t="s">
        <v>34</v>
      </c>
      <c r="AM479" s="61" t="s">
        <v>3446</v>
      </c>
      <c r="AN479" s="490">
        <v>0</v>
      </c>
      <c r="AO479" s="490">
        <v>0</v>
      </c>
      <c r="AP479" s="61"/>
      <c r="AQ479"/>
      <c r="AR479"/>
      <c r="CE479"/>
      <c r="CG479"/>
      <c r="CI479"/>
      <c r="CJ479"/>
    </row>
    <row r="480" spans="1:88" s="368" customFormat="1" ht="15" customHeight="1" x14ac:dyDescent="0.2">
      <c r="A480" s="61">
        <v>479</v>
      </c>
      <c r="B480" s="61" t="s">
        <v>499</v>
      </c>
      <c r="C480" s="61" t="s">
        <v>509</v>
      </c>
      <c r="D480" s="61" t="s">
        <v>2909</v>
      </c>
      <c r="E480" s="61" t="s">
        <v>788</v>
      </c>
      <c r="F480" s="61" t="s">
        <v>717</v>
      </c>
      <c r="G480" s="61" t="s">
        <v>34</v>
      </c>
      <c r="H480" s="61" t="s">
        <v>835</v>
      </c>
      <c r="I480" s="61" t="s">
        <v>4270</v>
      </c>
      <c r="J480" s="61" t="s">
        <v>3350</v>
      </c>
      <c r="K480" s="61" t="s">
        <v>1089</v>
      </c>
      <c r="L480" s="61" t="s">
        <v>2160</v>
      </c>
      <c r="M480" s="61" t="s">
        <v>509</v>
      </c>
      <c r="N480" s="61" t="s">
        <v>509</v>
      </c>
      <c r="O480" s="61" t="s">
        <v>1106</v>
      </c>
      <c r="P480" s="61" t="s">
        <v>2276</v>
      </c>
      <c r="Q480" s="61" t="s">
        <v>3368</v>
      </c>
      <c r="R480" s="61" t="s">
        <v>828</v>
      </c>
      <c r="S480" s="61" t="s">
        <v>2277</v>
      </c>
      <c r="T480" s="61">
        <v>1.6</v>
      </c>
      <c r="U480" s="61" t="s">
        <v>858</v>
      </c>
      <c r="V480" s="61" t="s">
        <v>959</v>
      </c>
      <c r="W480" s="61" t="s">
        <v>509</v>
      </c>
      <c r="X480" s="61" t="s">
        <v>2164</v>
      </c>
      <c r="Y480" s="61" t="s">
        <v>108</v>
      </c>
      <c r="Z480" s="61" t="s">
        <v>108</v>
      </c>
      <c r="AA480" s="61" t="s">
        <v>108</v>
      </c>
      <c r="AB480" s="61" t="s">
        <v>2165</v>
      </c>
      <c r="AC480" s="61" t="s">
        <v>830</v>
      </c>
      <c r="AD480" s="61" t="s">
        <v>831</v>
      </c>
      <c r="AE480" s="61" t="s">
        <v>612</v>
      </c>
      <c r="AF480" s="61" t="s">
        <v>34</v>
      </c>
      <c r="AG480" s="61" t="s">
        <v>34</v>
      </c>
      <c r="AH480" s="61" t="s">
        <v>34</v>
      </c>
      <c r="AI480" s="61" t="s">
        <v>34</v>
      </c>
      <c r="AJ480" s="61" t="s">
        <v>34</v>
      </c>
      <c r="AK480" s="61" t="s">
        <v>832</v>
      </c>
      <c r="AL480" s="61" t="s">
        <v>34</v>
      </c>
      <c r="AM480" s="61" t="s">
        <v>3446</v>
      </c>
      <c r="AN480" s="490">
        <v>0</v>
      </c>
      <c r="AO480" s="490">
        <v>0</v>
      </c>
      <c r="AP480" s="61"/>
      <c r="AQ480"/>
      <c r="AR480"/>
      <c r="CE480"/>
      <c r="CG480"/>
      <c r="CI480"/>
      <c r="CJ480"/>
    </row>
    <row r="481" spans="1:88" s="367" customFormat="1" ht="15" customHeight="1" x14ac:dyDescent="0.2">
      <c r="A481" s="61">
        <v>480</v>
      </c>
      <c r="B481" s="61" t="s">
        <v>499</v>
      </c>
      <c r="C481" s="61" t="s">
        <v>708</v>
      </c>
      <c r="D481" s="61" t="s">
        <v>2910</v>
      </c>
      <c r="E481" s="61" t="s">
        <v>788</v>
      </c>
      <c r="F481" s="61" t="s">
        <v>717</v>
      </c>
      <c r="G481" s="61" t="s">
        <v>34</v>
      </c>
      <c r="H481" s="61" t="s">
        <v>835</v>
      </c>
      <c r="I481" s="61" t="s">
        <v>4270</v>
      </c>
      <c r="J481" s="61" t="s">
        <v>3350</v>
      </c>
      <c r="K481" s="61" t="s">
        <v>2179</v>
      </c>
      <c r="L481" s="61" t="s">
        <v>2180</v>
      </c>
      <c r="M481" s="61" t="s">
        <v>708</v>
      </c>
      <c r="N481" s="61" t="s">
        <v>708</v>
      </c>
      <c r="O481" s="61" t="s">
        <v>1106</v>
      </c>
      <c r="P481" s="61" t="s">
        <v>2276</v>
      </c>
      <c r="Q481" s="61" t="s">
        <v>3368</v>
      </c>
      <c r="R481" s="61" t="s">
        <v>828</v>
      </c>
      <c r="S481" s="61" t="s">
        <v>2277</v>
      </c>
      <c r="T481" s="61">
        <v>1.6</v>
      </c>
      <c r="U481" s="61" t="s">
        <v>858</v>
      </c>
      <c r="V481" s="61" t="s">
        <v>2181</v>
      </c>
      <c r="W481" s="61" t="s">
        <v>708</v>
      </c>
      <c r="X481" s="61" t="s">
        <v>2162</v>
      </c>
      <c r="Y481" s="61" t="s">
        <v>108</v>
      </c>
      <c r="Z481" s="61" t="s">
        <v>108</v>
      </c>
      <c r="AA481" s="61" t="s">
        <v>108</v>
      </c>
      <c r="AB481" s="61" t="s">
        <v>2173</v>
      </c>
      <c r="AC481" s="61" t="s">
        <v>830</v>
      </c>
      <c r="AD481" s="61" t="s">
        <v>831</v>
      </c>
      <c r="AE481" s="61" t="s">
        <v>612</v>
      </c>
      <c r="AF481" s="61" t="s">
        <v>34</v>
      </c>
      <c r="AG481" s="61" t="s">
        <v>34</v>
      </c>
      <c r="AH481" s="61" t="s">
        <v>34</v>
      </c>
      <c r="AI481" s="61" t="s">
        <v>34</v>
      </c>
      <c r="AJ481" s="61" t="s">
        <v>34</v>
      </c>
      <c r="AK481" s="61" t="s">
        <v>832</v>
      </c>
      <c r="AL481" s="61" t="s">
        <v>34</v>
      </c>
      <c r="AM481" s="61" t="s">
        <v>3446</v>
      </c>
      <c r="AN481" s="490">
        <v>0</v>
      </c>
      <c r="AO481" s="490">
        <v>0</v>
      </c>
      <c r="AP481" s="61"/>
      <c r="AQ481"/>
      <c r="AR481"/>
      <c r="CE481"/>
      <c r="CG481"/>
      <c r="CI481"/>
      <c r="CJ481"/>
    </row>
    <row r="482" spans="1:88" s="368" customFormat="1" ht="15" customHeight="1" x14ac:dyDescent="0.2">
      <c r="A482" s="61">
        <v>481</v>
      </c>
      <c r="B482" s="61" t="s">
        <v>499</v>
      </c>
      <c r="C482" s="61" t="s">
        <v>510</v>
      </c>
      <c r="D482" s="61" t="s">
        <v>2911</v>
      </c>
      <c r="E482" s="61" t="s">
        <v>788</v>
      </c>
      <c r="F482" s="61" t="s">
        <v>717</v>
      </c>
      <c r="G482" s="61" t="s">
        <v>34</v>
      </c>
      <c r="H482" s="61" t="s">
        <v>835</v>
      </c>
      <c r="I482" s="61" t="s">
        <v>4270</v>
      </c>
      <c r="J482" s="61" t="s">
        <v>3350</v>
      </c>
      <c r="K482" s="61" t="s">
        <v>1089</v>
      </c>
      <c r="L482" s="61" t="s">
        <v>2153</v>
      </c>
      <c r="M482" s="61" t="s">
        <v>510</v>
      </c>
      <c r="N482" s="61" t="s">
        <v>510</v>
      </c>
      <c r="O482" s="61" t="s">
        <v>1106</v>
      </c>
      <c r="P482" s="61" t="s">
        <v>2276</v>
      </c>
      <c r="Q482" s="61" t="s">
        <v>3368</v>
      </c>
      <c r="R482" s="61" t="s">
        <v>828</v>
      </c>
      <c r="S482" s="61" t="s">
        <v>2277</v>
      </c>
      <c r="T482" s="61">
        <v>1.6</v>
      </c>
      <c r="U482" s="61" t="s">
        <v>858</v>
      </c>
      <c r="V482" s="61" t="s">
        <v>1095</v>
      </c>
      <c r="W482" s="61" t="s">
        <v>510</v>
      </c>
      <c r="X482" s="61" t="s">
        <v>2156</v>
      </c>
      <c r="Y482" s="61" t="s">
        <v>108</v>
      </c>
      <c r="Z482" s="61" t="s">
        <v>108</v>
      </c>
      <c r="AA482" s="61" t="s">
        <v>108</v>
      </c>
      <c r="AB482" s="61" t="s">
        <v>2157</v>
      </c>
      <c r="AC482" s="61" t="s">
        <v>830</v>
      </c>
      <c r="AD482" s="61" t="s">
        <v>831</v>
      </c>
      <c r="AE482" s="61" t="s">
        <v>612</v>
      </c>
      <c r="AF482" s="61" t="s">
        <v>34</v>
      </c>
      <c r="AG482" s="61" t="s">
        <v>34</v>
      </c>
      <c r="AH482" s="61" t="s">
        <v>34</v>
      </c>
      <c r="AI482" s="61" t="s">
        <v>34</v>
      </c>
      <c r="AJ482" s="61" t="s">
        <v>34</v>
      </c>
      <c r="AK482" s="61" t="s">
        <v>832</v>
      </c>
      <c r="AL482" s="61" t="s">
        <v>34</v>
      </c>
      <c r="AM482" s="61" t="s">
        <v>3446</v>
      </c>
      <c r="AN482" s="490">
        <v>0</v>
      </c>
      <c r="AO482" s="490">
        <v>0</v>
      </c>
      <c r="AP482" s="61"/>
      <c r="AQ482"/>
      <c r="AR482"/>
      <c r="CE482"/>
      <c r="CG482"/>
      <c r="CI482"/>
      <c r="CJ482"/>
    </row>
    <row r="483" spans="1:88" s="367" customFormat="1" ht="15" customHeight="1" x14ac:dyDescent="0.2">
      <c r="A483" s="61">
        <v>482</v>
      </c>
      <c r="B483" s="61" t="s">
        <v>499</v>
      </c>
      <c r="C483" s="61" t="s">
        <v>511</v>
      </c>
      <c r="D483" s="61" t="s">
        <v>2912</v>
      </c>
      <c r="E483" s="61" t="s">
        <v>788</v>
      </c>
      <c r="F483" s="61" t="s">
        <v>717</v>
      </c>
      <c r="G483" s="61" t="s">
        <v>34</v>
      </c>
      <c r="H483" s="61" t="s">
        <v>835</v>
      </c>
      <c r="I483" s="61" t="s">
        <v>4270</v>
      </c>
      <c r="J483" s="61" t="s">
        <v>3350</v>
      </c>
      <c r="K483" s="61" t="s">
        <v>1089</v>
      </c>
      <c r="L483" s="61" t="s">
        <v>2153</v>
      </c>
      <c r="M483" s="61" t="s">
        <v>511</v>
      </c>
      <c r="N483" s="61" t="s">
        <v>511</v>
      </c>
      <c r="O483" s="61" t="s">
        <v>1106</v>
      </c>
      <c r="P483" s="61" t="s">
        <v>2276</v>
      </c>
      <c r="Q483" s="61" t="s">
        <v>3368</v>
      </c>
      <c r="R483" s="61" t="s">
        <v>828</v>
      </c>
      <c r="S483" s="61" t="s">
        <v>2277</v>
      </c>
      <c r="T483" s="61">
        <v>1.6</v>
      </c>
      <c r="U483" s="61" t="s">
        <v>858</v>
      </c>
      <c r="V483" s="61" t="s">
        <v>959</v>
      </c>
      <c r="W483" s="61" t="s">
        <v>510</v>
      </c>
      <c r="X483" s="61" t="s">
        <v>2162</v>
      </c>
      <c r="Y483" s="61" t="s">
        <v>108</v>
      </c>
      <c r="Z483" s="61" t="s">
        <v>108</v>
      </c>
      <c r="AA483" s="61" t="s">
        <v>108</v>
      </c>
      <c r="AB483" s="61" t="s">
        <v>2163</v>
      </c>
      <c r="AC483" s="61" t="s">
        <v>830</v>
      </c>
      <c r="AD483" s="61" t="s">
        <v>831</v>
      </c>
      <c r="AE483" s="61" t="s">
        <v>612</v>
      </c>
      <c r="AF483" s="61" t="s">
        <v>34</v>
      </c>
      <c r="AG483" s="61" t="s">
        <v>34</v>
      </c>
      <c r="AH483" s="61" t="s">
        <v>34</v>
      </c>
      <c r="AI483" s="61" t="s">
        <v>34</v>
      </c>
      <c r="AJ483" s="61" t="s">
        <v>34</v>
      </c>
      <c r="AK483" s="61" t="s">
        <v>832</v>
      </c>
      <c r="AL483" s="61" t="s">
        <v>34</v>
      </c>
      <c r="AM483" s="61" t="s">
        <v>3446</v>
      </c>
      <c r="AN483" s="490">
        <v>0</v>
      </c>
      <c r="AO483" s="490">
        <v>0</v>
      </c>
      <c r="AP483" s="61"/>
      <c r="AQ483"/>
      <c r="AR483"/>
      <c r="CE483"/>
      <c r="CG483"/>
      <c r="CI483"/>
      <c r="CJ483"/>
    </row>
    <row r="484" spans="1:88" x14ac:dyDescent="0.2">
      <c r="A484" s="61">
        <v>483</v>
      </c>
      <c r="B484" s="61" t="s">
        <v>499</v>
      </c>
      <c r="C484" s="61" t="s">
        <v>512</v>
      </c>
      <c r="D484" s="61" t="s">
        <v>2913</v>
      </c>
      <c r="E484" s="61" t="s">
        <v>788</v>
      </c>
      <c r="F484" s="61" t="s">
        <v>717</v>
      </c>
      <c r="G484" s="61" t="s">
        <v>34</v>
      </c>
      <c r="H484" s="61" t="s">
        <v>835</v>
      </c>
      <c r="I484" s="61" t="s">
        <v>4270</v>
      </c>
      <c r="J484" s="61" t="s">
        <v>3350</v>
      </c>
      <c r="K484" s="61" t="s">
        <v>1089</v>
      </c>
      <c r="L484" s="61" t="s">
        <v>2153</v>
      </c>
      <c r="M484" s="61" t="s">
        <v>512</v>
      </c>
      <c r="N484" s="61" t="s">
        <v>512</v>
      </c>
      <c r="O484" s="61" t="s">
        <v>1106</v>
      </c>
      <c r="P484" s="61" t="s">
        <v>2276</v>
      </c>
      <c r="Q484" s="61" t="s">
        <v>3368</v>
      </c>
      <c r="R484" s="61" t="s">
        <v>828</v>
      </c>
      <c r="S484" s="61" t="s">
        <v>2277</v>
      </c>
      <c r="T484" s="61">
        <v>1.6</v>
      </c>
      <c r="U484" s="61" t="s">
        <v>858</v>
      </c>
      <c r="V484" s="61" t="s">
        <v>959</v>
      </c>
      <c r="W484" s="61" t="s">
        <v>510</v>
      </c>
      <c r="X484" s="61" t="s">
        <v>2162</v>
      </c>
      <c r="Y484" s="61" t="s">
        <v>108</v>
      </c>
      <c r="Z484" s="61" t="s">
        <v>108</v>
      </c>
      <c r="AA484" s="61" t="s">
        <v>108</v>
      </c>
      <c r="AB484" s="61" t="s">
        <v>3351</v>
      </c>
      <c r="AC484" s="61" t="s">
        <v>830</v>
      </c>
      <c r="AD484" s="61" t="s">
        <v>831</v>
      </c>
      <c r="AE484" s="61" t="s">
        <v>612</v>
      </c>
      <c r="AF484" s="61" t="s">
        <v>34</v>
      </c>
      <c r="AG484" s="61" t="s">
        <v>34</v>
      </c>
      <c r="AH484" s="61" t="s">
        <v>34</v>
      </c>
      <c r="AI484" s="61" t="s">
        <v>34</v>
      </c>
      <c r="AJ484" s="61" t="s">
        <v>34</v>
      </c>
      <c r="AK484" s="61" t="s">
        <v>832</v>
      </c>
      <c r="AL484" s="61" t="s">
        <v>34</v>
      </c>
      <c r="AM484" s="61" t="s">
        <v>3446</v>
      </c>
      <c r="AN484" s="490">
        <v>0</v>
      </c>
      <c r="AO484" s="490">
        <v>0</v>
      </c>
      <c r="AP484" s="61"/>
    </row>
    <row r="485" spans="1:88" x14ac:dyDescent="0.2">
      <c r="A485" s="61">
        <v>484</v>
      </c>
      <c r="B485" s="61" t="s">
        <v>499</v>
      </c>
      <c r="C485" s="61" t="s">
        <v>513</v>
      </c>
      <c r="D485" s="61" t="s">
        <v>2914</v>
      </c>
      <c r="E485" s="61" t="s">
        <v>788</v>
      </c>
      <c r="F485" s="61" t="s">
        <v>717</v>
      </c>
      <c r="G485" s="61" t="s">
        <v>34</v>
      </c>
      <c r="H485" s="61" t="s">
        <v>835</v>
      </c>
      <c r="I485" s="61" t="s">
        <v>4270</v>
      </c>
      <c r="J485" s="61" t="s">
        <v>3350</v>
      </c>
      <c r="K485" s="61" t="s">
        <v>1089</v>
      </c>
      <c r="L485" s="61" t="s">
        <v>2153</v>
      </c>
      <c r="M485" s="61" t="s">
        <v>513</v>
      </c>
      <c r="N485" s="61" t="s">
        <v>513</v>
      </c>
      <c r="O485" s="61" t="s">
        <v>1106</v>
      </c>
      <c r="P485" s="61" t="s">
        <v>2276</v>
      </c>
      <c r="Q485" s="61" t="s">
        <v>3368</v>
      </c>
      <c r="R485" s="61" t="s">
        <v>828</v>
      </c>
      <c r="S485" s="61" t="s">
        <v>2277</v>
      </c>
      <c r="T485" s="61">
        <v>1.6</v>
      </c>
      <c r="U485" s="61" t="s">
        <v>858</v>
      </c>
      <c r="V485" s="61" t="s">
        <v>1095</v>
      </c>
      <c r="W485" s="61" t="s">
        <v>510</v>
      </c>
      <c r="X485" s="61" t="s">
        <v>2156</v>
      </c>
      <c r="Y485" s="61" t="s">
        <v>108</v>
      </c>
      <c r="Z485" s="61" t="s">
        <v>108</v>
      </c>
      <c r="AA485" s="61" t="s">
        <v>108</v>
      </c>
      <c r="AB485" s="61" t="s">
        <v>2157</v>
      </c>
      <c r="AC485" s="61" t="s">
        <v>830</v>
      </c>
      <c r="AD485" s="61" t="s">
        <v>831</v>
      </c>
      <c r="AE485" s="61" t="s">
        <v>612</v>
      </c>
      <c r="AF485" s="61" t="s">
        <v>34</v>
      </c>
      <c r="AG485" s="61" t="s">
        <v>34</v>
      </c>
      <c r="AH485" s="61" t="s">
        <v>34</v>
      </c>
      <c r="AI485" s="61" t="s">
        <v>34</v>
      </c>
      <c r="AJ485" s="61" t="s">
        <v>34</v>
      </c>
      <c r="AK485" s="61" t="s">
        <v>832</v>
      </c>
      <c r="AL485" s="61" t="s">
        <v>34</v>
      </c>
      <c r="AM485" s="61" t="s">
        <v>3446</v>
      </c>
      <c r="AN485" s="490">
        <v>0</v>
      </c>
      <c r="AO485" s="490">
        <v>0</v>
      </c>
      <c r="AP485" s="61"/>
    </row>
    <row r="486" spans="1:88" x14ac:dyDescent="0.2">
      <c r="A486" s="61">
        <v>485</v>
      </c>
      <c r="B486" s="61" t="s">
        <v>499</v>
      </c>
      <c r="C486" s="61" t="s">
        <v>707</v>
      </c>
      <c r="D486" s="61" t="s">
        <v>2915</v>
      </c>
      <c r="E486" s="61" t="s">
        <v>788</v>
      </c>
      <c r="F486" s="61" t="s">
        <v>717</v>
      </c>
      <c r="G486" s="61" t="s">
        <v>34</v>
      </c>
      <c r="H486" s="61" t="s">
        <v>835</v>
      </c>
      <c r="I486" s="61" t="s">
        <v>4270</v>
      </c>
      <c r="J486" s="61" t="s">
        <v>3350</v>
      </c>
      <c r="K486" s="61" t="s">
        <v>1089</v>
      </c>
      <c r="L486" s="61" t="s">
        <v>3352</v>
      </c>
      <c r="M486" s="61" t="s">
        <v>707</v>
      </c>
      <c r="N486" s="61" t="s">
        <v>707</v>
      </c>
      <c r="O486" s="61" t="s">
        <v>1106</v>
      </c>
      <c r="P486" s="61" t="s">
        <v>2276</v>
      </c>
      <c r="Q486" s="61" t="s">
        <v>3368</v>
      </c>
      <c r="R486" s="61" t="s">
        <v>892</v>
      </c>
      <c r="S486" s="61" t="s">
        <v>2277</v>
      </c>
      <c r="T486" s="61">
        <v>1.6</v>
      </c>
      <c r="U486" s="61" t="s">
        <v>858</v>
      </c>
      <c r="V486" s="61" t="s">
        <v>959</v>
      </c>
      <c r="W486" s="61" t="s">
        <v>707</v>
      </c>
      <c r="X486" s="61" t="s">
        <v>2154</v>
      </c>
      <c r="Y486" s="61" t="s">
        <v>108</v>
      </c>
      <c r="Z486" s="61" t="s">
        <v>108</v>
      </c>
      <c r="AA486" s="61" t="s">
        <v>108</v>
      </c>
      <c r="AB486" s="61" t="s">
        <v>2280</v>
      </c>
      <c r="AC486" s="61" t="s">
        <v>830</v>
      </c>
      <c r="AD486" s="61" t="s">
        <v>831</v>
      </c>
      <c r="AE486" s="61" t="s">
        <v>612</v>
      </c>
      <c r="AF486" s="61" t="s">
        <v>34</v>
      </c>
      <c r="AG486" s="61" t="s">
        <v>34</v>
      </c>
      <c r="AH486" s="61" t="s">
        <v>34</v>
      </c>
      <c r="AI486" s="61" t="s">
        <v>34</v>
      </c>
      <c r="AJ486" s="61" t="s">
        <v>34</v>
      </c>
      <c r="AK486" s="61" t="s">
        <v>832</v>
      </c>
      <c r="AL486" s="61" t="s">
        <v>34</v>
      </c>
      <c r="AM486" s="61" t="s">
        <v>3446</v>
      </c>
      <c r="AN486" s="490">
        <v>0</v>
      </c>
      <c r="AO486" s="490">
        <v>0</v>
      </c>
      <c r="AP486" s="61"/>
    </row>
    <row r="487" spans="1:88" x14ac:dyDescent="0.2">
      <c r="A487" s="61">
        <v>486</v>
      </c>
      <c r="B487" s="61" t="s">
        <v>499</v>
      </c>
      <c r="C487" s="61" t="s">
        <v>514</v>
      </c>
      <c r="D487" s="61" t="s">
        <v>2916</v>
      </c>
      <c r="E487" s="61" t="s">
        <v>788</v>
      </c>
      <c r="F487" s="61" t="s">
        <v>717</v>
      </c>
      <c r="G487" s="61" t="s">
        <v>34</v>
      </c>
      <c r="H487" s="61" t="s">
        <v>835</v>
      </c>
      <c r="I487" s="61" t="s">
        <v>4270</v>
      </c>
      <c r="J487" s="61" t="s">
        <v>3350</v>
      </c>
      <c r="K487" s="61" t="s">
        <v>1089</v>
      </c>
      <c r="L487" s="61" t="s">
        <v>2160</v>
      </c>
      <c r="M487" s="61" t="s">
        <v>514</v>
      </c>
      <c r="N487" s="61" t="s">
        <v>514</v>
      </c>
      <c r="O487" s="61" t="s">
        <v>1106</v>
      </c>
      <c r="P487" s="61" t="s">
        <v>2276</v>
      </c>
      <c r="Q487" s="61" t="s">
        <v>3368</v>
      </c>
      <c r="R487" s="61" t="s">
        <v>828</v>
      </c>
      <c r="S487" s="61" t="s">
        <v>2277</v>
      </c>
      <c r="T487" s="61">
        <v>1.6</v>
      </c>
      <c r="U487" s="61" t="s">
        <v>858</v>
      </c>
      <c r="V487" s="61" t="s">
        <v>959</v>
      </c>
      <c r="W487" s="61" t="s">
        <v>500</v>
      </c>
      <c r="X487" s="61" t="s">
        <v>2156</v>
      </c>
      <c r="Y487" s="61" t="s">
        <v>108</v>
      </c>
      <c r="Z487" s="61" t="s">
        <v>108</v>
      </c>
      <c r="AA487" s="61" t="s">
        <v>108</v>
      </c>
      <c r="AB487" s="61" t="s">
        <v>2161</v>
      </c>
      <c r="AC487" s="61" t="s">
        <v>830</v>
      </c>
      <c r="AD487" s="61" t="s">
        <v>831</v>
      </c>
      <c r="AE487" s="61" t="s">
        <v>612</v>
      </c>
      <c r="AF487" s="61" t="s">
        <v>34</v>
      </c>
      <c r="AG487" s="61" t="s">
        <v>34</v>
      </c>
      <c r="AH487" s="61" t="s">
        <v>34</v>
      </c>
      <c r="AI487" s="61" t="s">
        <v>34</v>
      </c>
      <c r="AJ487" s="61" t="s">
        <v>34</v>
      </c>
      <c r="AK487" s="61" t="s">
        <v>832</v>
      </c>
      <c r="AL487" s="61" t="s">
        <v>34</v>
      </c>
      <c r="AM487" s="61" t="s">
        <v>3446</v>
      </c>
      <c r="AN487" s="490">
        <v>0</v>
      </c>
      <c r="AO487" s="490">
        <v>0</v>
      </c>
      <c r="AP487" s="61"/>
    </row>
    <row r="488" spans="1:88" x14ac:dyDescent="0.2">
      <c r="A488" s="61">
        <v>487</v>
      </c>
      <c r="B488" s="61" t="s">
        <v>499</v>
      </c>
      <c r="C488" s="61" t="s">
        <v>515</v>
      </c>
      <c r="D488" s="61" t="s">
        <v>2917</v>
      </c>
      <c r="E488" s="61" t="s">
        <v>788</v>
      </c>
      <c r="F488" s="61" t="s">
        <v>717</v>
      </c>
      <c r="G488" s="61" t="s">
        <v>34</v>
      </c>
      <c r="H488" s="61" t="s">
        <v>835</v>
      </c>
      <c r="I488" s="61" t="s">
        <v>4270</v>
      </c>
      <c r="J488" s="61" t="s">
        <v>3350</v>
      </c>
      <c r="K488" s="61" t="s">
        <v>1089</v>
      </c>
      <c r="L488" s="61" t="s">
        <v>2153</v>
      </c>
      <c r="M488" s="61" t="s">
        <v>515</v>
      </c>
      <c r="N488" s="61" t="s">
        <v>515</v>
      </c>
      <c r="O488" s="61" t="s">
        <v>1106</v>
      </c>
      <c r="P488" s="61" t="s">
        <v>2276</v>
      </c>
      <c r="Q488" s="61" t="s">
        <v>3368</v>
      </c>
      <c r="R488" s="61" t="s">
        <v>828</v>
      </c>
      <c r="S488" s="61" t="s">
        <v>2277</v>
      </c>
      <c r="T488" s="61">
        <v>1.6</v>
      </c>
      <c r="U488" s="61" t="s">
        <v>858</v>
      </c>
      <c r="V488" s="61" t="s">
        <v>959</v>
      </c>
      <c r="W488" s="61" t="s">
        <v>510</v>
      </c>
      <c r="X488" s="61" t="s">
        <v>2158</v>
      </c>
      <c r="Y488" s="61" t="s">
        <v>108</v>
      </c>
      <c r="Z488" s="61" t="s">
        <v>108</v>
      </c>
      <c r="AA488" s="61" t="s">
        <v>108</v>
      </c>
      <c r="AB488" s="61" t="s">
        <v>2159</v>
      </c>
      <c r="AC488" s="61" t="s">
        <v>830</v>
      </c>
      <c r="AD488" s="61" t="s">
        <v>831</v>
      </c>
      <c r="AE488" s="61" t="s">
        <v>612</v>
      </c>
      <c r="AF488" s="61" t="s">
        <v>34</v>
      </c>
      <c r="AG488" s="61" t="s">
        <v>34</v>
      </c>
      <c r="AH488" s="61" t="s">
        <v>34</v>
      </c>
      <c r="AI488" s="61" t="s">
        <v>34</v>
      </c>
      <c r="AJ488" s="61" t="s">
        <v>34</v>
      </c>
      <c r="AK488" s="61" t="s">
        <v>832</v>
      </c>
      <c r="AL488" s="61" t="s">
        <v>34</v>
      </c>
      <c r="AM488" s="61" t="s">
        <v>3446</v>
      </c>
      <c r="AN488" s="490">
        <v>0</v>
      </c>
      <c r="AO488" s="490">
        <v>0</v>
      </c>
      <c r="AP488" s="61"/>
    </row>
    <row r="489" spans="1:88" x14ac:dyDescent="0.2">
      <c r="A489" s="61">
        <v>488</v>
      </c>
      <c r="B489" s="61" t="s">
        <v>499</v>
      </c>
      <c r="C489" s="61" t="s">
        <v>516</v>
      </c>
      <c r="D489" s="61" t="s">
        <v>2918</v>
      </c>
      <c r="E489" s="61" t="s">
        <v>788</v>
      </c>
      <c r="F489" s="61" t="s">
        <v>717</v>
      </c>
      <c r="G489" s="61" t="s">
        <v>34</v>
      </c>
      <c r="H489" s="61" t="s">
        <v>835</v>
      </c>
      <c r="I489" s="61" t="s">
        <v>4270</v>
      </c>
      <c r="J489" s="61" t="s">
        <v>3350</v>
      </c>
      <c r="K489" s="61" t="s">
        <v>1089</v>
      </c>
      <c r="L489" s="61" t="s">
        <v>2153</v>
      </c>
      <c r="M489" s="61" t="s">
        <v>516</v>
      </c>
      <c r="N489" s="61" t="s">
        <v>516</v>
      </c>
      <c r="O489" s="61" t="s">
        <v>108</v>
      </c>
      <c r="P489" s="61" t="s">
        <v>2276</v>
      </c>
      <c r="Q489" s="61" t="s">
        <v>3368</v>
      </c>
      <c r="R489" s="61" t="s">
        <v>828</v>
      </c>
      <c r="S489" s="61" t="s">
        <v>2277</v>
      </c>
      <c r="T489" s="61">
        <v>1.6</v>
      </c>
      <c r="U489" s="61" t="s">
        <v>858</v>
      </c>
      <c r="V489" s="61" t="s">
        <v>1095</v>
      </c>
      <c r="W489" s="61" t="s">
        <v>516</v>
      </c>
      <c r="X489" s="61" t="s">
        <v>2156</v>
      </c>
      <c r="Y489" s="61" t="s">
        <v>108</v>
      </c>
      <c r="Z489" s="61" t="s">
        <v>108</v>
      </c>
      <c r="AA489" s="61" t="s">
        <v>108</v>
      </c>
      <c r="AB489" s="61" t="s">
        <v>2157</v>
      </c>
      <c r="AC489" s="61" t="s">
        <v>830</v>
      </c>
      <c r="AD489" s="61" t="s">
        <v>831</v>
      </c>
      <c r="AE489" s="61" t="s">
        <v>612</v>
      </c>
      <c r="AF489" s="61" t="s">
        <v>34</v>
      </c>
      <c r="AG489" s="61" t="s">
        <v>34</v>
      </c>
      <c r="AH489" s="61" t="s">
        <v>34</v>
      </c>
      <c r="AI489" s="61" t="s">
        <v>34</v>
      </c>
      <c r="AJ489" s="61" t="s">
        <v>34</v>
      </c>
      <c r="AK489" s="61" t="s">
        <v>832</v>
      </c>
      <c r="AL489" s="61" t="s">
        <v>34</v>
      </c>
      <c r="AM489" s="61" t="s">
        <v>3446</v>
      </c>
      <c r="AN489" s="490">
        <v>0</v>
      </c>
      <c r="AO489" s="490">
        <v>0</v>
      </c>
      <c r="AP489" s="61"/>
    </row>
    <row r="490" spans="1:88" ht="15" customHeight="1" x14ac:dyDescent="0.2">
      <c r="A490" s="61">
        <v>489</v>
      </c>
      <c r="B490" s="61" t="s">
        <v>499</v>
      </c>
      <c r="C490" s="61" t="s">
        <v>517</v>
      </c>
      <c r="D490" s="61" t="s">
        <v>2919</v>
      </c>
      <c r="E490" s="61" t="s">
        <v>788</v>
      </c>
      <c r="F490" s="61" t="s">
        <v>717</v>
      </c>
      <c r="G490" s="61" t="s">
        <v>34</v>
      </c>
      <c r="H490" s="61" t="s">
        <v>835</v>
      </c>
      <c r="I490" s="61" t="s">
        <v>4270</v>
      </c>
      <c r="J490" s="61" t="s">
        <v>3350</v>
      </c>
      <c r="K490" s="61" t="s">
        <v>1089</v>
      </c>
      <c r="L490" s="61" t="s">
        <v>2153</v>
      </c>
      <c r="M490" s="61" t="s">
        <v>517</v>
      </c>
      <c r="N490" s="61" t="s">
        <v>517</v>
      </c>
      <c r="O490" s="61" t="s">
        <v>1106</v>
      </c>
      <c r="P490" s="61" t="s">
        <v>2276</v>
      </c>
      <c r="Q490" s="61" t="s">
        <v>3368</v>
      </c>
      <c r="R490" s="61" t="s">
        <v>892</v>
      </c>
      <c r="S490" s="61" t="s">
        <v>2277</v>
      </c>
      <c r="T490" s="61">
        <v>1.6</v>
      </c>
      <c r="U490" s="61" t="s">
        <v>858</v>
      </c>
      <c r="V490" s="61" t="s">
        <v>959</v>
      </c>
      <c r="W490" s="61" t="s">
        <v>517</v>
      </c>
      <c r="X490" s="61" t="s">
        <v>2154</v>
      </c>
      <c r="Y490" s="61" t="s">
        <v>108</v>
      </c>
      <c r="Z490" s="61" t="s">
        <v>108</v>
      </c>
      <c r="AA490" s="61" t="s">
        <v>108</v>
      </c>
      <c r="AB490" s="61" t="s">
        <v>2155</v>
      </c>
      <c r="AC490" s="61" t="s">
        <v>830</v>
      </c>
      <c r="AD490" s="61" t="s">
        <v>831</v>
      </c>
      <c r="AE490" s="61" t="s">
        <v>612</v>
      </c>
      <c r="AF490" s="61" t="s">
        <v>34</v>
      </c>
      <c r="AG490" s="61" t="s">
        <v>34</v>
      </c>
      <c r="AH490" s="61" t="s">
        <v>34</v>
      </c>
      <c r="AI490" s="61" t="s">
        <v>34</v>
      </c>
      <c r="AJ490" s="61" t="s">
        <v>34</v>
      </c>
      <c r="AK490" s="61" t="s">
        <v>832</v>
      </c>
      <c r="AL490" s="61" t="s">
        <v>34</v>
      </c>
      <c r="AM490" s="61" t="s">
        <v>3446</v>
      </c>
      <c r="AN490" s="490">
        <v>0</v>
      </c>
      <c r="AO490" s="490">
        <v>0</v>
      </c>
      <c r="AP490" s="61"/>
    </row>
    <row r="491" spans="1:88" ht="15" customHeight="1" x14ac:dyDescent="0.2">
      <c r="A491" s="61">
        <v>490</v>
      </c>
      <c r="B491" s="61" t="s">
        <v>499</v>
      </c>
      <c r="C491" s="61" t="s">
        <v>500</v>
      </c>
      <c r="D491" s="61" t="s">
        <v>2920</v>
      </c>
      <c r="E491" s="61" t="s">
        <v>788</v>
      </c>
      <c r="F491" s="61" t="s">
        <v>717</v>
      </c>
      <c r="G491" s="61" t="s">
        <v>34</v>
      </c>
      <c r="H491" s="61" t="s">
        <v>835</v>
      </c>
      <c r="I491" s="61" t="s">
        <v>4270</v>
      </c>
      <c r="J491" s="61" t="s">
        <v>3350</v>
      </c>
      <c r="K491" s="61" t="s">
        <v>1089</v>
      </c>
      <c r="L491" s="61" t="s">
        <v>2153</v>
      </c>
      <c r="M491" s="61" t="s">
        <v>500</v>
      </c>
      <c r="N491" s="61" t="s">
        <v>500</v>
      </c>
      <c r="O491" s="61" t="s">
        <v>1106</v>
      </c>
      <c r="P491" s="61" t="s">
        <v>2276</v>
      </c>
      <c r="Q491" s="61" t="s">
        <v>3368</v>
      </c>
      <c r="R491" s="61" t="s">
        <v>828</v>
      </c>
      <c r="S491" s="61" t="s">
        <v>2277</v>
      </c>
      <c r="T491" s="61">
        <v>1.6</v>
      </c>
      <c r="U491" s="61" t="s">
        <v>858</v>
      </c>
      <c r="V491" s="61" t="s">
        <v>959</v>
      </c>
      <c r="W491" s="61" t="s">
        <v>500</v>
      </c>
      <c r="X491" s="61" t="s">
        <v>2154</v>
      </c>
      <c r="Y491" s="61" t="s">
        <v>108</v>
      </c>
      <c r="Z491" s="61" t="s">
        <v>108</v>
      </c>
      <c r="AA491" s="61" t="s">
        <v>108</v>
      </c>
      <c r="AB491" s="61" t="s">
        <v>2281</v>
      </c>
      <c r="AC491" s="61" t="s">
        <v>830</v>
      </c>
      <c r="AD491" s="61" t="s">
        <v>831</v>
      </c>
      <c r="AE491" s="61" t="s">
        <v>612</v>
      </c>
      <c r="AF491" s="61" t="s">
        <v>34</v>
      </c>
      <c r="AG491" s="61" t="s">
        <v>34</v>
      </c>
      <c r="AH491" s="61" t="s">
        <v>34</v>
      </c>
      <c r="AI491" s="61" t="s">
        <v>34</v>
      </c>
      <c r="AJ491" s="61" t="s">
        <v>34</v>
      </c>
      <c r="AK491" s="61" t="s">
        <v>832</v>
      </c>
      <c r="AL491" s="61" t="s">
        <v>34</v>
      </c>
      <c r="AM491" s="61" t="s">
        <v>3446</v>
      </c>
      <c r="AN491" s="490">
        <v>0</v>
      </c>
      <c r="AO491" s="490">
        <v>0</v>
      </c>
      <c r="AP491" s="61"/>
    </row>
    <row r="492" spans="1:88" ht="15" customHeight="1" x14ac:dyDescent="0.2">
      <c r="A492" s="61">
        <v>491</v>
      </c>
      <c r="B492" s="61" t="s">
        <v>641</v>
      </c>
      <c r="C492" s="61" t="s">
        <v>642</v>
      </c>
      <c r="D492" s="61" t="s">
        <v>2921</v>
      </c>
      <c r="E492" s="61" t="s">
        <v>2285</v>
      </c>
      <c r="F492" s="61" t="s">
        <v>738</v>
      </c>
      <c r="G492" s="61" t="s">
        <v>34</v>
      </c>
      <c r="H492" s="61" t="s">
        <v>835</v>
      </c>
      <c r="I492" s="61" t="s">
        <v>4284</v>
      </c>
      <c r="J492" s="61" t="s">
        <v>823</v>
      </c>
      <c r="K492" s="61" t="s">
        <v>642</v>
      </c>
      <c r="L492" s="61" t="s">
        <v>2286</v>
      </c>
      <c r="M492" s="61" t="s">
        <v>2287</v>
      </c>
      <c r="N492" s="61" t="s">
        <v>642</v>
      </c>
      <c r="O492" s="61" t="s">
        <v>2288</v>
      </c>
      <c r="P492" s="61" t="s">
        <v>2289</v>
      </c>
      <c r="Q492" s="61" t="s">
        <v>833</v>
      </c>
      <c r="R492" s="61" t="s">
        <v>892</v>
      </c>
      <c r="S492" s="61" t="s">
        <v>2290</v>
      </c>
      <c r="T492" s="61">
        <v>1.7</v>
      </c>
      <c r="U492" s="61" t="s">
        <v>857</v>
      </c>
      <c r="V492" s="61" t="s">
        <v>2291</v>
      </c>
      <c r="W492" s="61" t="s">
        <v>2292</v>
      </c>
      <c r="X492" s="61" t="s">
        <v>908</v>
      </c>
      <c r="Y492" s="61" t="s">
        <v>2291</v>
      </c>
      <c r="Z492" s="61" t="s">
        <v>2293</v>
      </c>
      <c r="AA492" s="61" t="s">
        <v>908</v>
      </c>
      <c r="AB492" s="61" t="s">
        <v>3439</v>
      </c>
      <c r="AC492" s="61" t="s">
        <v>830</v>
      </c>
      <c r="AD492" s="61" t="s">
        <v>831</v>
      </c>
      <c r="AE492" s="61" t="s">
        <v>612</v>
      </c>
      <c r="AF492" s="61" t="s">
        <v>34</v>
      </c>
      <c r="AG492" s="61" t="s">
        <v>34</v>
      </c>
      <c r="AH492" s="61" t="s">
        <v>34</v>
      </c>
      <c r="AI492" s="61" t="s">
        <v>34</v>
      </c>
      <c r="AJ492" s="61" t="s">
        <v>34</v>
      </c>
      <c r="AK492" s="61" t="s">
        <v>832</v>
      </c>
      <c r="AL492" s="61" t="s">
        <v>34</v>
      </c>
      <c r="AM492" s="61" t="s">
        <v>3441</v>
      </c>
      <c r="AN492" s="490"/>
      <c r="AO492" s="490"/>
      <c r="AP492" s="61"/>
    </row>
    <row r="493" spans="1:88" ht="15" customHeight="1" x14ac:dyDescent="0.2">
      <c r="A493" s="61">
        <v>492</v>
      </c>
      <c r="B493" s="61" t="s">
        <v>3911</v>
      </c>
      <c r="C493" s="61" t="s">
        <v>279</v>
      </c>
      <c r="D493" s="61" t="s">
        <v>4009</v>
      </c>
      <c r="E493" s="61" t="s">
        <v>3913</v>
      </c>
      <c r="F493" s="61" t="s">
        <v>730</v>
      </c>
      <c r="G493" s="61" t="s">
        <v>34</v>
      </c>
      <c r="H493" s="61" t="s">
        <v>835</v>
      </c>
      <c r="I493" s="61" t="s">
        <v>4270</v>
      </c>
      <c r="J493" s="61" t="s">
        <v>1103</v>
      </c>
      <c r="K493" s="61" t="s">
        <v>365</v>
      </c>
      <c r="L493" s="61" t="s">
        <v>950</v>
      </c>
      <c r="M493" s="61" t="s">
        <v>279</v>
      </c>
      <c r="N493" s="61" t="s">
        <v>279</v>
      </c>
      <c r="O493" s="61" t="s">
        <v>305</v>
      </c>
      <c r="P493" s="61" t="s">
        <v>4010</v>
      </c>
      <c r="Q493" s="61" t="s">
        <v>833</v>
      </c>
      <c r="R493" s="61" t="s">
        <v>4011</v>
      </c>
      <c r="S493" s="61" t="s">
        <v>4012</v>
      </c>
      <c r="T493" s="61">
        <v>6.4</v>
      </c>
      <c r="U493" s="61" t="s">
        <v>687</v>
      </c>
      <c r="V493" s="61" t="s">
        <v>4013</v>
      </c>
      <c r="W493" s="61" t="s">
        <v>4014</v>
      </c>
      <c r="X493" s="61" t="s">
        <v>829</v>
      </c>
      <c r="Y493" s="61" t="s">
        <v>108</v>
      </c>
      <c r="Z493" s="61" t="s">
        <v>108</v>
      </c>
      <c r="AA493" s="61" t="s">
        <v>108</v>
      </c>
      <c r="AB493" s="61" t="s">
        <v>34</v>
      </c>
      <c r="AC493" s="61" t="s">
        <v>830</v>
      </c>
      <c r="AD493" s="61" t="s">
        <v>831</v>
      </c>
      <c r="AE493" s="61" t="s">
        <v>612</v>
      </c>
      <c r="AF493" s="61" t="s">
        <v>34</v>
      </c>
      <c r="AG493" s="61" t="s">
        <v>34</v>
      </c>
      <c r="AH493" s="61" t="s">
        <v>34</v>
      </c>
      <c r="AI493" s="61" t="s">
        <v>34</v>
      </c>
      <c r="AJ493" s="61" t="s">
        <v>34</v>
      </c>
      <c r="AK493" s="61" t="s">
        <v>832</v>
      </c>
      <c r="AL493" s="61" t="s">
        <v>34</v>
      </c>
      <c r="AM493" s="61">
        <v>0</v>
      </c>
      <c r="AN493" s="490"/>
      <c r="AO493" s="490"/>
      <c r="AP493" s="61"/>
    </row>
    <row r="494" spans="1:88" ht="15" customHeight="1" x14ac:dyDescent="0.2">
      <c r="A494" s="61">
        <v>493</v>
      </c>
      <c r="B494" s="61" t="s">
        <v>3911</v>
      </c>
      <c r="C494" s="61" t="s">
        <v>278</v>
      </c>
      <c r="D494" s="61" t="s">
        <v>4015</v>
      </c>
      <c r="E494" s="61" t="s">
        <v>3913</v>
      </c>
      <c r="F494" s="61" t="s">
        <v>730</v>
      </c>
      <c r="G494" s="61" t="s">
        <v>34</v>
      </c>
      <c r="H494" s="61" t="s">
        <v>835</v>
      </c>
      <c r="I494" s="61" t="s">
        <v>4270</v>
      </c>
      <c r="J494" s="61" t="s">
        <v>1103</v>
      </c>
      <c r="K494" s="61" t="s">
        <v>365</v>
      </c>
      <c r="L494" s="61" t="s">
        <v>950</v>
      </c>
      <c r="M494" s="61" t="s">
        <v>278</v>
      </c>
      <c r="N494" s="61" t="s">
        <v>278</v>
      </c>
      <c r="O494" s="61" t="s">
        <v>305</v>
      </c>
      <c r="P494" s="61" t="s">
        <v>4016</v>
      </c>
      <c r="Q494" s="61" t="s">
        <v>833</v>
      </c>
      <c r="R494" s="61" t="s">
        <v>1002</v>
      </c>
      <c r="S494" s="61" t="s">
        <v>4017</v>
      </c>
      <c r="T494" s="61">
        <v>282.5</v>
      </c>
      <c r="U494" s="61" t="s">
        <v>687</v>
      </c>
      <c r="V494" s="61" t="s">
        <v>4018</v>
      </c>
      <c r="W494" s="61" t="s">
        <v>4019</v>
      </c>
      <c r="X494" s="61" t="s">
        <v>829</v>
      </c>
      <c r="Y494" s="61" t="s">
        <v>108</v>
      </c>
      <c r="Z494" s="61" t="s">
        <v>108</v>
      </c>
      <c r="AA494" s="61" t="s">
        <v>108</v>
      </c>
      <c r="AB494" s="61" t="s">
        <v>34</v>
      </c>
      <c r="AC494" s="61" t="s">
        <v>830</v>
      </c>
      <c r="AD494" s="61" t="s">
        <v>831</v>
      </c>
      <c r="AE494" s="61" t="s">
        <v>612</v>
      </c>
      <c r="AF494" s="61">
        <v>1</v>
      </c>
      <c r="AG494" s="61">
        <v>0</v>
      </c>
      <c r="AH494" s="61">
        <v>0.75</v>
      </c>
      <c r="AI494" s="61" t="s">
        <v>34</v>
      </c>
      <c r="AJ494" s="61" t="s">
        <v>34</v>
      </c>
      <c r="AK494" s="61" t="s">
        <v>832</v>
      </c>
      <c r="AL494" s="61" t="s">
        <v>34</v>
      </c>
      <c r="AM494" s="61" t="s">
        <v>3444</v>
      </c>
      <c r="AN494" s="490"/>
      <c r="AO494" s="490"/>
      <c r="AP494" s="61"/>
    </row>
    <row r="495" spans="1:88" ht="15" customHeight="1" x14ac:dyDescent="0.2">
      <c r="A495" s="61">
        <v>494</v>
      </c>
      <c r="B495" s="61" t="s">
        <v>3911</v>
      </c>
      <c r="C495" s="61" t="s">
        <v>269</v>
      </c>
      <c r="D495" s="61" t="s">
        <v>3912</v>
      </c>
      <c r="E495" s="61" t="s">
        <v>3913</v>
      </c>
      <c r="F495" s="61" t="s">
        <v>730</v>
      </c>
      <c r="G495" s="61" t="s">
        <v>34</v>
      </c>
      <c r="H495" s="61" t="s">
        <v>835</v>
      </c>
      <c r="I495" s="61" t="s">
        <v>4270</v>
      </c>
      <c r="J495" s="61" t="s">
        <v>1103</v>
      </c>
      <c r="K495" s="61" t="s">
        <v>365</v>
      </c>
      <c r="L495" s="61" t="s">
        <v>950</v>
      </c>
      <c r="M495" s="61" t="s">
        <v>269</v>
      </c>
      <c r="N495" s="61" t="s">
        <v>269</v>
      </c>
      <c r="O495" s="61" t="s">
        <v>305</v>
      </c>
      <c r="P495" s="61" t="s">
        <v>3914</v>
      </c>
      <c r="Q495" s="61" t="s">
        <v>833</v>
      </c>
      <c r="R495" s="61" t="s">
        <v>1002</v>
      </c>
      <c r="S495" s="61" t="s">
        <v>3915</v>
      </c>
      <c r="T495" s="61">
        <v>1760</v>
      </c>
      <c r="U495" s="61" t="s">
        <v>687</v>
      </c>
      <c r="V495" s="61" t="s">
        <v>1375</v>
      </c>
      <c r="W495" s="61" t="s">
        <v>1893</v>
      </c>
      <c r="X495" s="61" t="s">
        <v>829</v>
      </c>
      <c r="Y495" s="61" t="s">
        <v>108</v>
      </c>
      <c r="Z495" s="61" t="s">
        <v>108</v>
      </c>
      <c r="AA495" s="61" t="s">
        <v>108</v>
      </c>
      <c r="AB495" s="61" t="s">
        <v>34</v>
      </c>
      <c r="AC495" s="61" t="s">
        <v>830</v>
      </c>
      <c r="AD495" s="61" t="s">
        <v>831</v>
      </c>
      <c r="AE495" s="61" t="s">
        <v>612</v>
      </c>
      <c r="AF495" s="61" t="s">
        <v>2526</v>
      </c>
      <c r="AG495" s="61">
        <v>0.5</v>
      </c>
      <c r="AH495" s="61">
        <v>0.75</v>
      </c>
      <c r="AI495" s="61" t="s">
        <v>34</v>
      </c>
      <c r="AJ495" s="61" t="s">
        <v>34</v>
      </c>
      <c r="AK495" s="61" t="s">
        <v>832</v>
      </c>
      <c r="AL495" s="61" t="s">
        <v>34</v>
      </c>
      <c r="AM495" s="61" t="s">
        <v>3444</v>
      </c>
      <c r="AN495" s="490">
        <v>0</v>
      </c>
      <c r="AO495" s="490">
        <v>0</v>
      </c>
      <c r="AP495" s="61"/>
    </row>
    <row r="496" spans="1:88" x14ac:dyDescent="0.2">
      <c r="A496" s="61">
        <v>495</v>
      </c>
      <c r="B496" s="61" t="s">
        <v>2476</v>
      </c>
      <c r="C496" s="61" t="s">
        <v>3469</v>
      </c>
      <c r="D496" s="61" t="s">
        <v>3470</v>
      </c>
      <c r="E496" s="61" t="s">
        <v>3471</v>
      </c>
      <c r="F496" s="61" t="s">
        <v>3472</v>
      </c>
      <c r="G496" s="61" t="s">
        <v>34</v>
      </c>
      <c r="H496" s="61" t="s">
        <v>835</v>
      </c>
      <c r="I496" s="61" t="s">
        <v>4270</v>
      </c>
      <c r="J496" s="61" t="s">
        <v>1447</v>
      </c>
      <c r="K496" s="61" t="s">
        <v>480</v>
      </c>
      <c r="L496" s="61" t="s">
        <v>2973</v>
      </c>
      <c r="M496" s="61" t="s">
        <v>3469</v>
      </c>
      <c r="N496" s="61" t="s">
        <v>3469</v>
      </c>
      <c r="O496" s="61" t="s">
        <v>305</v>
      </c>
      <c r="P496" s="61" t="s">
        <v>2974</v>
      </c>
      <c r="Q496" s="61" t="s">
        <v>2128</v>
      </c>
      <c r="R496" s="61" t="s">
        <v>892</v>
      </c>
      <c r="S496" s="61" t="s">
        <v>2975</v>
      </c>
      <c r="T496" s="61">
        <v>2.7</v>
      </c>
      <c r="U496" s="61" t="s">
        <v>687</v>
      </c>
      <c r="V496" s="61" t="s">
        <v>2976</v>
      </c>
      <c r="W496" s="61" t="s">
        <v>2977</v>
      </c>
      <c r="X496" s="61" t="s">
        <v>4107</v>
      </c>
      <c r="Y496" s="61" t="s">
        <v>108</v>
      </c>
      <c r="Z496" s="61" t="s">
        <v>108</v>
      </c>
      <c r="AA496" s="61" t="s">
        <v>108</v>
      </c>
      <c r="AB496" s="61" t="s">
        <v>4322</v>
      </c>
      <c r="AC496" s="61" t="s">
        <v>830</v>
      </c>
      <c r="AD496" s="61" t="s">
        <v>831</v>
      </c>
      <c r="AE496" s="61" t="s">
        <v>612</v>
      </c>
      <c r="AF496" s="61">
        <v>5</v>
      </c>
      <c r="AG496" s="61">
        <v>1</v>
      </c>
      <c r="AH496" s="61">
        <v>75</v>
      </c>
      <c r="AI496" s="61" t="s">
        <v>2560</v>
      </c>
      <c r="AJ496" s="61" t="s">
        <v>3473</v>
      </c>
      <c r="AK496" s="61" t="s">
        <v>832</v>
      </c>
      <c r="AL496" s="61" t="s">
        <v>34</v>
      </c>
      <c r="AM496" s="61" t="s">
        <v>3441</v>
      </c>
      <c r="AN496" s="490">
        <v>0</v>
      </c>
      <c r="AO496" s="490">
        <v>0</v>
      </c>
      <c r="AP496" s="61"/>
    </row>
    <row r="497" spans="1:42" x14ac:dyDescent="0.2">
      <c r="A497" s="61">
        <v>496</v>
      </c>
      <c r="B497" s="61" t="s">
        <v>527</v>
      </c>
      <c r="C497" s="61" t="s">
        <v>532</v>
      </c>
      <c r="D497" s="61" t="s">
        <v>2922</v>
      </c>
      <c r="E497" s="61" t="s">
        <v>790</v>
      </c>
      <c r="F497" s="61" t="s">
        <v>791</v>
      </c>
      <c r="G497" s="61" t="s">
        <v>34</v>
      </c>
      <c r="H497" s="61" t="s">
        <v>835</v>
      </c>
      <c r="I497" s="61" t="s">
        <v>4270</v>
      </c>
      <c r="J497" s="61" t="s">
        <v>613</v>
      </c>
      <c r="K497" s="61" t="s">
        <v>957</v>
      </c>
      <c r="L497" s="61" t="s">
        <v>2371</v>
      </c>
      <c r="M497" s="61" t="s">
        <v>532</v>
      </c>
      <c r="N497" s="61" t="s">
        <v>532</v>
      </c>
      <c r="O497" s="61" t="s">
        <v>1106</v>
      </c>
      <c r="P497" s="61" t="s">
        <v>1152</v>
      </c>
      <c r="Q497" s="61" t="s">
        <v>827</v>
      </c>
      <c r="R497" s="61" t="s">
        <v>892</v>
      </c>
      <c r="S497" s="61" t="s">
        <v>2372</v>
      </c>
      <c r="T497" s="61">
        <v>315</v>
      </c>
      <c r="U497" s="61" t="s">
        <v>108</v>
      </c>
      <c r="V497" s="61" t="s">
        <v>108</v>
      </c>
      <c r="W497" s="61" t="s">
        <v>108</v>
      </c>
      <c r="X497" s="61" t="s">
        <v>108</v>
      </c>
      <c r="Y497" s="61" t="s">
        <v>108</v>
      </c>
      <c r="Z497" s="61" t="s">
        <v>108</v>
      </c>
      <c r="AA497" s="61" t="s">
        <v>108</v>
      </c>
      <c r="AB497" s="61" t="s">
        <v>34</v>
      </c>
      <c r="AC497" s="61" t="s">
        <v>830</v>
      </c>
      <c r="AD497" s="61" t="s">
        <v>831</v>
      </c>
      <c r="AE497" s="61" t="s">
        <v>612</v>
      </c>
      <c r="AF497" s="61" t="s">
        <v>34</v>
      </c>
      <c r="AG497" s="61" t="s">
        <v>34</v>
      </c>
      <c r="AH497" s="61" t="s">
        <v>34</v>
      </c>
      <c r="AI497" s="61" t="s">
        <v>34</v>
      </c>
      <c r="AJ497" s="61" t="s">
        <v>34</v>
      </c>
      <c r="AK497" s="61" t="s">
        <v>832</v>
      </c>
      <c r="AL497" s="61" t="s">
        <v>34</v>
      </c>
      <c r="AM497" s="61" t="s">
        <v>3441</v>
      </c>
      <c r="AN497" s="490">
        <v>0</v>
      </c>
      <c r="AO497" s="490">
        <v>0</v>
      </c>
      <c r="AP497" s="61"/>
    </row>
    <row r="498" spans="1:42" x14ac:dyDescent="0.2">
      <c r="A498" s="61">
        <v>497</v>
      </c>
      <c r="B498" s="61" t="s">
        <v>527</v>
      </c>
      <c r="C498" s="61" t="s">
        <v>529</v>
      </c>
      <c r="D498" s="61" t="s">
        <v>2923</v>
      </c>
      <c r="E498" s="61" t="s">
        <v>790</v>
      </c>
      <c r="F498" s="61" t="s">
        <v>791</v>
      </c>
      <c r="G498" s="61" t="s">
        <v>34</v>
      </c>
      <c r="H498" s="61" t="s">
        <v>835</v>
      </c>
      <c r="I498" s="61" t="s">
        <v>4270</v>
      </c>
      <c r="J498" s="61" t="s">
        <v>613</v>
      </c>
      <c r="K498" s="61" t="s">
        <v>2383</v>
      </c>
      <c r="L498" s="61" t="s">
        <v>950</v>
      </c>
      <c r="M498" s="61" t="s">
        <v>2386</v>
      </c>
      <c r="N498" s="61" t="s">
        <v>529</v>
      </c>
      <c r="O498" s="61" t="s">
        <v>1106</v>
      </c>
      <c r="P498" s="61" t="s">
        <v>1258</v>
      </c>
      <c r="Q498" s="61" t="s">
        <v>108</v>
      </c>
      <c r="R498" s="61" t="s">
        <v>892</v>
      </c>
      <c r="S498" s="61" t="s">
        <v>2348</v>
      </c>
      <c r="T498" s="61">
        <v>94.5</v>
      </c>
      <c r="U498" s="61" t="s">
        <v>108</v>
      </c>
      <c r="V498" s="61" t="s">
        <v>108</v>
      </c>
      <c r="W498" s="61" t="s">
        <v>108</v>
      </c>
      <c r="X498" s="61" t="s">
        <v>108</v>
      </c>
      <c r="Y498" s="61" t="s">
        <v>108</v>
      </c>
      <c r="Z498" s="61" t="s">
        <v>108</v>
      </c>
      <c r="AA498" s="61" t="s">
        <v>108</v>
      </c>
      <c r="AB498" s="61" t="s">
        <v>34</v>
      </c>
      <c r="AC498" s="61" t="s">
        <v>830</v>
      </c>
      <c r="AD498" s="61" t="s">
        <v>831</v>
      </c>
      <c r="AE498" s="61" t="s">
        <v>612</v>
      </c>
      <c r="AF498" s="61" t="s">
        <v>34</v>
      </c>
      <c r="AG498" s="61" t="s">
        <v>34</v>
      </c>
      <c r="AH498" s="61" t="s">
        <v>34</v>
      </c>
      <c r="AI498" s="61" t="s">
        <v>34</v>
      </c>
      <c r="AJ498" s="61" t="s">
        <v>34</v>
      </c>
      <c r="AK498" s="61" t="s">
        <v>832</v>
      </c>
      <c r="AL498" s="61" t="s">
        <v>34</v>
      </c>
      <c r="AM498" s="61" t="s">
        <v>3441</v>
      </c>
      <c r="AN498" s="490">
        <v>0</v>
      </c>
      <c r="AO498" s="490">
        <v>0</v>
      </c>
      <c r="AP498" s="61"/>
    </row>
    <row r="499" spans="1:42" x14ac:dyDescent="0.2">
      <c r="A499" s="61">
        <v>498</v>
      </c>
      <c r="B499" s="61" t="s">
        <v>527</v>
      </c>
      <c r="C499" s="61" t="s">
        <v>530</v>
      </c>
      <c r="D499" s="61" t="s">
        <v>2924</v>
      </c>
      <c r="E499" s="61" t="s">
        <v>790</v>
      </c>
      <c r="F499" s="61" t="s">
        <v>791</v>
      </c>
      <c r="G499" s="61" t="s">
        <v>34</v>
      </c>
      <c r="H499" s="61" t="s">
        <v>835</v>
      </c>
      <c r="I499" s="61" t="s">
        <v>4270</v>
      </c>
      <c r="J499" s="61" t="s">
        <v>613</v>
      </c>
      <c r="K499" s="61" t="s">
        <v>2383</v>
      </c>
      <c r="L499" s="61" t="s">
        <v>950</v>
      </c>
      <c r="M499" s="61" t="s">
        <v>2384</v>
      </c>
      <c r="N499" s="61" t="s">
        <v>530</v>
      </c>
      <c r="O499" s="61" t="s">
        <v>1106</v>
      </c>
      <c r="P499" s="61" t="s">
        <v>2385</v>
      </c>
      <c r="Q499" s="61" t="s">
        <v>108</v>
      </c>
      <c r="R499" s="61" t="s">
        <v>892</v>
      </c>
      <c r="S499" s="61" t="s">
        <v>2348</v>
      </c>
      <c r="T499" s="61">
        <v>94.5</v>
      </c>
      <c r="U499" s="61" t="s">
        <v>108</v>
      </c>
      <c r="V499" s="61" t="s">
        <v>108</v>
      </c>
      <c r="W499" s="61" t="s">
        <v>108</v>
      </c>
      <c r="X499" s="61" t="s">
        <v>108</v>
      </c>
      <c r="Y499" s="61" t="s">
        <v>108</v>
      </c>
      <c r="Z499" s="61" t="s">
        <v>108</v>
      </c>
      <c r="AA499" s="61" t="s">
        <v>108</v>
      </c>
      <c r="AB499" s="61" t="s">
        <v>34</v>
      </c>
      <c r="AC499" s="61" t="s">
        <v>830</v>
      </c>
      <c r="AD499" s="61" t="s">
        <v>831</v>
      </c>
      <c r="AE499" s="61" t="s">
        <v>612</v>
      </c>
      <c r="AF499" s="61" t="s">
        <v>34</v>
      </c>
      <c r="AG499" s="61" t="s">
        <v>34</v>
      </c>
      <c r="AH499" s="61" t="s">
        <v>34</v>
      </c>
      <c r="AI499" s="61" t="s">
        <v>34</v>
      </c>
      <c r="AJ499" s="61" t="s">
        <v>34</v>
      </c>
      <c r="AK499" s="61" t="s">
        <v>832</v>
      </c>
      <c r="AL499" s="61" t="s">
        <v>34</v>
      </c>
      <c r="AM499" s="61" t="s">
        <v>3441</v>
      </c>
      <c r="AN499" s="490">
        <v>0</v>
      </c>
      <c r="AO499" s="490">
        <v>0</v>
      </c>
      <c r="AP499" s="61"/>
    </row>
    <row r="500" spans="1:42" x14ac:dyDescent="0.2">
      <c r="A500" s="61">
        <v>499</v>
      </c>
      <c r="B500" s="61" t="s">
        <v>527</v>
      </c>
      <c r="C500" s="61" t="s">
        <v>528</v>
      </c>
      <c r="D500" s="61" t="s">
        <v>2925</v>
      </c>
      <c r="E500" s="61" t="s">
        <v>790</v>
      </c>
      <c r="F500" s="61" t="s">
        <v>791</v>
      </c>
      <c r="G500" s="61" t="s">
        <v>34</v>
      </c>
      <c r="H500" s="61" t="s">
        <v>835</v>
      </c>
      <c r="I500" s="61" t="s">
        <v>4270</v>
      </c>
      <c r="J500" s="61" t="s">
        <v>613</v>
      </c>
      <c r="K500" s="61" t="s">
        <v>1485</v>
      </c>
      <c r="L500" s="61" t="s">
        <v>950</v>
      </c>
      <c r="M500" s="61" t="s">
        <v>2352</v>
      </c>
      <c r="N500" s="61" t="s">
        <v>528</v>
      </c>
      <c r="O500" s="61" t="s">
        <v>1106</v>
      </c>
      <c r="P500" s="61" t="s">
        <v>1569</v>
      </c>
      <c r="Q500" s="61" t="s">
        <v>108</v>
      </c>
      <c r="R500" s="61" t="s">
        <v>892</v>
      </c>
      <c r="S500" s="61" t="s">
        <v>2348</v>
      </c>
      <c r="T500" s="61">
        <v>94.5</v>
      </c>
      <c r="U500" s="61" t="s">
        <v>108</v>
      </c>
      <c r="V500" s="61" t="s">
        <v>108</v>
      </c>
      <c r="W500" s="61" t="s">
        <v>108</v>
      </c>
      <c r="X500" s="61" t="s">
        <v>108</v>
      </c>
      <c r="Y500" s="61" t="s">
        <v>108</v>
      </c>
      <c r="Z500" s="61" t="s">
        <v>108</v>
      </c>
      <c r="AA500" s="61" t="s">
        <v>108</v>
      </c>
      <c r="AB500" s="61" t="s">
        <v>34</v>
      </c>
      <c r="AC500" s="61" t="s">
        <v>830</v>
      </c>
      <c r="AD500" s="61" t="s">
        <v>831</v>
      </c>
      <c r="AE500" s="61" t="s">
        <v>612</v>
      </c>
      <c r="AF500" s="61" t="s">
        <v>34</v>
      </c>
      <c r="AG500" s="61" t="s">
        <v>34</v>
      </c>
      <c r="AH500" s="61" t="s">
        <v>34</v>
      </c>
      <c r="AI500" s="61" t="s">
        <v>34</v>
      </c>
      <c r="AJ500" s="61" t="s">
        <v>34</v>
      </c>
      <c r="AK500" s="61" t="s">
        <v>832</v>
      </c>
      <c r="AL500" s="61" t="s">
        <v>34</v>
      </c>
      <c r="AM500" s="61" t="s">
        <v>3441</v>
      </c>
      <c r="AN500" s="490">
        <v>0</v>
      </c>
      <c r="AO500" s="490">
        <v>0</v>
      </c>
      <c r="AP500" s="61"/>
    </row>
    <row r="501" spans="1:42" x14ac:dyDescent="0.2">
      <c r="A501" s="61">
        <v>500</v>
      </c>
      <c r="B501" s="61" t="s">
        <v>527</v>
      </c>
      <c r="C501" s="61" t="s">
        <v>539</v>
      </c>
      <c r="D501" s="61" t="s">
        <v>2926</v>
      </c>
      <c r="E501" s="61" t="s">
        <v>790</v>
      </c>
      <c r="F501" s="61" t="s">
        <v>791</v>
      </c>
      <c r="G501" s="61" t="s">
        <v>34</v>
      </c>
      <c r="H501" s="61" t="s">
        <v>835</v>
      </c>
      <c r="I501" s="61" t="s">
        <v>4270</v>
      </c>
      <c r="J501" s="61" t="s">
        <v>613</v>
      </c>
      <c r="K501" s="61" t="s">
        <v>2349</v>
      </c>
      <c r="L501" s="61" t="s">
        <v>950</v>
      </c>
      <c r="M501" s="61" t="s">
        <v>2350</v>
      </c>
      <c r="N501" s="61" t="s">
        <v>539</v>
      </c>
      <c r="O501" s="61" t="s">
        <v>1106</v>
      </c>
      <c r="P501" s="61" t="s">
        <v>2351</v>
      </c>
      <c r="Q501" s="61" t="s">
        <v>108</v>
      </c>
      <c r="R501" s="61" t="s">
        <v>892</v>
      </c>
      <c r="S501" s="61" t="s">
        <v>2348</v>
      </c>
      <c r="T501" s="61">
        <v>94.5</v>
      </c>
      <c r="U501" s="61" t="s">
        <v>108</v>
      </c>
      <c r="V501" s="61" t="s">
        <v>108</v>
      </c>
      <c r="W501" s="61" t="s">
        <v>108</v>
      </c>
      <c r="X501" s="61" t="s">
        <v>108</v>
      </c>
      <c r="Y501" s="61" t="s">
        <v>108</v>
      </c>
      <c r="Z501" s="61" t="s">
        <v>108</v>
      </c>
      <c r="AA501" s="61" t="s">
        <v>108</v>
      </c>
      <c r="AB501" s="61" t="s">
        <v>34</v>
      </c>
      <c r="AC501" s="61" t="s">
        <v>830</v>
      </c>
      <c r="AD501" s="61" t="s">
        <v>831</v>
      </c>
      <c r="AE501" s="61" t="s">
        <v>612</v>
      </c>
      <c r="AF501" s="61" t="s">
        <v>34</v>
      </c>
      <c r="AG501" s="61" t="s">
        <v>34</v>
      </c>
      <c r="AH501" s="61" t="s">
        <v>34</v>
      </c>
      <c r="AI501" s="61" t="s">
        <v>34</v>
      </c>
      <c r="AJ501" s="61" t="s">
        <v>34</v>
      </c>
      <c r="AK501" s="61" t="s">
        <v>832</v>
      </c>
      <c r="AL501" s="61" t="s">
        <v>34</v>
      </c>
      <c r="AM501" s="61" t="s">
        <v>3441</v>
      </c>
      <c r="AN501" s="490">
        <v>0</v>
      </c>
      <c r="AO501" s="490">
        <v>0</v>
      </c>
      <c r="AP501" s="61"/>
    </row>
    <row r="502" spans="1:42" x14ac:dyDescent="0.2">
      <c r="A502" s="61">
        <v>501</v>
      </c>
      <c r="B502" s="61" t="s">
        <v>527</v>
      </c>
      <c r="C502" s="61" t="s">
        <v>531</v>
      </c>
      <c r="D502" s="61" t="s">
        <v>2927</v>
      </c>
      <c r="E502" s="61" t="s">
        <v>790</v>
      </c>
      <c r="F502" s="61" t="s">
        <v>791</v>
      </c>
      <c r="G502" s="61" t="s">
        <v>34</v>
      </c>
      <c r="H502" s="61" t="s">
        <v>835</v>
      </c>
      <c r="I502" s="61" t="s">
        <v>4270</v>
      </c>
      <c r="J502" s="61" t="s">
        <v>613</v>
      </c>
      <c r="K502" s="61" t="s">
        <v>2379</v>
      </c>
      <c r="L502" s="61" t="s">
        <v>950</v>
      </c>
      <c r="M502" s="61" t="s">
        <v>2380</v>
      </c>
      <c r="N502" s="61" t="s">
        <v>531</v>
      </c>
      <c r="O502" s="61" t="s">
        <v>1106</v>
      </c>
      <c r="P502" s="61" t="s">
        <v>2381</v>
      </c>
      <c r="Q502" s="61" t="s">
        <v>108</v>
      </c>
      <c r="R502" s="61" t="s">
        <v>892</v>
      </c>
      <c r="S502" s="61" t="s">
        <v>2348</v>
      </c>
      <c r="T502" s="61">
        <v>94.5</v>
      </c>
      <c r="U502" s="61" t="s">
        <v>108</v>
      </c>
      <c r="V502" s="61" t="s">
        <v>108</v>
      </c>
      <c r="W502" s="61" t="s">
        <v>108</v>
      </c>
      <c r="X502" s="61" t="s">
        <v>108</v>
      </c>
      <c r="Y502" s="61" t="s">
        <v>108</v>
      </c>
      <c r="Z502" s="61" t="s">
        <v>108</v>
      </c>
      <c r="AA502" s="61" t="s">
        <v>108</v>
      </c>
      <c r="AB502" s="61" t="s">
        <v>34</v>
      </c>
      <c r="AC502" s="61" t="s">
        <v>830</v>
      </c>
      <c r="AD502" s="61" t="s">
        <v>831</v>
      </c>
      <c r="AE502" s="61" t="s">
        <v>612</v>
      </c>
      <c r="AF502" s="61" t="s">
        <v>34</v>
      </c>
      <c r="AG502" s="61" t="s">
        <v>34</v>
      </c>
      <c r="AH502" s="61" t="s">
        <v>34</v>
      </c>
      <c r="AI502" s="61" t="s">
        <v>34</v>
      </c>
      <c r="AJ502" s="61" t="s">
        <v>34</v>
      </c>
      <c r="AK502" s="61" t="s">
        <v>832</v>
      </c>
      <c r="AL502" s="61" t="s">
        <v>34</v>
      </c>
      <c r="AM502" s="61" t="s">
        <v>3441</v>
      </c>
      <c r="AN502" s="490">
        <v>0</v>
      </c>
      <c r="AO502" s="490">
        <v>0</v>
      </c>
      <c r="AP502" s="61"/>
    </row>
    <row r="503" spans="1:42" x14ac:dyDescent="0.2">
      <c r="A503" s="61">
        <v>502</v>
      </c>
      <c r="B503" s="61" t="s">
        <v>527</v>
      </c>
      <c r="C503" s="61" t="s">
        <v>534</v>
      </c>
      <c r="D503" s="61" t="s">
        <v>2928</v>
      </c>
      <c r="E503" s="61" t="s">
        <v>790</v>
      </c>
      <c r="F503" s="61" t="s">
        <v>791</v>
      </c>
      <c r="G503" s="61" t="s">
        <v>34</v>
      </c>
      <c r="H503" s="61" t="s">
        <v>835</v>
      </c>
      <c r="I503" s="61" t="s">
        <v>4270</v>
      </c>
      <c r="J503" s="61" t="s">
        <v>613</v>
      </c>
      <c r="K503" s="61" t="s">
        <v>2359</v>
      </c>
      <c r="L503" s="61" t="s">
        <v>950</v>
      </c>
      <c r="M503" s="61" t="s">
        <v>2365</v>
      </c>
      <c r="N503" s="61" t="s">
        <v>534</v>
      </c>
      <c r="O503" s="61" t="s">
        <v>1106</v>
      </c>
      <c r="P503" s="61" t="s">
        <v>2361</v>
      </c>
      <c r="Q503" s="61" t="s">
        <v>108</v>
      </c>
      <c r="R503" s="61" t="s">
        <v>892</v>
      </c>
      <c r="S503" s="61" t="s">
        <v>2348</v>
      </c>
      <c r="T503" s="61">
        <v>94.5</v>
      </c>
      <c r="U503" s="61" t="s">
        <v>108</v>
      </c>
      <c r="V503" s="61" t="s">
        <v>108</v>
      </c>
      <c r="W503" s="61" t="s">
        <v>108</v>
      </c>
      <c r="X503" s="61" t="s">
        <v>108</v>
      </c>
      <c r="Y503" s="61" t="s">
        <v>108</v>
      </c>
      <c r="Z503" s="61" t="s">
        <v>108</v>
      </c>
      <c r="AA503" s="61" t="s">
        <v>108</v>
      </c>
      <c r="AB503" s="61" t="s">
        <v>34</v>
      </c>
      <c r="AC503" s="61" t="s">
        <v>830</v>
      </c>
      <c r="AD503" s="61" t="s">
        <v>831</v>
      </c>
      <c r="AE503" s="61" t="s">
        <v>612</v>
      </c>
      <c r="AF503" s="61" t="s">
        <v>34</v>
      </c>
      <c r="AG503" s="61" t="s">
        <v>34</v>
      </c>
      <c r="AH503" s="61" t="s">
        <v>34</v>
      </c>
      <c r="AI503" s="61" t="s">
        <v>34</v>
      </c>
      <c r="AJ503" s="61" t="s">
        <v>34</v>
      </c>
      <c r="AK503" s="61" t="s">
        <v>832</v>
      </c>
      <c r="AL503" s="61" t="s">
        <v>34</v>
      </c>
      <c r="AM503" s="61" t="s">
        <v>3441</v>
      </c>
      <c r="AN503" s="490">
        <v>0</v>
      </c>
      <c r="AO503" s="490">
        <v>0</v>
      </c>
      <c r="AP503" s="61"/>
    </row>
    <row r="504" spans="1:42" x14ac:dyDescent="0.2">
      <c r="A504" s="61">
        <v>503</v>
      </c>
      <c r="B504" s="61" t="s">
        <v>527</v>
      </c>
      <c r="C504" s="61" t="s">
        <v>332</v>
      </c>
      <c r="D504" s="61" t="s">
        <v>2929</v>
      </c>
      <c r="E504" s="61" t="s">
        <v>790</v>
      </c>
      <c r="F504" s="61" t="s">
        <v>791</v>
      </c>
      <c r="G504" s="61" t="s">
        <v>34</v>
      </c>
      <c r="H504" s="61" t="s">
        <v>835</v>
      </c>
      <c r="I504" s="61" t="s">
        <v>4270</v>
      </c>
      <c r="J504" s="61" t="s">
        <v>823</v>
      </c>
      <c r="K504" s="61" t="s">
        <v>349</v>
      </c>
      <c r="L504" s="61" t="s">
        <v>2396</v>
      </c>
      <c r="M504" s="61">
        <v>6469</v>
      </c>
      <c r="N504" s="61" t="s">
        <v>332</v>
      </c>
      <c r="O504" s="61" t="s">
        <v>4271</v>
      </c>
      <c r="P504" s="61" t="s">
        <v>1128</v>
      </c>
      <c r="Q504" s="61" t="s">
        <v>3501</v>
      </c>
      <c r="R504" s="61" t="s">
        <v>828</v>
      </c>
      <c r="S504" s="61" t="s">
        <v>2397</v>
      </c>
      <c r="T504" s="61">
        <v>100</v>
      </c>
      <c r="U504" s="61" t="s">
        <v>857</v>
      </c>
      <c r="V504" s="61">
        <v>0</v>
      </c>
      <c r="W504" s="61">
        <v>0</v>
      </c>
      <c r="X504" s="61">
        <v>0</v>
      </c>
      <c r="Y504" s="61">
        <v>0</v>
      </c>
      <c r="Z504" s="61">
        <v>0</v>
      </c>
      <c r="AA504" s="61">
        <v>0</v>
      </c>
      <c r="AB504" s="61" t="s">
        <v>34</v>
      </c>
      <c r="AC504" s="61" t="s">
        <v>830</v>
      </c>
      <c r="AD504" s="61" t="s">
        <v>831</v>
      </c>
      <c r="AE504" s="61" t="s">
        <v>612</v>
      </c>
      <c r="AF504" s="61" t="s">
        <v>34</v>
      </c>
      <c r="AG504" s="61" t="s">
        <v>34</v>
      </c>
      <c r="AH504" s="61" t="s">
        <v>34</v>
      </c>
      <c r="AI504" s="61" t="s">
        <v>34</v>
      </c>
      <c r="AJ504" s="61" t="s">
        <v>34</v>
      </c>
      <c r="AK504" s="61" t="s">
        <v>832</v>
      </c>
      <c r="AL504" s="61" t="s">
        <v>34</v>
      </c>
      <c r="AM504" s="61" t="s">
        <v>3441</v>
      </c>
      <c r="AN504" s="490">
        <v>1.4583333333333332E-2</v>
      </c>
      <c r="AO504" s="490">
        <v>0</v>
      </c>
      <c r="AP504" s="61"/>
    </row>
    <row r="505" spans="1:42" x14ac:dyDescent="0.2">
      <c r="A505" s="61">
        <v>504</v>
      </c>
      <c r="B505" s="61" t="s">
        <v>527</v>
      </c>
      <c r="C505" s="61" t="s">
        <v>329</v>
      </c>
      <c r="D505" s="61" t="s">
        <v>2930</v>
      </c>
      <c r="E505" s="61" t="s">
        <v>790</v>
      </c>
      <c r="F505" s="61" t="s">
        <v>791</v>
      </c>
      <c r="G505" s="61" t="s">
        <v>34</v>
      </c>
      <c r="H505" s="61" t="s">
        <v>835</v>
      </c>
      <c r="I505" s="61" t="s">
        <v>4270</v>
      </c>
      <c r="J505" s="61" t="s">
        <v>823</v>
      </c>
      <c r="K505" s="61" t="s">
        <v>349</v>
      </c>
      <c r="L505" s="61" t="s">
        <v>2391</v>
      </c>
      <c r="M505" s="61">
        <v>5214</v>
      </c>
      <c r="N505" s="61" t="s">
        <v>329</v>
      </c>
      <c r="O505" s="61" t="s">
        <v>4317</v>
      </c>
      <c r="P505" s="61" t="s">
        <v>2392</v>
      </c>
      <c r="Q505" s="61" t="s">
        <v>3545</v>
      </c>
      <c r="R505" s="61" t="s">
        <v>828</v>
      </c>
      <c r="S505" s="61" t="s">
        <v>2393</v>
      </c>
      <c r="T505" s="61">
        <v>55.1</v>
      </c>
      <c r="U505" s="61" t="s">
        <v>857</v>
      </c>
      <c r="V505" s="61" t="s">
        <v>1174</v>
      </c>
      <c r="W505" s="61" t="s">
        <v>2394</v>
      </c>
      <c r="X505" s="61" t="s">
        <v>3502</v>
      </c>
      <c r="Y505" s="61" t="s">
        <v>1174</v>
      </c>
      <c r="Z505" s="61" t="s">
        <v>2394</v>
      </c>
      <c r="AA505" s="61" t="s">
        <v>3502</v>
      </c>
      <c r="AB505" s="61" t="s">
        <v>2395</v>
      </c>
      <c r="AC505" s="61" t="s">
        <v>830</v>
      </c>
      <c r="AD505" s="61" t="s">
        <v>831</v>
      </c>
      <c r="AE505" s="61" t="s">
        <v>612</v>
      </c>
      <c r="AF505" s="61">
        <v>3.6</v>
      </c>
      <c r="AG505" s="61">
        <v>0.7</v>
      </c>
      <c r="AH505" s="61">
        <v>2.5</v>
      </c>
      <c r="AI505" s="61" t="s">
        <v>2616</v>
      </c>
      <c r="AJ505" s="61" t="s">
        <v>34</v>
      </c>
      <c r="AK505" s="61" t="s">
        <v>832</v>
      </c>
      <c r="AL505" s="61" t="s">
        <v>34</v>
      </c>
      <c r="AM505" s="61" t="s">
        <v>3441</v>
      </c>
      <c r="AN505" s="490">
        <v>1.4583333333333332E-2</v>
      </c>
      <c r="AO505" s="490">
        <v>0</v>
      </c>
      <c r="AP505" s="61"/>
    </row>
    <row r="506" spans="1:42" x14ac:dyDescent="0.2">
      <c r="A506" s="61">
        <v>505</v>
      </c>
      <c r="B506" s="61" t="s">
        <v>527</v>
      </c>
      <c r="C506" s="61" t="s">
        <v>211</v>
      </c>
      <c r="D506" s="61" t="s">
        <v>2931</v>
      </c>
      <c r="E506" s="61" t="s">
        <v>790</v>
      </c>
      <c r="F506" s="61" t="s">
        <v>791</v>
      </c>
      <c r="G506" s="61" t="s">
        <v>34</v>
      </c>
      <c r="H506" s="61" t="s">
        <v>835</v>
      </c>
      <c r="I506" s="61" t="s">
        <v>4270</v>
      </c>
      <c r="J506" s="61" t="s">
        <v>823</v>
      </c>
      <c r="K506" s="61" t="s">
        <v>349</v>
      </c>
      <c r="L506" s="61" t="s">
        <v>2387</v>
      </c>
      <c r="M506" s="61" t="s">
        <v>2388</v>
      </c>
      <c r="N506" s="61" t="s">
        <v>211</v>
      </c>
      <c r="O506" s="61" t="s">
        <v>4271</v>
      </c>
      <c r="P506" s="61" t="s">
        <v>1613</v>
      </c>
      <c r="Q506" s="61" t="s">
        <v>3501</v>
      </c>
      <c r="R506" s="61" t="s">
        <v>1002</v>
      </c>
      <c r="S506" s="61" t="s">
        <v>2389</v>
      </c>
      <c r="T506" s="61">
        <v>480.8</v>
      </c>
      <c r="U506" s="61" t="s">
        <v>857</v>
      </c>
      <c r="V506" s="61" t="s">
        <v>1174</v>
      </c>
      <c r="W506" s="61" t="s">
        <v>2390</v>
      </c>
      <c r="X506" s="61" t="s">
        <v>3502</v>
      </c>
      <c r="Y506" s="61" t="s">
        <v>1174</v>
      </c>
      <c r="Z506" s="61" t="s">
        <v>2390</v>
      </c>
      <c r="AA506" s="61" t="s">
        <v>3502</v>
      </c>
      <c r="AB506" s="61" t="s">
        <v>34</v>
      </c>
      <c r="AC506" s="61" t="s">
        <v>830</v>
      </c>
      <c r="AD506" s="61" t="s">
        <v>831</v>
      </c>
      <c r="AE506" s="61" t="s">
        <v>612</v>
      </c>
      <c r="AF506" s="61" t="s">
        <v>2535</v>
      </c>
      <c r="AG506" s="61">
        <v>0.45</v>
      </c>
      <c r="AH506" s="61">
        <v>0.1</v>
      </c>
      <c r="AI506" s="61" t="s">
        <v>2616</v>
      </c>
      <c r="AJ506" s="61" t="s">
        <v>2617</v>
      </c>
      <c r="AK506" s="61" t="s">
        <v>832</v>
      </c>
      <c r="AL506" s="61" t="s">
        <v>34</v>
      </c>
      <c r="AM506" s="61" t="s">
        <v>3441</v>
      </c>
      <c r="AN506" s="490">
        <v>0</v>
      </c>
      <c r="AO506" s="490">
        <v>0</v>
      </c>
      <c r="AP506" s="61"/>
    </row>
    <row r="507" spans="1:42" x14ac:dyDescent="0.2">
      <c r="A507" s="61">
        <v>506</v>
      </c>
      <c r="B507" s="61" t="s">
        <v>527</v>
      </c>
      <c r="C507" s="61" t="s">
        <v>533</v>
      </c>
      <c r="D507" s="61" t="s">
        <v>2932</v>
      </c>
      <c r="E507" s="61" t="s">
        <v>790</v>
      </c>
      <c r="F507" s="61" t="s">
        <v>791</v>
      </c>
      <c r="G507" s="61" t="s">
        <v>34</v>
      </c>
      <c r="H507" s="61" t="s">
        <v>835</v>
      </c>
      <c r="I507" s="61" t="s">
        <v>4270</v>
      </c>
      <c r="J507" s="61" t="s">
        <v>823</v>
      </c>
      <c r="K507" s="61" t="s">
        <v>2366</v>
      </c>
      <c r="L507" s="61" t="s">
        <v>2367</v>
      </c>
      <c r="M507" s="61">
        <v>18612</v>
      </c>
      <c r="N507" s="61" t="s">
        <v>533</v>
      </c>
      <c r="O507" s="61" t="s">
        <v>4293</v>
      </c>
      <c r="P507" s="61" t="s">
        <v>2368</v>
      </c>
      <c r="Q507" s="61" t="s">
        <v>3510</v>
      </c>
      <c r="R507" s="61" t="s">
        <v>828</v>
      </c>
      <c r="S507" s="61" t="s">
        <v>2369</v>
      </c>
      <c r="T507" s="61">
        <v>21</v>
      </c>
      <c r="U507" s="61" t="s">
        <v>857</v>
      </c>
      <c r="V507" s="61" t="s">
        <v>1184</v>
      </c>
      <c r="W507" s="61" t="s">
        <v>2370</v>
      </c>
      <c r="X507" s="61" t="s">
        <v>3502</v>
      </c>
      <c r="Y507" s="61" t="s">
        <v>1184</v>
      </c>
      <c r="Z507" s="61" t="s">
        <v>2370</v>
      </c>
      <c r="AA507" s="61" t="s">
        <v>3502</v>
      </c>
      <c r="AB507" s="61" t="s">
        <v>34</v>
      </c>
      <c r="AC507" s="61" t="s">
        <v>830</v>
      </c>
      <c r="AD507" s="61" t="s">
        <v>831</v>
      </c>
      <c r="AE507" s="61" t="s">
        <v>612</v>
      </c>
      <c r="AF507" s="61">
        <v>2.5</v>
      </c>
      <c r="AG507" s="61">
        <v>0.15</v>
      </c>
      <c r="AH507" s="61">
        <v>0.25</v>
      </c>
      <c r="AI507" s="61" t="s">
        <v>2613</v>
      </c>
      <c r="AJ507" s="61" t="s">
        <v>34</v>
      </c>
      <c r="AK507" s="61" t="s">
        <v>832</v>
      </c>
      <c r="AL507" s="61" t="s">
        <v>34</v>
      </c>
      <c r="AM507" s="61" t="s">
        <v>3444</v>
      </c>
      <c r="AN507" s="490">
        <v>1.4583333333333332E-2</v>
      </c>
      <c r="AO507" s="490">
        <v>0</v>
      </c>
      <c r="AP507" s="61"/>
    </row>
    <row r="508" spans="1:42" x14ac:dyDescent="0.2">
      <c r="A508" s="61">
        <v>507</v>
      </c>
      <c r="B508" s="61" t="s">
        <v>527</v>
      </c>
      <c r="C508" s="61" t="s">
        <v>350</v>
      </c>
      <c r="D508" s="61" t="s">
        <v>2933</v>
      </c>
      <c r="E508" s="61" t="s">
        <v>790</v>
      </c>
      <c r="F508" s="61" t="s">
        <v>791</v>
      </c>
      <c r="G508" s="61" t="s">
        <v>34</v>
      </c>
      <c r="H508" s="61" t="s">
        <v>835</v>
      </c>
      <c r="I508" s="61" t="s">
        <v>4270</v>
      </c>
      <c r="J508" s="61" t="s">
        <v>823</v>
      </c>
      <c r="K508" s="61" t="s">
        <v>350</v>
      </c>
      <c r="L508" s="61" t="s">
        <v>2373</v>
      </c>
      <c r="M508" s="61">
        <v>7280010</v>
      </c>
      <c r="N508" s="61" t="s">
        <v>350</v>
      </c>
      <c r="O508" s="61" t="s">
        <v>4271</v>
      </c>
      <c r="P508" s="61" t="s">
        <v>2374</v>
      </c>
      <c r="Q508" s="61" t="s">
        <v>3501</v>
      </c>
      <c r="R508" s="61" t="s">
        <v>828</v>
      </c>
      <c r="S508" s="61" t="s">
        <v>2375</v>
      </c>
      <c r="T508" s="61">
        <v>172</v>
      </c>
      <c r="U508" s="61" t="s">
        <v>857</v>
      </c>
      <c r="V508" s="61" t="s">
        <v>1059</v>
      </c>
      <c r="W508" s="61" t="s">
        <v>2376</v>
      </c>
      <c r="X508" s="61" t="s">
        <v>3809</v>
      </c>
      <c r="Y508" s="61" t="s">
        <v>1174</v>
      </c>
      <c r="Z508" s="61" t="s">
        <v>2378</v>
      </c>
      <c r="AA508" s="61" t="s">
        <v>3809</v>
      </c>
      <c r="AB508" s="61" t="s">
        <v>34</v>
      </c>
      <c r="AC508" s="61" t="s">
        <v>830</v>
      </c>
      <c r="AD508" s="61" t="s">
        <v>831</v>
      </c>
      <c r="AE508" s="61" t="s">
        <v>612</v>
      </c>
      <c r="AF508" s="61">
        <v>2.5</v>
      </c>
      <c r="AG508" s="61">
        <v>1</v>
      </c>
      <c r="AH508" s="61">
        <v>2</v>
      </c>
      <c r="AI508" s="61" t="s">
        <v>2614</v>
      </c>
      <c r="AJ508" s="61" t="s">
        <v>2615</v>
      </c>
      <c r="AK508" s="61" t="s">
        <v>832</v>
      </c>
      <c r="AL508" s="61" t="s">
        <v>34</v>
      </c>
      <c r="AM508" s="61" t="s">
        <v>3444</v>
      </c>
      <c r="AN508" s="490">
        <v>0</v>
      </c>
      <c r="AO508" s="490">
        <v>2.1527777777777781E-2</v>
      </c>
      <c r="AP508" s="61"/>
    </row>
    <row r="509" spans="1:42" x14ac:dyDescent="0.2">
      <c r="A509" s="61">
        <v>508</v>
      </c>
      <c r="B509" s="61" t="s">
        <v>527</v>
      </c>
      <c r="C509" s="61" t="s">
        <v>540</v>
      </c>
      <c r="D509" s="61" t="s">
        <v>2934</v>
      </c>
      <c r="E509" s="61" t="s">
        <v>790</v>
      </c>
      <c r="F509" s="61" t="s">
        <v>791</v>
      </c>
      <c r="G509" s="61" t="s">
        <v>34</v>
      </c>
      <c r="H509" s="61" t="s">
        <v>835</v>
      </c>
      <c r="I509" s="61" t="s">
        <v>4270</v>
      </c>
      <c r="J509" s="61" t="s">
        <v>613</v>
      </c>
      <c r="K509" s="61" t="s">
        <v>2346</v>
      </c>
      <c r="L509" s="61" t="s">
        <v>950</v>
      </c>
      <c r="M509" s="61" t="s">
        <v>2347</v>
      </c>
      <c r="N509" s="61" t="s">
        <v>540</v>
      </c>
      <c r="O509" s="61" t="s">
        <v>1106</v>
      </c>
      <c r="P509" s="61" t="s">
        <v>1358</v>
      </c>
      <c r="Q509" s="61" t="s">
        <v>108</v>
      </c>
      <c r="R509" s="61" t="s">
        <v>892</v>
      </c>
      <c r="S509" s="61" t="s">
        <v>2348</v>
      </c>
      <c r="T509" s="61">
        <v>94.5</v>
      </c>
      <c r="U509" s="61" t="s">
        <v>108</v>
      </c>
      <c r="V509" s="61" t="s">
        <v>108</v>
      </c>
      <c r="W509" s="61" t="s">
        <v>108</v>
      </c>
      <c r="X509" s="61" t="s">
        <v>108</v>
      </c>
      <c r="Y509" s="61" t="s">
        <v>108</v>
      </c>
      <c r="Z509" s="61" t="s">
        <v>108</v>
      </c>
      <c r="AA509" s="61" t="s">
        <v>108</v>
      </c>
      <c r="AB509" s="61" t="s">
        <v>34</v>
      </c>
      <c r="AC509" s="61" t="s">
        <v>830</v>
      </c>
      <c r="AD509" s="61" t="s">
        <v>831</v>
      </c>
      <c r="AE509" s="61" t="s">
        <v>612</v>
      </c>
      <c r="AF509" s="61" t="s">
        <v>34</v>
      </c>
      <c r="AG509" s="61" t="s">
        <v>34</v>
      </c>
      <c r="AH509" s="61" t="s">
        <v>34</v>
      </c>
      <c r="AI509" s="61" t="s">
        <v>34</v>
      </c>
      <c r="AJ509" s="61" t="s">
        <v>34</v>
      </c>
      <c r="AK509" s="61" t="s">
        <v>832</v>
      </c>
      <c r="AL509" s="61" t="s">
        <v>34</v>
      </c>
      <c r="AM509" s="61" t="s">
        <v>3441</v>
      </c>
      <c r="AN509" s="490">
        <v>0</v>
      </c>
      <c r="AO509" s="490">
        <v>0</v>
      </c>
      <c r="AP509" s="61"/>
    </row>
    <row r="510" spans="1:42" x14ac:dyDescent="0.2">
      <c r="A510" s="61">
        <v>509</v>
      </c>
      <c r="B510" s="61" t="s">
        <v>527</v>
      </c>
      <c r="C510" s="61" t="s">
        <v>536</v>
      </c>
      <c r="D510" s="61" t="s">
        <v>2935</v>
      </c>
      <c r="E510" s="61" t="s">
        <v>790</v>
      </c>
      <c r="F510" s="61" t="s">
        <v>791</v>
      </c>
      <c r="G510" s="61" t="s">
        <v>34</v>
      </c>
      <c r="H510" s="61" t="s">
        <v>835</v>
      </c>
      <c r="I510" s="61" t="s">
        <v>4270</v>
      </c>
      <c r="J510" s="61" t="s">
        <v>613</v>
      </c>
      <c r="K510" s="61" t="s">
        <v>2362</v>
      </c>
      <c r="L510" s="61" t="s">
        <v>950</v>
      </c>
      <c r="M510" s="61" t="s">
        <v>2363</v>
      </c>
      <c r="N510" s="61" t="s">
        <v>536</v>
      </c>
      <c r="O510" s="61" t="s">
        <v>1106</v>
      </c>
      <c r="P510" s="61" t="s">
        <v>2364</v>
      </c>
      <c r="Q510" s="61" t="s">
        <v>108</v>
      </c>
      <c r="R510" s="61" t="s">
        <v>892</v>
      </c>
      <c r="S510" s="61" t="s">
        <v>2348</v>
      </c>
      <c r="T510" s="61">
        <v>94.5</v>
      </c>
      <c r="U510" s="61" t="s">
        <v>108</v>
      </c>
      <c r="V510" s="61" t="s">
        <v>108</v>
      </c>
      <c r="W510" s="61" t="s">
        <v>108</v>
      </c>
      <c r="X510" s="61" t="s">
        <v>108</v>
      </c>
      <c r="Y510" s="61" t="s">
        <v>108</v>
      </c>
      <c r="Z510" s="61" t="s">
        <v>108</v>
      </c>
      <c r="AA510" s="61" t="s">
        <v>108</v>
      </c>
      <c r="AB510" s="61" t="s">
        <v>34</v>
      </c>
      <c r="AC510" s="61" t="s">
        <v>830</v>
      </c>
      <c r="AD510" s="61" t="s">
        <v>831</v>
      </c>
      <c r="AE510" s="61" t="s">
        <v>612</v>
      </c>
      <c r="AF510" s="61" t="s">
        <v>34</v>
      </c>
      <c r="AG510" s="61" t="s">
        <v>34</v>
      </c>
      <c r="AH510" s="61" t="s">
        <v>34</v>
      </c>
      <c r="AI510" s="61" t="s">
        <v>34</v>
      </c>
      <c r="AJ510" s="61" t="s">
        <v>34</v>
      </c>
      <c r="AK510" s="61" t="s">
        <v>832</v>
      </c>
      <c r="AL510" s="61" t="s">
        <v>34</v>
      </c>
      <c r="AM510" s="61" t="s">
        <v>3441</v>
      </c>
      <c r="AN510" s="490">
        <v>0</v>
      </c>
      <c r="AO510" s="490">
        <v>0</v>
      </c>
      <c r="AP510" s="61"/>
    </row>
    <row r="511" spans="1:42" x14ac:dyDescent="0.2">
      <c r="A511" s="61">
        <v>510</v>
      </c>
      <c r="B511" s="61" t="s">
        <v>527</v>
      </c>
      <c r="C511" s="61" t="s">
        <v>537</v>
      </c>
      <c r="D511" s="61" t="s">
        <v>2936</v>
      </c>
      <c r="E511" s="61" t="s">
        <v>790</v>
      </c>
      <c r="F511" s="61" t="s">
        <v>791</v>
      </c>
      <c r="G511" s="61" t="s">
        <v>34</v>
      </c>
      <c r="H511" s="61" t="s">
        <v>835</v>
      </c>
      <c r="I511" s="61" t="s">
        <v>4270</v>
      </c>
      <c r="J511" s="61" t="s">
        <v>613</v>
      </c>
      <c r="K511" s="61" t="s">
        <v>2357</v>
      </c>
      <c r="L511" s="61" t="s">
        <v>950</v>
      </c>
      <c r="M511" s="61" t="s">
        <v>2358</v>
      </c>
      <c r="N511" s="61" t="s">
        <v>537</v>
      </c>
      <c r="O511" s="61" t="s">
        <v>1106</v>
      </c>
      <c r="P511" s="61" t="s">
        <v>976</v>
      </c>
      <c r="Q511" s="61" t="s">
        <v>108</v>
      </c>
      <c r="R511" s="61" t="s">
        <v>892</v>
      </c>
      <c r="S511" s="61" t="s">
        <v>2348</v>
      </c>
      <c r="T511" s="61">
        <v>94.5</v>
      </c>
      <c r="U511" s="61" t="s">
        <v>108</v>
      </c>
      <c r="V511" s="61" t="s">
        <v>108</v>
      </c>
      <c r="W511" s="61" t="s">
        <v>108</v>
      </c>
      <c r="X511" s="61" t="s">
        <v>108</v>
      </c>
      <c r="Y511" s="61" t="s">
        <v>108</v>
      </c>
      <c r="Z511" s="61" t="s">
        <v>108</v>
      </c>
      <c r="AA511" s="61" t="s">
        <v>108</v>
      </c>
      <c r="AB511" s="61" t="s">
        <v>34</v>
      </c>
      <c r="AC511" s="61" t="s">
        <v>830</v>
      </c>
      <c r="AD511" s="61" t="s">
        <v>831</v>
      </c>
      <c r="AE511" s="61" t="s">
        <v>612</v>
      </c>
      <c r="AF511" s="61" t="s">
        <v>34</v>
      </c>
      <c r="AG511" s="61" t="s">
        <v>34</v>
      </c>
      <c r="AH511" s="61" t="s">
        <v>34</v>
      </c>
      <c r="AI511" s="61" t="s">
        <v>34</v>
      </c>
      <c r="AJ511" s="61" t="s">
        <v>34</v>
      </c>
      <c r="AK511" s="61" t="s">
        <v>832</v>
      </c>
      <c r="AL511" s="61" t="s">
        <v>34</v>
      </c>
      <c r="AM511" s="61" t="s">
        <v>3441</v>
      </c>
      <c r="AN511" s="490">
        <v>0</v>
      </c>
      <c r="AO511" s="490">
        <v>0</v>
      </c>
      <c r="AP511" s="61"/>
    </row>
    <row r="512" spans="1:42" x14ac:dyDescent="0.2">
      <c r="A512" s="61">
        <v>511</v>
      </c>
      <c r="B512" s="61" t="s">
        <v>527</v>
      </c>
      <c r="C512" s="61" t="s">
        <v>538</v>
      </c>
      <c r="D512" s="61" t="s">
        <v>2937</v>
      </c>
      <c r="E512" s="61" t="s">
        <v>790</v>
      </c>
      <c r="F512" s="61" t="s">
        <v>791</v>
      </c>
      <c r="G512" s="61" t="s">
        <v>34</v>
      </c>
      <c r="H512" s="61" t="s">
        <v>835</v>
      </c>
      <c r="I512" s="61" t="s">
        <v>4270</v>
      </c>
      <c r="J512" s="61" t="s">
        <v>613</v>
      </c>
      <c r="K512" s="61" t="s">
        <v>2353</v>
      </c>
      <c r="L512" s="61" t="s">
        <v>950</v>
      </c>
      <c r="M512" s="61" t="s">
        <v>2354</v>
      </c>
      <c r="N512" s="61" t="s">
        <v>538</v>
      </c>
      <c r="O512" s="61" t="s">
        <v>1106</v>
      </c>
      <c r="P512" s="61" t="s">
        <v>2355</v>
      </c>
      <c r="Q512" s="61" t="s">
        <v>108</v>
      </c>
      <c r="R512" s="61" t="s">
        <v>892</v>
      </c>
      <c r="S512" s="61" t="s">
        <v>2356</v>
      </c>
      <c r="T512" s="61">
        <v>63</v>
      </c>
      <c r="U512" s="61" t="s">
        <v>108</v>
      </c>
      <c r="V512" s="61" t="s">
        <v>108</v>
      </c>
      <c r="W512" s="61" t="s">
        <v>108</v>
      </c>
      <c r="X512" s="61" t="s">
        <v>108</v>
      </c>
      <c r="Y512" s="61" t="s">
        <v>108</v>
      </c>
      <c r="Z512" s="61" t="s">
        <v>108</v>
      </c>
      <c r="AA512" s="61" t="s">
        <v>108</v>
      </c>
      <c r="AB512" s="61" t="s">
        <v>34</v>
      </c>
      <c r="AC512" s="61" t="s">
        <v>830</v>
      </c>
      <c r="AD512" s="61" t="s">
        <v>831</v>
      </c>
      <c r="AE512" s="61" t="s">
        <v>612</v>
      </c>
      <c r="AF512" s="61" t="s">
        <v>34</v>
      </c>
      <c r="AG512" s="61" t="s">
        <v>34</v>
      </c>
      <c r="AH512" s="61" t="s">
        <v>34</v>
      </c>
      <c r="AI512" s="61" t="s">
        <v>34</v>
      </c>
      <c r="AJ512" s="61" t="s">
        <v>34</v>
      </c>
      <c r="AK512" s="61" t="s">
        <v>832</v>
      </c>
      <c r="AL512" s="61" t="s">
        <v>34</v>
      </c>
      <c r="AM512" s="61" t="s">
        <v>3441</v>
      </c>
      <c r="AN512" s="490">
        <v>0</v>
      </c>
      <c r="AO512" s="490">
        <v>0</v>
      </c>
      <c r="AP512" s="61"/>
    </row>
    <row r="513" spans="1:42" x14ac:dyDescent="0.2">
      <c r="A513" s="61">
        <v>512</v>
      </c>
      <c r="B513" s="61" t="s">
        <v>527</v>
      </c>
      <c r="C513" s="61" t="s">
        <v>535</v>
      </c>
      <c r="D513" s="61" t="s">
        <v>2938</v>
      </c>
      <c r="E513" s="61" t="s">
        <v>790</v>
      </c>
      <c r="F513" s="61" t="s">
        <v>791</v>
      </c>
      <c r="G513" s="61" t="s">
        <v>34</v>
      </c>
      <c r="H513" s="61" t="s">
        <v>835</v>
      </c>
      <c r="I513" s="61" t="s">
        <v>4270</v>
      </c>
      <c r="J513" s="61" t="s">
        <v>613</v>
      </c>
      <c r="K513" s="61" t="s">
        <v>2359</v>
      </c>
      <c r="L513" s="61" t="s">
        <v>950</v>
      </c>
      <c r="M513" s="61" t="s">
        <v>2360</v>
      </c>
      <c r="N513" s="61" t="s">
        <v>535</v>
      </c>
      <c r="O513" s="61" t="s">
        <v>1106</v>
      </c>
      <c r="P513" s="61" t="s">
        <v>2361</v>
      </c>
      <c r="Q513" s="61" t="s">
        <v>108</v>
      </c>
      <c r="R513" s="61" t="s">
        <v>892</v>
      </c>
      <c r="S513" s="61" t="s">
        <v>2348</v>
      </c>
      <c r="T513" s="61">
        <v>94.5</v>
      </c>
      <c r="U513" s="61" t="s">
        <v>108</v>
      </c>
      <c r="V513" s="61" t="s">
        <v>108</v>
      </c>
      <c r="W513" s="61" t="s">
        <v>108</v>
      </c>
      <c r="X513" s="61" t="s">
        <v>108</v>
      </c>
      <c r="Y513" s="61" t="s">
        <v>108</v>
      </c>
      <c r="Z513" s="61" t="s">
        <v>108</v>
      </c>
      <c r="AA513" s="61" t="s">
        <v>108</v>
      </c>
      <c r="AB513" s="61" t="s">
        <v>34</v>
      </c>
      <c r="AC513" s="61" t="s">
        <v>830</v>
      </c>
      <c r="AD513" s="61" t="s">
        <v>831</v>
      </c>
      <c r="AE513" s="61" t="s">
        <v>612</v>
      </c>
      <c r="AF513" s="61" t="s">
        <v>34</v>
      </c>
      <c r="AG513" s="61" t="s">
        <v>34</v>
      </c>
      <c r="AH513" s="61" t="s">
        <v>34</v>
      </c>
      <c r="AI513" s="61" t="s">
        <v>34</v>
      </c>
      <c r="AJ513" s="61" t="s">
        <v>34</v>
      </c>
      <c r="AK513" s="61" t="s">
        <v>832</v>
      </c>
      <c r="AL513" s="61" t="s">
        <v>34</v>
      </c>
      <c r="AM513" s="61" t="s">
        <v>3441</v>
      </c>
      <c r="AN513" s="490">
        <v>1.4583333333333332E-2</v>
      </c>
      <c r="AO513" s="490">
        <v>2.1527777777777781E-2</v>
      </c>
      <c r="AP513" s="61"/>
    </row>
    <row r="514" spans="1:42" x14ac:dyDescent="0.2">
      <c r="A514" s="61">
        <v>513</v>
      </c>
      <c r="B514" s="61" t="s">
        <v>527</v>
      </c>
      <c r="C514" s="61" t="s">
        <v>466</v>
      </c>
      <c r="D514" s="61" t="s">
        <v>2939</v>
      </c>
      <c r="E514" s="61" t="s">
        <v>790</v>
      </c>
      <c r="F514" s="61" t="s">
        <v>791</v>
      </c>
      <c r="G514" s="61" t="s">
        <v>34</v>
      </c>
      <c r="H514" s="61" t="s">
        <v>835</v>
      </c>
      <c r="I514" s="61" t="s">
        <v>4270</v>
      </c>
      <c r="J514" s="61" t="s">
        <v>823</v>
      </c>
      <c r="K514" s="61" t="s">
        <v>1033</v>
      </c>
      <c r="L514" s="61" t="s">
        <v>826</v>
      </c>
      <c r="M514" s="61" t="s">
        <v>4373</v>
      </c>
      <c r="N514" s="61" t="s">
        <v>466</v>
      </c>
      <c r="O514" s="61" t="s">
        <v>4271</v>
      </c>
      <c r="P514" s="61" t="s">
        <v>4374</v>
      </c>
      <c r="Q514" s="61" t="s">
        <v>3501</v>
      </c>
      <c r="R514" s="61" t="s">
        <v>828</v>
      </c>
      <c r="S514" s="61" t="s">
        <v>2382</v>
      </c>
      <c r="T514" s="61">
        <v>85.6</v>
      </c>
      <c r="U514" s="61" t="s">
        <v>855</v>
      </c>
      <c r="V514" s="61" t="s">
        <v>4375</v>
      </c>
      <c r="W514" s="61" t="s">
        <v>4376</v>
      </c>
      <c r="X514" s="61" t="s">
        <v>3502</v>
      </c>
      <c r="Y514" s="61" t="s">
        <v>4377</v>
      </c>
      <c r="Z514" s="61" t="s">
        <v>4378</v>
      </c>
      <c r="AA514" s="61" t="s">
        <v>3502</v>
      </c>
      <c r="AB514" s="61" t="s">
        <v>34</v>
      </c>
      <c r="AC514" s="61" t="s">
        <v>830</v>
      </c>
      <c r="AD514" s="61" t="s">
        <v>831</v>
      </c>
      <c r="AE514" s="61" t="s">
        <v>612</v>
      </c>
      <c r="AF514" s="61" t="s">
        <v>4379</v>
      </c>
      <c r="AG514" s="61">
        <v>0.1</v>
      </c>
      <c r="AH514" s="61">
        <v>0.1</v>
      </c>
      <c r="AI514" s="61" t="s">
        <v>34</v>
      </c>
      <c r="AJ514" s="61" t="s">
        <v>34</v>
      </c>
      <c r="AK514" s="61" t="s">
        <v>832</v>
      </c>
      <c r="AL514" s="61" t="s">
        <v>34</v>
      </c>
      <c r="AM514" s="61" t="s">
        <v>3441</v>
      </c>
      <c r="AN514" s="490">
        <v>0</v>
      </c>
      <c r="AO514" s="490">
        <v>0</v>
      </c>
      <c r="AP514" s="61"/>
    </row>
    <row r="515" spans="1:42" x14ac:dyDescent="0.2">
      <c r="A515" s="61">
        <v>514</v>
      </c>
      <c r="B515" s="61" t="s">
        <v>541</v>
      </c>
      <c r="C515" s="61" t="s">
        <v>542</v>
      </c>
      <c r="D515" s="61" t="s">
        <v>2940</v>
      </c>
      <c r="E515" s="61" t="s">
        <v>792</v>
      </c>
      <c r="F515" s="61" t="s">
        <v>793</v>
      </c>
      <c r="G515" s="61" t="s">
        <v>34</v>
      </c>
      <c r="H515" s="61" t="s">
        <v>835</v>
      </c>
      <c r="I515" s="61" t="s">
        <v>4270</v>
      </c>
      <c r="J515" s="61" t="s">
        <v>613</v>
      </c>
      <c r="K515" s="61" t="s">
        <v>365</v>
      </c>
      <c r="L515" s="61" t="s">
        <v>2405</v>
      </c>
      <c r="M515" s="61">
        <v>620185</v>
      </c>
      <c r="N515" s="61" t="s">
        <v>542</v>
      </c>
      <c r="O515" s="61" t="s">
        <v>1106</v>
      </c>
      <c r="P515" s="61" t="s">
        <v>2406</v>
      </c>
      <c r="Q515" s="61" t="s">
        <v>2377</v>
      </c>
      <c r="R515" s="61" t="s">
        <v>828</v>
      </c>
      <c r="S515" s="61" t="s">
        <v>2407</v>
      </c>
      <c r="T515" s="61">
        <v>43.8</v>
      </c>
      <c r="U515" s="61" t="s">
        <v>687</v>
      </c>
      <c r="V515" s="61" t="s">
        <v>3916</v>
      </c>
      <c r="W515" s="61" t="s">
        <v>3917</v>
      </c>
      <c r="X515" s="61" t="s">
        <v>829</v>
      </c>
      <c r="Y515" s="61" t="s">
        <v>108</v>
      </c>
      <c r="Z515" s="61" t="s">
        <v>108</v>
      </c>
      <c r="AA515" s="61" t="s">
        <v>108</v>
      </c>
      <c r="AB515" s="61" t="s">
        <v>34</v>
      </c>
      <c r="AC515" s="61" t="s">
        <v>830</v>
      </c>
      <c r="AD515" s="61" t="s">
        <v>831</v>
      </c>
      <c r="AE515" s="61" t="s">
        <v>612</v>
      </c>
      <c r="AF515" s="61">
        <v>1</v>
      </c>
      <c r="AG515" s="61">
        <v>106</v>
      </c>
      <c r="AH515" s="61" t="s">
        <v>3851</v>
      </c>
      <c r="AI515" s="61" t="s">
        <v>3918</v>
      </c>
      <c r="AJ515" s="61" t="s">
        <v>3919</v>
      </c>
      <c r="AK515" s="61" t="s">
        <v>832</v>
      </c>
      <c r="AL515" s="61" t="s">
        <v>34</v>
      </c>
      <c r="AM515" s="61" t="s">
        <v>3441</v>
      </c>
      <c r="AN515" s="490">
        <v>0</v>
      </c>
      <c r="AO515" s="490">
        <v>0</v>
      </c>
      <c r="AP515" s="61"/>
    </row>
    <row r="516" spans="1:42" x14ac:dyDescent="0.2">
      <c r="A516" s="61">
        <v>515</v>
      </c>
      <c r="B516" s="61" t="s">
        <v>541</v>
      </c>
      <c r="C516" s="61" t="s">
        <v>626</v>
      </c>
      <c r="D516" s="61" t="s">
        <v>2941</v>
      </c>
      <c r="E516" s="61" t="s">
        <v>792</v>
      </c>
      <c r="F516" s="61" t="s">
        <v>793</v>
      </c>
      <c r="G516" s="61" t="s">
        <v>34</v>
      </c>
      <c r="H516" s="61" t="s">
        <v>835</v>
      </c>
      <c r="I516" s="61" t="s">
        <v>4270</v>
      </c>
      <c r="J516" s="61" t="s">
        <v>613</v>
      </c>
      <c r="K516" s="61" t="s">
        <v>434</v>
      </c>
      <c r="L516" s="61" t="s">
        <v>2398</v>
      </c>
      <c r="M516" s="61" t="s">
        <v>2399</v>
      </c>
      <c r="N516" s="61" t="s">
        <v>626</v>
      </c>
      <c r="O516" s="61" t="s">
        <v>1106</v>
      </c>
      <c r="P516" s="61" t="s">
        <v>2400</v>
      </c>
      <c r="Q516" s="61" t="s">
        <v>911</v>
      </c>
      <c r="R516" s="61" t="s">
        <v>828</v>
      </c>
      <c r="S516" s="61" t="s">
        <v>2401</v>
      </c>
      <c r="T516" s="61">
        <v>0.92</v>
      </c>
      <c r="U516" s="61" t="s">
        <v>687</v>
      </c>
      <c r="V516" s="61" t="s">
        <v>2402</v>
      </c>
      <c r="W516" s="61" t="s">
        <v>2403</v>
      </c>
      <c r="X516" s="61" t="s">
        <v>911</v>
      </c>
      <c r="Y516" s="61" t="s">
        <v>108</v>
      </c>
      <c r="Z516" s="61" t="s">
        <v>108</v>
      </c>
      <c r="AA516" s="61" t="s">
        <v>108</v>
      </c>
      <c r="AB516" s="61" t="s">
        <v>2404</v>
      </c>
      <c r="AC516" s="61" t="s">
        <v>830</v>
      </c>
      <c r="AD516" s="61" t="s">
        <v>831</v>
      </c>
      <c r="AE516" s="61" t="s">
        <v>612</v>
      </c>
      <c r="AF516" s="61" t="s">
        <v>2054</v>
      </c>
      <c r="AG516" s="61" t="s">
        <v>34</v>
      </c>
      <c r="AH516" s="61" t="s">
        <v>34</v>
      </c>
      <c r="AI516" s="61" t="s">
        <v>34</v>
      </c>
      <c r="AJ516" s="61" t="s">
        <v>34</v>
      </c>
      <c r="AK516" s="61" t="s">
        <v>832</v>
      </c>
      <c r="AL516" s="61" t="s">
        <v>34</v>
      </c>
      <c r="AM516" s="61" t="s">
        <v>3441</v>
      </c>
      <c r="AN516" s="490"/>
      <c r="AO516" s="490"/>
      <c r="AP516" s="61"/>
    </row>
    <row r="517" spans="1:42" x14ac:dyDescent="0.2">
      <c r="A517" s="61">
        <v>516</v>
      </c>
      <c r="B517" s="61" t="s">
        <v>541</v>
      </c>
      <c r="C517" s="61" t="s">
        <v>3920</v>
      </c>
      <c r="D517" s="61" t="s">
        <v>3921</v>
      </c>
      <c r="E517" s="61" t="s">
        <v>792</v>
      </c>
      <c r="F517" s="61" t="s">
        <v>793</v>
      </c>
      <c r="G517" s="61" t="s">
        <v>34</v>
      </c>
      <c r="H517" s="61" t="s">
        <v>3679</v>
      </c>
      <c r="I517" s="61" t="s">
        <v>4270</v>
      </c>
      <c r="J517" s="61" t="s">
        <v>613</v>
      </c>
      <c r="K517" s="61" t="s">
        <v>3922</v>
      </c>
      <c r="L517" s="61" t="s">
        <v>2015</v>
      </c>
      <c r="M517" s="61">
        <v>43122353</v>
      </c>
      <c r="N517" s="61">
        <v>6042</v>
      </c>
      <c r="O517" s="61" t="s">
        <v>1106</v>
      </c>
      <c r="P517" s="61" t="s">
        <v>4255</v>
      </c>
      <c r="Q517" s="61" t="s">
        <v>908</v>
      </c>
      <c r="R517" s="61" t="s">
        <v>828</v>
      </c>
      <c r="S517" s="61" t="s">
        <v>3923</v>
      </c>
      <c r="T517" s="61">
        <v>1.663</v>
      </c>
      <c r="U517" s="61" t="s">
        <v>687</v>
      </c>
      <c r="V517" s="61" t="s">
        <v>903</v>
      </c>
      <c r="W517" s="61">
        <v>43122353</v>
      </c>
      <c r="X517" s="61" t="s">
        <v>968</v>
      </c>
      <c r="Y517" s="61" t="s">
        <v>108</v>
      </c>
      <c r="Z517" s="61" t="s">
        <v>108</v>
      </c>
      <c r="AA517" s="61" t="s">
        <v>108</v>
      </c>
      <c r="AB517" s="61" t="s">
        <v>1701</v>
      </c>
      <c r="AC517" s="61" t="s">
        <v>830</v>
      </c>
      <c r="AD517" s="61" t="s">
        <v>831</v>
      </c>
      <c r="AE517" s="61" t="s">
        <v>612</v>
      </c>
      <c r="AF517" s="61" t="s">
        <v>2054</v>
      </c>
      <c r="AG517" s="61" t="s">
        <v>34</v>
      </c>
      <c r="AH517" s="61" t="s">
        <v>34</v>
      </c>
      <c r="AI517" s="61" t="s">
        <v>34</v>
      </c>
      <c r="AJ517" s="61" t="s">
        <v>34</v>
      </c>
      <c r="AK517" s="61" t="s">
        <v>832</v>
      </c>
      <c r="AL517" s="61" t="s">
        <v>34</v>
      </c>
      <c r="AM517" s="61" t="s">
        <v>3442</v>
      </c>
      <c r="AN517" s="490"/>
      <c r="AO517" s="490"/>
      <c r="AP517" s="61"/>
    </row>
    <row r="518" spans="1:42" x14ac:dyDescent="0.2">
      <c r="A518" s="61">
        <v>517</v>
      </c>
      <c r="B518" s="61" t="s">
        <v>541</v>
      </c>
      <c r="C518" s="61" t="s">
        <v>3924</v>
      </c>
      <c r="D518" s="61" t="s">
        <v>3925</v>
      </c>
      <c r="E518" s="61" t="s">
        <v>792</v>
      </c>
      <c r="F518" s="61" t="s">
        <v>793</v>
      </c>
      <c r="G518" s="61" t="s">
        <v>34</v>
      </c>
      <c r="H518" s="61" t="s">
        <v>3679</v>
      </c>
      <c r="I518" s="61" t="s">
        <v>4270</v>
      </c>
      <c r="J518" s="61" t="s">
        <v>613</v>
      </c>
      <c r="K518" s="61" t="s">
        <v>3926</v>
      </c>
      <c r="L518" s="61" t="s">
        <v>2015</v>
      </c>
      <c r="M518" s="61">
        <v>43122366</v>
      </c>
      <c r="N518" s="61">
        <v>6043</v>
      </c>
      <c r="O518" s="61" t="s">
        <v>1106</v>
      </c>
      <c r="P518" s="61" t="s">
        <v>4255</v>
      </c>
      <c r="Q518" s="61" t="s">
        <v>908</v>
      </c>
      <c r="R518" s="61" t="s">
        <v>828</v>
      </c>
      <c r="S518" s="61" t="s">
        <v>3923</v>
      </c>
      <c r="T518" s="61">
        <v>1.663</v>
      </c>
      <c r="U518" s="61" t="s">
        <v>687</v>
      </c>
      <c r="V518" s="61" t="s">
        <v>903</v>
      </c>
      <c r="W518" s="61">
        <v>43122366</v>
      </c>
      <c r="X518" s="61" t="s">
        <v>968</v>
      </c>
      <c r="Y518" s="61" t="s">
        <v>108</v>
      </c>
      <c r="Z518" s="61" t="s">
        <v>108</v>
      </c>
      <c r="AA518" s="61" t="s">
        <v>108</v>
      </c>
      <c r="AB518" s="61" t="s">
        <v>1701</v>
      </c>
      <c r="AC518" s="61" t="s">
        <v>830</v>
      </c>
      <c r="AD518" s="61" t="s">
        <v>831</v>
      </c>
      <c r="AE518" s="61" t="s">
        <v>612</v>
      </c>
      <c r="AF518" s="61" t="s">
        <v>2054</v>
      </c>
      <c r="AG518" s="61" t="s">
        <v>34</v>
      </c>
      <c r="AH518" s="61" t="s">
        <v>34</v>
      </c>
      <c r="AI518" s="61" t="s">
        <v>34</v>
      </c>
      <c r="AJ518" s="61" t="s">
        <v>34</v>
      </c>
      <c r="AK518" s="61" t="s">
        <v>832</v>
      </c>
      <c r="AL518" s="61" t="s">
        <v>34</v>
      </c>
      <c r="AM518" s="61" t="s">
        <v>3442</v>
      </c>
      <c r="AN518" s="490"/>
      <c r="AO518" s="490"/>
      <c r="AP518" s="61"/>
    </row>
    <row r="519" spans="1:42" x14ac:dyDescent="0.2">
      <c r="A519" s="61">
        <v>518</v>
      </c>
      <c r="B519" s="61" t="s">
        <v>541</v>
      </c>
      <c r="C519" s="61" t="s">
        <v>3927</v>
      </c>
      <c r="D519" s="61" t="s">
        <v>3928</v>
      </c>
      <c r="E519" s="61" t="s">
        <v>792</v>
      </c>
      <c r="F519" s="61" t="s">
        <v>793</v>
      </c>
      <c r="G519" s="61" t="s">
        <v>34</v>
      </c>
      <c r="H519" s="61" t="s">
        <v>3679</v>
      </c>
      <c r="I519" s="61" t="s">
        <v>4270</v>
      </c>
      <c r="J519" s="61" t="s">
        <v>613</v>
      </c>
      <c r="K519" s="61" t="s">
        <v>3929</v>
      </c>
      <c r="L519" s="61" t="s">
        <v>2015</v>
      </c>
      <c r="M519" s="61">
        <v>43122354</v>
      </c>
      <c r="N519" s="61">
        <v>6044</v>
      </c>
      <c r="O519" s="61" t="s">
        <v>1106</v>
      </c>
      <c r="P519" s="61" t="s">
        <v>4255</v>
      </c>
      <c r="Q519" s="61" t="s">
        <v>908</v>
      </c>
      <c r="R519" s="61" t="s">
        <v>828</v>
      </c>
      <c r="S519" s="61" t="s">
        <v>3923</v>
      </c>
      <c r="T519" s="61">
        <v>1.663</v>
      </c>
      <c r="U519" s="61" t="s">
        <v>687</v>
      </c>
      <c r="V519" s="61" t="s">
        <v>903</v>
      </c>
      <c r="W519" s="61">
        <v>43122354</v>
      </c>
      <c r="X519" s="61" t="s">
        <v>968</v>
      </c>
      <c r="Y519" s="61" t="s">
        <v>108</v>
      </c>
      <c r="Z519" s="61" t="s">
        <v>108</v>
      </c>
      <c r="AA519" s="61" t="s">
        <v>108</v>
      </c>
      <c r="AB519" s="61" t="s">
        <v>1701</v>
      </c>
      <c r="AC519" s="61" t="s">
        <v>830</v>
      </c>
      <c r="AD519" s="61" t="s">
        <v>831</v>
      </c>
      <c r="AE519" s="61" t="s">
        <v>612</v>
      </c>
      <c r="AF519" s="61" t="s">
        <v>2054</v>
      </c>
      <c r="AG519" s="61" t="s">
        <v>34</v>
      </c>
      <c r="AH519" s="61" t="s">
        <v>34</v>
      </c>
      <c r="AI519" s="61" t="s">
        <v>34</v>
      </c>
      <c r="AJ519" s="61" t="s">
        <v>34</v>
      </c>
      <c r="AK519" s="61" t="s">
        <v>832</v>
      </c>
      <c r="AL519" s="61" t="s">
        <v>34</v>
      </c>
      <c r="AM519" s="61" t="s">
        <v>3442</v>
      </c>
      <c r="AN519" s="490"/>
      <c r="AO519" s="490"/>
      <c r="AP519" s="61"/>
    </row>
    <row r="520" spans="1:42" x14ac:dyDescent="0.2">
      <c r="A520" s="61">
        <v>519</v>
      </c>
      <c r="B520" s="61" t="s">
        <v>541</v>
      </c>
      <c r="C520" s="61" t="s">
        <v>3930</v>
      </c>
      <c r="D520" s="61" t="s">
        <v>3931</v>
      </c>
      <c r="E520" s="61" t="s">
        <v>792</v>
      </c>
      <c r="F520" s="61" t="s">
        <v>793</v>
      </c>
      <c r="G520" s="61" t="s">
        <v>34</v>
      </c>
      <c r="H520" s="61" t="s">
        <v>3679</v>
      </c>
      <c r="I520" s="61" t="s">
        <v>4270</v>
      </c>
      <c r="J520" s="61" t="s">
        <v>613</v>
      </c>
      <c r="K520" s="61" t="s">
        <v>3932</v>
      </c>
      <c r="L520" s="61" t="s">
        <v>2015</v>
      </c>
      <c r="M520" s="61">
        <v>43122367</v>
      </c>
      <c r="N520" s="61">
        <v>6045</v>
      </c>
      <c r="O520" s="61" t="s">
        <v>1106</v>
      </c>
      <c r="P520" s="61" t="s">
        <v>4255</v>
      </c>
      <c r="Q520" s="61" t="s">
        <v>908</v>
      </c>
      <c r="R520" s="61" t="s">
        <v>828</v>
      </c>
      <c r="S520" s="61" t="s">
        <v>3923</v>
      </c>
      <c r="T520" s="61">
        <v>1.663</v>
      </c>
      <c r="U520" s="61" t="s">
        <v>687</v>
      </c>
      <c r="V520" s="61" t="s">
        <v>903</v>
      </c>
      <c r="W520" s="61">
        <v>43122367</v>
      </c>
      <c r="X520" s="61" t="s">
        <v>968</v>
      </c>
      <c r="Y520" s="61" t="s">
        <v>108</v>
      </c>
      <c r="Z520" s="61" t="s">
        <v>108</v>
      </c>
      <c r="AA520" s="61" t="s">
        <v>108</v>
      </c>
      <c r="AB520" s="61" t="s">
        <v>1701</v>
      </c>
      <c r="AC520" s="61" t="s">
        <v>830</v>
      </c>
      <c r="AD520" s="61" t="s">
        <v>831</v>
      </c>
      <c r="AE520" s="61" t="s">
        <v>612</v>
      </c>
      <c r="AF520" s="61" t="s">
        <v>2054</v>
      </c>
      <c r="AG520" s="61" t="s">
        <v>34</v>
      </c>
      <c r="AH520" s="61" t="s">
        <v>34</v>
      </c>
      <c r="AI520" s="61" t="s">
        <v>34</v>
      </c>
      <c r="AJ520" s="61" t="s">
        <v>34</v>
      </c>
      <c r="AK520" s="61" t="s">
        <v>832</v>
      </c>
      <c r="AL520" s="61" t="s">
        <v>34</v>
      </c>
      <c r="AM520" s="61" t="s">
        <v>3442</v>
      </c>
      <c r="AN520" s="490">
        <v>0</v>
      </c>
      <c r="AO520" s="490">
        <v>0</v>
      </c>
      <c r="AP520" s="61"/>
    </row>
    <row r="521" spans="1:42" x14ac:dyDescent="0.2">
      <c r="A521" s="61">
        <v>520</v>
      </c>
      <c r="B521" s="61" t="s">
        <v>543</v>
      </c>
      <c r="C521" s="61" t="s">
        <v>494</v>
      </c>
      <c r="D521" s="61" t="s">
        <v>2942</v>
      </c>
      <c r="E521" s="61" t="s">
        <v>2417</v>
      </c>
      <c r="F521" s="61" t="s">
        <v>717</v>
      </c>
      <c r="G521" s="61" t="s">
        <v>34</v>
      </c>
      <c r="H521" s="61" t="s">
        <v>835</v>
      </c>
      <c r="I521" s="61" t="s">
        <v>4270</v>
      </c>
      <c r="J521" s="61" t="s">
        <v>613</v>
      </c>
      <c r="K521" s="61" t="s">
        <v>2425</v>
      </c>
      <c r="L521" s="61" t="s">
        <v>2426</v>
      </c>
      <c r="M521" s="61">
        <v>53161</v>
      </c>
      <c r="N521" s="61" t="s">
        <v>494</v>
      </c>
      <c r="O521" s="61" t="s">
        <v>1106</v>
      </c>
      <c r="P521" s="61" t="s">
        <v>1086</v>
      </c>
      <c r="Q521" s="61" t="s">
        <v>1086</v>
      </c>
      <c r="R521" s="61" t="s">
        <v>892</v>
      </c>
      <c r="S521" s="61" t="s">
        <v>2427</v>
      </c>
      <c r="T521" s="61">
        <v>653.29999999999995</v>
      </c>
      <c r="U521" s="61" t="s">
        <v>687</v>
      </c>
      <c r="V521" s="61" t="s">
        <v>2428</v>
      </c>
      <c r="W521" s="61" t="s">
        <v>2428</v>
      </c>
      <c r="X521" s="61" t="s">
        <v>1718</v>
      </c>
      <c r="Y521" s="61" t="s">
        <v>2429</v>
      </c>
      <c r="Z521" s="61" t="s">
        <v>2429</v>
      </c>
      <c r="AA521" s="61" t="s">
        <v>908</v>
      </c>
      <c r="AB521" s="61" t="s">
        <v>2430</v>
      </c>
      <c r="AC521" s="61" t="s">
        <v>830</v>
      </c>
      <c r="AD521" s="61" t="s">
        <v>831</v>
      </c>
      <c r="AE521" s="61" t="s">
        <v>612</v>
      </c>
      <c r="AF521" s="61" t="s">
        <v>34</v>
      </c>
      <c r="AG521" s="61" t="s">
        <v>34</v>
      </c>
      <c r="AH521" s="61" t="s">
        <v>34</v>
      </c>
      <c r="AI521" s="61" t="s">
        <v>34</v>
      </c>
      <c r="AJ521" s="61" t="s">
        <v>34</v>
      </c>
      <c r="AK521" s="61" t="s">
        <v>832</v>
      </c>
      <c r="AL521" s="61" t="s">
        <v>34</v>
      </c>
      <c r="AM521" s="61" t="s">
        <v>3458</v>
      </c>
      <c r="AN521" s="490">
        <v>0</v>
      </c>
      <c r="AO521" s="490">
        <v>0</v>
      </c>
      <c r="AP521" s="61"/>
    </row>
    <row r="522" spans="1:42" x14ac:dyDescent="0.2">
      <c r="A522" s="61">
        <v>521</v>
      </c>
      <c r="B522" s="61" t="s">
        <v>543</v>
      </c>
      <c r="C522" s="61" t="s">
        <v>485</v>
      </c>
      <c r="D522" s="61" t="s">
        <v>2943</v>
      </c>
      <c r="E522" s="61" t="s">
        <v>2417</v>
      </c>
      <c r="F522" s="61" t="s">
        <v>717</v>
      </c>
      <c r="G522" s="61" t="s">
        <v>34</v>
      </c>
      <c r="H522" s="61" t="s">
        <v>835</v>
      </c>
      <c r="I522" s="61" t="s">
        <v>4270</v>
      </c>
      <c r="J522" s="61" t="s">
        <v>613</v>
      </c>
      <c r="K522" s="61" t="s">
        <v>2418</v>
      </c>
      <c r="L522" s="61" t="s">
        <v>2419</v>
      </c>
      <c r="M522" s="61" t="s">
        <v>2420</v>
      </c>
      <c r="N522" s="61" t="s">
        <v>709</v>
      </c>
      <c r="O522" s="61" t="s">
        <v>1106</v>
      </c>
      <c r="P522" s="61" t="s">
        <v>2421</v>
      </c>
      <c r="Q522" s="61" t="s">
        <v>2209</v>
      </c>
      <c r="R522" s="61" t="s">
        <v>828</v>
      </c>
      <c r="S522" s="61" t="s">
        <v>2422</v>
      </c>
      <c r="T522" s="61">
        <v>68</v>
      </c>
      <c r="U522" s="61" t="s">
        <v>687</v>
      </c>
      <c r="V522" s="61" t="s">
        <v>2423</v>
      </c>
      <c r="W522" s="61" t="s">
        <v>1176</v>
      </c>
      <c r="X522" s="61" t="s">
        <v>937</v>
      </c>
      <c r="Y522" s="61" t="s">
        <v>108</v>
      </c>
      <c r="Z522" s="61" t="s">
        <v>108</v>
      </c>
      <c r="AA522" s="61" t="s">
        <v>108</v>
      </c>
      <c r="AB522" s="61" t="s">
        <v>2424</v>
      </c>
      <c r="AC522" s="61" t="s">
        <v>830</v>
      </c>
      <c r="AD522" s="61" t="s">
        <v>831</v>
      </c>
      <c r="AE522" s="61" t="s">
        <v>612</v>
      </c>
      <c r="AF522" s="61" t="s">
        <v>34</v>
      </c>
      <c r="AG522" s="61" t="s">
        <v>34</v>
      </c>
      <c r="AH522" s="61" t="s">
        <v>34</v>
      </c>
      <c r="AI522" s="61" t="s">
        <v>34</v>
      </c>
      <c r="AJ522" s="61" t="s">
        <v>34</v>
      </c>
      <c r="AK522" s="61" t="s">
        <v>832</v>
      </c>
      <c r="AL522" s="61" t="s">
        <v>34</v>
      </c>
      <c r="AM522" s="61" t="s">
        <v>3441</v>
      </c>
      <c r="AN522" s="490"/>
      <c r="AO522" s="490"/>
      <c r="AP522" s="61"/>
    </row>
    <row r="523" spans="1:42" x14ac:dyDescent="0.2">
      <c r="A523" s="61">
        <v>522</v>
      </c>
      <c r="B523" s="61" t="s">
        <v>543</v>
      </c>
      <c r="C523" s="61" t="s">
        <v>3733</v>
      </c>
      <c r="D523" s="61" t="s">
        <v>3736</v>
      </c>
      <c r="E523" s="61" t="s">
        <v>2417</v>
      </c>
      <c r="F523" s="61" t="s">
        <v>717</v>
      </c>
      <c r="G523" s="61" t="s">
        <v>34</v>
      </c>
      <c r="H523" s="61" t="s">
        <v>835</v>
      </c>
      <c r="I523" s="61" t="s">
        <v>4270</v>
      </c>
      <c r="J523" s="61" t="s">
        <v>613</v>
      </c>
      <c r="K523" s="61" t="s">
        <v>487</v>
      </c>
      <c r="L523" s="61" t="s">
        <v>3728</v>
      </c>
      <c r="M523" s="61" t="s">
        <v>3734</v>
      </c>
      <c r="N523" s="61" t="s">
        <v>3733</v>
      </c>
      <c r="O523" s="61" t="s">
        <v>1106</v>
      </c>
      <c r="P523" s="61" t="s">
        <v>1086</v>
      </c>
      <c r="Q523" s="61" t="s">
        <v>1086</v>
      </c>
      <c r="R523" s="61" t="s">
        <v>892</v>
      </c>
      <c r="S523" s="61" t="s">
        <v>3730</v>
      </c>
      <c r="T523" s="61">
        <v>29.17</v>
      </c>
      <c r="U523" s="61" t="s">
        <v>687</v>
      </c>
      <c r="V523" s="61" t="s">
        <v>3731</v>
      </c>
      <c r="W523" s="61" t="s">
        <v>3735</v>
      </c>
      <c r="X523" s="61" t="s">
        <v>1718</v>
      </c>
      <c r="Y523" s="61" t="s">
        <v>108</v>
      </c>
      <c r="Z523" s="61" t="s">
        <v>108</v>
      </c>
      <c r="AA523" s="61" t="s">
        <v>108</v>
      </c>
      <c r="AB523" s="61" t="s">
        <v>2430</v>
      </c>
      <c r="AC523" s="61" t="s">
        <v>830</v>
      </c>
      <c r="AD523" s="61" t="s">
        <v>831</v>
      </c>
      <c r="AE523" s="61" t="s">
        <v>612</v>
      </c>
      <c r="AF523" s="61" t="s">
        <v>34</v>
      </c>
      <c r="AG523" s="61" t="s">
        <v>34</v>
      </c>
      <c r="AH523" s="61" t="s">
        <v>34</v>
      </c>
      <c r="AI523" s="61" t="s">
        <v>34</v>
      </c>
      <c r="AJ523" s="61" t="s">
        <v>34</v>
      </c>
      <c r="AK523" s="61" t="s">
        <v>832</v>
      </c>
      <c r="AL523" s="61" t="s">
        <v>34</v>
      </c>
      <c r="AM523" s="61" t="s">
        <v>3458</v>
      </c>
      <c r="AN523" s="490"/>
      <c r="AO523" s="490"/>
      <c r="AP523" s="61"/>
    </row>
    <row r="524" spans="1:42" x14ac:dyDescent="0.2">
      <c r="A524" s="61">
        <v>523</v>
      </c>
      <c r="B524" s="61" t="s">
        <v>543</v>
      </c>
      <c r="C524" s="61" t="s">
        <v>3727</v>
      </c>
      <c r="D524" s="61" t="s">
        <v>3737</v>
      </c>
      <c r="E524" s="61" t="s">
        <v>2417</v>
      </c>
      <c r="F524" s="61" t="s">
        <v>717</v>
      </c>
      <c r="G524" s="61" t="s">
        <v>34</v>
      </c>
      <c r="H524" s="61" t="s">
        <v>835</v>
      </c>
      <c r="I524" s="61" t="s">
        <v>4270</v>
      </c>
      <c r="J524" s="61" t="s">
        <v>613</v>
      </c>
      <c r="K524" s="61" t="s">
        <v>487</v>
      </c>
      <c r="L524" s="61" t="s">
        <v>3728</v>
      </c>
      <c r="M524" s="61" t="s">
        <v>3729</v>
      </c>
      <c r="N524" s="61" t="s">
        <v>3727</v>
      </c>
      <c r="O524" s="61" t="s">
        <v>1106</v>
      </c>
      <c r="P524" s="61" t="s">
        <v>1086</v>
      </c>
      <c r="Q524" s="61" t="s">
        <v>1086</v>
      </c>
      <c r="R524" s="61" t="s">
        <v>892</v>
      </c>
      <c r="S524" s="61" t="s">
        <v>3730</v>
      </c>
      <c r="T524" s="61">
        <v>29.17</v>
      </c>
      <c r="U524" s="61" t="s">
        <v>687</v>
      </c>
      <c r="V524" s="61" t="s">
        <v>3731</v>
      </c>
      <c r="W524" s="61" t="s">
        <v>3732</v>
      </c>
      <c r="X524" s="61" t="s">
        <v>1718</v>
      </c>
      <c r="Y524" s="61" t="s">
        <v>108</v>
      </c>
      <c r="Z524" s="61" t="s">
        <v>108</v>
      </c>
      <c r="AA524" s="61" t="s">
        <v>108</v>
      </c>
      <c r="AB524" s="61" t="s">
        <v>2430</v>
      </c>
      <c r="AC524" s="61" t="s">
        <v>830</v>
      </c>
      <c r="AD524" s="61" t="s">
        <v>831</v>
      </c>
      <c r="AE524" s="61" t="s">
        <v>612</v>
      </c>
      <c r="AF524" s="61" t="s">
        <v>34</v>
      </c>
      <c r="AG524" s="61" t="s">
        <v>34</v>
      </c>
      <c r="AH524" s="61" t="s">
        <v>34</v>
      </c>
      <c r="AI524" s="61" t="s">
        <v>34</v>
      </c>
      <c r="AJ524" s="61" t="s">
        <v>34</v>
      </c>
      <c r="AK524" s="61" t="s">
        <v>832</v>
      </c>
      <c r="AL524" s="61" t="s">
        <v>34</v>
      </c>
      <c r="AM524" s="61" t="s">
        <v>3458</v>
      </c>
      <c r="AN524" s="490"/>
      <c r="AO524" s="490"/>
      <c r="AP524" s="61"/>
    </row>
    <row r="525" spans="1:42" x14ac:dyDescent="0.2">
      <c r="AN525" s="416"/>
      <c r="AO525" s="416"/>
    </row>
    <row r="526" spans="1:42" x14ac:dyDescent="0.2">
      <c r="AN526" s="416"/>
      <c r="AO526" s="416"/>
    </row>
    <row r="527" spans="1:42" x14ac:dyDescent="0.2">
      <c r="AN527" s="416"/>
      <c r="AO527" s="416"/>
    </row>
    <row r="528" spans="1:42" x14ac:dyDescent="0.2">
      <c r="AN528" s="416"/>
      <c r="AO528" s="416"/>
    </row>
    <row r="529" spans="40:41" x14ac:dyDescent="0.2">
      <c r="AN529" s="416"/>
      <c r="AO529" s="416"/>
    </row>
    <row r="530" spans="40:41" x14ac:dyDescent="0.2">
      <c r="AN530" s="416"/>
      <c r="AO530" s="416"/>
    </row>
    <row r="531" spans="40:41" x14ac:dyDescent="0.2">
      <c r="AN531" s="416"/>
      <c r="AO531" s="416"/>
    </row>
    <row r="532" spans="40:41" x14ac:dyDescent="0.2">
      <c r="AN532" s="416"/>
      <c r="AO532" s="416"/>
    </row>
    <row r="533" spans="40:41" x14ac:dyDescent="0.2">
      <c r="AN533" s="416"/>
      <c r="AO533" s="416"/>
    </row>
    <row r="534" spans="40:41" x14ac:dyDescent="0.2">
      <c r="AN534" s="416"/>
      <c r="AO534" s="416"/>
    </row>
    <row r="535" spans="40:41" x14ac:dyDescent="0.2">
      <c r="AN535" s="416"/>
      <c r="AO535" s="416"/>
    </row>
    <row r="536" spans="40:41" x14ac:dyDescent="0.2">
      <c r="AN536" s="416"/>
      <c r="AO536" s="416"/>
    </row>
    <row r="537" spans="40:41" x14ac:dyDescent="0.2">
      <c r="AN537" s="416"/>
      <c r="AO537" s="416"/>
    </row>
    <row r="538" spans="40:41" x14ac:dyDescent="0.2">
      <c r="AN538" s="416"/>
      <c r="AO538" s="416"/>
    </row>
    <row r="539" spans="40:41" x14ac:dyDescent="0.2">
      <c r="AN539" s="416"/>
      <c r="AO539" s="416"/>
    </row>
    <row r="540" spans="40:41" x14ac:dyDescent="0.2">
      <c r="AN540" s="416"/>
      <c r="AO540" s="416"/>
    </row>
    <row r="541" spans="40:41" x14ac:dyDescent="0.2">
      <c r="AN541" s="416"/>
      <c r="AO541" s="416"/>
    </row>
    <row r="542" spans="40:41" x14ac:dyDescent="0.2">
      <c r="AN542" s="416"/>
      <c r="AO542" s="416"/>
    </row>
    <row r="543" spans="40:41" x14ac:dyDescent="0.2">
      <c r="AN543" s="416"/>
      <c r="AO543" s="416"/>
    </row>
    <row r="544" spans="40:41" x14ac:dyDescent="0.2">
      <c r="AN544" s="416"/>
      <c r="AO544" s="416"/>
    </row>
    <row r="545" spans="40:41" x14ac:dyDescent="0.2">
      <c r="AN545" s="416"/>
      <c r="AO545" s="416"/>
    </row>
    <row r="546" spans="40:41" x14ac:dyDescent="0.2">
      <c r="AN546" s="416"/>
      <c r="AO546" s="416"/>
    </row>
    <row r="547" spans="40:41" x14ac:dyDescent="0.2">
      <c r="AN547" s="416"/>
      <c r="AO547" s="416"/>
    </row>
    <row r="548" spans="40:41" x14ac:dyDescent="0.2">
      <c r="AN548" s="416"/>
      <c r="AO548" s="416"/>
    </row>
    <row r="549" spans="40:41" x14ac:dyDescent="0.2">
      <c r="AN549" s="416"/>
      <c r="AO549" s="416"/>
    </row>
    <row r="550" spans="40:41" x14ac:dyDescent="0.2">
      <c r="AN550" s="416"/>
      <c r="AO550" s="416"/>
    </row>
    <row r="551" spans="40:41" x14ac:dyDescent="0.2">
      <c r="AN551" s="416"/>
      <c r="AO551" s="416"/>
    </row>
    <row r="552" spans="40:41" x14ac:dyDescent="0.2">
      <c r="AN552" s="416"/>
      <c r="AO552" s="416"/>
    </row>
    <row r="553" spans="40:41" x14ac:dyDescent="0.2">
      <c r="AN553" s="416"/>
      <c r="AO553" s="416"/>
    </row>
    <row r="554" spans="40:41" x14ac:dyDescent="0.2">
      <c r="AN554" s="416"/>
      <c r="AO554" s="416"/>
    </row>
    <row r="555" spans="40:41" x14ac:dyDescent="0.2">
      <c r="AN555" s="416"/>
      <c r="AO555" s="416"/>
    </row>
    <row r="556" spans="40:41" x14ac:dyDescent="0.2">
      <c r="AN556" s="416"/>
      <c r="AO556" s="416"/>
    </row>
    <row r="557" spans="40:41" x14ac:dyDescent="0.2">
      <c r="AN557" s="416"/>
      <c r="AO557" s="416"/>
    </row>
    <row r="558" spans="40:41" x14ac:dyDescent="0.2">
      <c r="AN558" s="416"/>
      <c r="AO558" s="416"/>
    </row>
    <row r="559" spans="40:41" x14ac:dyDescent="0.2">
      <c r="AN559" s="416"/>
      <c r="AO559" s="416"/>
    </row>
    <row r="560" spans="40:41" x14ac:dyDescent="0.2">
      <c r="AN560" s="416"/>
      <c r="AO560" s="416"/>
    </row>
    <row r="561" spans="40:41" x14ac:dyDescent="0.2">
      <c r="AN561" s="416"/>
      <c r="AO561" s="416"/>
    </row>
    <row r="562" spans="40:41" x14ac:dyDescent="0.2">
      <c r="AN562" s="416"/>
      <c r="AO562" s="416"/>
    </row>
    <row r="563" spans="40:41" x14ac:dyDescent="0.2">
      <c r="AN563" s="416"/>
      <c r="AO563" s="416"/>
    </row>
    <row r="564" spans="40:41" x14ac:dyDescent="0.2">
      <c r="AN564" s="416"/>
      <c r="AO564" s="416"/>
    </row>
    <row r="565" spans="40:41" x14ac:dyDescent="0.2">
      <c r="AN565" s="416"/>
      <c r="AO565" s="416"/>
    </row>
    <row r="566" spans="40:41" x14ac:dyDescent="0.2">
      <c r="AN566" s="416"/>
      <c r="AO566" s="416"/>
    </row>
    <row r="567" spans="40:41" x14ac:dyDescent="0.2">
      <c r="AN567" s="416"/>
      <c r="AO567" s="416"/>
    </row>
    <row r="568" spans="40:41" x14ac:dyDescent="0.2">
      <c r="AN568" s="416"/>
      <c r="AO568" s="416"/>
    </row>
    <row r="569" spans="40:41" x14ac:dyDescent="0.2">
      <c r="AN569" s="416"/>
      <c r="AO569" s="416"/>
    </row>
    <row r="570" spans="40:41" x14ac:dyDescent="0.2">
      <c r="AN570" s="416"/>
      <c r="AO570" s="416"/>
    </row>
    <row r="571" spans="40:41" x14ac:dyDescent="0.2">
      <c r="AN571" s="416"/>
      <c r="AO571" s="416"/>
    </row>
    <row r="572" spans="40:41" x14ac:dyDescent="0.2">
      <c r="AN572" s="416"/>
      <c r="AO572" s="416"/>
    </row>
    <row r="573" spans="40:41" x14ac:dyDescent="0.2">
      <c r="AN573" s="416"/>
      <c r="AO573" s="416"/>
    </row>
    <row r="574" spans="40:41" x14ac:dyDescent="0.2">
      <c r="AN574" s="416"/>
      <c r="AO574" s="416"/>
    </row>
    <row r="575" spans="40:41" x14ac:dyDescent="0.2">
      <c r="AN575" s="416"/>
      <c r="AO575" s="416"/>
    </row>
    <row r="576" spans="40:41" x14ac:dyDescent="0.2">
      <c r="AN576" s="416"/>
      <c r="AO576" s="416"/>
    </row>
    <row r="577" spans="40:41" x14ac:dyDescent="0.2">
      <c r="AN577" s="416"/>
      <c r="AO577" s="416"/>
    </row>
    <row r="578" spans="40:41" x14ac:dyDescent="0.2">
      <c r="AN578" s="416"/>
      <c r="AO578" s="416"/>
    </row>
    <row r="579" spans="40:41" x14ac:dyDescent="0.2">
      <c r="AN579" s="416"/>
      <c r="AO579" s="416"/>
    </row>
  </sheetData>
  <sheetProtection algorithmName="SHA-512" hashValue="sLOV90psYZLKU5YSUzRR2YUZJ6ZcSPCwKr2ZDhpPWpSnGUxtaT9bHlo5SBSWt/WNkfYvz0vqPXVv3mkxBNvcKQ==" saltValue="uOFvpXu6c41jt7uatPzd1Q==" spinCount="100000" sheet="1" objects="1" scenarios="1" autoFilter="0"/>
  <dataValidations disablePrompts="1"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104</v>
      </c>
      <c r="G1" s="149"/>
      <c r="H1" s="149"/>
      <c r="I1" s="149"/>
      <c r="J1" s="149"/>
      <c r="K1" s="149"/>
      <c r="L1" s="149"/>
      <c r="M1" s="149"/>
      <c r="N1" s="149"/>
      <c r="O1" s="149"/>
      <c r="P1" s="142" t="str">
        <f>IF(Main!$E$30="","A10",ADDRESS(13+(MATCH(Main!$E$30,Data_Sheet!$A$14:$A$903,0)),1,4))</f>
        <v>A10</v>
      </c>
      <c r="Q1" s="134"/>
    </row>
    <row r="2" spans="1:18" x14ac:dyDescent="0.2">
      <c r="B2" s="148">
        <f>Main!$D$19</f>
        <v>0</v>
      </c>
      <c r="C2" s="142">
        <f>$B$1+$B$2</f>
        <v>0</v>
      </c>
      <c r="D2" s="142">
        <f>(Main!$D$19)/2</f>
        <v>0</v>
      </c>
      <c r="E2" s="142">
        <f>B1+D2</f>
        <v>0</v>
      </c>
      <c r="F2" s="149"/>
      <c r="G2" s="149"/>
      <c r="H2" s="149"/>
      <c r="I2" s="174" t="s">
        <v>264</v>
      </c>
      <c r="J2" s="149"/>
      <c r="K2" s="149"/>
      <c r="L2" s="149"/>
      <c r="M2" s="679" t="s">
        <v>131</v>
      </c>
      <c r="N2" s="679"/>
      <c r="O2" s="679"/>
      <c r="P2" s="151" t="str">
        <f>IF(Main!$E$30="","A10",ADDRESS(13+Standards_Info!W2+(MATCH(Main!$E$30,Data_Sheet!$A$14:$A$903,0)),1,4))</f>
        <v>A10</v>
      </c>
      <c r="Q2" s="134"/>
    </row>
    <row r="3" spans="1:18" ht="14.25" x14ac:dyDescent="0.2">
      <c r="B3" s="152" t="s">
        <v>0</v>
      </c>
      <c r="C3" s="147"/>
      <c r="D3" s="134"/>
      <c r="E3" s="134"/>
      <c r="F3" s="134"/>
      <c r="G3" s="134"/>
      <c r="H3" s="134"/>
      <c r="I3" s="134"/>
      <c r="J3" s="134"/>
      <c r="K3" s="134"/>
      <c r="L3" s="134"/>
      <c r="M3" s="680" t="s">
        <v>132</v>
      </c>
      <c r="N3" s="681"/>
      <c r="O3" s="682"/>
      <c r="P3" s="134"/>
      <c r="Q3" s="134"/>
    </row>
    <row r="4" spans="1:18" ht="15" x14ac:dyDescent="0.25">
      <c r="B4" s="144" t="s">
        <v>37</v>
      </c>
      <c r="C4" s="86"/>
      <c r="D4" s="44"/>
      <c r="E4" s="44"/>
      <c r="F4" s="44"/>
      <c r="G4" s="44"/>
      <c r="H4" s="44"/>
      <c r="I4" s="44"/>
      <c r="J4" s="44"/>
      <c r="K4" s="44"/>
      <c r="L4" s="44"/>
      <c r="M4" s="683" t="s">
        <v>174</v>
      </c>
      <c r="N4" s="684"/>
      <c r="O4" s="685"/>
      <c r="P4" s="116"/>
    </row>
    <row r="5" spans="1:18" x14ac:dyDescent="0.2">
      <c r="B5" s="145" t="s">
        <v>38</v>
      </c>
      <c r="C5" s="80">
        <f>Main!D3</f>
        <v>0</v>
      </c>
      <c r="D5" s="44"/>
      <c r="E5" s="44"/>
      <c r="F5" s="44"/>
      <c r="G5" s="44"/>
      <c r="H5" s="44"/>
      <c r="I5" s="78" t="s">
        <v>9</v>
      </c>
      <c r="J5" s="44" t="str">
        <f>Main!D5</f>
        <v>CHROME PLUS INT'L - WICHITA</v>
      </c>
      <c r="L5" s="44"/>
      <c r="M5" s="686" t="s">
        <v>173</v>
      </c>
      <c r="N5" s="687"/>
      <c r="O5" s="688"/>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c r="P6" s="117"/>
    </row>
    <row r="7" spans="1:18" ht="13.5" thickBot="1" x14ac:dyDescent="0.25">
      <c r="B7" s="145" t="s">
        <v>39</v>
      </c>
      <c r="C7" s="81">
        <f>Main!D7</f>
        <v>0</v>
      </c>
      <c r="D7" s="44"/>
      <c r="E7" s="44"/>
      <c r="F7" s="44"/>
      <c r="G7" s="44"/>
      <c r="H7" s="44"/>
      <c r="I7" s="83" t="s">
        <v>200</v>
      </c>
      <c r="J7" s="677">
        <f>Main!$D$30</f>
        <v>0</v>
      </c>
      <c r="K7" s="678"/>
      <c r="L7" s="131"/>
      <c r="M7" s="676" t="s">
        <v>171</v>
      </c>
      <c r="N7" s="676"/>
      <c r="O7" s="676"/>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4USXNjpbdanswgMANNL3+IveQW+M4JJfuGA8kiQx5FrIvJ3/xKa/u6HsCD6iYZHJ8zJKeeSG6bEJw+FXuw856w==" saltValue="iwYv90hRU4KeuLaZmWKLD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48">
        <f>Main!$D$16</f>
        <v>0</v>
      </c>
      <c r="C1" s="142">
        <f>$B$1-$B$2</f>
        <v>0</v>
      </c>
      <c r="D1" s="142"/>
      <c r="E1" s="148">
        <f>B1-D2</f>
        <v>0</v>
      </c>
      <c r="F1" s="38" t="s">
        <v>103</v>
      </c>
      <c r="P1" s="142" t="str">
        <f>IF(Main!$E$30="","A10",ADDRESS(13+(MATCH(Main!$E$30,Data_Sheet!$A$14:$A$903,0)),1,4))</f>
        <v>A10</v>
      </c>
    </row>
    <row r="2" spans="1:16" x14ac:dyDescent="0.2">
      <c r="B2" s="148">
        <f>Main!$D$19</f>
        <v>0</v>
      </c>
      <c r="C2" s="142">
        <f>$B$1+$B$2</f>
        <v>0</v>
      </c>
      <c r="D2" s="142">
        <f>(Main!$D$19)/2</f>
        <v>0</v>
      </c>
      <c r="E2" s="148">
        <f>B1+D2</f>
        <v>0</v>
      </c>
      <c r="I2" s="99" t="s">
        <v>264</v>
      </c>
      <c r="M2" s="692" t="s">
        <v>131</v>
      </c>
      <c r="N2" s="692"/>
      <c r="O2" s="692"/>
      <c r="P2" s="142" t="str">
        <f>IF(Main!$E$30="","A10",ADDRESS(13+Standards_Info!W2+(MATCH(Main!$E$30,Data_Sheet!$A$14:$A$903,0)),1,4))</f>
        <v>A10</v>
      </c>
    </row>
    <row r="3" spans="1:16" ht="15" x14ac:dyDescent="0.25">
      <c r="B3" s="157" t="s">
        <v>0</v>
      </c>
      <c r="C3" s="4"/>
      <c r="M3" s="680" t="s">
        <v>132</v>
      </c>
      <c r="N3" s="681"/>
      <c r="O3" s="682"/>
      <c r="P3" s="47"/>
    </row>
    <row r="4" spans="1:16" ht="15" x14ac:dyDescent="0.25">
      <c r="B4" s="144" t="s">
        <v>37</v>
      </c>
      <c r="C4" s="5"/>
      <c r="M4" s="683" t="s">
        <v>174</v>
      </c>
      <c r="N4" s="684"/>
      <c r="O4" s="685"/>
    </row>
    <row r="5" spans="1:16" x14ac:dyDescent="0.2">
      <c r="B5" s="145" t="s">
        <v>38</v>
      </c>
      <c r="C5" s="80">
        <f>Main!D3</f>
        <v>0</v>
      </c>
      <c r="D5" s="44"/>
      <c r="E5" s="44"/>
      <c r="F5" s="44"/>
      <c r="G5" s="44"/>
      <c r="H5" s="44"/>
      <c r="I5" s="78" t="s">
        <v>9</v>
      </c>
      <c r="J5" t="str">
        <f>Main!D5</f>
        <v>CHROME PLUS INT'L - WICHITA</v>
      </c>
      <c r="M5" s="693" t="s">
        <v>173</v>
      </c>
      <c r="N5" s="694"/>
      <c r="O5" s="695"/>
    </row>
    <row r="6" spans="1:16" ht="13.5" thickBot="1" x14ac:dyDescent="0.25">
      <c r="B6" s="145" t="s">
        <v>7</v>
      </c>
      <c r="C6" s="81" t="str">
        <f>Main!D6</f>
        <v>DESPATCH RS4HD Temperature Uniformity Survey, 10 points</v>
      </c>
      <c r="D6" s="44"/>
      <c r="E6" s="44"/>
      <c r="F6" s="44"/>
      <c r="G6" s="44"/>
      <c r="H6" s="44"/>
      <c r="I6" s="78" t="s">
        <v>10</v>
      </c>
      <c r="J6" s="46">
        <f>Main!D16</f>
        <v>0</v>
      </c>
      <c r="M6" s="689" t="s">
        <v>172</v>
      </c>
      <c r="N6" s="690"/>
      <c r="O6" s="691"/>
    </row>
    <row r="7" spans="1:16" ht="13.5" thickBot="1" x14ac:dyDescent="0.25">
      <c r="B7" s="145" t="s">
        <v>39</v>
      </c>
      <c r="C7" s="81">
        <f>Main!D7</f>
        <v>0</v>
      </c>
      <c r="D7" s="44"/>
      <c r="E7" s="44"/>
      <c r="F7" s="44"/>
      <c r="G7" s="44"/>
      <c r="H7" s="44"/>
      <c r="I7" s="83" t="s">
        <v>200</v>
      </c>
      <c r="J7" s="677">
        <f>Main!$D$30</f>
        <v>0</v>
      </c>
      <c r="K7" s="678"/>
      <c r="L7" s="131"/>
      <c r="M7" s="676" t="s">
        <v>171</v>
      </c>
      <c r="N7" s="676"/>
      <c r="O7" s="676"/>
    </row>
    <row r="8" spans="1:16" x14ac:dyDescent="0.2">
      <c r="B8" s="145"/>
      <c r="C8" s="81"/>
      <c r="D8" s="44"/>
      <c r="E8" s="44"/>
      <c r="F8" s="44"/>
      <c r="G8" s="44"/>
      <c r="I8" s="83"/>
      <c r="J8" s="154"/>
      <c r="K8" s="154"/>
      <c r="L8" s="131"/>
      <c r="M8" s="155"/>
      <c r="N8" s="155"/>
      <c r="O8" s="155"/>
    </row>
    <row r="9" spans="1:16" x14ac:dyDescent="0.2">
      <c r="B9" s="145"/>
      <c r="C9" s="81"/>
      <c r="D9" s="44"/>
      <c r="E9" s="44"/>
      <c r="F9" s="44"/>
      <c r="G9" s="44"/>
      <c r="I9" s="158" t="str">
        <f>IF(Main!K15="SIM Load Hot",Main!N59,"")</f>
        <v/>
      </c>
      <c r="J9" s="156"/>
      <c r="K9" s="154"/>
      <c r="L9" s="131"/>
      <c r="M9" s="155"/>
      <c r="N9" s="155"/>
      <c r="O9" s="155"/>
    </row>
    <row r="10" spans="1:16" s="88" customFormat="1" x14ac:dyDescent="0.2">
      <c r="A10" s="132"/>
      <c r="B10" s="146"/>
      <c r="I10" s="158" t="str">
        <f>IF(OR(Main!E60="",Main!K60=""),IF(OR(Main!E61="",Main!K61=""),"",Main!N61),Main!N60)</f>
        <v/>
      </c>
    </row>
    <row r="11" spans="1:16" s="88" customFormat="1" x14ac:dyDescent="0.2">
      <c r="A11" s="132"/>
      <c r="B11" s="146"/>
      <c r="I11" s="158"/>
    </row>
    <row r="12" spans="1:16"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6"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6"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Yov5vKm64+mtC1rH9f9PTLsuD3soTX0OGGvigC+cdMLDoXvrxvmzPlCReFXTHYCvBuK7myfGfvRH1RyuMlyURA==" saltValue="QzalRWwlNXAeieVPPKvbs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1"/>
      <c r="B1" s="148">
        <f>Main!$D$16</f>
        <v>0</v>
      </c>
      <c r="C1" s="142">
        <f>$B$1-$B$2</f>
        <v>0</v>
      </c>
      <c r="D1" s="142"/>
      <c r="E1" s="148">
        <f>B1-D2</f>
        <v>0</v>
      </c>
      <c r="F1" s="38" t="s">
        <v>102</v>
      </c>
      <c r="P1" s="47" t="str">
        <f>IF(Main!$E$30="","A10",ADDRESS(13+(MATCH(Main!$E$30,Data_Sheet!$A$14:$A$903,0)),1,4))</f>
        <v>A10</v>
      </c>
    </row>
    <row r="2" spans="1:16" x14ac:dyDescent="0.2">
      <c r="A2" s="141"/>
      <c r="B2" s="148">
        <f>Main!$D$19</f>
        <v>0</v>
      </c>
      <c r="C2" s="142">
        <f>$B$1+$B$2</f>
        <v>0</v>
      </c>
      <c r="D2" s="142">
        <f>(Main!$D$19)/2</f>
        <v>0</v>
      </c>
      <c r="E2" s="148">
        <f>B1+D2</f>
        <v>0</v>
      </c>
      <c r="F2" s="134"/>
      <c r="I2" s="99" t="s">
        <v>264</v>
      </c>
      <c r="M2" s="692" t="s">
        <v>131</v>
      </c>
      <c r="N2" s="692"/>
      <c r="O2" s="692"/>
      <c r="P2" s="47" t="str">
        <f>IF(Main!$E$30="","A10",ADDRESS(13+Standards_Info!W2+(MATCH(Main!$E$30,Data_Sheet!$A$14:$A$903,0)),1,4))</f>
        <v>A10</v>
      </c>
    </row>
    <row r="3" spans="1:16" ht="15" x14ac:dyDescent="0.25">
      <c r="B3" s="157" t="s">
        <v>0</v>
      </c>
      <c r="C3" s="4"/>
      <c r="M3" s="680" t="s">
        <v>132</v>
      </c>
      <c r="N3" s="681"/>
      <c r="O3" s="682"/>
      <c r="P3" s="47"/>
    </row>
    <row r="4" spans="1:16" ht="15" x14ac:dyDescent="0.25">
      <c r="B4" s="144" t="s">
        <v>37</v>
      </c>
      <c r="C4" s="5"/>
      <c r="M4" s="683" t="s">
        <v>174</v>
      </c>
      <c r="N4" s="684"/>
      <c r="O4" s="685"/>
    </row>
    <row r="5" spans="1:16" x14ac:dyDescent="0.2">
      <c r="B5" s="145" t="s">
        <v>38</v>
      </c>
      <c r="C5" s="80">
        <f>Main!D3</f>
        <v>0</v>
      </c>
      <c r="D5" s="44"/>
      <c r="E5" s="44"/>
      <c r="F5" s="44"/>
      <c r="G5" s="44"/>
      <c r="H5" s="44"/>
      <c r="I5" s="78" t="s">
        <v>9</v>
      </c>
      <c r="J5" s="44" t="str">
        <f>Main!D5</f>
        <v>CHROME PLUS INT'L - WICHITA</v>
      </c>
      <c r="L5" s="44"/>
      <c r="M5" s="686" t="s">
        <v>173</v>
      </c>
      <c r="N5" s="687"/>
      <c r="O5" s="688"/>
    </row>
    <row r="6" spans="1:16"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row>
    <row r="7" spans="1:16" ht="13.5" thickBot="1" x14ac:dyDescent="0.25">
      <c r="B7" s="145" t="s">
        <v>39</v>
      </c>
      <c r="C7" s="81">
        <f>Main!D7</f>
        <v>0</v>
      </c>
      <c r="D7" s="44"/>
      <c r="E7" s="44"/>
      <c r="F7" s="44"/>
      <c r="G7" s="44"/>
      <c r="H7" s="44"/>
      <c r="I7" s="83" t="s">
        <v>200</v>
      </c>
      <c r="J7" s="677">
        <f>Main!$D$30</f>
        <v>0</v>
      </c>
      <c r="K7" s="678"/>
      <c r="L7" s="131"/>
      <c r="M7" s="676" t="s">
        <v>171</v>
      </c>
      <c r="N7" s="676"/>
      <c r="O7" s="676"/>
    </row>
    <row r="8" spans="1:16" x14ac:dyDescent="0.2">
      <c r="B8" s="145"/>
      <c r="C8" s="81"/>
      <c r="D8" s="44"/>
      <c r="E8" s="44"/>
      <c r="F8" s="44"/>
      <c r="G8" s="44"/>
      <c r="H8" s="44"/>
      <c r="I8" s="83"/>
      <c r="J8" s="154"/>
      <c r="K8" s="154"/>
      <c r="L8" s="131"/>
      <c r="M8" s="155"/>
      <c r="N8" s="155"/>
      <c r="O8" s="155"/>
    </row>
    <row r="9" spans="1:16" x14ac:dyDescent="0.2">
      <c r="B9" s="145"/>
      <c r="C9" s="81"/>
      <c r="D9" s="44"/>
      <c r="E9" s="44"/>
      <c r="F9" s="44"/>
      <c r="G9" s="44"/>
      <c r="H9" s="44"/>
      <c r="I9" s="158" t="str">
        <f>IF(Main!K15="SIM Load Hot",Main!N59,"")</f>
        <v/>
      </c>
      <c r="J9" s="154"/>
      <c r="K9" s="154"/>
      <c r="L9" s="131"/>
      <c r="M9" s="155"/>
      <c r="N9" s="155"/>
      <c r="O9" s="155"/>
    </row>
    <row r="10" spans="1:16" s="88" customFormat="1" x14ac:dyDescent="0.2">
      <c r="A10" s="132"/>
      <c r="B10" s="166"/>
      <c r="C10" s="167"/>
      <c r="I10" s="158" t="str">
        <f>IF(OR(Main!E60="",Main!K60=""),IF(OR(Main!E61="",Main!K61=""),"",Main!N61),Main!N60)</f>
        <v/>
      </c>
      <c r="J10" s="168"/>
      <c r="K10" s="168"/>
      <c r="L10" s="146"/>
      <c r="M10" s="169"/>
      <c r="N10" s="169"/>
      <c r="O10" s="169"/>
    </row>
    <row r="11" spans="1:16" s="88" customFormat="1" x14ac:dyDescent="0.2">
      <c r="A11" s="132"/>
      <c r="B11" s="146"/>
      <c r="C11" s="162"/>
      <c r="D11" s="162"/>
      <c r="E11" s="162"/>
      <c r="F11" s="162"/>
      <c r="G11" s="162"/>
      <c r="H11" s="162"/>
      <c r="I11" s="162"/>
      <c r="J11" s="162"/>
      <c r="K11" s="162"/>
      <c r="L11" s="162"/>
      <c r="M11" s="162"/>
      <c r="N11" s="162"/>
      <c r="O11" s="162"/>
      <c r="P11" s="162"/>
    </row>
    <row r="12" spans="1:16"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6"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6"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5Tn5fAToc6+kA566OKC7+i5o1rauRixKygP2PzsF1UuTayqHYQI7Mua1DNhyd4KvbCJiCSJx3b8DsfVTZlb5lA==" saltValue="9iIrnaeiqUT0ou0oA+g/a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698">
        <f>Main!D3</f>
        <v>0</v>
      </c>
      <c r="E10" s="698"/>
      <c r="F10" s="698"/>
    </row>
    <row r="11" spans="3:8" ht="15.75" x14ac:dyDescent="0.25">
      <c r="C11" s="103" t="s">
        <v>581</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4"/>
      <c r="D15" s="101"/>
      <c r="E15" s="697" t="s">
        <v>4177</v>
      </c>
      <c r="F15" s="697"/>
      <c r="G15" s="697"/>
      <c r="H15" s="697"/>
    </row>
    <row r="16" spans="3:8" ht="15" x14ac:dyDescent="0.2">
      <c r="C16" s="164"/>
      <c r="D16" s="100"/>
      <c r="E16" s="533" t="s">
        <v>153</v>
      </c>
      <c r="F16" s="533"/>
      <c r="G16" s="533"/>
      <c r="H16" s="533"/>
    </row>
    <row r="17" spans="3:8" ht="15" x14ac:dyDescent="0.2">
      <c r="C17" s="164"/>
      <c r="D17" s="100"/>
      <c r="E17" s="696" t="s">
        <v>154</v>
      </c>
      <c r="F17" s="696"/>
      <c r="G17" s="696"/>
      <c r="H17" s="696"/>
    </row>
    <row r="18" spans="3:8" ht="15" x14ac:dyDescent="0.2">
      <c r="C18" s="164"/>
      <c r="D18" s="100"/>
      <c r="E18" s="696" t="s">
        <v>18</v>
      </c>
      <c r="F18" s="696"/>
      <c r="G18" s="696"/>
      <c r="H18" s="696"/>
    </row>
    <row r="19" spans="3:8" ht="15" x14ac:dyDescent="0.2">
      <c r="C19" s="164"/>
      <c r="D19" s="100"/>
      <c r="E19" s="696" t="s">
        <v>159</v>
      </c>
      <c r="F19" s="696"/>
      <c r="G19" s="696"/>
      <c r="H19" s="696"/>
    </row>
    <row r="20" spans="3:8" ht="15" x14ac:dyDescent="0.2">
      <c r="C20" s="164"/>
      <c r="D20" s="100"/>
      <c r="E20" s="696" t="s">
        <v>156</v>
      </c>
      <c r="F20" s="696"/>
      <c r="G20" s="696"/>
      <c r="H20" s="696"/>
    </row>
    <row r="21" spans="3:8" ht="15" x14ac:dyDescent="0.2">
      <c r="C21" s="164"/>
      <c r="D21" s="100"/>
      <c r="E21" s="696" t="s">
        <v>157</v>
      </c>
      <c r="F21" s="696"/>
      <c r="G21" s="696"/>
      <c r="H21" s="696"/>
    </row>
    <row r="22" spans="3:8" ht="15" x14ac:dyDescent="0.2">
      <c r="C22" s="164"/>
      <c r="D22" s="100"/>
      <c r="E22" s="696" t="s">
        <v>134</v>
      </c>
      <c r="F22" s="696"/>
      <c r="G22" s="696"/>
      <c r="H22" s="696"/>
    </row>
    <row r="23" spans="3:8" ht="15" x14ac:dyDescent="0.2">
      <c r="C23" s="164"/>
      <c r="D23" s="100"/>
      <c r="E23" s="696" t="s">
        <v>158</v>
      </c>
      <c r="F23" s="696"/>
      <c r="G23" s="696"/>
      <c r="H23" s="696"/>
    </row>
    <row r="24" spans="3:8" ht="15" x14ac:dyDescent="0.2">
      <c r="C24" s="109"/>
      <c r="D24" s="100"/>
      <c r="E24" s="696" t="s">
        <v>178</v>
      </c>
      <c r="F24" s="696"/>
      <c r="G24" s="696"/>
      <c r="H24" s="696"/>
    </row>
    <row r="25" spans="3:8" ht="15" x14ac:dyDescent="0.2">
      <c r="C25" s="109"/>
      <c r="D25" s="100"/>
      <c r="E25" s="696"/>
      <c r="F25" s="696"/>
      <c r="G25" s="696"/>
      <c r="H25" s="696"/>
    </row>
    <row r="26" spans="3:8" ht="15" x14ac:dyDescent="0.2">
      <c r="C26" s="109"/>
      <c r="D26" s="100"/>
      <c r="E26" s="696"/>
      <c r="F26" s="696"/>
      <c r="G26" s="696"/>
      <c r="H26" s="696"/>
    </row>
    <row r="27" spans="3:8" ht="15" x14ac:dyDescent="0.2">
      <c r="C27" s="109"/>
      <c r="D27" s="100"/>
      <c r="E27" s="696"/>
      <c r="F27" s="696"/>
      <c r="G27" s="696"/>
      <c r="H27" s="696"/>
    </row>
    <row r="28" spans="3:8" ht="15" x14ac:dyDescent="0.2">
      <c r="C28" s="109"/>
      <c r="D28" s="100"/>
      <c r="E28" s="696"/>
      <c r="F28" s="696"/>
      <c r="G28" s="696"/>
      <c r="H28" s="696"/>
    </row>
    <row r="29" spans="3:8" ht="15" x14ac:dyDescent="0.2">
      <c r="C29" s="109"/>
      <c r="D29" s="100"/>
      <c r="E29" s="696"/>
      <c r="F29" s="696"/>
      <c r="G29" s="696"/>
      <c r="H29" s="696"/>
    </row>
    <row r="30" spans="3:8" ht="15" x14ac:dyDescent="0.2">
      <c r="C30" s="109"/>
      <c r="D30" s="100"/>
      <c r="E30" s="696"/>
      <c r="F30" s="696"/>
      <c r="G30" s="696"/>
      <c r="H30" s="696"/>
    </row>
    <row r="31" spans="3:8" ht="15" x14ac:dyDescent="0.2">
      <c r="C31" s="436" t="s">
        <v>4178</v>
      </c>
      <c r="E31" s="696"/>
      <c r="F31" s="696"/>
      <c r="G31" s="696"/>
      <c r="H31" s="696"/>
    </row>
    <row r="32" spans="3:8" ht="15" x14ac:dyDescent="0.2">
      <c r="C32" s="109"/>
      <c r="D32" s="100"/>
      <c r="E32" s="696"/>
      <c r="F32" s="696"/>
      <c r="G32" s="696"/>
      <c r="H32" s="696"/>
    </row>
    <row r="33" spans="3:8" ht="15" x14ac:dyDescent="0.2">
      <c r="C33" s="109"/>
      <c r="D33" s="100"/>
      <c r="E33" s="696"/>
      <c r="F33" s="696"/>
      <c r="G33" s="696"/>
      <c r="H33" s="696"/>
    </row>
    <row r="34" spans="3:8" ht="15" x14ac:dyDescent="0.2">
      <c r="C34" s="109"/>
      <c r="D34" s="100"/>
      <c r="E34" s="696"/>
      <c r="F34" s="696"/>
      <c r="G34" s="696"/>
      <c r="H34" s="696"/>
    </row>
    <row r="35" spans="3:8" ht="15" x14ac:dyDescent="0.2">
      <c r="C35" s="109"/>
      <c r="D35" s="100"/>
      <c r="E35" s="696"/>
      <c r="F35" s="696"/>
      <c r="G35" s="696"/>
      <c r="H35" s="696"/>
    </row>
    <row r="36" spans="3:8" ht="15" x14ac:dyDescent="0.2">
      <c r="C36" s="100"/>
      <c r="D36" s="100"/>
      <c r="E36" s="696"/>
      <c r="F36" s="696"/>
      <c r="G36" s="696"/>
      <c r="H36" s="696"/>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gSPzC0RFjFEK3PS/xUN2ThSERTnizyIMWQRCkW4kXzItfZxhF6htFeTTt8I8evHUqDB0VRVuAjRSyjW/FMF7TA==" saltValue="T0KYRwsFwEC7hu8dH9Pni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9"/>
    <col min="17" max="17" width="9.140625" style="481"/>
    <col min="18" max="18" width="37.85546875" style="479" bestFit="1" customWidth="1"/>
    <col min="19" max="19" width="9.85546875" style="479" bestFit="1" customWidth="1"/>
    <col min="20" max="20" width="21.85546875" style="479" bestFit="1" customWidth="1"/>
    <col min="21" max="21" width="14.42578125" style="479" customWidth="1"/>
    <col min="22" max="22" width="16" style="479" customWidth="1"/>
    <col min="23" max="23" width="9.140625" style="479"/>
    <col min="24" max="25" width="9.140625" style="16"/>
    <col min="26" max="16384" width="9.140625" style="8"/>
  </cols>
  <sheetData>
    <row r="1" spans="1:29" x14ac:dyDescent="0.25">
      <c r="G1" s="10" t="s">
        <v>0</v>
      </c>
      <c r="H1" s="8"/>
      <c r="I1" s="9"/>
      <c r="K1" s="8"/>
      <c r="M1" s="8" t="s">
        <v>19</v>
      </c>
      <c r="O1" s="313"/>
      <c r="R1" s="479" t="e">
        <f>IF(T1=0, 0, IF(T1 &gt; Main!G93 + (1-D19)*0.4, 1, ""))</f>
        <v>#VALUE!</v>
      </c>
      <c r="T1" s="479" t="e" cm="1">
        <f t="array" ref="T1">MAX(ABS(E10:E18))</f>
        <v>#VALUE!</v>
      </c>
      <c r="U1" s="479" t="e" cm="1">
        <f t="array" ref="U1">MAX(ABS(H10:H18))</f>
        <v>#VALUE!</v>
      </c>
      <c r="X1" s="313"/>
      <c r="Y1" s="313"/>
      <c r="Z1" s="315"/>
      <c r="AA1" s="315"/>
      <c r="AB1" s="315"/>
      <c r="AC1" s="315"/>
    </row>
    <row r="2" spans="1:29" ht="18.75" customHeight="1" x14ac:dyDescent="0.25">
      <c r="H2" s="11" t="s">
        <v>20</v>
      </c>
      <c r="I2" s="9"/>
      <c r="K2" s="8"/>
      <c r="M2" s="8" t="s">
        <v>33</v>
      </c>
      <c r="O2" s="313"/>
      <c r="R2" s="479" t="e">
        <f>IF(U1=0, 0, IF(U1 &gt; Main!G93 + (1-D31)*0.4, 1, ""))</f>
        <v>#VALUE!</v>
      </c>
      <c r="T2" s="479" t="e" cm="1">
        <f t="array" ref="T2">MAX(ABS(K10:K18))</f>
        <v>#VALUE!</v>
      </c>
      <c r="U2" s="479" t="e" cm="1">
        <f t="array" ref="U2">MAX(ABS(N10:N18))</f>
        <v>#VALUE!</v>
      </c>
      <c r="X2" s="313"/>
      <c r="Y2" s="313"/>
      <c r="Z2" s="315"/>
      <c r="AA2" s="315"/>
      <c r="AB2" s="315"/>
      <c r="AC2" s="315"/>
    </row>
    <row r="3" spans="1:29" ht="23.25" customHeight="1" x14ac:dyDescent="0.25">
      <c r="D3" s="35" t="s">
        <v>38</v>
      </c>
      <c r="E3" s="42">
        <f>Main!D3</f>
        <v>0</v>
      </c>
      <c r="G3" s="12"/>
      <c r="H3" s="8"/>
      <c r="J3" s="35" t="s">
        <v>53</v>
      </c>
      <c r="K3" s="13" t="str">
        <f>Main!D5</f>
        <v>CHROME PLUS INT'L - WICHITA</v>
      </c>
      <c r="L3" s="9"/>
      <c r="O3" s="313"/>
      <c r="R3" s="479" t="e">
        <f>IF(T2=0, 0, IF(T2 &gt; Main!G93 + (1-G19)*0.4, 1, ""))</f>
        <v>#VALUE!</v>
      </c>
      <c r="T3" s="479" t="e" cm="1">
        <f t="array" ref="T3">MAX(ABS(E22:E30))</f>
        <v>#VALUE!</v>
      </c>
      <c r="U3" s="479" t="e" cm="1">
        <f t="array" ref="U3">MAX(ABS(H22:H30))</f>
        <v>#VALUE!</v>
      </c>
      <c r="X3" s="313"/>
      <c r="Y3" s="313"/>
      <c r="Z3" s="315"/>
      <c r="AA3" s="315"/>
      <c r="AB3" s="315"/>
      <c r="AC3" s="315"/>
    </row>
    <row r="4" spans="1:29" x14ac:dyDescent="0.25">
      <c r="D4" s="36" t="s">
        <v>52</v>
      </c>
      <c r="E4" s="10" t="str">
        <f>Main!D6</f>
        <v>DESPATCH RS4HD Temperature Uniformity Survey, 10 points</v>
      </c>
      <c r="H4" s="8"/>
      <c r="J4" s="36" t="s">
        <v>54</v>
      </c>
      <c r="K4" s="14">
        <f>Main!D16</f>
        <v>0</v>
      </c>
      <c r="L4" s="9"/>
      <c r="O4" s="313"/>
      <c r="R4" s="479" t="e">
        <f>IF(U2=0, 0, IF(U2 &gt; Main!G93 + (1-G31)*0.4, 1, ""))</f>
        <v>#VALUE!</v>
      </c>
      <c r="T4" s="479" t="e" cm="1">
        <f t="array" ref="T4">MAX(ABS(K22:K30))</f>
        <v>#VALUE!</v>
      </c>
      <c r="U4" s="479" t="e" cm="1">
        <f t="array" ref="U4">MAX(ABS(N22:N30))</f>
        <v>#N/A</v>
      </c>
      <c r="X4" s="313"/>
      <c r="Y4" s="313"/>
      <c r="Z4" s="315"/>
      <c r="AA4" s="315"/>
      <c r="AB4" s="315"/>
      <c r="AC4" s="315"/>
    </row>
    <row r="5" spans="1:29" x14ac:dyDescent="0.25">
      <c r="D5" s="36" t="s">
        <v>39</v>
      </c>
      <c r="E5" s="8">
        <f>Main!D7</f>
        <v>0</v>
      </c>
      <c r="H5" s="8"/>
      <c r="J5" s="37" t="s">
        <v>21</v>
      </c>
      <c r="K5" s="48">
        <f>Main!D18</f>
        <v>0</v>
      </c>
      <c r="O5" s="313"/>
      <c r="R5" s="479" t="e">
        <f>IF(T3=0, 0, IF(T3 &gt; Main!G93 + (1-J19)*0.4, 1, ""))</f>
        <v>#VALUE!</v>
      </c>
      <c r="T5" s="481"/>
      <c r="X5" s="313"/>
      <c r="Y5" s="313"/>
      <c r="Z5" s="315"/>
      <c r="AA5" s="315"/>
      <c r="AB5" s="315"/>
      <c r="AC5" s="315"/>
    </row>
    <row r="6" spans="1:29" ht="15.75" customHeight="1" x14ac:dyDescent="0.25">
      <c r="D6" s="36" t="s">
        <v>22</v>
      </c>
      <c r="E6" s="409" t="e">
        <f>IF(ISBLANK(Main!G95),"",Main!G95)</f>
        <v>#N/A</v>
      </c>
      <c r="G6" s="15" t="e">
        <f>IF(OR(R1:R8),"CHECK READINGS!!!","")</f>
        <v>#VALUE!</v>
      </c>
      <c r="J6" s="16"/>
      <c r="L6" s="9"/>
      <c r="O6" s="313"/>
      <c r="R6" s="479" t="e">
        <f>IF(U3=0, 0, IF(U3 &gt; Main!G93 + (1-J31)*0.4, 1, ""))</f>
        <v>#VALUE!</v>
      </c>
      <c r="T6" s="481"/>
      <c r="X6" s="313"/>
      <c r="Y6" s="313"/>
      <c r="Z6" s="315"/>
      <c r="AA6" s="315"/>
      <c r="AB6" s="315"/>
      <c r="AC6" s="315"/>
    </row>
    <row r="7" spans="1:29" x14ac:dyDescent="0.25">
      <c r="E7" s="8"/>
      <c r="F7" s="34" t="s">
        <v>23</v>
      </c>
      <c r="O7" s="313"/>
      <c r="R7" s="479" t="e">
        <f>IF(T4=0, 0, IF(T4 &gt; Main!G93 + (1-M19)*0.4, 1, ""))</f>
        <v>#VALUE!</v>
      </c>
      <c r="T7" s="481"/>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9" t="e">
        <f>IF(U4=0, 0, IF(U4 &gt; Main!G93 + (1-M31)*0.4, 1, ""))</f>
        <v>#N/A</v>
      </c>
      <c r="T8" s="481"/>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81"/>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80"/>
      <c r="T10" s="481"/>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81"/>
      <c r="S11" s="480"/>
      <c r="T11" s="482" t="s">
        <v>4453</v>
      </c>
      <c r="U11" s="504" t="s">
        <v>4454</v>
      </c>
      <c r="V11" s="504" t="s">
        <v>4455</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9" t="e" cm="1">
        <f t="array" ref="S12">LOOKUP($K$5,Table7[#Headers]+0,Table7[#This Row])</f>
        <v>#N/A</v>
      </c>
      <c r="U12" s="504">
        <v>2</v>
      </c>
      <c r="V12" s="504">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9" t="e" cm="1">
        <f t="array" ref="S13">LOOKUP($K$5,Table7[#Headers]+0,Table7[#This Row])</f>
        <v>#N/A</v>
      </c>
      <c r="U13" s="504">
        <v>4</v>
      </c>
      <c r="V13" s="504">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9" t="e" cm="1">
        <f t="array" ref="S14">LOOKUP($K$5,Table7[#Headers]+0,Table7[#This Row])</f>
        <v>#N/A</v>
      </c>
      <c r="U14" s="504">
        <v>6</v>
      </c>
      <c r="V14" s="504">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9" t="e" cm="1">
        <f t="array" ref="S15">LOOKUP($K$5,Table7[#Headers]+0,Table7[#This Row])</f>
        <v>#N/A</v>
      </c>
      <c r="U15" s="504">
        <v>8</v>
      </c>
      <c r="V15" s="504">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9" t="e" cm="1">
        <f t="array" ref="S16">LOOKUP($K$5,Table7[#Headers]+0,Table7[#This Row])</f>
        <v>#N/A</v>
      </c>
      <c r="U16" s="504">
        <v>10</v>
      </c>
      <c r="V16" s="504">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9" t="e" cm="1">
        <f t="array" ref="S17">LOOKUP($K$5,Table7[#Headers]+0,Table7[#This Row])</f>
        <v>#N/A</v>
      </c>
      <c r="U17" s="504">
        <v>12</v>
      </c>
      <c r="V17" s="504"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9" t="e" cm="1">
        <f t="array" ref="S18">LOOKUP($K$5,Table7[#Headers]+0,Table7[#This Row])</f>
        <v>#N/A</v>
      </c>
      <c r="U18" s="504">
        <v>14</v>
      </c>
      <c r="V18" s="504"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9" t="e" cm="1">
        <f t="array" ref="S19">LOOKUP($K$5,Table7[#Headers]+0,Table7[#This Row])</f>
        <v>#N/A</v>
      </c>
      <c r="U19" s="504">
        <v>16</v>
      </c>
      <c r="V19" s="504" t="s">
        <v>34</v>
      </c>
    </row>
    <row r="20" spans="1:22" x14ac:dyDescent="0.25">
      <c r="C20" s="18" t="s">
        <v>24</v>
      </c>
      <c r="D20" s="18" t="s">
        <v>25</v>
      </c>
      <c r="F20" s="18" t="s">
        <v>24</v>
      </c>
      <c r="G20" s="18" t="s">
        <v>25</v>
      </c>
      <c r="H20" s="18"/>
      <c r="I20" s="18" t="s">
        <v>24</v>
      </c>
      <c r="J20" s="18" t="s">
        <v>25</v>
      </c>
      <c r="K20" s="18"/>
      <c r="L20" s="18" t="s">
        <v>24</v>
      </c>
      <c r="M20" s="18" t="s">
        <v>25</v>
      </c>
      <c r="O20" s="29"/>
      <c r="S20" s="479" t="e" cm="1">
        <f t="array" ref="S20">LOOKUP($K$5,Table7[#Headers]+0,Table7[#This Row])</f>
        <v>#N/A</v>
      </c>
      <c r="U20" s="504">
        <v>17</v>
      </c>
      <c r="V20" s="504"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9" t="e" cm="1">
        <f t="array" ref="S21">LOOKUP($K$5,Table7[#Headers]+0,Table7[#This Row])</f>
        <v>#N/A</v>
      </c>
      <c r="U21" s="504">
        <v>21</v>
      </c>
      <c r="V21" s="504"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9" t="e" cm="1">
        <f t="array" ref="S22">LOOKUP($K$5,Table7[#Headers]+0,Table7[#This Row])</f>
        <v>#N/A</v>
      </c>
      <c r="U22" s="504" t="s">
        <v>34</v>
      </c>
      <c r="V22" s="504"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04" t="s">
        <v>34</v>
      </c>
      <c r="V23" s="504"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83"/>
      <c r="U24" s="504" t="s">
        <v>34</v>
      </c>
      <c r="V24" s="504"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04" t="s">
        <v>34</v>
      </c>
      <c r="V25" s="504"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99" t="s">
        <v>29</v>
      </c>
      <c r="E32" s="699"/>
      <c r="F32" s="699"/>
      <c r="G32" s="699"/>
      <c r="H32" s="699"/>
      <c r="I32" s="699"/>
      <c r="J32" s="699"/>
      <c r="K32" s="699"/>
      <c r="L32" s="699"/>
      <c r="M32" s="699"/>
    </row>
    <row r="33" spans="1:14" ht="15" customHeight="1" x14ac:dyDescent="0.25">
      <c r="D33" s="700"/>
      <c r="E33" s="700"/>
      <c r="F33" s="700"/>
      <c r="G33" s="700"/>
      <c r="H33" s="700"/>
      <c r="I33" s="700"/>
      <c r="J33" s="700"/>
      <c r="K33" s="700"/>
      <c r="L33" s="700"/>
      <c r="M33" s="700"/>
      <c r="N33" s="26"/>
    </row>
    <row r="34" spans="1:14" x14ac:dyDescent="0.25">
      <c r="A34" s="21"/>
      <c r="B34" s="21"/>
      <c r="D34" s="700"/>
      <c r="E34" s="700"/>
      <c r="F34" s="700"/>
      <c r="G34" s="700"/>
      <c r="H34" s="700"/>
      <c r="I34" s="700"/>
      <c r="J34" s="700"/>
      <c r="K34" s="700"/>
      <c r="L34" s="700"/>
      <c r="M34" s="700"/>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701" t="s">
        <v>32</v>
      </c>
      <c r="D37" s="701"/>
      <c r="E37" s="701"/>
      <c r="F37" s="701"/>
      <c r="G37" s="701"/>
      <c r="H37" s="701"/>
      <c r="I37" s="701"/>
      <c r="J37" s="701"/>
      <c r="K37" s="701"/>
      <c r="L37" s="701"/>
      <c r="M37" s="701"/>
    </row>
    <row r="38" spans="1:14" x14ac:dyDescent="0.25">
      <c r="A38" s="21"/>
      <c r="B38" s="21"/>
      <c r="C38" s="701"/>
      <c r="D38" s="701"/>
      <c r="E38" s="701"/>
      <c r="F38" s="701"/>
      <c r="G38" s="701"/>
      <c r="H38" s="701"/>
      <c r="I38" s="701"/>
      <c r="J38" s="701"/>
      <c r="K38" s="701"/>
      <c r="L38" s="701"/>
      <c r="M38" s="701"/>
    </row>
    <row r="39" spans="1:14" x14ac:dyDescent="0.25">
      <c r="A39" s="21"/>
      <c r="B39" s="21"/>
      <c r="C39" s="701"/>
      <c r="D39" s="701"/>
      <c r="E39" s="701"/>
      <c r="F39" s="701"/>
      <c r="G39" s="701"/>
      <c r="H39" s="701"/>
      <c r="I39" s="701"/>
      <c r="J39" s="701"/>
      <c r="K39" s="701"/>
      <c r="L39" s="701"/>
      <c r="M39" s="701"/>
    </row>
    <row r="40" spans="1:14" x14ac:dyDescent="0.25">
      <c r="A40" s="21"/>
      <c r="B40" s="21"/>
      <c r="C40" s="701"/>
      <c r="D40" s="701"/>
      <c r="E40" s="701"/>
      <c r="F40" s="701"/>
      <c r="G40" s="701"/>
      <c r="H40" s="701"/>
      <c r="I40" s="701"/>
      <c r="J40" s="701"/>
      <c r="K40" s="701"/>
      <c r="L40" s="701"/>
      <c r="M40" s="70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gPeMPk+/k7/HoaYeJ0CmGVG9/OOgHuT/wAeXIE0dft72drn0uS8oiNe0dUjVP+d9U7R60QCwRlc2DJsA/Jp1WQ==" saltValue="MoEoYp6LaJZep1gkP/LMDw=="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B6Pawls8xgmLymENAg76d8b8PS1lCzzgY/GxovrFmVcbp488ijoDoNeQLB4da81B1kOH9xMX5hw5PbKBFOsJ0A==" saltValue="kcKNcsZc9o2g7XSogxHqT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D5" sqref="D5"/>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705">
        <f>Main!D16</f>
        <v>0</v>
      </c>
      <c r="B1" s="706">
        <f>Main!D17</f>
        <v>0</v>
      </c>
      <c r="C1" s="165"/>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707">
        <f>Main!D19</f>
        <v>0</v>
      </c>
      <c r="B2" s="706">
        <f>IF(OR(ISBLANK(A1),ISBLANK(A2)),0,A1+A2)</f>
        <v>0</v>
      </c>
      <c r="C2" s="4"/>
      <c r="D2" s="4"/>
      <c r="E2" s="4"/>
      <c r="F2" s="171"/>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3617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5371</v>
      </c>
      <c r="L37" s="6" t="str" cm="1">
        <f t="array" aca="1" ref="L37:L50" ca="1">IFERROR(TRANSPOSE(B27:O27),"-")</f>
        <v/>
      </c>
      <c r="M37" s="64"/>
    </row>
    <row r="38" spans="1:41" x14ac:dyDescent="0.2">
      <c r="A38" s="44" t="s">
        <v>209</v>
      </c>
      <c r="B38" t="e">
        <f ca="1">F40</f>
        <v>#VALUE!</v>
      </c>
      <c r="E38" t="s">
        <v>206</v>
      </c>
      <c r="F38" t="e">
        <f ca="1">B37/SQRT(5)</f>
        <v>#VALUE!</v>
      </c>
      <c r="I38" s="6"/>
      <c r="J38" s="6" t="str">
        <f ca="1"/>
        <v/>
      </c>
      <c r="K38" s="94" t="s">
        <v>5371</v>
      </c>
      <c r="L38" s="6" t="str">
        <f ca="1"/>
        <v/>
      </c>
      <c r="M38" s="64"/>
    </row>
    <row r="39" spans="1:41" x14ac:dyDescent="0.2">
      <c r="E39" t="s">
        <v>207</v>
      </c>
      <c r="F39">
        <f ca="1">IF(J35=1,6.9,IF(J35=2,6.9,IF(J35=3,2.27,IF(J35=4,1.66,1.43))))</f>
        <v>1.43</v>
      </c>
      <c r="I39" s="6"/>
      <c r="J39" s="6" t="str">
        <f ca="1"/>
        <v/>
      </c>
      <c r="K39" s="94" t="s">
        <v>5371</v>
      </c>
      <c r="L39" s="6" t="str">
        <f ca="1"/>
        <v/>
      </c>
      <c r="M39" s="64"/>
    </row>
    <row r="40" spans="1:41" x14ac:dyDescent="0.2">
      <c r="A40" s="44" t="s">
        <v>17</v>
      </c>
      <c r="B40" s="1" t="e">
        <f ca="1">(SQRT(B45)*2)</f>
        <v>#VALUE!</v>
      </c>
      <c r="E40" s="44" t="s">
        <v>208</v>
      </c>
      <c r="F40" t="e">
        <f ca="1">(F38*F39)</f>
        <v>#VALUE!</v>
      </c>
      <c r="I40" s="6"/>
      <c r="J40" s="6" t="str">
        <f ca="1"/>
        <v/>
      </c>
      <c r="K40" s="94" t="s">
        <v>5371</v>
      </c>
      <c r="L40" s="6" t="str">
        <f ca="1"/>
        <v/>
      </c>
      <c r="M40" s="64"/>
    </row>
    <row r="41" spans="1:41" x14ac:dyDescent="0.2">
      <c r="I41" s="6"/>
      <c r="J41" s="6" t="str">
        <f ca="1"/>
        <v/>
      </c>
      <c r="K41" s="94" t="s">
        <v>5371</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5371</v>
      </c>
      <c r="L42" s="6" t="str">
        <f ca="1"/>
        <v/>
      </c>
      <c r="M42" s="64"/>
    </row>
    <row r="43" spans="1:41" x14ac:dyDescent="0.2">
      <c r="I43" s="6"/>
      <c r="J43" s="6" t="str">
        <f ca="1"/>
        <v/>
      </c>
      <c r="K43" s="94" t="s">
        <v>5371</v>
      </c>
      <c r="L43" s="6" t="str">
        <f ca="1"/>
        <v/>
      </c>
      <c r="M43" s="64"/>
    </row>
    <row r="44" spans="1:41" x14ac:dyDescent="0.2">
      <c r="A44" t="s">
        <v>12</v>
      </c>
      <c r="B44">
        <f>C42/2</f>
        <v>0.309</v>
      </c>
      <c r="I44" s="6"/>
      <c r="J44" s="6" t="str">
        <f ca="1"/>
        <v/>
      </c>
      <c r="K44" s="94" t="s">
        <v>5371</v>
      </c>
      <c r="L44" s="6" t="str">
        <f ca="1"/>
        <v/>
      </c>
      <c r="M44" s="64"/>
    </row>
    <row r="45" spans="1:41" x14ac:dyDescent="0.2">
      <c r="A45" t="s">
        <v>13</v>
      </c>
      <c r="B45" t="e">
        <f ca="1">(B38*B38)+(B44*B44)</f>
        <v>#VALUE!</v>
      </c>
      <c r="I45" s="6"/>
      <c r="J45" s="6" t="str">
        <f ca="1"/>
        <v/>
      </c>
      <c r="K45" s="94" t="s">
        <v>5371</v>
      </c>
      <c r="L45" s="6" t="str">
        <f ca="1"/>
        <v/>
      </c>
      <c r="M45" s="64"/>
    </row>
    <row r="46" spans="1:41" x14ac:dyDescent="0.2">
      <c r="I46" s="6"/>
      <c r="J46" s="6" t="str">
        <f ca="1"/>
        <v/>
      </c>
      <c r="K46" s="94" t="s">
        <v>5371</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5.28515625" bestFit="1" customWidth="1"/>
    <col min="17" max="19" width="6.28515625" bestFit="1" customWidth="1"/>
    <col min="20" max="26" width="7.28515625" bestFit="1" customWidth="1"/>
    <col min="27" max="27" width="5.85546875" bestFit="1" customWidth="1"/>
    <col min="28" max="28" width="4.5703125" bestFit="1" customWidth="1"/>
    <col min="29" max="33" width="6.28515625" bestFit="1" customWidth="1"/>
    <col min="34" max="34" width="7.28515625" bestFit="1" customWidth="1"/>
    <col min="35" max="35" width="6.85546875" bestFit="1" customWidth="1"/>
    <col min="36"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customWidth="1"/>
    <col min="61" max="61" width="7.28515625" bestFit="1" customWidth="1"/>
    <col min="62" max="62" width="6.28515625" bestFit="1" customWidth="1"/>
    <col min="63" max="64" width="7.28515625" bestFit="1" customWidth="1"/>
    <col min="65" max="69" width="7.28515625" customWidth="1"/>
  </cols>
  <sheetData>
    <row r="1" spans="9:26" x14ac:dyDescent="0.2">
      <c r="O1"/>
      <c r="P1"/>
      <c r="Q1"/>
      <c r="R1"/>
      <c r="S1"/>
      <c r="T1"/>
      <c r="U1"/>
      <c r="V1"/>
      <c r="W1"/>
      <c r="X1"/>
      <c r="Y1"/>
      <c r="Z1"/>
    </row>
    <row r="2" spans="9:26" x14ac:dyDescent="0.2">
      <c r="I2" s="6"/>
      <c r="J2" s="6"/>
      <c r="K2" s="6"/>
      <c r="L2" s="6"/>
      <c r="M2" s="6"/>
      <c r="N2" s="6"/>
      <c r="O2"/>
      <c r="P2"/>
      <c r="Q2"/>
      <c r="R2"/>
      <c r="S2"/>
      <c r="T2"/>
      <c r="U2"/>
      <c r="V2"/>
      <c r="W2"/>
      <c r="X2"/>
      <c r="Y2"/>
      <c r="Z2"/>
    </row>
    <row r="3" spans="9:26" x14ac:dyDescent="0.2">
      <c r="I3" s="6"/>
      <c r="J3" s="6"/>
      <c r="K3" s="6"/>
      <c r="L3" s="6"/>
      <c r="M3" s="6"/>
      <c r="N3" s="6"/>
      <c r="O3"/>
      <c r="P3"/>
      <c r="Q3"/>
      <c r="R3"/>
      <c r="S3"/>
      <c r="T3"/>
      <c r="U3"/>
      <c r="V3"/>
      <c r="W3"/>
      <c r="X3"/>
      <c r="Y3"/>
      <c r="Z3"/>
    </row>
    <row r="4" spans="9:26" x14ac:dyDescent="0.2">
      <c r="I4" s="6"/>
      <c r="J4" s="6"/>
      <c r="K4" s="6"/>
      <c r="L4" s="6"/>
      <c r="M4" s="6"/>
      <c r="N4" s="6"/>
      <c r="O4"/>
      <c r="P4"/>
      <c r="Q4"/>
      <c r="R4"/>
      <c r="S4"/>
      <c r="T4"/>
      <c r="U4"/>
      <c r="V4"/>
      <c r="W4"/>
      <c r="X4"/>
      <c r="Y4"/>
      <c r="Z4"/>
    </row>
    <row r="5" spans="9:26" x14ac:dyDescent="0.2">
      <c r="I5" s="6"/>
      <c r="J5" s="6"/>
      <c r="K5" s="6"/>
      <c r="L5" s="6"/>
      <c r="M5" s="6"/>
      <c r="N5" s="6"/>
      <c r="O5"/>
      <c r="P5"/>
      <c r="Q5"/>
      <c r="R5"/>
      <c r="S5"/>
      <c r="T5"/>
      <c r="U5"/>
      <c r="V5"/>
      <c r="W5"/>
      <c r="X5"/>
      <c r="Y5"/>
      <c r="Z5"/>
    </row>
    <row r="6" spans="9:26" x14ac:dyDescent="0.2">
      <c r="I6" s="6"/>
      <c r="J6" s="6"/>
      <c r="K6" s="6"/>
      <c r="L6" s="6"/>
      <c r="M6" s="6"/>
      <c r="N6" s="6"/>
      <c r="O6"/>
      <c r="P6"/>
      <c r="Q6"/>
      <c r="R6"/>
      <c r="S6"/>
      <c r="T6"/>
      <c r="U6"/>
      <c r="V6"/>
      <c r="W6"/>
      <c r="X6"/>
      <c r="Y6"/>
      <c r="Z6"/>
    </row>
    <row r="7" spans="9:26" x14ac:dyDescent="0.2">
      <c r="I7" s="6"/>
      <c r="J7" s="6"/>
      <c r="K7" s="6"/>
      <c r="L7" s="6"/>
      <c r="M7" s="6"/>
      <c r="N7" s="6"/>
      <c r="O7"/>
      <c r="P7"/>
      <c r="Q7"/>
      <c r="R7"/>
      <c r="S7"/>
      <c r="T7"/>
      <c r="U7"/>
      <c r="V7"/>
      <c r="W7"/>
      <c r="X7"/>
      <c r="Y7"/>
      <c r="Z7"/>
    </row>
    <row r="8" spans="9:26" x14ac:dyDescent="0.2">
      <c r="I8" s="6"/>
      <c r="J8" s="6"/>
      <c r="K8" s="6"/>
      <c r="L8" s="6"/>
      <c r="M8" s="6"/>
      <c r="N8" s="6"/>
      <c r="O8"/>
      <c r="P8"/>
      <c r="Q8"/>
      <c r="R8"/>
      <c r="S8"/>
      <c r="T8"/>
      <c r="U8"/>
      <c r="V8"/>
      <c r="W8"/>
      <c r="X8"/>
      <c r="Y8"/>
      <c r="Z8"/>
    </row>
    <row r="9" spans="9:26" x14ac:dyDescent="0.2">
      <c r="I9" s="6"/>
      <c r="J9" s="6"/>
      <c r="K9" s="6"/>
      <c r="L9" s="6"/>
      <c r="M9" s="6"/>
      <c r="N9" s="6"/>
      <c r="O9"/>
      <c r="P9"/>
      <c r="Q9"/>
      <c r="R9"/>
      <c r="S9"/>
      <c r="T9"/>
      <c r="U9"/>
      <c r="V9"/>
      <c r="W9"/>
      <c r="X9"/>
      <c r="Y9"/>
      <c r="Z9"/>
    </row>
    <row r="10" spans="9:26" x14ac:dyDescent="0.2">
      <c r="I10" s="6"/>
      <c r="J10" s="6"/>
      <c r="K10" s="6"/>
      <c r="L10" s="6"/>
      <c r="M10" s="6"/>
      <c r="N10" s="6"/>
      <c r="O10"/>
      <c r="P10"/>
      <c r="Q10"/>
      <c r="R10"/>
      <c r="S10"/>
      <c r="T10"/>
      <c r="U10"/>
      <c r="V10"/>
      <c r="W10"/>
      <c r="X10"/>
      <c r="Y10"/>
      <c r="Z10"/>
    </row>
    <row r="11" spans="9:26" x14ac:dyDescent="0.2">
      <c r="I11" s="6"/>
      <c r="J11" s="6"/>
      <c r="K11" s="6"/>
      <c r="L11" s="6"/>
      <c r="M11" s="6"/>
      <c r="N11" s="6"/>
      <c r="O11"/>
      <c r="P11"/>
      <c r="Q11"/>
      <c r="R11"/>
      <c r="S11"/>
      <c r="T11"/>
      <c r="U11"/>
      <c r="V11"/>
      <c r="W11"/>
      <c r="X11"/>
      <c r="Y11"/>
      <c r="Z11"/>
    </row>
    <row r="12" spans="9:26" x14ac:dyDescent="0.2">
      <c r="I12" s="6"/>
      <c r="J12" s="6"/>
      <c r="K12" s="6"/>
      <c r="L12" s="6"/>
      <c r="M12" s="6"/>
      <c r="N12" s="6"/>
      <c r="O12"/>
      <c r="P12"/>
      <c r="Q12"/>
      <c r="R12"/>
      <c r="S12"/>
      <c r="T12"/>
      <c r="U12"/>
      <c r="V12"/>
      <c r="W12"/>
      <c r="X12"/>
      <c r="Y12"/>
      <c r="Z12"/>
    </row>
    <row r="13" spans="9:26" x14ac:dyDescent="0.2">
      <c r="I13" s="6"/>
      <c r="J13" s="6"/>
      <c r="K13" s="6"/>
      <c r="L13" s="6"/>
      <c r="M13" s="6"/>
      <c r="N13" s="6"/>
      <c r="O13"/>
      <c r="P13"/>
      <c r="Q13"/>
      <c r="R13"/>
      <c r="S13"/>
      <c r="T13"/>
      <c r="U13"/>
      <c r="V13"/>
      <c r="W13"/>
      <c r="X13"/>
      <c r="Y13"/>
      <c r="Z13"/>
    </row>
    <row r="14" spans="9:26" x14ac:dyDescent="0.2">
      <c r="I14" s="6"/>
      <c r="J14" s="6"/>
      <c r="K14" s="6"/>
      <c r="L14" s="6"/>
      <c r="M14" s="6"/>
      <c r="N14" s="6"/>
      <c r="O14"/>
      <c r="P14"/>
      <c r="Q14"/>
      <c r="R14"/>
      <c r="S14"/>
      <c r="T14"/>
      <c r="U14"/>
      <c r="V14"/>
      <c r="W14"/>
      <c r="X14"/>
      <c r="Y14"/>
      <c r="Z14"/>
    </row>
    <row r="15" spans="9:26" x14ac:dyDescent="0.2">
      <c r="I15" s="6"/>
      <c r="J15" s="6"/>
      <c r="K15" s="6"/>
      <c r="L15" s="6"/>
      <c r="M15" s="6"/>
      <c r="N15" s="6"/>
      <c r="O15"/>
      <c r="P15"/>
      <c r="Q15"/>
      <c r="R15"/>
      <c r="S15"/>
      <c r="T15"/>
      <c r="U15"/>
      <c r="V15"/>
      <c r="W15"/>
      <c r="X15"/>
      <c r="Y15"/>
      <c r="Z15"/>
    </row>
    <row r="16" spans="9:26" x14ac:dyDescent="0.2">
      <c r="I16" s="6"/>
      <c r="J16" s="6"/>
      <c r="K16" s="6"/>
      <c r="L16" s="6"/>
      <c r="M16" s="6"/>
      <c r="N16" s="6"/>
      <c r="O16"/>
      <c r="P16"/>
      <c r="Q16"/>
      <c r="R16"/>
      <c r="S16"/>
      <c r="T16"/>
      <c r="U16"/>
      <c r="V16"/>
      <c r="W16"/>
      <c r="X16"/>
      <c r="Y16"/>
      <c r="Z16"/>
    </row>
    <row r="17" spans="9:26" x14ac:dyDescent="0.2">
      <c r="I17" s="6"/>
      <c r="J17" s="6"/>
      <c r="K17" s="6"/>
      <c r="L17" s="6"/>
      <c r="M17" s="6"/>
      <c r="N17" s="6"/>
      <c r="O17"/>
      <c r="P17"/>
      <c r="Q17"/>
      <c r="R17"/>
      <c r="S17"/>
      <c r="T17"/>
      <c r="U17"/>
      <c r="V17"/>
      <c r="W17"/>
      <c r="X17"/>
      <c r="Y17"/>
      <c r="Z17"/>
    </row>
    <row r="18" spans="9:26" x14ac:dyDescent="0.2">
      <c r="I18" s="6"/>
      <c r="J18" s="6"/>
      <c r="K18" s="6"/>
      <c r="L18" s="6"/>
      <c r="M18" s="6"/>
      <c r="N18" s="6"/>
      <c r="O18"/>
      <c r="P18"/>
      <c r="Q18"/>
      <c r="R18"/>
      <c r="S18"/>
      <c r="T18"/>
      <c r="U18"/>
      <c r="V18"/>
      <c r="W18"/>
      <c r="X18"/>
      <c r="Y18"/>
      <c r="Z18"/>
    </row>
    <row r="19" spans="9:26" x14ac:dyDescent="0.2">
      <c r="I19" s="6"/>
      <c r="J19" s="6"/>
      <c r="K19" s="6"/>
      <c r="L19" s="6"/>
      <c r="M19" s="6"/>
      <c r="N19" s="6"/>
      <c r="O19"/>
      <c r="P19"/>
      <c r="Q19"/>
      <c r="R19"/>
      <c r="S19"/>
      <c r="T19"/>
      <c r="U19"/>
      <c r="V19"/>
      <c r="W19"/>
      <c r="X19"/>
      <c r="Y19"/>
      <c r="Z19"/>
    </row>
    <row r="20" spans="9:26" x14ac:dyDescent="0.2">
      <c r="I20" s="6"/>
      <c r="J20" s="6"/>
      <c r="K20" s="6"/>
      <c r="L20" s="6"/>
      <c r="M20" s="6"/>
      <c r="N20" s="6"/>
      <c r="O20"/>
      <c r="P20"/>
      <c r="Q20"/>
      <c r="R20"/>
      <c r="S20"/>
      <c r="T20"/>
      <c r="U20"/>
      <c r="V20"/>
      <c r="W20"/>
      <c r="X20"/>
      <c r="Y20"/>
      <c r="Z20"/>
    </row>
    <row r="21" spans="9:26" x14ac:dyDescent="0.2">
      <c r="I21" s="6"/>
      <c r="J21" s="6"/>
      <c r="K21" s="6"/>
      <c r="L21" s="6"/>
      <c r="M21" s="6"/>
      <c r="N21" s="6"/>
      <c r="O21"/>
      <c r="P21"/>
      <c r="Q21"/>
      <c r="R21"/>
      <c r="S21"/>
      <c r="T21"/>
      <c r="U21"/>
      <c r="V21"/>
      <c r="W21"/>
      <c r="X21"/>
      <c r="Y21"/>
      <c r="Z21"/>
    </row>
    <row r="22" spans="9:26" x14ac:dyDescent="0.2">
      <c r="I22" s="6"/>
      <c r="J22" s="6"/>
      <c r="K22" s="6"/>
      <c r="L22" s="6"/>
      <c r="M22" s="6"/>
      <c r="N22" s="6"/>
      <c r="O22"/>
      <c r="P22"/>
      <c r="Q22"/>
      <c r="R22"/>
      <c r="S22"/>
      <c r="T22"/>
      <c r="U22"/>
      <c r="V22"/>
      <c r="W22"/>
      <c r="X22"/>
      <c r="Y22"/>
      <c r="Z22"/>
    </row>
    <row r="23" spans="9:26" x14ac:dyDescent="0.2">
      <c r="I23" s="6"/>
      <c r="J23" s="6"/>
      <c r="K23" s="6"/>
      <c r="L23" s="6"/>
      <c r="M23" s="6"/>
      <c r="N23" s="6"/>
      <c r="O23"/>
      <c r="P23"/>
      <c r="Q23"/>
      <c r="R23"/>
      <c r="S23"/>
      <c r="T23"/>
      <c r="U23"/>
      <c r="V23"/>
      <c r="W23"/>
      <c r="X23"/>
      <c r="Y23"/>
      <c r="Z23"/>
    </row>
    <row r="24" spans="9:26" x14ac:dyDescent="0.2">
      <c r="I24" s="6"/>
      <c r="J24" s="6"/>
      <c r="K24" s="6"/>
      <c r="L24" s="6"/>
      <c r="M24" s="6"/>
      <c r="N24" s="6"/>
      <c r="O24"/>
      <c r="P24"/>
      <c r="Q24"/>
      <c r="R24"/>
      <c r="S24"/>
      <c r="T24"/>
      <c r="U24"/>
      <c r="V24"/>
      <c r="W24"/>
      <c r="X24"/>
      <c r="Y24"/>
      <c r="Z24"/>
    </row>
    <row r="25" spans="9:26" x14ac:dyDescent="0.2">
      <c r="I25" s="6"/>
      <c r="J25" s="6"/>
      <c r="K25" s="6"/>
      <c r="L25" s="6"/>
      <c r="M25" s="6"/>
      <c r="N25" s="6"/>
      <c r="O25"/>
      <c r="P25"/>
      <c r="Q25"/>
      <c r="R25"/>
      <c r="S25"/>
      <c r="T25"/>
      <c r="U25"/>
      <c r="V25"/>
      <c r="W25"/>
      <c r="X25"/>
      <c r="Y25"/>
      <c r="Z25"/>
    </row>
    <row r="26" spans="9:26" x14ac:dyDescent="0.2">
      <c r="I26" s="6"/>
      <c r="J26" s="6"/>
      <c r="K26" s="6"/>
      <c r="L26" s="6"/>
      <c r="M26" s="6"/>
      <c r="N26" s="6"/>
      <c r="O26"/>
      <c r="P26"/>
      <c r="Q26"/>
      <c r="R26"/>
      <c r="S26"/>
      <c r="T26"/>
      <c r="U26"/>
      <c r="V26"/>
      <c r="W26"/>
      <c r="X26"/>
      <c r="Y26"/>
      <c r="Z26"/>
    </row>
    <row r="27" spans="9:26" x14ac:dyDescent="0.2">
      <c r="I27" s="6"/>
      <c r="J27" s="6"/>
      <c r="K27" s="6"/>
      <c r="L27" s="6"/>
      <c r="M27" s="6"/>
      <c r="N27" s="6"/>
      <c r="O27"/>
      <c r="P27"/>
      <c r="Q27"/>
      <c r="R27"/>
      <c r="S27"/>
      <c r="T27"/>
      <c r="U27"/>
      <c r="V27"/>
      <c r="W27"/>
      <c r="X27"/>
      <c r="Y27"/>
      <c r="Z27"/>
    </row>
    <row r="28" spans="9:26" x14ac:dyDescent="0.2">
      <c r="I28" s="6"/>
      <c r="J28" s="6"/>
      <c r="K28" s="6"/>
      <c r="L28" s="6"/>
      <c r="M28" s="6"/>
      <c r="N28" s="6"/>
      <c r="O28"/>
      <c r="P28"/>
      <c r="Q28"/>
      <c r="R28"/>
      <c r="S28"/>
      <c r="T28"/>
      <c r="U28"/>
      <c r="V28"/>
      <c r="W28"/>
      <c r="X28"/>
      <c r="Y28"/>
      <c r="Z28"/>
    </row>
    <row r="29" spans="9:26" x14ac:dyDescent="0.2">
      <c r="I29" s="6"/>
      <c r="J29" s="6"/>
      <c r="K29" s="6"/>
      <c r="L29" s="6"/>
      <c r="M29" s="6"/>
      <c r="N29" s="6"/>
      <c r="O29"/>
      <c r="P29"/>
      <c r="Q29"/>
      <c r="R29"/>
      <c r="S29"/>
      <c r="T29"/>
      <c r="U29"/>
      <c r="V29"/>
      <c r="W29"/>
      <c r="X29"/>
      <c r="Y29"/>
      <c r="Z29"/>
    </row>
    <row r="30" spans="9:26" x14ac:dyDescent="0.2">
      <c r="I30" s="6"/>
      <c r="J30" s="6"/>
      <c r="K30" s="6"/>
      <c r="L30" s="6"/>
      <c r="M30" s="6"/>
      <c r="N30" s="6"/>
      <c r="O30"/>
      <c r="P30"/>
      <c r="Q30"/>
      <c r="R30"/>
      <c r="S30"/>
      <c r="T30"/>
      <c r="U30"/>
      <c r="V30"/>
      <c r="W30"/>
      <c r="X30"/>
      <c r="Y30"/>
      <c r="Z30"/>
    </row>
    <row r="31" spans="9:26" x14ac:dyDescent="0.2">
      <c r="I31" s="6"/>
      <c r="J31" s="6"/>
      <c r="K31" s="6"/>
      <c r="L31" s="6"/>
      <c r="M31" s="6"/>
      <c r="N31" s="6"/>
      <c r="O31"/>
      <c r="P31"/>
      <c r="Q31"/>
      <c r="R31"/>
      <c r="S31"/>
      <c r="T31"/>
      <c r="U31"/>
      <c r="V31"/>
      <c r="W31"/>
      <c r="X31"/>
      <c r="Y31"/>
      <c r="Z31"/>
    </row>
    <row r="32" spans="9:26" x14ac:dyDescent="0.2">
      <c r="I32" s="6"/>
      <c r="J32" s="6"/>
      <c r="K32" s="6"/>
      <c r="L32" s="6"/>
      <c r="M32" s="6"/>
      <c r="N32" s="6"/>
      <c r="O32"/>
      <c r="P32"/>
      <c r="Q32"/>
      <c r="R32"/>
      <c r="S32"/>
      <c r="T32"/>
      <c r="U32"/>
      <c r="V32"/>
      <c r="W32"/>
      <c r="X32"/>
      <c r="Y32"/>
      <c r="Z32"/>
    </row>
    <row r="33" spans="9:26" x14ac:dyDescent="0.2">
      <c r="I33" s="6"/>
      <c r="J33" s="6"/>
      <c r="K33" s="6"/>
      <c r="L33" s="6"/>
      <c r="M33" s="6"/>
      <c r="N33" s="6"/>
      <c r="O33"/>
      <c r="P33"/>
      <c r="Q33"/>
      <c r="R33"/>
      <c r="S33"/>
      <c r="T33"/>
      <c r="U33"/>
      <c r="V33"/>
      <c r="W33"/>
      <c r="X33"/>
      <c r="Y33"/>
      <c r="Z33"/>
    </row>
    <row r="34" spans="9:26" x14ac:dyDescent="0.2">
      <c r="I34" s="6"/>
      <c r="J34" s="6"/>
      <c r="K34" s="6"/>
      <c r="L34" s="6"/>
      <c r="M34" s="6"/>
      <c r="N34" s="6"/>
      <c r="O34"/>
      <c r="P34"/>
      <c r="Q34"/>
      <c r="R34"/>
      <c r="S34"/>
      <c r="T34"/>
      <c r="U34"/>
      <c r="V34"/>
      <c r="W34"/>
      <c r="X34"/>
      <c r="Y34"/>
      <c r="Z34"/>
    </row>
    <row r="35" spans="9:26" x14ac:dyDescent="0.2">
      <c r="I35" s="6"/>
      <c r="J35" s="6"/>
      <c r="K35" s="6"/>
      <c r="L35" s="6"/>
      <c r="M35" s="6"/>
      <c r="N35" s="6"/>
      <c r="O35"/>
      <c r="P35"/>
      <c r="Q35"/>
      <c r="R35"/>
      <c r="S35"/>
      <c r="T35"/>
      <c r="U35"/>
      <c r="V35"/>
      <c r="W35"/>
      <c r="X35"/>
      <c r="Y35"/>
      <c r="Z35"/>
    </row>
    <row r="36" spans="9:26" x14ac:dyDescent="0.2">
      <c r="I36" s="6"/>
      <c r="J36" s="6"/>
      <c r="K36" s="6"/>
      <c r="L36" s="6"/>
      <c r="M36" s="6"/>
      <c r="N36" s="6"/>
      <c r="O36"/>
      <c r="P36"/>
      <c r="Q36"/>
      <c r="R36"/>
      <c r="S36"/>
      <c r="T36"/>
      <c r="U36"/>
      <c r="V36"/>
      <c r="W36"/>
      <c r="X36"/>
      <c r="Y36"/>
      <c r="Z36"/>
    </row>
    <row r="37" spans="9:26" x14ac:dyDescent="0.2">
      <c r="I37" s="6"/>
      <c r="J37" s="6"/>
      <c r="K37" s="6"/>
      <c r="L37" s="6"/>
      <c r="M37" s="6"/>
      <c r="N37" s="6"/>
      <c r="O37"/>
      <c r="P37"/>
      <c r="Q37"/>
      <c r="R37"/>
      <c r="S37"/>
      <c r="T37"/>
      <c r="U37"/>
      <c r="V37"/>
      <c r="W37"/>
      <c r="X37"/>
      <c r="Y37"/>
      <c r="Z37"/>
    </row>
    <row r="38" spans="9:26" x14ac:dyDescent="0.2">
      <c r="I38" s="6"/>
      <c r="J38" s="6"/>
      <c r="K38" s="6"/>
      <c r="L38" s="6"/>
      <c r="M38" s="6"/>
      <c r="N38" s="6"/>
      <c r="O38"/>
      <c r="P38"/>
      <c r="Q38"/>
      <c r="R38"/>
      <c r="S38"/>
      <c r="T38"/>
      <c r="U38"/>
      <c r="V38"/>
      <c r="W38"/>
      <c r="X38"/>
      <c r="Y38"/>
      <c r="Z38"/>
    </row>
    <row r="39" spans="9:26" x14ac:dyDescent="0.2">
      <c r="I39" s="6"/>
      <c r="J39" s="6"/>
      <c r="K39" s="6"/>
      <c r="L39" s="6"/>
      <c r="M39" s="6"/>
      <c r="N39" s="6"/>
      <c r="O39"/>
      <c r="P39"/>
      <c r="Q39"/>
      <c r="R39"/>
      <c r="S39"/>
      <c r="T39"/>
      <c r="U39"/>
      <c r="V39"/>
      <c r="W39"/>
      <c r="X39"/>
      <c r="Y39"/>
      <c r="Z39"/>
    </row>
    <row r="40" spans="9:26" x14ac:dyDescent="0.2">
      <c r="I40" s="6"/>
      <c r="J40" s="6"/>
      <c r="K40" s="6"/>
      <c r="L40" s="6"/>
      <c r="M40" s="6"/>
      <c r="N40" s="6"/>
      <c r="O40"/>
      <c r="P40"/>
      <c r="Q40"/>
      <c r="R40"/>
      <c r="S40"/>
      <c r="T40"/>
      <c r="U40"/>
      <c r="V40"/>
      <c r="W40"/>
      <c r="X40"/>
      <c r="Y40"/>
      <c r="Z40"/>
    </row>
    <row r="41" spans="9:26" x14ac:dyDescent="0.2">
      <c r="I41" s="6"/>
      <c r="J41" s="6"/>
      <c r="K41" s="6"/>
      <c r="L41" s="6"/>
      <c r="M41" s="6"/>
      <c r="N41" s="6"/>
      <c r="O41"/>
      <c r="P41"/>
      <c r="Q41"/>
      <c r="R41"/>
      <c r="S41"/>
      <c r="T41"/>
      <c r="U41"/>
      <c r="V41"/>
      <c r="W41"/>
      <c r="X41"/>
      <c r="Y41"/>
      <c r="Z4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550</v>
      </c>
    </row>
    <row r="2" spans="1:1" x14ac:dyDescent="0.2">
      <c r="A2" s="100" t="s">
        <v>552</v>
      </c>
    </row>
    <row r="3" spans="1:1" x14ac:dyDescent="0.2">
      <c r="A3" s="100" t="s">
        <v>553</v>
      </c>
    </row>
    <row r="4" spans="1:1" x14ac:dyDescent="0.2">
      <c r="A4" s="100" t="s">
        <v>554</v>
      </c>
    </row>
    <row r="5" spans="1:1" x14ac:dyDescent="0.2">
      <c r="A5" s="100" t="s">
        <v>555</v>
      </c>
    </row>
    <row r="6" spans="1:1" x14ac:dyDescent="0.2">
      <c r="A6" s="100" t="s">
        <v>556</v>
      </c>
    </row>
    <row r="7" spans="1:1" x14ac:dyDescent="0.2">
      <c r="A7" s="100" t="s">
        <v>557</v>
      </c>
    </row>
    <row r="8" spans="1:1" x14ac:dyDescent="0.2">
      <c r="A8" s="100" t="s">
        <v>558</v>
      </c>
    </row>
    <row r="9" spans="1:1" x14ac:dyDescent="0.2">
      <c r="A9" s="100" t="s">
        <v>559</v>
      </c>
    </row>
    <row r="10" spans="1:1" x14ac:dyDescent="0.2">
      <c r="A10" s="100" t="s">
        <v>560</v>
      </c>
    </row>
    <row r="11" spans="1:1" x14ac:dyDescent="0.2">
      <c r="A11" s="100" t="s">
        <v>561</v>
      </c>
    </row>
    <row r="12" spans="1:1" x14ac:dyDescent="0.2">
      <c r="A12" s="100" t="s">
        <v>551</v>
      </c>
    </row>
    <row r="13" spans="1:1" x14ac:dyDescent="0.2">
      <c r="A13" s="100" t="s">
        <v>562</v>
      </c>
    </row>
    <row r="14" spans="1:1" x14ac:dyDescent="0.2">
      <c r="A14" s="100" t="s">
        <v>563</v>
      </c>
    </row>
    <row r="15" spans="1:1" x14ac:dyDescent="0.2">
      <c r="A15" s="100" t="s">
        <v>564</v>
      </c>
    </row>
    <row r="16" spans="1:1" x14ac:dyDescent="0.2">
      <c r="A16" s="100" t="s">
        <v>565</v>
      </c>
    </row>
    <row r="17" spans="1:1" x14ac:dyDescent="0.2">
      <c r="A17" s="100" t="s">
        <v>566</v>
      </c>
    </row>
    <row r="18" spans="1:1" x14ac:dyDescent="0.2">
      <c r="A18" s="100" t="s">
        <v>567</v>
      </c>
    </row>
    <row r="19" spans="1:1" x14ac:dyDescent="0.2">
      <c r="A19" s="100" t="s">
        <v>568</v>
      </c>
    </row>
    <row r="20" spans="1:1" x14ac:dyDescent="0.2">
      <c r="A20" s="100" t="s">
        <v>569</v>
      </c>
    </row>
    <row r="21" spans="1:1" x14ac:dyDescent="0.2">
      <c r="A21" s="100" t="s">
        <v>570</v>
      </c>
    </row>
    <row r="22" spans="1:1" x14ac:dyDescent="0.2">
      <c r="A22" s="100" t="s">
        <v>571</v>
      </c>
    </row>
    <row r="23" spans="1:1" x14ac:dyDescent="0.2">
      <c r="A23" s="100" t="s">
        <v>572</v>
      </c>
    </row>
    <row r="24" spans="1:1" x14ac:dyDescent="0.2">
      <c r="A24" s="100" t="s">
        <v>573</v>
      </c>
    </row>
    <row r="25" spans="1:1" x14ac:dyDescent="0.2">
      <c r="A25" s="100" t="s">
        <v>574</v>
      </c>
    </row>
    <row r="26" spans="1:1" x14ac:dyDescent="0.2">
      <c r="A26" s="100" t="s">
        <v>575</v>
      </c>
    </row>
    <row r="27" spans="1:1" x14ac:dyDescent="0.2">
      <c r="A27" s="100" t="s">
        <v>576</v>
      </c>
    </row>
    <row r="28" spans="1:1" x14ac:dyDescent="0.2">
      <c r="A28" s="100" t="s">
        <v>577</v>
      </c>
    </row>
    <row r="29" spans="1:1" x14ac:dyDescent="0.2">
      <c r="A29" s="100" t="s">
        <v>578</v>
      </c>
    </row>
    <row r="30" spans="1:1" x14ac:dyDescent="0.2">
      <c r="A30" s="100" t="s">
        <v>579</v>
      </c>
    </row>
    <row r="31" spans="1:1" x14ac:dyDescent="0.2">
      <c r="A31" s="100" t="s">
        <v>26</v>
      </c>
    </row>
    <row r="32" spans="1:1" x14ac:dyDescent="0.2">
      <c r="A32" s="100" t="s">
        <v>580</v>
      </c>
    </row>
  </sheetData>
  <sheetProtection algorithmName="SHA-512" hashValue="9fETGA6jMWoZgpzZzrdLOJwSiVi7odKsTWBTIiW040dZFzENnaaNF2eNpJ0IaicdIPdb7/qs0Bj2W2mCWYcTvw==" saltValue="d88J2xuLsLyo/gQeHv6whw==" spinCount="100000" sheet="1" objects="1" scenarios="1" autoFilter="0"/>
  <pageMargins left="0.7" right="0.7" top="0.75" bottom="0.75" header="0.3" footer="0.3"/>
  <customProperties>
    <customPr name="%startcell%"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25</vt:i4>
      </vt:variant>
    </vt:vector>
  </HeadingPairs>
  <TitlesOfParts>
    <vt:vector size="58" baseType="lpstr">
      <vt:lpstr>WireSets</vt:lpstr>
      <vt:lpstr>WorkItemDetails</vt:lpstr>
      <vt:lpstr>WireSets (2)</vt:lpstr>
      <vt:lpstr>WireOffsets (2)</vt:lpstr>
      <vt:lpstr>WireOffsets</vt:lpstr>
      <vt:lpstr>Main</vt:lpstr>
      <vt:lpstr>WireCertData</vt:lpstr>
      <vt:lpstr>Sheet3</vt:lpstr>
      <vt:lpstr>Wire Ranges</vt:lpstr>
      <vt:lpstr>CERT</vt:lpstr>
      <vt:lpstr>customers (Filtered)</vt:lpstr>
      <vt:lpstr>UUT</vt:lpstr>
      <vt:lpstr>Customer Table</vt:lpstr>
      <vt:lpstr>Daqbooks</vt:lpstr>
      <vt:lpstr>AssetPool</vt:lpstr>
      <vt:lpstr>DaqbookServiceRecords</vt:lpstr>
      <vt:lpstr>TUS_Worksheet</vt:lpstr>
      <vt:lpstr>DaqBook_RAW_Data</vt:lpstr>
      <vt:lpstr>Employees</vt:lpstr>
      <vt:lpstr>Standards_Info</vt:lpstr>
      <vt:lpstr>PageNumbers</vt:lpstr>
      <vt:lpstr>Header Info</vt:lpstr>
      <vt:lpstr>Header Info OLD</vt:lpstr>
      <vt:lpstr>Data_Sheet</vt:lpstr>
      <vt:lpstr>Data_Sheet_15_28</vt:lpstr>
      <vt:lpstr>Data_Sheet_29_40</vt:lpstr>
      <vt:lpstr>Packet_Content</vt:lpstr>
      <vt:lpstr>Comparison_Report</vt:lpstr>
      <vt:lpstr>Interp</vt:lpstr>
      <vt:lpstr>Access_Data</vt:lpstr>
      <vt:lpstr>AllDaqbookOffsets</vt:lpstr>
      <vt:lpstr>Standards_Import</vt:lpstr>
      <vt:lpstr>Enabler4Excel_Picklist_Values</vt:lpstr>
      <vt:lpstr>AssetId</vt:lpstr>
      <vt:lpstr>AssetPoolId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2025-06-22T00:20:29Z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