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9.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2.xml" ContentType="application/vnd.openxmlformats-officedocument.spreadsheetml.table+xml"/>
  <Override PartName="/xl/queryTables/queryTable10.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4.xml" ContentType="application/vnd.openxmlformats-officedocument.spreadsheetml.table+xml"/>
  <Override PartName="/xl/queryTables/queryTable11.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7BEB33F-BED9-41D8-944A-8B49DC487BA6}" xr6:coauthVersionLast="47" xr6:coauthVersionMax="47" xr10:uidLastSave="{00000000-0000-0000-0000-000000000000}"/>
  <bookViews>
    <workbookView xWindow="28680" yWindow="-120" windowWidth="29040" windowHeight="15720" tabRatio="892" firstSheet="4" activeTab="4" xr2:uid="{00000000-000D-0000-FFFF-FFFF00000000}"/>
  </bookViews>
  <sheets>
    <sheet name="WireSets" sheetId="70" state="hidden" r:id="rId1"/>
    <sheet name="WorkItemDetails" sheetId="71" state="hidden" r:id="rId2"/>
    <sheet name="Query1" sheetId="83" state="hidden" r:id="rId3"/>
    <sheet name="WireOffsets" sheetId="74" state="hidden" r:id="rId4"/>
    <sheet name="Main" sheetId="8" r:id="rId5"/>
    <sheet name="WireCertData" sheetId="69" state="hidden" r:id="rId6"/>
    <sheet name="Wire Ranges" sheetId="67" state="hidden" r:id="rId7"/>
    <sheet name="CERT" sheetId="26" r:id="rId8"/>
    <sheet name="Header_Info" sheetId="77" state="hidden" r:id="rId9"/>
    <sheet name="Customer Table" sheetId="29" state="hidden" r:id="rId10"/>
    <sheet name="AssetPool" sheetId="35" state="hidden" r:id="rId11"/>
    <sheet name="DaqbookServiceRecords" sheetId="54" state="hidden" r:id="rId12"/>
    <sheet name="TUS_Worksheet" sheetId="5" r:id="rId13"/>
    <sheet name="DaqBook_RAW_Data" sheetId="9" r:id="rId14"/>
    <sheet name="Employees" sheetId="38" state="hidden" r:id="rId15"/>
    <sheet name="Standards_Info" sheetId="12" r:id="rId16"/>
    <sheet name="Standards_Import" sheetId="20" state="hidden" r:id="rId17"/>
    <sheet name="Data_Sheet" sheetId="13" r:id="rId18"/>
    <sheet name="Data_Sheet_15_28" sheetId="14" r:id="rId19"/>
    <sheet name="Data_Sheet_29_40" sheetId="15" r:id="rId20"/>
    <sheet name="Packet_Content" sheetId="19" r:id="rId21"/>
    <sheet name="PageNumbers" sheetId="64" r:id="rId22"/>
    <sheet name="Comparison_Report" sheetId="4" r:id="rId23"/>
    <sheet name="Interp" sheetId="21" r:id="rId24"/>
    <sheet name="Access_Data" sheetId="1" r:id="rId25"/>
    <sheet name="AllDaqbookOffsets" sheetId="78" state="hidden" r:id="rId26"/>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PoolId" comment="Pyro">#REF!</definedName>
    <definedName name="Assets_GetAssetByAssetPool" localSheetId="10"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ternalData_1" localSheetId="11" hidden="1">DaqbookServiceRecords!$A$1:$B$2</definedName>
    <definedName name="ExternalData_1" localSheetId="14" hidden="1">Employees!$A$1:$B$11</definedName>
    <definedName name="ExternalData_1" localSheetId="8" hidden="1">Header_Info!$A$1:$AO$495</definedName>
    <definedName name="ExternalData_1" localSheetId="16" hidden="1">Standards_Import!$O$1:$Z$41</definedName>
    <definedName name="ExternalData_1" localSheetId="5"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5" hidden="1">AllDaqbookOffsets!$A$1:$D$7556</definedName>
    <definedName name="ExternalData_2" localSheetId="2" hidden="1">Query1!$A$1:$B$25</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#REF!</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7">CERT!$A$1:$O$80</definedName>
    <definedName name="_xlnm.Print_Area" localSheetId="22">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20">Packet_Content!$A$1:$I$43</definedName>
    <definedName name="_xlnm.Print_Area" localSheetId="12">TUS_Worksheet!$A$1:$R$56</definedName>
    <definedName name="Query___customers" localSheetId="9"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s">Main!$G$1</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 i="8" l="1"/>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F66" i="26"/>
  <c r="Q66" i="26" s="1"/>
  <c r="F65" i="26"/>
  <c r="Q65" i="26" s="1"/>
  <c r="F64" i="26"/>
  <c r="Q64" i="26" s="1"/>
  <c r="F63" i="26"/>
  <c r="A2" i="1"/>
  <c r="P6" i="8"/>
  <c r="R7" i="26"/>
  <c r="R62" i="26"/>
  <c r="T62" i="26"/>
  <c r="Q67" i="26"/>
  <c r="D14" i="8" l="1"/>
  <c r="D13" i="8"/>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2" i="1"/>
  <c r="D15" i="1"/>
  <c r="B10" i="1"/>
  <c r="B11" i="1"/>
  <c r="G19"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0"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1"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2"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3"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<sst xmlns="http://schemas.openxmlformats.org/spreadsheetml/2006/main" count="41998" uniqueCount="11079">
  <si>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</si>
  <si>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</si>
  <si>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</si>
  <si>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</si>
  <si>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</si>
  <si>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</si>
  <si>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</si>
  <si>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</si>
  <si>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</si>
  <si>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</si>
  <si>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</si>
  <si>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</si>
  <si>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</si>
  <si>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</si>
  <si>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</si>
  <si>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</si>
  <si>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</si>
  <si>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</si>
  <si>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</si>
  <si>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</si>
  <si>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</si>
  <si>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</si>
  <si>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</si>
  <si>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</si>
  <si>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</si>
  <si>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</si>
  <si>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</si>
  <si>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</si>
  <si>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</si>
  <si>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</si>
  <si>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</si>
  <si>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</si>
  <si>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</si>
  <si>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</si>
  <si>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</si>
  <si>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</si>
  <si>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</si>
  <si>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</si>
  <si>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</si>
  <si>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</si>
  <si>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</si>
  <si>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</si>
  <si>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</si>
  <si>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</si>
  <si>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</si>
  <si>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</si>
  <si>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</si>
  <si>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</si>
  <si>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</si>
  <si>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</si>
  <si>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</si>
  <si>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</si>
  <si>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</si>
  <si>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</si>
  <si>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</si>
  <si>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</si>
  <si>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</si>
  <si>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</si>
  <si>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</si>
  <si>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</si>
  <si>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</si>
  <si>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</si>
  <si>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</si>
  <si>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</si>
  <si>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</si>
  <si>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</si>
  <si>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</si>
  <si>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</si>
  <si>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</si>
  <si>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</si>
  <si>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</si>
  <si>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</si>
  <si>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</si>
  <si>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</si>
  <si>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</si>
  <si>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</si>
  <si>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</si>
  <si>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</si>
  <si>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</si>
  <si>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</si>
  <si>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</si>
  <si>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</si>
  <si>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</si>
  <si>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</si>
  <si>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</si>
  <si>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</si>
  <si>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</si>
  <si>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</si>
  <si>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</si>
  <si>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</si>
  <si>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</si>
  <si>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</si>
  <si>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</si>
  <si>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</si>
  <si>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</si>
  <si>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</si>
  <si>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</si>
  <si>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</si>
  <si>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</si>
  <si>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</si>
  <si>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</si>
  <si>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</si>
  <si>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</si>
  <si>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</si>
  <si>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</si>
  <si>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</si>
  <si>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</si>
  <si>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</si>
  <si>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</si>
  <si>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</si>
  <si>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</si>
  <si>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</si>
  <si>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</si>
  <si>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</si>
  <si>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</si>
  <si>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</si>
  <si>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</si>
  <si>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</si>
  <si>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</si>
  <si>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</si>
  <si>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</si>
  <si>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</si>
  <si>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</si>
  <si>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</si>
  <si>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</si>
  <si>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</si>
  <si>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</si>
  <si>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</si>
  <si>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</si>
  <si>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</si>
  <si>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</si>
  <si>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</si>
  <si>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</si>
  <si>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</si>
  <si>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</si>
  <si>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</si>
  <si>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</si>
  <si>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</si>
  <si>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</si>
  <si>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</si>
  <si>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</si>
  <si>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</si>
  <si>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</si>
  <si>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</si>
  <si>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</si>
  <si>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</si>
  <si>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</si>
  <si>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</si>
  <si>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</si>
  <si>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</si>
  <si>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</si>
  <si>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</si>
  <si>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</si>
  <si>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</si>
  <si>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</si>
  <si>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</si>
  <si>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</si>
  <si>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</si>
  <si>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</si>
  <si>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</si>
  <si>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</si>
  <si>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</si>
  <si>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</si>
  <si>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</si>
  <si>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</si>
  <si>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</si>
  <si>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</si>
  <si>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</si>
  <si>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</si>
  <si>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</si>
  <si>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</si>
  <si>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</si>
  <si>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</si>
  <si>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</si>
  <si>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</si>
  <si>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</si>
  <si>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</si>
  <si>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</si>
  <si>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</si>
  <si>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</si>
  <si>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</si>
  <si>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</si>
  <si>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</si>
  <si>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</si>
  <si>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</si>
  <si>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</si>
  <si>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</si>
  <si>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</si>
  <si>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</si>
  <si>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</si>
  <si>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</si>
  <si>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</si>
  <si>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</si>
  <si>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</si>
  <si>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</si>
  <si>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</si>
  <si>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</si>
  <si>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</si>
  <si>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</si>
  <si>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</si>
  <si>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</si>
  <si>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</si>
  <si>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</si>
  <si>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</si>
  <si>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</si>
  <si>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</si>
  <si>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</si>
  <si>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</si>
  <si>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</si>
  <si>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</si>
  <si>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</si>
  <si>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</si>
  <si>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</si>
  <si>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</si>
  <si>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</si>
  <si>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</si>
  <si>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</si>
  <si>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</si>
  <si>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</si>
  <si>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</si>
  <si>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</si>
  <si>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</si>
  <si>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</si>
  <si>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</si>
  <si>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</si>
  <si>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</si>
  <si>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</si>
  <si>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</si>
  <si>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</si>
  <si>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</si>
  <si>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</si>
  <si>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</si>
  <si>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</si>
  <si>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</si>
  <si>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</si>
  <si>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</si>
  <si>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</si>
  <si>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</si>
  <si>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</si>
  <si>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</si>
  <si>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</si>
  <si>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</si>
  <si>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</si>
  <si>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</si>
  <si>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</si>
  <si>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</si>
  <si>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</si>
  <si>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</si>
  <si>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</si>
  <si>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</si>
  <si>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</si>
  <si>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</si>
  <si>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</si>
  <si>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</si>
  <si>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</si>
  <si>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</si>
  <si>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</si>
  <si>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</si>
  <si>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</si>
  <si>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</si>
  <si>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</si>
  <si>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</si>
  <si>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</si>
  <si>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</si>
  <si>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</si>
  <si>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</si>
  <si>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</si>
  <si>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</si>
  <si>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</si>
  <si>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</si>
  <si>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</si>
  <si>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</si>
  <si>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</si>
  <si>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</si>
  <si>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</si>
  <si>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</si>
  <si>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</si>
  <si>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</si>
  <si>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</si>
  <si>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</si>
  <si>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</si>
  <si>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</si>
  <si>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</si>
  <si>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</si>
  <si>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</si>
  <si>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</si>
  <si>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</si>
  <si>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</si>
  <si>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</si>
  <si>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</si>
  <si>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</si>
  <si>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</si>
  <si>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</si>
  <si>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</si>
  <si>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</si>
  <si>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ATS0013</t>
  </si>
  <si>
    <t>AIR CAPITAL INTERIORS</t>
  </si>
  <si>
    <t>SPRAY BOOTH NO. 1</t>
  </si>
  <si>
    <t>AIR CAPITAL NDI</t>
  </si>
  <si>
    <t>AIR CAPITAL NDI OVEN</t>
  </si>
  <si>
    <t>AIRCRAFT &amp; COMMERCIAL ENT.</t>
  </si>
  <si>
    <t>APEX COMPOSITES - OKLAHOMA DIV.</t>
  </si>
  <si>
    <t>AUTOCLAVE NO. 3</t>
  </si>
  <si>
    <t>AUTOCLAVE NO. 1</t>
  </si>
  <si>
    <t>APEX ENGINEERING WICHITA DIV.</t>
  </si>
  <si>
    <t>AEI-650 GRIEVE OVEN</t>
  </si>
  <si>
    <t>AEI-060</t>
  </si>
  <si>
    <t>AEI-585</t>
  </si>
  <si>
    <t>AEI-324</t>
  </si>
  <si>
    <t>APPH WICHITA, INC.</t>
  </si>
  <si>
    <t>UNASSIGNED</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</si>
  <si>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</si>
  <si>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</si>
  <si>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</si>
  <si>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</si>
  <si>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</si>
  <si>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</si>
  <si>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</si>
  <si>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</si>
  <si>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</si>
  <si>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</si>
  <si>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</si>
  <si>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</si>
  <si>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</si>
  <si>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</si>
  <si>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</si>
  <si>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</si>
  <si>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</si>
  <si>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</si>
  <si>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</si>
  <si>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</si>
  <si>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</si>
  <si>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</si>
  <si>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</si>
  <si>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</si>
  <si>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</si>
  <si>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</si>
  <si>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</si>
  <si>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</si>
  <si>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</si>
  <si>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</si>
  <si>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</si>
  <si>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</si>
  <si>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</si>
  <si>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</si>
  <si>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</si>
  <si>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CELCO</t>
  </si>
  <si>
    <t>CENTER INDUSTRIES CORP.</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</si>
  <si>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</si>
  <si>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</si>
  <si>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</si>
  <si>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</si>
  <si>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</si>
  <si>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</si>
  <si>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</si>
  <si>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</si>
  <si>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</si>
  <si>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</si>
  <si>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</si>
  <si>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</si>
  <si>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</si>
  <si>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</si>
  <si>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</si>
  <si>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</si>
  <si>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</si>
  <si>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</si>
  <si>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</si>
  <si>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</si>
  <si>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</si>
  <si>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</si>
  <si>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</si>
  <si>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</si>
  <si>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</si>
  <si>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</si>
  <si>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</si>
  <si>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</si>
  <si>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</si>
  <si>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</si>
  <si>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</si>
  <si>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</si>
  <si>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</si>
  <si>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</si>
  <si>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</si>
  <si>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</si>
  <si>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</si>
  <si>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</si>
  <si>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</si>
  <si>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</si>
  <si>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</si>
  <si>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</si>
  <si>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</si>
  <si>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</si>
  <si>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</si>
  <si>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</si>
  <si>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</si>
  <si>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</si>
  <si>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</si>
  <si>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</si>
  <si>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</si>
  <si>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</si>
  <si>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</si>
  <si>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</si>
  <si>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</si>
  <si>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</si>
  <si>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</si>
  <si>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</si>
  <si>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</si>
  <si>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</si>
  <si>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</si>
  <si>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</si>
  <si>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</si>
  <si>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</si>
  <si>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</si>
  <si>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</si>
  <si>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</si>
  <si>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</si>
  <si>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</si>
  <si>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</si>
  <si>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</si>
  <si>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</si>
  <si>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</si>
  <si>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</si>
  <si>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</si>
  <si>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</si>
  <si>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</si>
  <si>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</si>
  <si>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</si>
  <si>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</si>
  <si>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</si>
  <si>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</si>
  <si>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</si>
  <si>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</si>
  <si>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</si>
  <si>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</si>
  <si>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</si>
  <si>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</si>
  <si>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</si>
  <si>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</si>
  <si>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</si>
  <si>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</si>
  <si>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</si>
  <si>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</si>
  <si>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</si>
  <si>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</si>
  <si>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</si>
  <si>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</si>
  <si>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</si>
  <si>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</si>
  <si>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</si>
  <si>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</si>
  <si>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</si>
  <si>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</si>
  <si>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</si>
  <si>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</si>
  <si>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</si>
  <si>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</si>
  <si>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</si>
  <si>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</si>
  <si>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</si>
  <si>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</si>
  <si>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</si>
  <si>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</si>
  <si>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</si>
  <si>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</si>
  <si>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</si>
  <si>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</si>
  <si>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</si>
  <si>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</si>
  <si>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</si>
  <si>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</si>
  <si>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</si>
  <si>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</si>
  <si>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</si>
  <si>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</si>
  <si>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</si>
  <si>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</si>
  <si>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</si>
  <si>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</si>
  <si>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</si>
  <si>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</si>
  <si>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</si>
  <si>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</si>
  <si>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</si>
  <si>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</si>
  <si>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</si>
  <si>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</si>
  <si>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</si>
  <si>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</si>
  <si>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</si>
  <si>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</si>
  <si>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</si>
  <si>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</si>
  <si>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</si>
  <si>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</si>
  <si>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</si>
  <si>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</si>
  <si>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</si>
  <si>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</si>
  <si>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</si>
  <si>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</si>
  <si>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</si>
  <si>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</si>
  <si>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</si>
  <si>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</si>
  <si>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</si>
  <si>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</si>
  <si>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</si>
  <si>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</si>
  <si>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</si>
  <si>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</si>
  <si>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</si>
  <si>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</si>
  <si>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</si>
  <si>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</si>
  <si>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</si>
  <si>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</si>
  <si>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</si>
  <si>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</si>
  <si>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</si>
  <si>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</si>
  <si>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</si>
  <si>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</si>
  <si>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</si>
  <si>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</si>
  <si>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</si>
  <si>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</si>
  <si>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</si>
  <si>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</si>
  <si>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</si>
  <si>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</si>
  <si>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</si>
  <si>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</si>
  <si>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</si>
  <si>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</si>
  <si>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</si>
  <si>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</si>
  <si>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</si>
  <si>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</si>
  <si>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</si>
  <si>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</si>
  <si>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</si>
  <si>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</si>
  <si>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</si>
  <si>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</si>
  <si>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OVEN NO. A2</t>
  </si>
  <si>
    <t>AGE OVEN NO. 4</t>
  </si>
  <si>
    <t>OVEN NO. A1</t>
  </si>
  <si>
    <t>DROP BOTTOM 1</t>
  </si>
  <si>
    <t>Furnace</t>
  </si>
  <si>
    <t>Thermometer</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</si>
  <si>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</si>
  <si>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</si>
  <si>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</si>
  <si>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</si>
  <si>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</si>
  <si>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</si>
  <si>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</si>
  <si>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</si>
  <si>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</si>
  <si>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</si>
  <si>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</si>
  <si>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</si>
  <si>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</si>
  <si>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</si>
  <si>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</si>
  <si>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</si>
  <si>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</si>
  <si>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</si>
  <si>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</si>
  <si>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</si>
  <si>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</si>
  <si>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</si>
  <si>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</si>
  <si>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</si>
  <si>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</si>
  <si>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</si>
  <si>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</si>
  <si>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</si>
  <si>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</si>
  <si>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</si>
  <si>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</si>
  <si>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</si>
  <si>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</si>
  <si>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</si>
  <si>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</si>
  <si>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</si>
  <si>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</si>
  <si>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</si>
  <si>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</si>
  <si>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W-CPI-3047 (NO. 8)</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</si>
  <si>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</si>
  <si>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</si>
  <si>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</si>
  <si>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</si>
  <si>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</si>
  <si>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</si>
  <si>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</si>
  <si>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</si>
  <si>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</si>
  <si>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</si>
  <si>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</si>
  <si>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</si>
  <si>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</si>
  <si>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</si>
  <si>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</si>
  <si>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</si>
  <si>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</si>
  <si>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</si>
  <si>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</si>
  <si>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</si>
  <si>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</si>
  <si>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</si>
  <si>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</si>
  <si>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</si>
  <si>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</si>
  <si>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</si>
  <si>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</si>
  <si>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</si>
  <si>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</si>
  <si>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</si>
  <si>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PRI-1383</t>
  </si>
  <si>
    <t>Ney Furnace</t>
  </si>
  <si>
    <t>Oven No.23</t>
  </si>
  <si>
    <t>WISCONSIN OVEN ZONE 1 &amp; 2</t>
  </si>
  <si>
    <t>Chest Freezer</t>
  </si>
  <si>
    <t>T0254</t>
  </si>
  <si>
    <t>Test Temperature:</t>
  </si>
  <si>
    <t>ABSOLUTE DIMENSIONS</t>
  </si>
  <si>
    <t>ALBERS FINISHING &amp; SOLUTIONS LLC</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</si>
  <si>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</si>
  <si>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</si>
  <si>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</si>
  <si>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</si>
  <si>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</si>
  <si>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</si>
  <si>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</si>
  <si>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</si>
  <si>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</si>
  <si>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</si>
  <si>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</si>
  <si>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</si>
  <si>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</si>
  <si>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</si>
  <si>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</si>
  <si>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</si>
  <si>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</si>
  <si>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</si>
  <si>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</si>
  <si>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</si>
  <si>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</si>
  <si>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</si>
  <si>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</si>
  <si>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</si>
  <si>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</si>
  <si>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VAC-629 Penetrant Oven</t>
  </si>
  <si>
    <t>Environmental Chamber 482</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</si>
  <si>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</si>
  <si>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</si>
  <si>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</si>
  <si>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</si>
  <si>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</si>
  <si>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</si>
  <si>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</si>
  <si>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</si>
  <si>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</si>
  <si>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</si>
  <si>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</si>
  <si>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</si>
  <si>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</si>
  <si>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</si>
  <si>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</si>
  <si>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</si>
  <si>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</si>
  <si>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</si>
  <si>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</si>
  <si>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</si>
  <si>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</si>
  <si>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</si>
  <si>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414 CHAMBER LOOP</t>
  </si>
  <si>
    <t>ADA, OK 74821</t>
  </si>
  <si>
    <t>1804 WEST 2ND STREET</t>
  </si>
  <si>
    <t>WICHITA, KS 67203-5703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</si>
  <si>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</si>
  <si>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</si>
  <si>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</si>
  <si>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</si>
  <si>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</si>
  <si>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</si>
  <si>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</si>
  <si>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</si>
  <si>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</si>
  <si>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</si>
  <si>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</si>
  <si>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</si>
  <si>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</si>
  <si>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</si>
  <si>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</si>
  <si>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</si>
  <si>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</si>
  <si>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</si>
  <si>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</si>
  <si>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</si>
  <si>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</si>
  <si>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</si>
  <si>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</si>
  <si>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</si>
  <si>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</si>
  <si>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</si>
  <si>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</si>
  <si>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</si>
  <si>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</si>
  <si>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</si>
  <si>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</si>
  <si>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</si>
  <si>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</si>
  <si>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</si>
  <si>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</si>
  <si>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</si>
  <si>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</si>
  <si>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</si>
  <si>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</si>
  <si>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</si>
  <si>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</si>
  <si>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</si>
  <si>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</si>
  <si>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</si>
  <si>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</si>
  <si>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</si>
  <si>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</si>
  <si>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</si>
  <si>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</si>
  <si>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</si>
  <si>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</si>
  <si>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</si>
  <si>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</si>
  <si>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</si>
  <si>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</si>
  <si>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</si>
  <si>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</si>
  <si>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</si>
  <si>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</si>
  <si>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</si>
  <si>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</si>
  <si>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</si>
  <si>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</si>
  <si>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</si>
  <si>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</si>
  <si>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</si>
  <si>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</si>
  <si>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</si>
  <si>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</si>
  <si>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</si>
  <si>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</si>
  <si>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Tolerance Source</t>
  </si>
  <si>
    <t>Item</t>
  </si>
  <si>
    <t>Range</t>
  </si>
  <si>
    <t>Tolerance</t>
  </si>
  <si>
    <t>Cont Test Date:</t>
  </si>
  <si>
    <t>Rec Test Date:</t>
  </si>
  <si>
    <t>(Change date if different from today)</t>
  </si>
  <si>
    <t>Test Location</t>
  </si>
  <si>
    <t>Oven Location</t>
  </si>
  <si>
    <t>Specification</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</si>
  <si>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</si>
  <si>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</si>
  <si>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</si>
  <si>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</si>
  <si>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</si>
  <si>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</si>
  <si>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</si>
  <si>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</si>
  <si>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</si>
  <si>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</si>
  <si>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</si>
  <si>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</si>
  <si>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</si>
  <si>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</si>
  <si>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</si>
  <si>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</si>
  <si>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</si>
  <si>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</si>
  <si>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</si>
  <si>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</si>
  <si>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</si>
  <si>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</si>
  <si>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</si>
  <si>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</si>
  <si>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</si>
  <si>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</si>
  <si>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</si>
  <si>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</si>
  <si>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</si>
  <si>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</si>
  <si>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</si>
  <si>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</si>
  <si>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</si>
  <si>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</si>
  <si>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</si>
  <si>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</si>
  <si>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</si>
  <si>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</si>
  <si>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</si>
  <si>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</si>
  <si>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</si>
  <si>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</si>
  <si>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</si>
  <si>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</si>
  <si>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</si>
  <si>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</si>
  <si>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</si>
  <si>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</si>
  <si>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</si>
  <si>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</si>
  <si>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</si>
  <si>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</si>
  <si>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</si>
  <si>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</si>
  <si>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</si>
  <si>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</si>
  <si>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</si>
  <si>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</si>
  <si>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</si>
  <si>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</si>
  <si>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</si>
  <si>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</si>
  <si>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</si>
  <si>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</si>
  <si>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</si>
  <si>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</si>
  <si>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</si>
  <si>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</si>
  <si>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</si>
  <si>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</si>
  <si>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</si>
  <si>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</si>
  <si>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</si>
  <si>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</si>
  <si>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</si>
  <si>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</si>
  <si>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</si>
  <si>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</si>
  <si>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</si>
  <si>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</si>
  <si>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</si>
  <si>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</si>
  <si>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</si>
  <si>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</si>
  <si>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</si>
  <si>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</si>
  <si>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</si>
  <si>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</si>
  <si>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</si>
  <si>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</si>
  <si>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</si>
  <si>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</si>
  <si>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</si>
  <si>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</si>
  <si>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</si>
  <si>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</si>
  <si>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18.5" X 19" X 22"</t>
  </si>
  <si>
    <t>Integrated*</t>
  </si>
  <si>
    <t>*Controller and Recorder verified by ISC method during survey.</t>
  </si>
  <si>
    <t>ELECTRIC ON/OFF</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</si>
  <si>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</si>
  <si>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</si>
  <si>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</si>
  <si>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</si>
  <si>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</si>
  <si>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</si>
  <si>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</si>
  <si>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</si>
  <si>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</si>
  <si>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</si>
  <si>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</si>
  <si>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</si>
  <si>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</si>
  <si>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</si>
  <si>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</si>
  <si>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</si>
  <si>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</si>
  <si>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</si>
  <si>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</si>
  <si>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</si>
  <si>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</si>
  <si>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</si>
  <si>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</si>
  <si>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</si>
  <si>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</si>
  <si>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</si>
  <si>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</si>
  <si>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Custom</t>
  </si>
  <si>
    <t>±4°F</t>
  </si>
  <si>
    <t>±2°F*</t>
  </si>
  <si>
    <t>120°F/130°F</t>
  </si>
  <si>
    <t>±3°F*</t>
  </si>
  <si>
    <t>60°F/90°F</t>
  </si>
  <si>
    <t>NONE</t>
  </si>
  <si>
    <t>N/A*</t>
  </si>
  <si>
    <t>GAS</t>
  </si>
  <si>
    <t>Siemens Simatic HM1 Touch</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</si>
  <si>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</si>
  <si>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</si>
  <si>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</si>
  <si>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</si>
  <si>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</si>
  <si>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</si>
  <si>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</si>
  <si>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</si>
  <si>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</si>
  <si>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</si>
  <si>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</si>
  <si>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</si>
  <si>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</si>
  <si>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</si>
  <si>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</si>
  <si>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</si>
  <si>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</si>
  <si>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</si>
  <si>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</si>
  <si>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</si>
  <si>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</si>
  <si>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</si>
  <si>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</si>
  <si>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</si>
  <si>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</si>
  <si>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</si>
  <si>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</si>
  <si>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</si>
  <si>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</si>
  <si>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</si>
  <si>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</si>
  <si>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</si>
  <si>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</si>
  <si>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</si>
  <si>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</si>
  <si>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</si>
  <si>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</si>
  <si>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</si>
  <si>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</si>
  <si>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</si>
  <si>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</si>
  <si>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</si>
  <si>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</si>
  <si>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</si>
  <si>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</si>
  <si>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</si>
  <si>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</si>
  <si>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</si>
  <si>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</si>
  <si>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</si>
  <si>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</si>
  <si>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STAINLESS FURNACE</t>
  </si>
  <si>
    <t>HONEYWELL UDC3000</t>
  </si>
  <si>
    <t>HONEYWELL UDC3300</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</si>
  <si>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</si>
  <si>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</si>
  <si>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</si>
  <si>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</si>
  <si>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</si>
  <si>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</si>
  <si>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</si>
  <si>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</si>
  <si>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</si>
  <si>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</si>
  <si>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</si>
  <si>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</si>
  <si>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</si>
  <si>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</si>
  <si>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</si>
  <si>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</si>
  <si>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</si>
  <si>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</si>
  <si>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</si>
  <si>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</si>
  <si>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</si>
  <si>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</si>
  <si>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</si>
  <si>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</si>
  <si>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</si>
  <si>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</si>
  <si>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</si>
  <si>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</si>
  <si>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</si>
  <si>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</si>
  <si>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</si>
  <si>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</si>
  <si>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</si>
  <si>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</si>
  <si>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</si>
  <si>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</si>
  <si>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</si>
  <si>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</si>
  <si>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</si>
  <si>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</si>
  <si>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</si>
  <si>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</si>
  <si>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</si>
  <si>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</si>
  <si>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</si>
  <si>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</si>
  <si>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</si>
  <si>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</si>
  <si>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</si>
  <si>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</si>
  <si>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</si>
  <si>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</si>
  <si>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</si>
  <si>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</si>
  <si>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</si>
  <si>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</si>
  <si>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</si>
  <si>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</si>
  <si>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</si>
  <si>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</si>
  <si>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</si>
  <si>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</si>
  <si>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</si>
  <si>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</si>
  <si>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</si>
  <si>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</si>
  <si>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</si>
  <si>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</si>
  <si>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</si>
  <si>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</si>
  <si>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</si>
  <si>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</si>
  <si>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</si>
  <si>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</si>
  <si>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</si>
  <si>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</si>
  <si>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</si>
  <si>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</si>
  <si>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</si>
  <si>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</si>
  <si>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</si>
  <si>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</si>
  <si>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</si>
  <si>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</si>
  <si>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</si>
  <si>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</si>
  <si>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</si>
  <si>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</si>
  <si>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</si>
  <si>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</si>
  <si>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</si>
  <si>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</si>
  <si>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</si>
  <si>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</si>
  <si>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</si>
  <si>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</si>
  <si>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</si>
  <si>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</si>
  <si>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</si>
  <si>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</si>
  <si>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</si>
  <si>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</si>
  <si>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</si>
  <si>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</si>
  <si>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</si>
  <si>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</si>
  <si>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</si>
  <si>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</si>
  <si>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</si>
  <si>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</si>
  <si>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</si>
  <si>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</si>
  <si>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</si>
  <si>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</si>
  <si>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</si>
  <si>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</si>
  <si>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</si>
  <si>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</si>
  <si>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</si>
  <si>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</si>
  <si>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</si>
  <si>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</si>
  <si>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</si>
  <si>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</si>
  <si>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</si>
  <si>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</si>
  <si>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</si>
  <si>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</si>
  <si>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</si>
  <si>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</si>
  <si>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</si>
  <si>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</si>
  <si>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</si>
  <si>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</si>
  <si>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</si>
  <si>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</si>
  <si>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</si>
  <si>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</si>
  <si>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</si>
  <si>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</si>
  <si>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</si>
  <si>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</si>
  <si>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</si>
  <si>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</si>
  <si>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</si>
  <si>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</si>
  <si>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</si>
  <si>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</si>
  <si>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</si>
  <si>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</si>
  <si>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</si>
  <si>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</si>
  <si>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</si>
  <si>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</si>
  <si>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</si>
  <si>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</si>
  <si>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</si>
  <si>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</si>
  <si>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</si>
  <si>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</si>
  <si>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</si>
  <si>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</si>
  <si>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</si>
  <si>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</si>
  <si>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</si>
  <si>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</si>
  <si>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</si>
  <si>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</si>
  <si>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</si>
  <si>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</si>
  <si>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</si>
  <si>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</si>
  <si>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</si>
  <si>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</si>
  <si>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</si>
  <si>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</si>
  <si>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</si>
  <si>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</si>
  <si>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</si>
  <si>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</si>
  <si>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</si>
  <si>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</si>
  <si>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</si>
  <si>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</si>
  <si>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</si>
  <si>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</si>
  <si>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</si>
  <si>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</si>
  <si>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</si>
  <si>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</si>
  <si>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</si>
  <si>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</si>
  <si>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</si>
  <si>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</si>
  <si>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</si>
  <si>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</si>
  <si>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</si>
  <si>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</si>
  <si>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</si>
  <si>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</si>
  <si>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</si>
  <si>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</si>
  <si>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</si>
  <si>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</si>
  <si>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</si>
  <si>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</si>
  <si>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</si>
  <si>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</si>
  <si>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</si>
  <si>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</si>
  <si>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</si>
  <si>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</si>
  <si>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</si>
  <si>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</si>
  <si>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</si>
  <si>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</si>
  <si>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</si>
  <si>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</si>
  <si>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</si>
  <si>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</si>
  <si>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</si>
  <si>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</si>
  <si>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</si>
  <si>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</si>
  <si>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</si>
  <si>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</si>
  <si>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</si>
  <si>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</si>
  <si>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</si>
  <si>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</si>
  <si>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</si>
  <si>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</si>
  <si>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</si>
  <si>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</si>
  <si>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</si>
  <si>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</si>
  <si>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</si>
  <si>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</si>
  <si>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</si>
  <si>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</si>
  <si>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</si>
  <si>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</si>
  <si>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</si>
  <si>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</si>
  <si>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</si>
  <si>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</si>
  <si>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</si>
  <si>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</si>
  <si>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</si>
  <si>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</si>
  <si>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</si>
  <si>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140°F/250°F</t>
  </si>
  <si>
    <t>HONEYWELL DR4300</t>
  </si>
  <si>
    <t>140°F/200°F</t>
  </si>
  <si>
    <t>180°F/200°F</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</si>
  <si>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</si>
  <si>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</si>
  <si>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</si>
  <si>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</si>
  <si>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</si>
  <si>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</si>
  <si>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</si>
  <si>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</si>
  <si>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</si>
  <si>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</si>
  <si>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</si>
  <si>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</si>
  <si>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</si>
  <si>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</si>
  <si>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</si>
  <si>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</si>
  <si>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</si>
  <si>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</si>
  <si>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</si>
  <si>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</si>
  <si>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</si>
  <si>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</si>
  <si>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</si>
  <si>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</si>
  <si>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</si>
  <si>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</si>
  <si>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</si>
  <si>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</si>
  <si>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</si>
  <si>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</si>
  <si>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</si>
  <si>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</si>
  <si>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</si>
  <si>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</si>
  <si>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</si>
  <si>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</si>
  <si>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</si>
  <si>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</si>
  <si>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</si>
  <si>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</si>
  <si>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</si>
  <si>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</si>
  <si>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</si>
  <si>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</si>
  <si>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</si>
  <si>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</si>
  <si>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</si>
  <si>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</si>
  <si>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</si>
  <si>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</si>
  <si>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</si>
  <si>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</si>
  <si>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</si>
  <si>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</si>
  <si>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</si>
  <si>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</si>
  <si>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</si>
  <si>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</si>
  <si>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</si>
  <si>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</si>
  <si>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</si>
  <si>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</si>
  <si>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</si>
  <si>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</si>
  <si>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</si>
  <si>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</si>
  <si>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</si>
  <si>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</si>
  <si>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</si>
  <si>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</si>
  <si>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</si>
  <si>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</si>
  <si>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</si>
  <si>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</si>
  <si>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</si>
  <si>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</si>
  <si>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</si>
  <si>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</si>
  <si>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</si>
  <si>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</si>
  <si>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</si>
  <si>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</si>
  <si>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</si>
  <si>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</si>
  <si>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</si>
  <si>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</si>
  <si>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</si>
  <si>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</si>
  <si>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</si>
  <si>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</si>
  <si>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</si>
  <si>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</si>
  <si>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</si>
  <si>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</si>
  <si>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</si>
  <si>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</si>
  <si>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</si>
  <si>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</si>
  <si>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</si>
  <si>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</si>
  <si>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</si>
  <si>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</si>
  <si>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</si>
  <si>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</si>
  <si>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</si>
  <si>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</si>
  <si>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</si>
  <si>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</si>
  <si>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</si>
  <si>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</si>
  <si>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</si>
  <si>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</si>
  <si>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</si>
  <si>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</si>
  <si>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</si>
  <si>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</si>
  <si>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</si>
  <si>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</si>
  <si>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</si>
  <si>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</si>
  <si>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</si>
  <si>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</si>
  <si>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</si>
  <si>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</si>
  <si>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</si>
  <si>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</si>
  <si>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</si>
  <si>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</si>
  <si>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</si>
  <si>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</si>
  <si>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</si>
  <si>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</si>
  <si>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</si>
  <si>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</si>
  <si>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</si>
  <si>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</si>
  <si>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</si>
  <si>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</si>
  <si>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</si>
  <si>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</si>
  <si>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</si>
  <si>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</si>
  <si>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</si>
  <si>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</si>
  <si>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</si>
  <si>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</si>
  <si>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</si>
  <si>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</si>
  <si>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</si>
  <si>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</si>
  <si>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</si>
  <si>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</si>
  <si>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</si>
  <si>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</si>
  <si>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</si>
  <si>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</si>
  <si>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</si>
  <si>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</si>
  <si>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</si>
  <si>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</si>
  <si>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</si>
  <si>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</si>
  <si>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</si>
  <si>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</si>
  <si>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</si>
  <si>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</si>
  <si>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</si>
  <si>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</si>
  <si>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</si>
  <si>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</si>
  <si>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</si>
  <si>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</si>
  <si>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</si>
  <si>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</si>
  <si>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</si>
  <si>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</si>
  <si>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</si>
  <si>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</si>
  <si>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</si>
  <si>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</si>
  <si>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</si>
  <si>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</si>
  <si>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</si>
  <si>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</si>
  <si>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</si>
  <si>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</si>
  <si>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</si>
  <si>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</si>
  <si>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</si>
  <si>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</si>
  <si>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</si>
  <si>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</si>
  <si>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</si>
  <si>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</si>
  <si>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</si>
  <si>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</si>
  <si>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</si>
  <si>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</si>
  <si>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</si>
  <si>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</si>
  <si>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</si>
  <si>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</si>
  <si>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</si>
  <si>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</si>
  <si>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</si>
  <si>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</si>
  <si>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</si>
  <si>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</si>
  <si>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</si>
  <si>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</si>
  <si>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</si>
  <si>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</si>
  <si>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</si>
  <si>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</si>
  <si>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</si>
  <si>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</si>
  <si>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</si>
  <si>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</si>
  <si>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</si>
  <si>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</si>
  <si>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</si>
  <si>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</si>
  <si>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</si>
  <si>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</si>
  <si>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</si>
  <si>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</si>
  <si>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</si>
  <si>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</si>
  <si>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</si>
  <si>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</si>
  <si>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</si>
  <si>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</si>
  <si>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</si>
  <si>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</si>
  <si>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</si>
  <si>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</si>
  <si>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</si>
  <si>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</si>
  <si>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</si>
  <si>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</si>
  <si>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</si>
  <si>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</si>
  <si>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</si>
  <si>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</si>
  <si>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</si>
  <si>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</si>
  <si>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</si>
  <si>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</si>
  <si>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</si>
  <si>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</si>
  <si>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</si>
  <si>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</si>
  <si>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</si>
  <si>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</si>
  <si>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</si>
  <si>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</si>
  <si>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</si>
  <si>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</si>
  <si>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</si>
  <si>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</si>
  <si>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</si>
  <si>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</si>
  <si>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</si>
  <si>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</si>
  <si>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</si>
  <si>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</si>
  <si>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</si>
  <si>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</si>
  <si>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</si>
  <si>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</si>
  <si>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</si>
  <si>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</si>
  <si>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</si>
  <si>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</si>
  <si>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</si>
  <si>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</si>
  <si>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</si>
  <si>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</si>
  <si>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</si>
  <si>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</si>
  <si>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</si>
  <si>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</si>
  <si>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</si>
  <si>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</si>
  <si>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</si>
  <si>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</si>
  <si>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</si>
  <si>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</si>
  <si>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</si>
  <si>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</si>
  <si>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</si>
  <si>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</si>
  <si>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</si>
  <si>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</si>
  <si>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</si>
  <si>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</si>
  <si>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</si>
  <si>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</si>
  <si>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</si>
  <si>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</si>
  <si>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</si>
  <si>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</si>
  <si>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</si>
  <si>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</si>
  <si>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</si>
  <si>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</si>
  <si>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</si>
  <si>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</si>
  <si>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</si>
  <si>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</si>
  <si>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</si>
  <si>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</si>
  <si>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</si>
  <si>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</si>
  <si>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</si>
  <si>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</si>
  <si>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</si>
  <si>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</si>
  <si>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</si>
  <si>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</si>
  <si>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</si>
  <si>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</si>
  <si>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</si>
  <si>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</si>
  <si>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</si>
  <si>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</si>
  <si>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</si>
  <si>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</si>
  <si>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</si>
  <si>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</si>
  <si>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</si>
  <si>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</si>
  <si>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</si>
  <si>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</si>
  <si>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</si>
  <si>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</si>
  <si>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</si>
  <si>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</si>
  <si>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</si>
  <si>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</si>
  <si>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</si>
  <si>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</si>
  <si>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</si>
  <si>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</si>
  <si>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</si>
  <si>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</si>
  <si>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</si>
  <si>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</si>
  <si>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</si>
  <si>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</si>
  <si>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</si>
  <si>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</si>
  <si>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</si>
  <si>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</si>
  <si>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</si>
  <si>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</si>
  <si>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</si>
  <si>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</si>
  <si>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</si>
  <si>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</si>
  <si>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</si>
  <si>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</si>
  <si>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</si>
  <si>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</si>
  <si>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</si>
  <si>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</si>
  <si>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</si>
  <si>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</si>
  <si>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</si>
  <si>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</si>
  <si>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</si>
  <si>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</si>
  <si>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</si>
  <si>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</si>
  <si>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</si>
  <si>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</si>
  <si>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</si>
  <si>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</si>
  <si>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</si>
  <si>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</si>
  <si>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</si>
  <si>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</si>
  <si>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</si>
  <si>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</si>
  <si>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</si>
  <si>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</si>
  <si>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</si>
  <si>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</si>
  <si>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</si>
  <si>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</si>
  <si>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</si>
  <si>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</si>
  <si>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</si>
  <si>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</si>
  <si>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</si>
  <si>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</si>
  <si>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</si>
  <si>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</si>
  <si>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</si>
  <si>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</si>
  <si>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</si>
  <si>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</si>
  <si>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</si>
  <si>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</si>
  <si>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</si>
  <si>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</si>
  <si>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</si>
  <si>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</si>
  <si>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</si>
  <si>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</si>
  <si>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</si>
  <si>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</si>
  <si>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</si>
  <si>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</si>
  <si>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</si>
  <si>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</si>
  <si>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</si>
  <si>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</si>
  <si>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</si>
  <si>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</si>
  <si>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</si>
  <si>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</si>
  <si>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</si>
  <si>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</si>
  <si>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</si>
  <si>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</si>
  <si>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</si>
  <si>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</si>
  <si>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</si>
  <si>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</si>
  <si>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</si>
  <si>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</si>
  <si>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</si>
  <si>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</si>
  <si>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</si>
  <si>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</si>
  <si>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</si>
  <si>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</si>
  <si>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</si>
  <si>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</si>
  <si>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</si>
  <si>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</si>
  <si>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</si>
  <si>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</si>
  <si>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</si>
  <si>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</si>
  <si>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</si>
  <si>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</si>
  <si>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</si>
  <si>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</si>
  <si>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</si>
  <si>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</si>
  <si>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</si>
  <si>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</si>
  <si>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</si>
  <si>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</si>
  <si>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</si>
  <si>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</si>
  <si>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</si>
  <si>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</si>
  <si>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</si>
  <si>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</si>
  <si>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</si>
  <si>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</si>
  <si>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</si>
  <si>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</si>
  <si>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</si>
  <si>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</si>
  <si>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</si>
  <si>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</si>
  <si>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</si>
  <si>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</si>
  <si>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</si>
  <si>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</si>
  <si>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</si>
  <si>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</si>
  <si>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</si>
  <si>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</si>
  <si>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</si>
  <si>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</si>
  <si>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</si>
  <si>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</si>
  <si>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</si>
  <si>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</si>
  <si>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</si>
  <si>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</si>
  <si>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</si>
  <si>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</si>
  <si>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</si>
  <si>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</si>
  <si>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</si>
  <si>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</si>
  <si>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</si>
  <si>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</si>
  <si>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</si>
  <si>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</si>
  <si>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</si>
  <si>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</si>
  <si>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</si>
  <si>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</si>
  <si>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</si>
  <si>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</si>
  <si>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</si>
  <si>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</si>
  <si>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</si>
  <si>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</si>
  <si>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</si>
  <si>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</si>
  <si>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</si>
  <si>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</si>
  <si>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</si>
  <si>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</si>
  <si>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</si>
  <si>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</si>
  <si>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</si>
  <si>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</si>
  <si>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</si>
  <si>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</si>
  <si>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</si>
  <si>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</si>
  <si>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</si>
  <si>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</si>
  <si>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</si>
  <si>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</si>
  <si>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</si>
  <si>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</si>
  <si>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</si>
  <si>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</si>
  <si>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</si>
  <si>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</si>
  <si>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</si>
  <si>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</si>
  <si>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</si>
  <si>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</si>
  <si>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</si>
  <si>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</si>
  <si>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</si>
  <si>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</si>
  <si>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</si>
  <si>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</si>
  <si>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</si>
  <si>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</si>
  <si>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</si>
  <si>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</si>
  <si>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</si>
  <si>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</si>
  <si>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</si>
  <si>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</si>
  <si>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</si>
  <si>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</si>
  <si>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</si>
  <si>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</si>
  <si>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</si>
  <si>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</si>
  <si>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</si>
  <si>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</si>
  <si>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</si>
  <si>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</si>
  <si>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</si>
  <si>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</si>
  <si>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</si>
  <si>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</si>
  <si>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</si>
  <si>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</si>
  <si>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</si>
  <si>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</si>
  <si>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</si>
  <si>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</si>
  <si>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</si>
  <si>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</si>
  <si>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</si>
  <si>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</si>
  <si>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</si>
  <si>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</si>
  <si>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</si>
  <si>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</si>
  <si>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</si>
  <si>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</si>
  <si>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</si>
  <si>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</si>
  <si>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</si>
  <si>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</si>
  <si>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</si>
  <si>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</si>
  <si>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</si>
  <si>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</si>
  <si>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</si>
  <si>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</si>
  <si>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</si>
  <si>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</si>
  <si>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</si>
  <si>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</si>
  <si>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</si>
  <si>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</si>
  <si>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</si>
  <si>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</si>
  <si>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</si>
  <si>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</si>
  <si>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</si>
  <si>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</si>
  <si>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</si>
  <si>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</si>
  <si>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</si>
  <si>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</si>
  <si>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</si>
  <si>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</si>
  <si>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</si>
  <si>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</si>
  <si>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</si>
  <si>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</si>
  <si>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</si>
  <si>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</si>
  <si>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</si>
  <si>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</si>
  <si>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</si>
  <si>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</si>
  <si>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</si>
  <si>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</si>
  <si>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</si>
  <si>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</si>
  <si>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</si>
  <si>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</si>
  <si>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</si>
  <si>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</si>
  <si>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</si>
  <si>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</si>
  <si>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</si>
  <si>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</si>
  <si>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</si>
  <si>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</si>
  <si>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</si>
  <si>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</si>
  <si>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</si>
  <si>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</si>
  <si>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</si>
  <si>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</si>
  <si>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</si>
  <si>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</si>
  <si>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</si>
  <si>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</si>
  <si>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</si>
  <si>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</si>
  <si>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</si>
  <si>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</si>
  <si>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</si>
  <si>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</si>
  <si>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</si>
  <si>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</si>
  <si>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</si>
  <si>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</si>
  <si>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</si>
  <si>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</si>
  <si>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</si>
  <si>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</si>
  <si>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</si>
  <si>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</si>
  <si>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</si>
  <si>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</si>
  <si>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</si>
  <si>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</si>
  <si>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</si>
  <si>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</si>
  <si>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</si>
  <si>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</si>
  <si>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</si>
  <si>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</si>
  <si>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</si>
  <si>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</si>
  <si>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</si>
  <si>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</si>
  <si>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</si>
  <si>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</si>
  <si>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</si>
  <si>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</si>
  <si>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</si>
  <si>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</si>
  <si>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</si>
  <si>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</si>
  <si>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</si>
  <si>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</si>
  <si>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</si>
  <si>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</si>
  <si>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</si>
  <si>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</si>
  <si>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</si>
  <si>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</si>
  <si>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</si>
  <si>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</si>
  <si>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</si>
  <si>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</si>
  <si>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</si>
  <si>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</si>
  <si>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</si>
  <si>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</si>
  <si>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</si>
  <si>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</si>
  <si>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</si>
  <si>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</si>
  <si>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</si>
  <si>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</si>
  <si>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</si>
  <si>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</si>
  <si>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</si>
  <si>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</si>
  <si>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</si>
  <si>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</si>
  <si>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</si>
  <si>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</si>
  <si>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</si>
  <si>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</si>
  <si>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</si>
  <si>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</si>
  <si>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</si>
  <si>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</si>
  <si>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</si>
  <si>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</si>
  <si>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</si>
  <si>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</si>
  <si>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</si>
  <si>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</si>
  <si>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</si>
  <si>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</si>
  <si>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</si>
  <si>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</si>
  <si>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</si>
  <si>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</si>
  <si>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</si>
  <si>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</si>
  <si>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</si>
  <si>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</si>
  <si>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</si>
  <si>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</si>
  <si>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</si>
  <si>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</si>
  <si>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</si>
  <si>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</si>
  <si>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</si>
  <si>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</si>
  <si>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</si>
  <si>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</si>
  <si>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</si>
  <si>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</si>
  <si>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</si>
  <si>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</si>
  <si>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</si>
  <si>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</si>
  <si>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</si>
  <si>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</si>
  <si>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</si>
  <si>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</si>
  <si>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</si>
  <si>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</si>
  <si>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</si>
  <si>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</si>
  <si>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</si>
  <si>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</si>
  <si>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</si>
  <si>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</si>
  <si>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</si>
  <si>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</si>
  <si>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</si>
  <si>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</si>
  <si>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</si>
  <si>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</si>
  <si>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</si>
  <si>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</si>
  <si>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</si>
  <si>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</si>
  <si>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</si>
  <si>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</si>
  <si>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</si>
  <si>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</si>
  <si>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</si>
  <si>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</si>
  <si>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</si>
  <si>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</si>
  <si>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</si>
  <si>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</si>
  <si>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</si>
  <si>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</si>
  <si>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</si>
  <si>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</si>
  <si>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</si>
  <si>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</si>
  <si>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</si>
  <si>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</si>
  <si>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</si>
  <si>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</si>
  <si>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</si>
  <si>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</si>
  <si>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</si>
  <si>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</si>
  <si>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</si>
  <si>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</si>
  <si>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</si>
  <si>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</si>
  <si>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</si>
  <si>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</si>
  <si>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</si>
  <si>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</si>
  <si>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</si>
  <si>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</si>
  <si>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</si>
  <si>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</si>
  <si>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</si>
  <si>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</si>
  <si>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</si>
  <si>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</si>
  <si>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</si>
  <si>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</si>
  <si>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</si>
  <si>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</si>
  <si>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</si>
  <si>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</si>
  <si>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</si>
  <si>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</si>
  <si>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</si>
  <si>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</si>
  <si>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</si>
  <si>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</si>
  <si>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</si>
  <si>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</si>
  <si>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</si>
  <si>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</si>
  <si>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</si>
  <si>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</si>
  <si>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</si>
  <si>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</si>
  <si>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</si>
  <si>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</si>
  <si>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</si>
  <si>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</si>
  <si>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</si>
  <si>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</si>
  <si>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</si>
  <si>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</si>
  <si>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</si>
  <si>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</si>
  <si>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</si>
  <si>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</si>
  <si>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</si>
  <si>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</si>
  <si>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</si>
  <si>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</si>
  <si>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</si>
  <si>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</si>
  <si>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</si>
  <si>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</si>
  <si>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</si>
  <si>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</si>
  <si>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</si>
  <si>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</si>
  <si>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</si>
  <si>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</si>
  <si>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</si>
  <si>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</si>
  <si>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</si>
  <si>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</si>
  <si>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</si>
  <si>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</si>
  <si>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</si>
  <si>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</si>
  <si>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</si>
  <si>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</si>
  <si>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</si>
  <si>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</si>
  <si>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</si>
  <si>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</si>
  <si>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</si>
  <si>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</si>
  <si>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</si>
  <si>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</si>
  <si>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</si>
  <si>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</si>
  <si>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</si>
  <si>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</si>
  <si>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</si>
  <si>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</si>
  <si>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</si>
  <si>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</si>
  <si>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</si>
  <si>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</si>
  <si>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</si>
  <si>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</si>
  <si>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</si>
  <si>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</si>
  <si>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</si>
  <si>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</si>
  <si>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</si>
  <si>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</si>
  <si>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</si>
  <si>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</si>
  <si>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</si>
  <si>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</si>
  <si>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</si>
  <si>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</si>
  <si>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</si>
  <si>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</si>
  <si>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</si>
  <si>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</si>
  <si>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</si>
  <si>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</si>
  <si>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</si>
  <si>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</si>
  <si>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</si>
  <si>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</si>
  <si>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</si>
  <si>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</si>
  <si>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</si>
  <si>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</si>
  <si>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</si>
  <si>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</si>
  <si>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</si>
  <si>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</si>
  <si>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</si>
  <si>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</si>
  <si>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</si>
  <si>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</si>
  <si>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</si>
  <si>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</si>
  <si>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</si>
  <si>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</si>
  <si>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</si>
  <si>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</si>
  <si>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</si>
  <si>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</si>
  <si>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</si>
  <si>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</si>
  <si>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</si>
  <si>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</si>
  <si>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</si>
  <si>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</si>
  <si>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</si>
  <si>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</si>
  <si>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</si>
  <si>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</si>
  <si>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</si>
  <si>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</si>
  <si>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</si>
  <si>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</si>
  <si>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</si>
  <si>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</si>
  <si>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</si>
  <si>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</si>
  <si>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</si>
  <si>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</si>
  <si>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</si>
  <si>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</si>
  <si>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</si>
  <si>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</si>
  <si>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</si>
  <si>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</si>
  <si>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</si>
  <si>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</si>
  <si>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</si>
  <si>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</si>
  <si>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</si>
  <si>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</si>
  <si>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</si>
  <si>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</si>
  <si>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</si>
  <si>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</si>
  <si>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</si>
  <si>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</si>
  <si>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</si>
  <si>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</si>
  <si>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</si>
  <si>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</si>
  <si>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</si>
  <si>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</si>
  <si>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</si>
  <si>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</si>
  <si>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</si>
  <si>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</si>
  <si>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</si>
  <si>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</si>
  <si>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</si>
  <si>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</si>
  <si>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</si>
  <si>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</si>
  <si>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</si>
  <si>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</si>
  <si>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</si>
  <si>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</si>
  <si>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</si>
  <si>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</si>
  <si>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</si>
  <si>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</si>
  <si>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</si>
  <si>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</si>
  <si>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</si>
  <si>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</si>
  <si>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</si>
  <si>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</si>
  <si>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</si>
  <si>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</si>
  <si>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</si>
  <si>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</si>
  <si>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</si>
  <si>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</si>
  <si>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</si>
  <si>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</si>
  <si>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</si>
  <si>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</si>
  <si>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</si>
  <si>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</si>
  <si>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</si>
  <si>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</si>
  <si>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</si>
  <si>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</si>
  <si>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</si>
  <si>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</si>
  <si>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</si>
  <si>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</si>
  <si>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</si>
  <si>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</si>
  <si>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</si>
  <si>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</si>
  <si>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</si>
  <si>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</si>
  <si>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</si>
  <si>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</si>
  <si>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</si>
  <si>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</si>
  <si>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</si>
  <si>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</si>
  <si>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</si>
  <si>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</si>
  <si>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</si>
  <si>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</si>
  <si>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</si>
  <si>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</si>
  <si>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</si>
  <si>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</si>
  <si>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</si>
  <si>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</si>
  <si>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</si>
  <si>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</si>
  <si>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</si>
  <si>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</si>
  <si>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</si>
  <si>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</si>
  <si>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</si>
  <si>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</si>
  <si>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</si>
  <si>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</si>
  <si>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</si>
  <si>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</si>
  <si>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</si>
  <si>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</si>
  <si>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</si>
  <si>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</si>
  <si>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</si>
  <si>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</si>
  <si>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</si>
  <si>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</si>
  <si>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</si>
  <si>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</si>
  <si>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</si>
  <si>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</si>
  <si>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</si>
  <si>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</si>
  <si>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</si>
  <si>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</si>
  <si>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</si>
  <si>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</si>
  <si>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</si>
  <si>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</si>
  <si>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</si>
  <si>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</si>
  <si>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</si>
  <si>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</si>
  <si>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</si>
  <si>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</si>
  <si>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</si>
  <si>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</si>
  <si>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</si>
  <si>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</si>
  <si>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</si>
  <si>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</si>
  <si>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</si>
  <si>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</si>
  <si>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</si>
  <si>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</si>
  <si>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</si>
  <si>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</si>
  <si>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</si>
  <si>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</si>
  <si>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</si>
  <si>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</si>
  <si>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</si>
  <si>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</si>
  <si>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</si>
  <si>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</si>
  <si>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</si>
  <si>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</si>
  <si>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</si>
  <si>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</si>
  <si>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</si>
  <si>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</si>
  <si>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</si>
  <si>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</si>
  <si>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</si>
  <si>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</si>
  <si>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</si>
  <si>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</si>
  <si>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</si>
  <si>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</si>
  <si>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</si>
  <si>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</si>
  <si>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</si>
  <si>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</si>
  <si>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</si>
  <si>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</si>
  <si>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</si>
  <si>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</si>
  <si>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</si>
  <si>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</si>
  <si>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</si>
  <si>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</si>
  <si>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</si>
  <si>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</si>
  <si>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</si>
  <si>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</si>
  <si>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</si>
  <si>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</si>
  <si>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</si>
  <si>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</si>
  <si>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</si>
  <si>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</si>
  <si>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</si>
  <si>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</si>
  <si>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</si>
  <si>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</si>
  <si>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</si>
  <si>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</si>
  <si>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</si>
  <si>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</si>
  <si>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</si>
  <si>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</si>
  <si>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</si>
  <si>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</si>
  <si>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</si>
  <si>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</si>
  <si>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</si>
  <si>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</si>
  <si>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</si>
  <si>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</si>
  <si>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</si>
  <si>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</si>
  <si>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</si>
  <si>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</si>
  <si>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</si>
  <si>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</si>
  <si>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</si>
  <si>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</si>
  <si>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</si>
  <si>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Out lo 0.0</t>
  </si>
  <si>
    <t>DB 4</t>
  </si>
  <si>
    <t>IP 30</t>
  </si>
  <si>
    <t>C 2</t>
  </si>
  <si>
    <t>Reset 0</t>
  </si>
  <si>
    <t>HLB 12</t>
  </si>
  <si>
    <t>LLB 12</t>
  </si>
  <si>
    <t>Mrset 5</t>
  </si>
  <si>
    <t>cyc time 1</t>
  </si>
  <si>
    <t>Res 5.0</t>
  </si>
  <si>
    <t>out/Hi 100</t>
  </si>
  <si>
    <t>Out 1 Hi 100</t>
  </si>
  <si>
    <t>Mreset 0</t>
  </si>
  <si>
    <t>cycle 15 s</t>
  </si>
  <si>
    <t>1.55 min</t>
  </si>
  <si>
    <t>CBH 30</t>
  </si>
  <si>
    <t>CBL 40</t>
  </si>
  <si>
    <t>CT 1</t>
  </si>
  <si>
    <t>Out 1 100</t>
  </si>
  <si>
    <t>7 / 1.1 min</t>
  </si>
  <si>
    <t>Ip 30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</si>
  <si>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</si>
  <si>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</si>
  <si>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</si>
  <si>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</si>
  <si>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</si>
  <si>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</si>
  <si>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</si>
  <si>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</si>
  <si>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</si>
  <si>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</si>
  <si>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</si>
  <si>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</si>
  <si>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</si>
  <si>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</si>
  <si>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</si>
  <si>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</si>
  <si>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</si>
  <si>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</si>
  <si>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</si>
  <si>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</si>
  <si>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</si>
  <si>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</si>
  <si>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</si>
  <si>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</si>
  <si>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</si>
  <si>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</si>
  <si>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</si>
  <si>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</si>
  <si>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</si>
  <si>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</si>
  <si>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</si>
  <si>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</si>
  <si>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</si>
  <si>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</si>
  <si>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</si>
  <si>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</si>
  <si>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</si>
  <si>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</si>
  <si>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</si>
  <si>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</si>
  <si>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</si>
  <si>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</si>
  <si>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</si>
  <si>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</si>
  <si>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</si>
  <si>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</si>
  <si>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</si>
  <si>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</si>
  <si>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</si>
  <si>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</si>
  <si>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</si>
  <si>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</si>
  <si>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</si>
  <si>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</si>
  <si>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</si>
  <si>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</si>
  <si>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</si>
  <si>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MASK OVEN</t>
  </si>
  <si>
    <t>120°F/200°F</t>
  </si>
  <si>
    <t>108" X 72" X 288"</t>
  </si>
  <si>
    <t>HONEYWELL UDC 3200</t>
  </si>
  <si>
    <t>18W21C4000005577448</t>
  </si>
  <si>
    <t>0125Y15128600001</t>
  </si>
  <si>
    <t>pct m up 20</t>
  </si>
  <si>
    <t>pct m dn 300</t>
  </si>
  <si>
    <t>09150004</t>
  </si>
  <si>
    <t>TEMPURITY SERVER*</t>
  </si>
  <si>
    <t>V2-3</t>
  </si>
  <si>
    <t>TUS Type</t>
  </si>
  <si>
    <t>Initial</t>
  </si>
  <si>
    <t>Atmosphere Used</t>
  </si>
  <si>
    <t>Vacuum</t>
  </si>
  <si>
    <t>Liquid</t>
  </si>
  <si>
    <t>Argon</t>
  </si>
  <si>
    <t>Nitrogen</t>
  </si>
  <si>
    <t>Inspector List</t>
  </si>
  <si>
    <t>**Note: Max. Wire Depth for this survey, applicable only to Type "K" wire used over 500°F.</t>
  </si>
  <si>
    <t>Max Out 80%</t>
  </si>
  <si>
    <t>DESPATCH LAC SERIES</t>
  </si>
  <si>
    <t>45°C/100°C</t>
  </si>
  <si>
    <t>17" X 18" X 15"</t>
  </si>
  <si>
    <t>YOKOGAWA DES2000</t>
  </si>
  <si>
    <t>TIF501052</t>
  </si>
  <si>
    <t>±1.1°C</t>
  </si>
  <si>
    <t>Dilute Seal Tank</t>
  </si>
  <si>
    <t>T-16 Controller</t>
  </si>
  <si>
    <t>FC1641000553</t>
  </si>
  <si>
    <t>45°F MAX</t>
  </si>
  <si>
    <t>*(Tolerance ±5°F at 255°F only for TP2816A Qualifications)</t>
  </si>
  <si>
    <t>Tested per TP2816A.  Results obtained using a 3 degree per minute ramp rate.</t>
  </si>
  <si>
    <t>60" X 50" X 150"</t>
  </si>
  <si>
    <t>WATLOW F4 (LTC#2019)</t>
  </si>
  <si>
    <t>LTC CUSTOM V1.1</t>
  </si>
  <si>
    <t>PB A: 5°F</t>
  </si>
  <si>
    <t>Reset A: 0.5/min</t>
  </si>
  <si>
    <t>Rate: 1.00 min</t>
  </si>
  <si>
    <t>AUTOCLAVE NO. 4 TP2816A</t>
  </si>
  <si>
    <t>Annual</t>
  </si>
  <si>
    <r>
      <t>For non-indicating high limits, change the first instance of high limit to say controller in statement to the right in white.</t>
    </r>
    <r>
      <rPr>
        <sz val="10"/>
        <rFont val="Calibri"/>
        <family val="2"/>
      </rPr>
      <t>↑</t>
    </r>
  </si>
  <si>
    <t>Dake 927-749</t>
  </si>
  <si>
    <t>Controlled ramp rate of 3 Deg. F per minute used for final 30 Deg. F to setpoint.</t>
  </si>
  <si>
    <t>AUX CLG: 55</t>
  </si>
  <si>
    <t>Throttle: 0.0</t>
  </si>
  <si>
    <t>2526 W. 21st STREET</t>
  </si>
  <si>
    <t>25°F/-25°F</t>
  </si>
  <si>
    <t>GF0PK4CR</t>
  </si>
  <si>
    <t>Production</t>
  </si>
  <si>
    <t>350°F/1250°F, 1250°F/1400°F</t>
  </si>
  <si>
    <t>*Tested by comparison reading. A 2°F/minute ramp rate was used to obtain above results.</t>
  </si>
  <si>
    <t>A-B Panel View 800</t>
  </si>
  <si>
    <t>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</si>
  <si>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</si>
  <si>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</si>
  <si>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</si>
  <si>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</si>
  <si>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</si>
  <si>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</si>
  <si>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</si>
  <si>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</si>
  <si>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</si>
  <si>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</si>
  <si>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</si>
  <si>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</si>
  <si>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</si>
  <si>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</si>
  <si>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</si>
  <si>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</si>
  <si>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</si>
  <si>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</si>
  <si>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</si>
  <si>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</si>
  <si>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</si>
  <si>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</si>
  <si>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</si>
  <si>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</si>
  <si>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</si>
  <si>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</si>
  <si>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</si>
  <si>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</si>
  <si>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</si>
  <si>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</si>
  <si>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</si>
  <si>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</si>
  <si>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</si>
  <si>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</si>
  <si>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</si>
  <si>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</si>
  <si>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</si>
  <si>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International Cold Storage</t>
  </si>
  <si>
    <t>Walk-in Freezer #19</t>
  </si>
  <si>
    <t>49" X 49" X 132"</t>
  </si>
  <si>
    <t>Ranco</t>
  </si>
  <si>
    <t>Freezer #19</t>
  </si>
  <si>
    <t>I.R. BAKE OVEN</t>
  </si>
  <si>
    <t>524 E.HARRY</t>
  </si>
  <si>
    <t>Wichita, KS  67211</t>
  </si>
  <si>
    <t>Infrared Bake Oven</t>
  </si>
  <si>
    <t>Not Assigned</t>
  </si>
  <si>
    <t>±50°F</t>
  </si>
  <si>
    <t>Gas-Fired Infrared</t>
  </si>
  <si>
    <t>2' X 2' X 13'</t>
  </si>
  <si>
    <t>054869</t>
  </si>
  <si>
    <t>031236</t>
  </si>
  <si>
    <t>046072</t>
  </si>
  <si>
    <t xml:space="preserve">Integral: </t>
  </si>
  <si>
    <t>0.1%</t>
  </si>
  <si>
    <t>0.7%</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</si>
  <si>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</si>
  <si>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</si>
  <si>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</si>
  <si>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</si>
  <si>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</si>
  <si>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</si>
  <si>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</si>
  <si>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</si>
  <si>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</si>
  <si>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Cure Oven 3 (File No. 800)</t>
  </si>
  <si>
    <t>Flash Oven 3 (#805)</t>
  </si>
  <si>
    <t>Flash Oven 3 (File No. 805)</t>
  </si>
  <si>
    <t>Tank T-10 Alodine 600</t>
  </si>
  <si>
    <t>Tank T-10 CONT/REC</t>
  </si>
  <si>
    <t>450°F</t>
  </si>
  <si>
    <t>Maple Systems HMI507ODL</t>
  </si>
  <si>
    <t>CURE OVEN NO. 1 Cessna</t>
  </si>
  <si>
    <t>DKN-602</t>
  </si>
  <si>
    <t>DERBY, KS   67037</t>
  </si>
  <si>
    <t>B8900086</t>
  </si>
  <si>
    <t>125°C</t>
  </si>
  <si>
    <t>18" X 18" X 22"</t>
  </si>
  <si>
    <t>PARTLOW</t>
  </si>
  <si>
    <t>OVEN NO. 7B</t>
  </si>
  <si>
    <t>13640A1811</t>
  </si>
  <si>
    <t>Prop. Electric</t>
  </si>
  <si>
    <t>266" X 78" X 50"</t>
  </si>
  <si>
    <t>WATLOW EZ Zone</t>
  </si>
  <si>
    <t>037734</t>
  </si>
  <si>
    <t>Wonderware</t>
  </si>
  <si>
    <t>L-5185</t>
  </si>
  <si>
    <t>GRIEVE TB-500</t>
  </si>
  <si>
    <t>125087A0719</t>
  </si>
  <si>
    <t>±20°F</t>
  </si>
  <si>
    <t>50" X 60" X 48"</t>
  </si>
  <si>
    <t>L-5185A</t>
  </si>
  <si>
    <t>L-0138</t>
  </si>
  <si>
    <t>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</si>
  <si>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</si>
  <si>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</si>
  <si>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</si>
  <si>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</si>
  <si>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</si>
  <si>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</si>
  <si>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</si>
  <si>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</si>
  <si>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12.5' X 9.5' X 66'</t>
  </si>
  <si>
    <t>See Comments*</t>
  </si>
  <si>
    <t>Wizard2 TH-034, TH-040**</t>
  </si>
  <si>
    <t>16341865, 16341864</t>
  </si>
  <si>
    <t>260°F-310°F</t>
  </si>
  <si>
    <t>Maple Systems</t>
  </si>
  <si>
    <t>Oven No. 142142</t>
  </si>
  <si>
    <t>ShelLab</t>
  </si>
  <si>
    <t>52°C (125°F) only</t>
  </si>
  <si>
    <t>Electric</t>
  </si>
  <si>
    <t>30" X 60" X 24"</t>
  </si>
  <si>
    <t>Tempurity ATMS</t>
  </si>
  <si>
    <t>Oven_WASI</t>
  </si>
  <si>
    <t>Production - Tested on Site</t>
  </si>
  <si>
    <t>Oven No. 4</t>
  </si>
  <si>
    <t>OveN No. 4</t>
  </si>
  <si>
    <t>20" X 42" X 28"</t>
  </si>
  <si>
    <t>2Yr</t>
  </si>
  <si>
    <t>H120-2310-604-04-HK</t>
  </si>
  <si>
    <t>Results Obtained using a 3°F/minute ramp rate 35°F below setpoint for 30°F, then 1°F/minute for the final 5°F.</t>
  </si>
  <si>
    <t>OLH: 50</t>
  </si>
  <si>
    <t>STT1 (Monthly Test)</t>
  </si>
  <si>
    <t>STT1 (Quarterly Test)</t>
  </si>
  <si>
    <t>MERCURY AIR</t>
  </si>
  <si>
    <t>*Verified via ISC method during survey.  Omega HX93BDC-RP1 Sensor/Transmitter (#1067) also included.</t>
  </si>
  <si>
    <t>K10815</t>
  </si>
  <si>
    <t>FORTUS 450MC</t>
  </si>
  <si>
    <t>170°C</t>
  </si>
  <si>
    <t>-3°C/+16°C</t>
  </si>
  <si>
    <t>16.5" X 14"</t>
  </si>
  <si>
    <t>Uniformity and Controller SAT tolerances per customer.  Uniformity tolerance applies to points 1-9 only.  *Tested by SAT method during survey.</t>
  </si>
  <si>
    <t>VAC-1077</t>
  </si>
  <si>
    <t>HOT FORM PRESS (Press #4)</t>
  </si>
  <si>
    <t>Dake 927-556</t>
  </si>
  <si>
    <t>Eurotherm 3216</t>
  </si>
  <si>
    <t>±4°F*</t>
  </si>
  <si>
    <t>PAINT BAKE 15A</t>
  </si>
  <si>
    <t>GFS GBO-120924-TM-Custom</t>
  </si>
  <si>
    <t>U88056A</t>
  </si>
  <si>
    <t>15A</t>
  </si>
  <si>
    <t>165°F-250°F</t>
  </si>
  <si>
    <t>11'X7'X23'</t>
  </si>
  <si>
    <t>HM1</t>
  </si>
  <si>
    <t>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</si>
  <si>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</si>
  <si>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</si>
  <si>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</si>
  <si>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</si>
  <si>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</si>
  <si>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</si>
  <si>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</si>
  <si>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</si>
  <si>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</si>
  <si>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</si>
  <si>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</si>
  <si>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</si>
  <si>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</si>
  <si>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Wisconsin Oven</t>
  </si>
  <si>
    <t>Oven 12 Cessna</t>
  </si>
  <si>
    <t>Wisconsin Oven, Cessna</t>
  </si>
  <si>
    <t>4000000200616</t>
  </si>
  <si>
    <t xml:space="preserve">(TH-023) 12347151 </t>
  </si>
  <si>
    <t>EVC3,LTC #1399</t>
  </si>
  <si>
    <t>CINCINNATI Z16+</t>
  </si>
  <si>
    <t>ZP0941963</t>
  </si>
  <si>
    <t>EVC3, LTC#1399</t>
  </si>
  <si>
    <t>LTC #1493</t>
  </si>
  <si>
    <t>AUTOCLAVE NO. 2 CESSNA</t>
  </si>
  <si>
    <t>L &amp; L 14-7893</t>
  </si>
  <si>
    <t>150°F/355°F</t>
  </si>
  <si>
    <t>+10/-5°F*</t>
  </si>
  <si>
    <t>HOT OIL</t>
  </si>
  <si>
    <t>76" x 336"</t>
  </si>
  <si>
    <t>EUROTHERM 2704</t>
  </si>
  <si>
    <t>65553-1-1-4908-PL1</t>
  </si>
  <si>
    <t>US25069-1-1-4708-PL1</t>
  </si>
  <si>
    <t>*±5°F @ 150°F</t>
  </si>
  <si>
    <t>UNKNOWN</t>
  </si>
  <si>
    <t>WATLOW F4T</t>
  </si>
  <si>
    <t>ASTM E1417</t>
  </si>
  <si>
    <t>OVEN NO. 16</t>
  </si>
  <si>
    <t>PARAPLAST OVEN</t>
  </si>
  <si>
    <t>OMRON E5CS</t>
  </si>
  <si>
    <t>WIZARD WT640</t>
  </si>
  <si>
    <t>Eurtotherm 6100A</t>
  </si>
  <si>
    <t>PL2050003082</t>
  </si>
  <si>
    <t>Eurotherm 6100A</t>
  </si>
  <si>
    <t>GEC AO1</t>
  </si>
  <si>
    <t>GEC AO2A</t>
  </si>
  <si>
    <t>125°F/500°F</t>
  </si>
  <si>
    <t>20°F/80°C</t>
  </si>
  <si>
    <t>MASK OVEN NO. 22</t>
  </si>
  <si>
    <t>MASK BAKE OVEN</t>
  </si>
  <si>
    <t>OVEN NO. 17 AMS</t>
  </si>
  <si>
    <t>OVEN NO. 17</t>
  </si>
  <si>
    <t>282" X 92" X 78.5"</t>
  </si>
  <si>
    <t>OVEN NO. 17 CESSNA</t>
  </si>
  <si>
    <t>L-2051</t>
  </si>
  <si>
    <t>ATS0252</t>
  </si>
  <si>
    <t>Force Air Drying Oven</t>
  </si>
  <si>
    <t>FO-19013</t>
  </si>
  <si>
    <t>150°F/220°F</t>
  </si>
  <si>
    <t>CX-41-13228</t>
  </si>
  <si>
    <t>Eurotherm Nanodac (2 Zones)</t>
  </si>
  <si>
    <t>PL2045000592</t>
  </si>
  <si>
    <t>OVEN NO. 16 (TP2816)</t>
  </si>
  <si>
    <t>TP 2816A</t>
  </si>
  <si>
    <t>160°F - 250°F</t>
  </si>
  <si>
    <t>CHEM MILL TANK D10</t>
  </si>
  <si>
    <t>File #326</t>
  </si>
  <si>
    <t>334" x 61" x 125"</t>
  </si>
  <si>
    <t>Red Lion LD Series</t>
  </si>
  <si>
    <t>LD2556PO</t>
  </si>
  <si>
    <t>Bldg 2 Chem Mill Line</t>
  </si>
  <si>
    <t>OVEN NO. 9 - Cessna</t>
  </si>
  <si>
    <t>500°F/995°F</t>
  </si>
  <si>
    <t>Outdoor Freezer</t>
  </si>
  <si>
    <t>Max 0°F</t>
  </si>
  <si>
    <t>10'X10'X8'</t>
  </si>
  <si>
    <t>NCATLOGGER4</t>
  </si>
  <si>
    <t>*Confirmed capability of maintaining unit within desired range.</t>
  </si>
  <si>
    <t>SPRAY BOOTH NO. 3</t>
  </si>
  <si>
    <t>U93029-A</t>
  </si>
  <si>
    <t>24' X 12' X 4'</t>
  </si>
  <si>
    <t>SPRAY BOOTH #3</t>
  </si>
  <si>
    <t>CURE OVEN NO. 4</t>
  </si>
  <si>
    <t>40100 Revision B 01-02-2018</t>
  </si>
  <si>
    <t>CALLAHAN 5610</t>
  </si>
  <si>
    <t>10-11-04-1, ACI-00143</t>
  </si>
  <si>
    <t>125°F-250°F</t>
  </si>
  <si>
    <t>OMEGA CNi3243</t>
  </si>
  <si>
    <t>Eurotherm VERSADAC</t>
  </si>
  <si>
    <t>OVEN NO. 15 (TP2816)</t>
  </si>
  <si>
    <t>Oven No. 15</t>
  </si>
  <si>
    <t>69" X 52" X 27"</t>
  </si>
  <si>
    <t>Watlow EZ-Zone</t>
  </si>
  <si>
    <t>TH-045</t>
  </si>
  <si>
    <t>PL1929000994</t>
  </si>
  <si>
    <t>PL2050003081</t>
  </si>
  <si>
    <t>STT1 1400°F SA</t>
  </si>
  <si>
    <t>ASSEMBLY OVEN</t>
  </si>
  <si>
    <t>JGI WP4100, BPS4416</t>
  </si>
  <si>
    <t>CORBETT INDUSTRIES</t>
  </si>
  <si>
    <t>100°F-375°F</t>
  </si>
  <si>
    <t>C4000000385264</t>
  </si>
  <si>
    <t>0027Y047083700001</t>
  </si>
  <si>
    <t>Gain 41.77</t>
  </si>
  <si>
    <t>Rate 0.86</t>
  </si>
  <si>
    <t>Reset 3.43</t>
  </si>
  <si>
    <t>PAINT OVEN NO. 2</t>
  </si>
  <si>
    <t>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</si>
  <si>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</si>
  <si>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</si>
  <si>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</si>
  <si>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</si>
  <si>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</si>
  <si>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</si>
  <si>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</si>
  <si>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</si>
  <si>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</si>
  <si>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</si>
  <si>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</si>
  <si>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</si>
  <si>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</si>
  <si>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</si>
  <si>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</si>
  <si>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</si>
  <si>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Walk-In Freezer</t>
  </si>
  <si>
    <t>LTC# 1497</t>
  </si>
  <si>
    <t>0°F or Below</t>
  </si>
  <si>
    <t>7' X 8' X 16'</t>
  </si>
  <si>
    <t>3Yr</t>
  </si>
  <si>
    <t>Supco</t>
  </si>
  <si>
    <t>Tested per TP2816</t>
  </si>
  <si>
    <t>Freezer No. 2</t>
  </si>
  <si>
    <t>Vollrath</t>
  </si>
  <si>
    <t>LTC# 1498</t>
  </si>
  <si>
    <t>7' X 7' X 5'</t>
  </si>
  <si>
    <t>Freezer No. 3</t>
  </si>
  <si>
    <t>CCI 29987</t>
  </si>
  <si>
    <t>LTC# 1499</t>
  </si>
  <si>
    <t>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</si>
  <si>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</si>
  <si>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</si>
  <si>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</si>
  <si>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</si>
  <si>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</si>
  <si>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</si>
  <si>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27" X 20" X 52"</t>
  </si>
  <si>
    <t>EXTECH SD200</t>
  </si>
  <si>
    <t>H.335959</t>
  </si>
  <si>
    <t>*CAPABLE OF MAINTAINING 0°F MAX</t>
  </si>
  <si>
    <t>OVEN NO. 19 CESSNA</t>
  </si>
  <si>
    <t>A10BG0</t>
  </si>
  <si>
    <t>OVEN NO. 19</t>
  </si>
  <si>
    <t>67.5" X 43.5" X 43.5"</t>
  </si>
  <si>
    <t>Barber Coleman 7EM</t>
  </si>
  <si>
    <t>M431103000</t>
  </si>
  <si>
    <t>(IP): 30</t>
  </si>
  <si>
    <t>+9°C/-32°C**</t>
  </si>
  <si>
    <t>ARCTIC AIR COMMERCIAL FREEZER</t>
  </si>
  <si>
    <t>VACUUM FURNACE NO. 1 low range</t>
  </si>
  <si>
    <t>VACUUM FURNACE NO. 1 high range</t>
  </si>
  <si>
    <t>20W50C4000022826825</t>
  </si>
  <si>
    <t>Controller and recorder sensors not accessible for comparison readings. *Controller not accessible for direct calibration. Comfirmed capability of maintaining uniformity tolerance of ±25°F.</t>
  </si>
  <si>
    <t>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</si>
  <si>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</si>
  <si>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</si>
  <si>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</si>
  <si>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</si>
  <si>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</si>
  <si>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</si>
  <si>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</si>
  <si>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</si>
  <si>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</si>
  <si>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</si>
  <si>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</si>
  <si>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</si>
  <si>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</si>
  <si>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</si>
  <si>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</si>
  <si>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</si>
  <si>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</si>
  <si>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</si>
  <si>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</si>
  <si>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</si>
  <si>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</si>
  <si>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</si>
  <si>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</si>
  <si>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</si>
  <si>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</si>
  <si>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</si>
  <si>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EWN-69-7E</t>
  </si>
  <si>
    <t>07708A1411</t>
  </si>
  <si>
    <t>Oven No. 20</t>
  </si>
  <si>
    <t>Oven No. 20 Recorder</t>
  </si>
  <si>
    <t xml:space="preserve">Unavailable </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</si>
  <si>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</si>
  <si>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</si>
  <si>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</si>
  <si>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</si>
  <si>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</si>
  <si>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</si>
  <si>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</si>
  <si>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</si>
  <si>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</si>
  <si>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</si>
  <si>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</si>
  <si>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</si>
  <si>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</si>
  <si>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WisconsinEWN-812-8E</t>
  </si>
  <si>
    <t>13640B1811</t>
  </si>
  <si>
    <t>Oven No. 13</t>
  </si>
  <si>
    <t>134" X 97" X 96"</t>
  </si>
  <si>
    <t>FC1836000431</t>
  </si>
  <si>
    <t>OVEN NO. 13 - Cessna</t>
  </si>
  <si>
    <t>On/Off</t>
  </si>
  <si>
    <t>98334837668900002</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</si>
  <si>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</si>
  <si>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</si>
  <si>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</si>
  <si>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</si>
  <si>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</si>
  <si>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</si>
  <si>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</si>
  <si>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</si>
  <si>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</si>
  <si>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</si>
  <si>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</si>
  <si>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</si>
  <si>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</si>
  <si>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</si>
  <si>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</si>
  <si>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</si>
  <si>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</si>
  <si>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</si>
  <si>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</si>
  <si>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</si>
  <si>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</si>
  <si>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</si>
  <si>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</si>
  <si>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</si>
  <si>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</si>
  <si>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</si>
  <si>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</si>
  <si>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</si>
  <si>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</si>
  <si>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</si>
  <si>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</si>
  <si>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</si>
  <si>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</si>
  <si>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</si>
  <si>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</si>
  <si>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</si>
  <si>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</si>
  <si>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</si>
  <si>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</si>
  <si>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</si>
  <si>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</si>
  <si>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</si>
  <si>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</si>
  <si>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</si>
  <si>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</si>
  <si>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Frigidaire Gallery</t>
  </si>
  <si>
    <t>Chest Freezer No. 7</t>
  </si>
  <si>
    <t>*Confirmed capability of maintaining unit within specified tolerance.  **Tested by ISC method during survey.</t>
  </si>
  <si>
    <t>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</si>
  <si>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</si>
  <si>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</si>
  <si>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</si>
  <si>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</si>
  <si>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</si>
  <si>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</si>
  <si>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</si>
  <si>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</si>
  <si>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</si>
  <si>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</si>
  <si>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</si>
  <si>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</si>
  <si>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</si>
  <si>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</si>
  <si>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</si>
  <si>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</si>
  <si>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±3.0°F*</t>
  </si>
  <si>
    <t>±10.0°F/±25.0°F</t>
  </si>
  <si>
    <t>±2.0°F/ 0.2% rdg</t>
  </si>
  <si>
    <t>±10.0°F/±15.0°F</t>
  </si>
  <si>
    <t>±5.0°F/±15.0°F</t>
  </si>
  <si>
    <t>±15.0°F</t>
  </si>
  <si>
    <t>Oven No. 5316-2</t>
  </si>
  <si>
    <t>HD4TG-0610-06</t>
  </si>
  <si>
    <t>5316-2</t>
  </si>
  <si>
    <t>160°F-250°F</t>
  </si>
  <si>
    <t>Gas</t>
  </si>
  <si>
    <t>120"x68"x65"</t>
  </si>
  <si>
    <t>Watlow F4T</t>
  </si>
  <si>
    <t>022664</t>
  </si>
  <si>
    <t>Above results obtained using a 2°F/minute ramp rate 20°F below setpoint.</t>
  </si>
  <si>
    <t>FREEZER 31953581</t>
  </si>
  <si>
    <t>±Greater of 2.0°F, 0.2% Rdg</t>
  </si>
  <si>
    <t>±5.0°F / ±25.0°F</t>
  </si>
  <si>
    <t>±5.0°F/±10.0°F</t>
  </si>
  <si>
    <t>±18.0°F</t>
  </si>
  <si>
    <t>162°F/180°F</t>
  </si>
  <si>
    <t>100°F/110°F</t>
  </si>
  <si>
    <t>+10.0°F/-5.0°F</t>
  </si>
  <si>
    <t>Adamson United</t>
  </si>
  <si>
    <t>F-2434</t>
  </si>
  <si>
    <t>190°F/390°F</t>
  </si>
  <si>
    <t>223" x 76" x 70"</t>
  </si>
  <si>
    <t>U/A</t>
  </si>
  <si>
    <t>AUTOCLAVE NO. 3 TP</t>
  </si>
  <si>
    <t>115" X 72" X 30"</t>
  </si>
  <si>
    <t>±20.0°F/±10.0°F</t>
  </si>
  <si>
    <t>y</t>
  </si>
  <si>
    <t>ASTM E 1417-21</t>
  </si>
  <si>
    <t>PL1929000995</t>
  </si>
  <si>
    <t>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</si>
  <si>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</si>
  <si>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</si>
  <si>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</si>
  <si>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</si>
  <si>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</si>
  <si>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</si>
  <si>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</si>
  <si>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</si>
  <si>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</si>
  <si>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</si>
  <si>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</si>
  <si>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</si>
  <si>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</si>
  <si>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</si>
  <si>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Wisconsin Oven Corp.</t>
  </si>
  <si>
    <t>Oven No.2</t>
  </si>
  <si>
    <t>96" X 68" X 106"</t>
  </si>
  <si>
    <t>ICTA-0122</t>
  </si>
  <si>
    <t xml:space="preserve">Grieve Oven </t>
  </si>
  <si>
    <t>ID-1250</t>
  </si>
  <si>
    <t>129373A0621</t>
  </si>
  <si>
    <t>875°F to 1150°F</t>
  </si>
  <si>
    <t>46" X 34" X 28"</t>
  </si>
  <si>
    <t>Cool Heat Proportional: 13</t>
  </si>
  <si>
    <t>Empty shelves</t>
  </si>
  <si>
    <t>500°F/950°F</t>
  </si>
  <si>
    <t>Autoclave No. 2</t>
  </si>
  <si>
    <t>58" X 102" X 360"</t>
  </si>
  <si>
    <t>Above results obtained using "Air TC".</t>
  </si>
  <si>
    <t>Clean Room-Industrial Park</t>
  </si>
  <si>
    <t>90°F/125°F</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</si>
  <si>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</si>
  <si>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</si>
  <si>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</si>
  <si>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</si>
  <si>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</si>
  <si>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</si>
  <si>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</si>
  <si>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</si>
  <si>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</si>
  <si>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</si>
  <si>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</si>
  <si>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</si>
  <si>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</si>
  <si>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13640C1811</t>
  </si>
  <si>
    <t>Oven No. 14</t>
  </si>
  <si>
    <t>145" X 97" X 96"</t>
  </si>
  <si>
    <t>FC1839000590</t>
  </si>
  <si>
    <t>Dickson One Data Logger</t>
  </si>
  <si>
    <t>Program 1 used to complete survey.</t>
  </si>
  <si>
    <t>R2G: 2.1</t>
  </si>
  <si>
    <t>Unloaded</t>
  </si>
  <si>
    <t>09.05</t>
  </si>
  <si>
    <t>± 2.0°F/0.2% Rdg</t>
  </si>
  <si>
    <t>BON-50</t>
  </si>
  <si>
    <t>100°F-300°F</t>
  </si>
  <si>
    <t>12" X 14" X 12"</t>
  </si>
  <si>
    <t>LAB-Tested on site</t>
  </si>
  <si>
    <t>Total points used</t>
  </si>
  <si>
    <t>±2.0°F/±0.2% Rdg</t>
  </si>
  <si>
    <t>AUTOCLAVE NO. 2 per PS23401</t>
  </si>
  <si>
    <t>AUTOCLAVE NO. 3 per PS24301</t>
  </si>
  <si>
    <t>CHEM MILL TANK D8</t>
  </si>
  <si>
    <t>File #325B</t>
  </si>
  <si>
    <t>325B</t>
  </si>
  <si>
    <t>Honeywell UDC 1200</t>
  </si>
  <si>
    <t>1237 648028 010 008</t>
  </si>
  <si>
    <t>Wizard WT340</t>
  </si>
  <si>
    <t>250 to 350°F/351 to 490°F</t>
  </si>
  <si>
    <t>22W05C4000041007985</t>
  </si>
  <si>
    <t>Arset 4.25</t>
  </si>
  <si>
    <t>PL2204005021</t>
  </si>
  <si>
    <t>WISCONSIN OVEN OVC-100</t>
  </si>
  <si>
    <t>Wisconsin Oven OVC-100</t>
  </si>
  <si>
    <t>Batch-9/33/8.5-E3.5</t>
  </si>
  <si>
    <t>12428A1803</t>
  </si>
  <si>
    <t>OVC-100</t>
  </si>
  <si>
    <t xml:space="preserve">Unassigned </t>
  </si>
  <si>
    <t>110" X 95" X 387"</t>
  </si>
  <si>
    <t>FC1802001419</t>
  </si>
  <si>
    <t>PL1751000483-0118-PL3</t>
  </si>
  <si>
    <t>POWDER COAT OVEN</t>
  </si>
  <si>
    <t>4848 W Irving</t>
  </si>
  <si>
    <t>Wichita, Ks 67209</t>
  </si>
  <si>
    <t>Powder Coat Oven</t>
  </si>
  <si>
    <t>Reburb Elec Oven</t>
  </si>
  <si>
    <t>21-10-173-0V</t>
  </si>
  <si>
    <t>Unclassed</t>
  </si>
  <si>
    <t>400°F</t>
  </si>
  <si>
    <t>30" X 48" X 30"</t>
  </si>
  <si>
    <t>REX-C100F</t>
  </si>
  <si>
    <t>SH201609111</t>
  </si>
  <si>
    <t>EWN-812-8E</t>
  </si>
  <si>
    <t>13640D1811</t>
  </si>
  <si>
    <t>132" X 92.5" X 62"</t>
  </si>
  <si>
    <t>Watlow EZ zone</t>
  </si>
  <si>
    <t>038184</t>
  </si>
  <si>
    <t>Oven No. 1 Recorder</t>
  </si>
  <si>
    <t>Survey ran in simple cure mode to account for lack of production load.</t>
  </si>
  <si>
    <t>Oven No. 1 TP2816A</t>
  </si>
  <si>
    <t>OVEN NO. 1B</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</si>
  <si>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</si>
  <si>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</si>
  <si>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</si>
  <si>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</si>
  <si>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</si>
  <si>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</si>
  <si>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</si>
  <si>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</si>
  <si>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</si>
  <si>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</si>
  <si>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</si>
  <si>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</si>
  <si>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Dickson Wizard</t>
  </si>
  <si>
    <t>Oven 19008</t>
  </si>
  <si>
    <t>X2-5-363636</t>
  </si>
  <si>
    <t>200°F-400°F</t>
  </si>
  <si>
    <t>35.5" X 36" X 30"</t>
  </si>
  <si>
    <t>023044</t>
  </si>
  <si>
    <t>PL2011002979</t>
  </si>
  <si>
    <t>0.00</t>
  </si>
  <si>
    <t>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</si>
  <si>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</si>
  <si>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</si>
  <si>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</si>
  <si>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</si>
  <si>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</si>
  <si>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</si>
  <si>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</si>
  <si>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</si>
  <si>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</si>
  <si>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</si>
  <si>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</si>
  <si>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</si>
  <si>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</si>
  <si>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</si>
  <si>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</si>
  <si>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</si>
  <si>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</si>
  <si>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</si>
  <si>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</si>
  <si>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</si>
  <si>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</si>
  <si>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</si>
  <si>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</si>
  <si>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</si>
  <si>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</si>
  <si>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</si>
  <si>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</si>
  <si>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</si>
  <si>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</si>
  <si>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</si>
  <si>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Tempurity Monitoring Systems</t>
  </si>
  <si>
    <t>**±3°F</t>
  </si>
  <si>
    <t>FW-NDT-013</t>
  </si>
  <si>
    <t>Penetrant Oven 2</t>
  </si>
  <si>
    <t>File #22</t>
  </si>
  <si>
    <t>220°F/480°F</t>
  </si>
  <si>
    <t>130°F/270°F</t>
  </si>
  <si>
    <t>Unknown</t>
  </si>
  <si>
    <t>See TC Layout</t>
  </si>
  <si>
    <t>222" x 76" x 70"</t>
  </si>
  <si>
    <t>22" X 34" X 32"</t>
  </si>
  <si>
    <t>240" X 72" X 64"</t>
  </si>
  <si>
    <t>SSI Super Systems 808</t>
  </si>
  <si>
    <t>L2206002321</t>
  </si>
  <si>
    <t>Oven No. 5316-1</t>
  </si>
  <si>
    <t>Futuredesign</t>
  </si>
  <si>
    <t>165310007 (Ch 1)</t>
  </si>
  <si>
    <t>134" X 94" X 95"</t>
  </si>
  <si>
    <t>Cure Oven No. 15791</t>
  </si>
  <si>
    <t>26-650 EL "A"</t>
  </si>
  <si>
    <t>125°F to 350°F</t>
  </si>
  <si>
    <t>Honeywell DC230B</t>
  </si>
  <si>
    <t>0422Y463086600002</t>
  </si>
  <si>
    <t>Motion Control</t>
  </si>
  <si>
    <t>Rate: 0.70</t>
  </si>
  <si>
    <t>I RPM: 0.65</t>
  </si>
  <si>
    <t>CYC TI: 20</t>
  </si>
  <si>
    <t>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</si>
  <si>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</si>
  <si>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</si>
  <si>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</si>
  <si>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</si>
  <si>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</si>
  <si>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</si>
  <si>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</si>
  <si>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</si>
  <si>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</si>
  <si>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</si>
  <si>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</si>
  <si>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</si>
  <si>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</si>
  <si>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</si>
  <si>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</si>
  <si>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</si>
  <si>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</si>
  <si>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</si>
  <si>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</si>
  <si>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</si>
  <si>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</si>
  <si>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JGI WP4100, TP2816A, BSS7123</t>
  </si>
  <si>
    <t>OVEN NO. 21</t>
  </si>
  <si>
    <t>OVEN NO. 21 TP2816</t>
  </si>
  <si>
    <t>ORIZON AEROSTRUCTURES ASSEMBLY</t>
  </si>
  <si>
    <t>38°F/121°F</t>
  </si>
  <si>
    <t>JGI WP4100, AC7114/1 REV N</t>
  </si>
  <si>
    <t>Honeywell DR4200</t>
  </si>
  <si>
    <t>PL2249001856</t>
  </si>
  <si>
    <t>OVEN NO. 1B Cessna</t>
  </si>
  <si>
    <t>±0.5°F</t>
  </si>
  <si>
    <t>14" X 14" X 14"</t>
  </si>
  <si>
    <t>Tolerance is 1°F range of readings, regardless of setpoint and following stabilization.</t>
  </si>
  <si>
    <t>±2.0°F or 0.2% Rdg</t>
  </si>
  <si>
    <t>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</si>
  <si>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</si>
  <si>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</si>
  <si>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</si>
  <si>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</si>
  <si>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</si>
  <si>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</si>
  <si>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</si>
  <si>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</si>
  <si>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</si>
  <si>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</si>
  <si>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</si>
  <si>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</si>
  <si>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</si>
  <si>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</si>
  <si>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</si>
  <si>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</si>
  <si>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</si>
  <si>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</si>
  <si>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</si>
  <si>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City Water/RO water mix</t>
  </si>
  <si>
    <t>T-200</t>
  </si>
  <si>
    <t>95°F Max</t>
  </si>
  <si>
    <t>*±5°F of setpoint; all readings within designated range.  Additional specifications: BAPS 180-001, BAPS 180-030, BAC5786.</t>
  </si>
  <si>
    <t>FW-809</t>
  </si>
  <si>
    <t>Nitric Acid/RO Water</t>
  </si>
  <si>
    <t>T-500</t>
  </si>
  <si>
    <t>59°F/95°F</t>
  </si>
  <si>
    <t>*±5°F of setpoint; all readings within designated range.  Additional specification: BAPS 180-032.</t>
  </si>
  <si>
    <t>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</si>
  <si>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</si>
  <si>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</si>
  <si>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</si>
  <si>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</si>
  <si>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</si>
  <si>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</si>
  <si>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</si>
  <si>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</si>
  <si>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</si>
  <si>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</si>
  <si>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</si>
  <si>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</si>
  <si>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</si>
  <si>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</si>
  <si>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</si>
  <si>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</si>
  <si>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Greive Oven</t>
  </si>
  <si>
    <t>B2H-1050</t>
  </si>
  <si>
    <t>102585A011</t>
  </si>
  <si>
    <t>750°F/1050°F</t>
  </si>
  <si>
    <t>54.5" X 74" X 66"</t>
  </si>
  <si>
    <t>SSI Super System 808</t>
  </si>
  <si>
    <t>PL2202003331</t>
  </si>
  <si>
    <t>Counting Station - Tested on Site</t>
  </si>
  <si>
    <t>cb.Lo: Auto</t>
  </si>
  <si>
    <t>cb.Hi: Auto</t>
  </si>
  <si>
    <t>CTR High Temp Furnace No. 1</t>
  </si>
  <si>
    <t xml:space="preserve">Wisconsin Oven </t>
  </si>
  <si>
    <t>SDB-8128-12G</t>
  </si>
  <si>
    <t>06125A1310</t>
  </si>
  <si>
    <t>985°F</t>
  </si>
  <si>
    <t>37" X 37" X 50"</t>
  </si>
  <si>
    <t>FC1338002211</t>
  </si>
  <si>
    <t>Eurotherm Invensys Nanodac</t>
  </si>
  <si>
    <t>FC1339000097</t>
  </si>
  <si>
    <t>BAERD GEN-007D Class 5E</t>
  </si>
  <si>
    <t>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</si>
  <si>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</si>
  <si>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</si>
  <si>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</si>
  <si>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</si>
  <si>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</si>
  <si>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</si>
  <si>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</si>
  <si>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</si>
  <si>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GRIEVE AA=850</t>
  </si>
  <si>
    <t>800-850°F</t>
  </si>
  <si>
    <t>SSI 808</t>
  </si>
  <si>
    <t>PL2206002331</t>
  </si>
  <si>
    <t>NIAR ASTEC</t>
  </si>
  <si>
    <t>Sector A Freezer</t>
  </si>
  <si>
    <t>4174 S OLIVER ST.</t>
  </si>
  <si>
    <t>WICHITA, KS 67210</t>
  </si>
  <si>
    <t>E225993</t>
  </si>
  <si>
    <t>231 34992-01 J01</t>
  </si>
  <si>
    <t>See TUS Layout</t>
  </si>
  <si>
    <t>Omega ISD-TC</t>
  </si>
  <si>
    <t>M21520379</t>
  </si>
  <si>
    <t>Control: On/Off</t>
  </si>
  <si>
    <t>250°F-350°F</t>
  </si>
  <si>
    <t>250°F-350°F/350°F-490°F</t>
  </si>
  <si>
    <t>ZONE 2</t>
  </si>
  <si>
    <t>3500 S. HOOVER RD</t>
  </si>
  <si>
    <t>400°f</t>
  </si>
  <si>
    <t>22' X 10' X 8'</t>
  </si>
  <si>
    <t>Eurotherm P108</t>
  </si>
  <si>
    <t>PL2231002265</t>
  </si>
  <si>
    <t>OP.Hi: 80.0%</t>
  </si>
  <si>
    <t>OP.Lo: 0.0%</t>
  </si>
  <si>
    <t>OVEN NO. 6042</t>
  </si>
  <si>
    <t>Oven No. 6042</t>
  </si>
  <si>
    <t>13" X 13" X 17"</t>
  </si>
  <si>
    <t>OVEN NO. 6043</t>
  </si>
  <si>
    <t>Oven No. 6043</t>
  </si>
  <si>
    <t>OVEN NO. 6044</t>
  </si>
  <si>
    <t>Oven No. 6044</t>
  </si>
  <si>
    <t>OVEN NO. 6045</t>
  </si>
  <si>
    <t>Oven No. 6045</t>
  </si>
  <si>
    <t>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</si>
  <si>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</si>
  <si>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</si>
  <si>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</si>
  <si>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</si>
  <si>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</si>
  <si>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</si>
  <si>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</si>
  <si>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</si>
  <si>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</si>
  <si>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</si>
  <si>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</si>
  <si>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Nitric/Fluoride Tank</t>
  </si>
  <si>
    <t>VAC-963, Tank 5</t>
  </si>
  <si>
    <t>85°F/100°F</t>
  </si>
  <si>
    <t>33" X 66" X 140"</t>
  </si>
  <si>
    <t>Process Technologies</t>
  </si>
  <si>
    <t>Fuji Electric</t>
  </si>
  <si>
    <t>A3A6078T (VAC-601)</t>
  </si>
  <si>
    <t>* Tested by SAT method during survey.</t>
  </si>
  <si>
    <t>Drying Oven No. 5</t>
  </si>
  <si>
    <t>80" X 118" X 70"</t>
  </si>
  <si>
    <t>Honeywell NEMA 4X</t>
  </si>
  <si>
    <t>K01-K16</t>
  </si>
  <si>
    <t>Oven No. 066</t>
  </si>
  <si>
    <t>Blue M Electric 336</t>
  </si>
  <si>
    <t>13X-201-92</t>
  </si>
  <si>
    <t>100°F-450°F</t>
  </si>
  <si>
    <t>19" X 24" X 37"</t>
  </si>
  <si>
    <t>Love Control Series</t>
  </si>
  <si>
    <t>S215610-W15Q</t>
  </si>
  <si>
    <t>Oven No. 567</t>
  </si>
  <si>
    <t>13X-165-90</t>
  </si>
  <si>
    <t>LC567</t>
  </si>
  <si>
    <t>Oven No. 13271</t>
  </si>
  <si>
    <t>PQC 26-650</t>
  </si>
  <si>
    <t>150°F-550°F</t>
  </si>
  <si>
    <t>9950Y944486400010</t>
  </si>
  <si>
    <t>Cyc 20</t>
  </si>
  <si>
    <t>Automation Direct.com</t>
  </si>
  <si>
    <t>EA9-T15CL-R+22807B 044</t>
  </si>
  <si>
    <t>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</si>
  <si>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</si>
  <si>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</si>
  <si>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</si>
  <si>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</si>
  <si>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</si>
  <si>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</si>
  <si>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</si>
  <si>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</si>
  <si>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</si>
  <si>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</si>
  <si>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</si>
  <si>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</si>
  <si>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</si>
  <si>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</si>
  <si>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</si>
  <si>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</si>
  <si>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</si>
  <si>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</si>
  <si>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</si>
  <si>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</si>
  <si>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</si>
  <si>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</si>
  <si>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</si>
  <si>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</si>
  <si>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</si>
  <si>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</si>
  <si>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300°F-650°F</t>
  </si>
  <si>
    <t>PROPORTIONAL ELECTRIC</t>
  </si>
  <si>
    <t>18" X 34"X 18"</t>
  </si>
  <si>
    <t>Watlow SD</t>
  </si>
  <si>
    <t>CMI-0332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</si>
  <si>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</si>
  <si>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</si>
  <si>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</si>
  <si>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</si>
  <si>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</si>
  <si>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</si>
  <si>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</si>
  <si>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</si>
  <si>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</si>
  <si>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</si>
  <si>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</si>
  <si>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</si>
  <si>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</si>
  <si>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</si>
  <si>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</si>
  <si>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</si>
  <si>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</si>
  <si>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</si>
  <si>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</si>
  <si>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</si>
  <si>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</si>
  <si>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Blue M Electric DC-256F</t>
  </si>
  <si>
    <t>DC-7036</t>
  </si>
  <si>
    <t>100°F/400°F</t>
  </si>
  <si>
    <t>18" X 23" X 18"</t>
  </si>
  <si>
    <t>Red Lion Controls</t>
  </si>
  <si>
    <t>T19030010</t>
  </si>
  <si>
    <t>Oven No. 14835</t>
  </si>
  <si>
    <t>Precision Quincy Cure Oven</t>
  </si>
  <si>
    <t>26-650</t>
  </si>
  <si>
    <t>150°F-400°F</t>
  </si>
  <si>
    <t>0202Y253459700009</t>
  </si>
  <si>
    <t>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</si>
  <si>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</si>
  <si>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</si>
  <si>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</si>
  <si>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</si>
  <si>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</si>
  <si>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</si>
  <si>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</si>
  <si>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</si>
  <si>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</si>
  <si>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</si>
  <si>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</si>
  <si>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</si>
  <si>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</si>
  <si>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</si>
  <si>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</si>
  <si>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GRIEVE SC-550</t>
  </si>
  <si>
    <t>68" X 29.5" X 60"</t>
  </si>
  <si>
    <t>PL2202003346</t>
  </si>
  <si>
    <t>Filter 1.6</t>
  </si>
  <si>
    <t>Spoven</t>
  </si>
  <si>
    <t>Tank No.S1</t>
  </si>
  <si>
    <t>2434 S. SHERIDAN</t>
  </si>
  <si>
    <t>Tank S1</t>
  </si>
  <si>
    <t>S1</t>
  </si>
  <si>
    <t>120°F-130°f</t>
  </si>
  <si>
    <t>Tank No.S9</t>
  </si>
  <si>
    <t>Tank S9</t>
  </si>
  <si>
    <t>S9</t>
  </si>
  <si>
    <t>75°F-85°F</t>
  </si>
  <si>
    <t>SOLO mfg</t>
  </si>
  <si>
    <t>SL9696-CVE-0010034</t>
  </si>
  <si>
    <t>TEMPURITY MONITORING SYS.</t>
  </si>
  <si>
    <t>0°C Max</t>
  </si>
  <si>
    <t>**±2.8°C</t>
  </si>
  <si>
    <t>FREEZER CHE221023</t>
  </si>
  <si>
    <t>BD/BG-1500</t>
  </si>
  <si>
    <t>CHE221023</t>
  </si>
  <si>
    <t>30" X 30" X 108"</t>
  </si>
  <si>
    <t>DIXELL</t>
  </si>
  <si>
    <t>CHE221023CONT</t>
  </si>
  <si>
    <t>FORMING/FABRICATION - Tested on Site</t>
  </si>
  <si>
    <t>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</si>
  <si>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</si>
  <si>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</si>
  <si>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</si>
  <si>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</si>
  <si>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</si>
  <si>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</si>
  <si>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</si>
  <si>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</si>
  <si>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</si>
  <si>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</si>
  <si>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</si>
  <si>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</si>
  <si>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</si>
  <si>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</si>
  <si>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</si>
  <si>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</si>
  <si>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</si>
  <si>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</si>
  <si>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</si>
  <si>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</si>
  <si>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</si>
  <si>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</si>
  <si>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</si>
  <si>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</si>
  <si>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</si>
  <si>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</si>
  <si>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</si>
  <si>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</si>
  <si>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</si>
  <si>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FURNACE NO. 1</t>
  </si>
  <si>
    <t>FURNACE NO.1</t>
  </si>
  <si>
    <t>HONEYWELL DCP300 TC</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</si>
  <si>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</si>
  <si>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</si>
  <si>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</si>
  <si>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</si>
  <si>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</si>
  <si>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PAINT BAKE 1</t>
  </si>
  <si>
    <t>201 N Walnut St</t>
  </si>
  <si>
    <t>Cottonwood Falls, KS 66845</t>
  </si>
  <si>
    <t>Spray Tech Junair</t>
  </si>
  <si>
    <t>#0000024</t>
  </si>
  <si>
    <t>Paint Bake 1</t>
  </si>
  <si>
    <t>120°F/150°F</t>
  </si>
  <si>
    <t>±20.0°F</t>
  </si>
  <si>
    <t>134" X 130" X 48"</t>
  </si>
  <si>
    <t>Spraytech</t>
  </si>
  <si>
    <t>23A020016</t>
  </si>
  <si>
    <t>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</si>
  <si>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</si>
  <si>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</si>
  <si>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</si>
  <si>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</si>
  <si>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</si>
  <si>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</si>
  <si>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</si>
  <si>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</si>
  <si>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</si>
  <si>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</si>
  <si>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</si>
  <si>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</si>
  <si>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</si>
  <si>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</si>
  <si>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</si>
  <si>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</si>
  <si>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</si>
  <si>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</si>
  <si>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</si>
  <si>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</si>
  <si>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</si>
  <si>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</si>
  <si>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</si>
  <si>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</si>
  <si>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</si>
  <si>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</si>
  <si>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</si>
  <si>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</si>
  <si>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</si>
  <si>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</si>
  <si>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</si>
  <si>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</si>
  <si>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</si>
  <si>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</si>
  <si>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</si>
  <si>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</si>
  <si>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</si>
  <si>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</si>
  <si>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</si>
  <si>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</si>
  <si>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</si>
  <si>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</si>
  <si>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</si>
  <si>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</si>
  <si>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</si>
  <si>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</si>
  <si>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</si>
  <si>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</si>
  <si>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</si>
  <si>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</si>
  <si>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</si>
  <si>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</si>
  <si>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</si>
  <si>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Cleaning Solution</t>
  </si>
  <si>
    <t>GOAD Co.</t>
  </si>
  <si>
    <t xml:space="preserve">Tank L2 </t>
  </si>
  <si>
    <t>120°F-130°F</t>
  </si>
  <si>
    <t>360" X 36" X 52"</t>
  </si>
  <si>
    <t>Per Customer, Tank tested at 125°F.  *Test by means of ISC method during survey.</t>
  </si>
  <si>
    <t>Tank L8</t>
  </si>
  <si>
    <t>Alodizing Solution (1200S)</t>
  </si>
  <si>
    <t>70°F-100°F</t>
  </si>
  <si>
    <t>Per Customer, Tank tested at 80°F.  *Test by means of ISC method during survey.</t>
  </si>
  <si>
    <t>Tank L11</t>
  </si>
  <si>
    <t>Anodizing Solution</t>
  </si>
  <si>
    <t>76°F-84°F</t>
  </si>
  <si>
    <t>Tank L13</t>
  </si>
  <si>
    <t>Anodize Sealing Solution</t>
  </si>
  <si>
    <t>195°F-200°F</t>
  </si>
  <si>
    <t>Per Customer, Tank tested at 197°F.  *Test by means of ISC method during survey.</t>
  </si>
  <si>
    <t>Tank L14</t>
  </si>
  <si>
    <t>Alodizing Solution (600)</t>
  </si>
  <si>
    <t>72" X 36" X 52"</t>
  </si>
  <si>
    <t>PAR Penetrant Drying Oven</t>
  </si>
  <si>
    <t>L2</t>
  </si>
  <si>
    <t>L8</t>
  </si>
  <si>
    <t>L14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</si>
  <si>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</si>
  <si>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</si>
  <si>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</si>
  <si>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</si>
  <si>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</si>
  <si>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</si>
  <si>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</si>
  <si>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</si>
  <si>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</si>
  <si>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</si>
  <si>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</si>
  <si>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</si>
  <si>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</si>
  <si>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</si>
  <si>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</si>
  <si>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</si>
  <si>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</si>
  <si>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</si>
  <si>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</si>
  <si>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</si>
  <si>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</si>
  <si>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</si>
  <si>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</si>
  <si>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</si>
  <si>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</si>
  <si>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</si>
  <si>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</si>
  <si>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</si>
  <si>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</si>
  <si>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</si>
  <si>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</si>
  <si>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</si>
  <si>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</si>
  <si>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</si>
  <si>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</si>
  <si>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</si>
  <si>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</si>
  <si>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</si>
  <si>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</si>
  <si>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</si>
  <si>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</si>
  <si>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</si>
  <si>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</si>
  <si>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</si>
  <si>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</si>
  <si>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</si>
  <si>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</si>
  <si>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</si>
  <si>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</si>
  <si>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</si>
  <si>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</si>
  <si>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</si>
  <si>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</si>
  <si>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</si>
  <si>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</si>
  <si>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</si>
  <si>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</si>
  <si>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</si>
  <si>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</si>
  <si>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</si>
  <si>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</si>
  <si>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</si>
  <si>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</si>
  <si>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</si>
  <si>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</si>
  <si>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</si>
  <si>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</si>
  <si>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</si>
  <si>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</si>
  <si>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</si>
  <si>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</si>
  <si>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</si>
  <si>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</si>
  <si>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</si>
  <si>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</si>
  <si>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</si>
  <si>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</si>
  <si>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</si>
  <si>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</si>
  <si>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</si>
  <si>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</si>
  <si>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</si>
  <si>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</si>
  <si>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</si>
  <si>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</si>
  <si>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</si>
  <si>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</si>
  <si>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</si>
  <si>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</si>
  <si>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</si>
  <si>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</si>
  <si>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</si>
  <si>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</si>
  <si>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</si>
  <si>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AUTOCLAVE NO. 3 (LTC#1387-0)</t>
  </si>
  <si>
    <t>AUTOCLAVE NO. 5</t>
  </si>
  <si>
    <t>AC5</t>
  </si>
  <si>
    <t>90" X 52.5" X 239.5"</t>
  </si>
  <si>
    <t>013639</t>
  </si>
  <si>
    <t>Autoclave tested for reference and to confirm accuracy per customer instructions.</t>
  </si>
  <si>
    <t>EEWN-44-6E6.5</t>
  </si>
  <si>
    <t>130°F/190°F</t>
  </si>
  <si>
    <t>64" X 48" X 42"</t>
  </si>
  <si>
    <t>014456</t>
  </si>
  <si>
    <t>Oven No. 24</t>
  </si>
  <si>
    <t>92" X 75" X 288"</t>
  </si>
  <si>
    <t>S480-1</t>
  </si>
  <si>
    <t>870°F/985°F</t>
  </si>
  <si>
    <t>HONEYWELL DC2800</t>
  </si>
  <si>
    <t>23W36C4000041611412</t>
  </si>
  <si>
    <t>HONEYWELL MINITREND</t>
  </si>
  <si>
    <t>23W38C4000041611410</t>
  </si>
  <si>
    <t>Gain 0.1</t>
  </si>
  <si>
    <t>W-CPI-9173 (CURE OVEN 17)</t>
  </si>
  <si>
    <t>W-CPI-9173</t>
  </si>
  <si>
    <t>W-CPI-9173C</t>
  </si>
  <si>
    <t>VR-027795</t>
  </si>
  <si>
    <t>*Certified by customer</t>
  </si>
  <si>
    <t>Tank No. 103</t>
  </si>
  <si>
    <t>Alkaline Cleaner 1 ALA300</t>
  </si>
  <si>
    <t>Palm Technology Tanks</t>
  </si>
  <si>
    <t>ALA300</t>
  </si>
  <si>
    <t>120-130°F</t>
  </si>
  <si>
    <t>115" X 44" X 65"</t>
  </si>
  <si>
    <t>A3257</t>
  </si>
  <si>
    <t>Tank No. 104</t>
  </si>
  <si>
    <t>Alkaline Cleaner 1 ALA400</t>
  </si>
  <si>
    <t>ALA400</t>
  </si>
  <si>
    <t>Tank No. 107</t>
  </si>
  <si>
    <t>Deoxidizer 1 ALI300</t>
  </si>
  <si>
    <t>ALI300</t>
  </si>
  <si>
    <t>65-90°F</t>
  </si>
  <si>
    <t>Tank No. 108</t>
  </si>
  <si>
    <t>Deoxidizer 1 ALI400</t>
  </si>
  <si>
    <t>ALI400</t>
  </si>
  <si>
    <t>Tank No. 111</t>
  </si>
  <si>
    <t>Chromic Anodize ALF101</t>
  </si>
  <si>
    <t>ALF101</t>
  </si>
  <si>
    <t>90-100°F</t>
  </si>
  <si>
    <t>Tank No. 114</t>
  </si>
  <si>
    <t>Dilute Chrome Seal ALG101</t>
  </si>
  <si>
    <t>ALG101</t>
  </si>
  <si>
    <t>190-200°F</t>
  </si>
  <si>
    <t>Tank No. 117</t>
  </si>
  <si>
    <t>Chem Film ALD101</t>
  </si>
  <si>
    <t>ALD101</t>
  </si>
  <si>
    <t>Tank No. 203</t>
  </si>
  <si>
    <t>Alkaline Cleaner 2 ALA500</t>
  </si>
  <si>
    <t>ALA500</t>
  </si>
  <si>
    <t>Tank No. 204</t>
  </si>
  <si>
    <t>Alkaline Cleaner 2 ALA600</t>
  </si>
  <si>
    <t>ALA600</t>
  </si>
  <si>
    <t>Tank No. 207</t>
  </si>
  <si>
    <t>Alkaline Etch ALC101</t>
  </si>
  <si>
    <t>ALC101</t>
  </si>
  <si>
    <t>120-150°F</t>
  </si>
  <si>
    <t>Tank No. 210</t>
  </si>
  <si>
    <t>Deoxidizer 2 ALI500</t>
  </si>
  <si>
    <t>ALI500</t>
  </si>
  <si>
    <t>79-87°F</t>
  </si>
  <si>
    <t>Tank No. 211</t>
  </si>
  <si>
    <t>Deoxidizer 2 ALI600</t>
  </si>
  <si>
    <t>ALI600</t>
  </si>
  <si>
    <t>Tank No. 214</t>
  </si>
  <si>
    <t>Boric Anodize ALE101</t>
  </si>
  <si>
    <t>ALE101</t>
  </si>
  <si>
    <t>76-84°F</t>
  </si>
  <si>
    <t>Tank No. 217</t>
  </si>
  <si>
    <t>Dilute Chrome Seal ALH101</t>
  </si>
  <si>
    <t>ALH101</t>
  </si>
  <si>
    <t>190-210°F</t>
  </si>
  <si>
    <t>Compensation Interval:</t>
  </si>
  <si>
    <t>4</t>
  </si>
  <si>
    <t>10</t>
  </si>
  <si>
    <t>SerialNumber</t>
  </si>
  <si>
    <t>AssetTag</t>
  </si>
  <si>
    <t>Address1</t>
  </si>
  <si>
    <t>Address2</t>
  </si>
  <si>
    <t>Merged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</si>
  <si>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</si>
  <si>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</si>
  <si>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</si>
  <si>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</si>
  <si>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</si>
  <si>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</si>
  <si>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</si>
  <si>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</si>
  <si>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</si>
  <si>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</si>
  <si>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</si>
  <si>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</si>
  <si>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</si>
  <si>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</si>
  <si>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</si>
  <si>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</si>
  <si>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</si>
  <si>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</si>
  <si>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</si>
  <si>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</si>
  <si>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</si>
  <si>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</si>
  <si>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</si>
  <si>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</si>
  <si>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</si>
  <si>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</si>
  <si>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</si>
  <si>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</si>
  <si>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</si>
  <si>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</si>
  <si>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</si>
  <si>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</si>
  <si>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</si>
  <si>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</si>
  <si>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</si>
  <si>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</si>
  <si>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</si>
  <si>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</si>
  <si>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</si>
  <si>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</si>
  <si>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</si>
  <si>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</si>
  <si>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</si>
  <si>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</si>
  <si>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</si>
  <si>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</si>
  <si>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</si>
  <si>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</si>
  <si>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</si>
  <si>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</si>
  <si>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</si>
  <si>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</si>
  <si>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</si>
  <si>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</si>
  <si>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</si>
  <si>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</si>
  <si>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</si>
  <si>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</si>
  <si>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</si>
  <si>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</si>
  <si>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</si>
  <si>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</si>
  <si>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</si>
  <si>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</si>
  <si>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</si>
  <si>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</si>
  <si>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</si>
  <si>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</si>
  <si>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</si>
  <si>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</si>
  <si>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</si>
  <si>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</si>
  <si>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</si>
  <si>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</si>
  <si>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</si>
  <si>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</si>
  <si>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</si>
  <si>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</si>
  <si>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</si>
  <si>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</si>
  <si>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</si>
  <si>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</si>
  <si>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</si>
  <si>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</si>
  <si>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</si>
  <si>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</si>
  <si>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</si>
  <si>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</si>
  <si>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</si>
  <si>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</si>
  <si>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</si>
  <si>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</si>
  <si>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</si>
  <si>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</si>
  <si>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</si>
  <si>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</si>
  <si>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</si>
  <si>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</si>
  <si>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</si>
  <si>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</si>
  <si>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</si>
  <si>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</si>
  <si>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</si>
  <si>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</si>
  <si>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</si>
  <si>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</si>
  <si>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</si>
  <si>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</si>
  <si>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</si>
  <si>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</si>
  <si>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</si>
  <si>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</si>
  <si>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</si>
  <si>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</si>
  <si>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</si>
  <si>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</si>
  <si>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</si>
  <si>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</si>
  <si>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</si>
  <si>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</si>
  <si>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</si>
  <si>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</si>
  <si>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</si>
  <si>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</si>
  <si>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</si>
  <si>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</si>
  <si>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</si>
  <si>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</si>
  <si>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</si>
  <si>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</si>
  <si>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</si>
  <si>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</si>
  <si>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</si>
  <si>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</si>
  <si>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</si>
  <si>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</si>
  <si>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</si>
  <si>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</si>
  <si>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</si>
  <si>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</si>
  <si>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</si>
  <si>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</si>
  <si>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</si>
  <si>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</si>
  <si>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</si>
  <si>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</si>
  <si>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</si>
  <si>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</si>
  <si>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</si>
  <si>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</si>
  <si>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</si>
  <si>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</si>
  <si>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</si>
  <si>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</si>
  <si>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</si>
  <si>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</si>
  <si>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</si>
  <si>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</si>
  <si>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</si>
  <si>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</si>
  <si>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</si>
  <si>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</si>
  <si>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</si>
  <si>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</si>
  <si>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</si>
  <si>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</si>
  <si>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</si>
  <si>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</si>
  <si>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</si>
  <si>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</si>
  <si>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</si>
  <si>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</si>
  <si>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</si>
  <si>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</si>
  <si>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</si>
  <si>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</si>
  <si>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</si>
  <si>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</si>
  <si>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</si>
  <si>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</si>
  <si>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</si>
  <si>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</si>
  <si>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</si>
  <si>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</si>
  <si>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</si>
  <si>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</si>
  <si>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</si>
  <si>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</si>
  <si>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</si>
  <si>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</si>
  <si>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</si>
  <si>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</si>
  <si>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</si>
  <si>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</si>
  <si>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</si>
  <si>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</si>
  <si>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</si>
  <si>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</si>
  <si>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</si>
  <si>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</si>
  <si>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</si>
  <si>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</si>
  <si>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</si>
  <si>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</si>
  <si>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</si>
  <si>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</si>
  <si>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</si>
  <si>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</si>
  <si>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</si>
  <si>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</si>
  <si>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</si>
  <si>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</si>
  <si>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</si>
  <si>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</si>
  <si>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</si>
  <si>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</si>
  <si>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</si>
  <si>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</si>
  <si>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</si>
  <si>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</si>
  <si>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</si>
  <si>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</si>
  <si>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</si>
  <si>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</si>
  <si>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</si>
  <si>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</si>
  <si>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</si>
  <si>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</si>
  <si>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</si>
  <si>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</si>
  <si>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</si>
  <si>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</si>
  <si>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</si>
  <si>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</si>
  <si>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</si>
  <si>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</si>
  <si>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</si>
  <si>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</si>
  <si>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</si>
  <si>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</si>
  <si>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</si>
  <si>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</si>
  <si>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</si>
  <si>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</si>
  <si>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</si>
  <si>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</si>
  <si>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</si>
  <si>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</si>
  <si>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</si>
  <si>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</si>
  <si>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</si>
  <si>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</si>
  <si>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</si>
  <si>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</si>
  <si>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</si>
  <si>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</si>
  <si>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</si>
  <si>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</si>
  <si>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</si>
  <si>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</si>
  <si>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</si>
  <si>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</si>
  <si>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</si>
  <si>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</si>
  <si>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</si>
  <si>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</si>
  <si>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</si>
  <si>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</si>
  <si>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</si>
  <si>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</si>
  <si>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</si>
  <si>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</si>
  <si>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</si>
  <si>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</si>
  <si>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</si>
  <si>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</si>
  <si>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</si>
  <si>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</si>
  <si>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</si>
  <si>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</si>
  <si>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</si>
  <si>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</si>
  <si>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</si>
  <si>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</si>
  <si>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</si>
  <si>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</si>
  <si>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</si>
  <si>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</si>
  <si>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</si>
  <si>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</si>
  <si>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</si>
  <si>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</si>
  <si>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</si>
  <si>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</si>
  <si>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</si>
  <si>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</si>
  <si>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</si>
  <si>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</si>
  <si>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</si>
  <si>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</si>
  <si>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</si>
  <si>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</si>
  <si>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</si>
  <si>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</si>
  <si>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</si>
  <si>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</si>
  <si>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</si>
  <si>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</si>
  <si>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</si>
  <si>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</si>
  <si>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</si>
  <si>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</si>
  <si>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</si>
  <si>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</si>
  <si>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</si>
  <si>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</si>
  <si>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</si>
  <si>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</si>
  <si>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</si>
  <si>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</si>
  <si>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</si>
  <si>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</si>
  <si>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</si>
  <si>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</si>
  <si>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</si>
  <si>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</si>
  <si>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</si>
  <si>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</si>
  <si>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</si>
  <si>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</si>
  <si>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</si>
  <si>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</si>
  <si>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</si>
  <si>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</si>
  <si>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</si>
  <si>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</si>
  <si>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</si>
  <si>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</si>
  <si>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</si>
  <si>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</si>
  <si>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</si>
  <si>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</si>
  <si>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</si>
  <si>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</si>
  <si>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</si>
  <si>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</si>
  <si>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</si>
  <si>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</si>
  <si>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</si>
  <si>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</si>
  <si>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</si>
  <si>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</si>
  <si>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</si>
  <si>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</si>
  <si>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</si>
  <si>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</si>
  <si>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</si>
  <si>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</si>
  <si>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</si>
  <si>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</si>
  <si>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</si>
  <si>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</si>
  <si>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</si>
  <si>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</si>
  <si>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</si>
  <si>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</si>
  <si>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</si>
  <si>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</si>
  <si>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</si>
  <si>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</si>
  <si>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</si>
  <si>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</si>
  <si>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</si>
  <si>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</si>
  <si>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</si>
  <si>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</si>
  <si>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</si>
  <si>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</si>
  <si>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</si>
  <si>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</si>
  <si>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</si>
  <si>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</si>
  <si>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</si>
  <si>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</si>
  <si>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</si>
  <si>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</si>
  <si>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</si>
  <si>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</si>
  <si>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</si>
  <si>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</si>
  <si>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</si>
  <si>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</si>
  <si>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</si>
  <si>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</si>
  <si>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</si>
  <si>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</si>
  <si>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</si>
  <si>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</si>
  <si>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</si>
  <si>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</si>
  <si>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</si>
  <si>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</si>
  <si>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</si>
  <si>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</si>
  <si>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</si>
  <si>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</si>
  <si>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</si>
  <si>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</si>
  <si>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</si>
  <si>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</si>
  <si>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</si>
  <si>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</si>
  <si>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</si>
  <si>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</si>
  <si>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</si>
  <si>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</si>
  <si>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</si>
  <si>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</si>
  <si>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</si>
  <si>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</si>
  <si>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</si>
  <si>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</si>
  <si>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</si>
  <si>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</si>
  <si>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</si>
  <si>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</si>
  <si>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</si>
  <si>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</si>
  <si>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</si>
  <si>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</si>
  <si>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</si>
  <si>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</si>
  <si>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</si>
  <si>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</si>
  <si>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</si>
  <si>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</si>
  <si>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</si>
  <si>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</si>
  <si>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</si>
  <si>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</si>
  <si>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</si>
  <si>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</si>
  <si>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</si>
  <si>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</si>
  <si>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</si>
  <si>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</si>
  <si>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</si>
  <si>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</si>
  <si>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</si>
  <si>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</si>
  <si>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</si>
  <si>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</si>
  <si>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</si>
  <si>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</si>
  <si>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</si>
  <si>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</si>
  <si>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</si>
  <si>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</si>
  <si>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</si>
  <si>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</si>
  <si>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</si>
  <si>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</si>
  <si>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</si>
  <si>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</si>
  <si>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</si>
  <si>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</si>
  <si>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</si>
  <si>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</si>
  <si>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</si>
  <si>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</si>
  <si>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</si>
  <si>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</si>
  <si>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</si>
  <si>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</si>
  <si>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</si>
  <si>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</si>
  <si>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</si>
  <si>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</si>
  <si>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</si>
  <si>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</si>
  <si>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</si>
  <si>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</si>
  <si>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</si>
  <si>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</si>
  <si>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</si>
  <si>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</si>
  <si>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</si>
  <si>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</si>
  <si>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</si>
  <si>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</si>
  <si>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</si>
  <si>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</si>
  <si>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</si>
  <si>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</si>
  <si>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</si>
  <si>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</si>
  <si>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</si>
  <si>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</si>
  <si>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</si>
  <si>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</si>
  <si>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</si>
  <si>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</si>
  <si>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</si>
  <si>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</si>
  <si>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</si>
  <si>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</si>
  <si>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</si>
  <si>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</si>
  <si>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</si>
  <si>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</si>
  <si>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</si>
  <si>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</si>
  <si>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</si>
  <si>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</si>
  <si>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</si>
  <si>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</si>
  <si>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</si>
  <si>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</si>
  <si>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</si>
  <si>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</si>
  <si>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</si>
  <si>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</si>
  <si>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</si>
  <si>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</si>
  <si>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</si>
  <si>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</si>
  <si>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</si>
  <si>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</si>
  <si>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</si>
  <si>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</si>
  <si>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</si>
  <si>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</si>
  <si>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</si>
  <si>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</si>
  <si>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</si>
  <si>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</si>
  <si>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</si>
  <si>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</si>
  <si>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</si>
  <si>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</si>
  <si>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</si>
  <si>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</si>
  <si>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</si>
  <si>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</si>
  <si>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</si>
  <si>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</si>
  <si>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</si>
  <si>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</si>
  <si>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</si>
  <si>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</si>
  <si>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</si>
  <si>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</si>
  <si>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</si>
  <si>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</si>
  <si>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</si>
  <si>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</si>
  <si>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</si>
  <si>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</si>
  <si>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</si>
  <si>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</si>
  <si>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</si>
  <si>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</si>
  <si>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</si>
  <si>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</si>
  <si>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</si>
  <si>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</si>
  <si>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</si>
  <si>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</si>
  <si>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</si>
  <si>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</si>
  <si>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</si>
  <si>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</si>
  <si>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</si>
  <si>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</si>
  <si>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</si>
  <si>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</si>
  <si>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</si>
  <si>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</si>
  <si>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</si>
  <si>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</si>
  <si>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</si>
  <si>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</si>
  <si>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</si>
  <si>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</si>
  <si>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</si>
  <si>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</si>
  <si>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</si>
  <si>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</si>
  <si>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</si>
  <si>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</si>
  <si>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</si>
  <si>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</si>
  <si>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</si>
  <si>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</si>
  <si>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</si>
  <si>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</si>
  <si>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</si>
  <si>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</si>
  <si>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</si>
  <si>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</si>
  <si>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</si>
  <si>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</si>
  <si>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</si>
  <si>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</si>
  <si>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</si>
  <si>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</si>
  <si>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</si>
  <si>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</si>
  <si>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</si>
  <si>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</si>
  <si>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</si>
  <si>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</si>
  <si>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</si>
  <si>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</si>
  <si>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</si>
  <si>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</si>
  <si>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</si>
  <si>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</si>
  <si>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</si>
  <si>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</si>
  <si>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</si>
  <si>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</si>
  <si>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</si>
  <si>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</si>
  <si>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</si>
  <si>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</si>
  <si>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</si>
  <si>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</si>
  <si>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</si>
  <si>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</si>
  <si>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</si>
  <si>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</si>
  <si>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</si>
  <si>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</si>
  <si>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</si>
  <si>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</si>
  <si>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</si>
  <si>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</si>
  <si>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</si>
  <si>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</si>
  <si>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</si>
  <si>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</si>
  <si>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</si>
  <si>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</si>
  <si>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</si>
  <si>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</si>
  <si>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</si>
  <si>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</si>
  <si>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</si>
  <si>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</si>
  <si>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</si>
  <si>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</si>
  <si>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</si>
  <si>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</si>
  <si>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</si>
  <si>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</si>
  <si>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</si>
  <si>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</si>
  <si>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</si>
  <si>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</si>
  <si>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</si>
  <si>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</si>
  <si>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</si>
  <si>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</si>
  <si>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</si>
  <si>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</si>
  <si>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</si>
  <si>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</si>
  <si>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</si>
  <si>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</si>
  <si>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</si>
  <si>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</si>
  <si>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</si>
  <si>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</si>
  <si>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</si>
  <si>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</si>
  <si>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</si>
  <si>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</si>
  <si>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</si>
  <si>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</si>
  <si>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</si>
  <si>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</si>
  <si>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</si>
  <si>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</si>
  <si>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</si>
  <si>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</si>
  <si>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</si>
  <si>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</si>
  <si>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</si>
  <si>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</si>
  <si>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</si>
  <si>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</si>
  <si>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</si>
  <si>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</si>
  <si>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</si>
  <si>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</si>
  <si>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</si>
  <si>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</si>
  <si>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</si>
  <si>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</si>
  <si>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</si>
  <si>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</si>
  <si>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</si>
  <si>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</si>
  <si>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</si>
  <si>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</si>
  <si>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</si>
  <si>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</si>
  <si>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</si>
  <si>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</si>
  <si>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</si>
  <si>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</si>
  <si>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</si>
  <si>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</si>
  <si>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</si>
  <si>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</si>
  <si>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</si>
  <si>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</si>
  <si>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</si>
  <si>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</si>
  <si>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</si>
  <si>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</si>
  <si>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</si>
  <si>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</si>
  <si>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</si>
  <si>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</si>
  <si>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</si>
  <si>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</si>
  <si>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</si>
  <si>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</si>
  <si>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</si>
  <si>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</si>
  <si>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</si>
  <si>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</si>
  <si>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</si>
  <si>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</si>
  <si>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</si>
  <si>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</si>
  <si>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</si>
  <si>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</si>
  <si>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</si>
  <si>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</si>
  <si>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</si>
  <si>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</si>
  <si>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</si>
  <si>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</si>
  <si>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</si>
  <si>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</si>
  <si>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</si>
  <si>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</si>
  <si>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</si>
  <si>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</si>
  <si>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</si>
  <si>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</si>
  <si>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</si>
  <si>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</si>
  <si>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</si>
  <si>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</si>
  <si>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</si>
  <si>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</si>
  <si>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</si>
  <si>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</si>
  <si>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</si>
  <si>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</si>
  <si>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</si>
  <si>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</si>
  <si>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</si>
  <si>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</si>
  <si>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</si>
  <si>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</si>
  <si>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</si>
  <si>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</si>
  <si>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</si>
  <si>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</si>
  <si>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</si>
  <si>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</si>
  <si>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</si>
  <si>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</si>
  <si>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</si>
  <si>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</si>
  <si>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</si>
  <si>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</si>
  <si>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</si>
  <si>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</si>
  <si>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</si>
  <si>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</si>
  <si>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</si>
  <si>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</si>
  <si>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</si>
  <si>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</si>
  <si>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</si>
  <si>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</si>
  <si>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</si>
  <si>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</si>
  <si>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</si>
  <si>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</si>
  <si>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</si>
  <si>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</si>
  <si>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</si>
  <si>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</si>
  <si>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</si>
  <si>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</si>
  <si>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</si>
  <si>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</si>
  <si>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</si>
  <si>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</si>
  <si>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</si>
  <si>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</si>
  <si>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</si>
  <si>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</si>
  <si>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</si>
  <si>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</si>
  <si>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</si>
  <si>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</si>
  <si>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</si>
  <si>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</si>
  <si>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</si>
  <si>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</si>
  <si>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</si>
  <si>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</si>
  <si>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</si>
  <si>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</si>
  <si>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</si>
  <si>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</si>
  <si>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</si>
  <si>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</si>
  <si>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</si>
  <si>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</si>
  <si>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</si>
  <si>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</si>
  <si>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</si>
  <si>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</si>
  <si>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</si>
  <si>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</si>
  <si>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</si>
  <si>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</si>
  <si>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</si>
  <si>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</si>
  <si>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</si>
  <si>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</si>
  <si>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</si>
  <si>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</si>
  <si>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</si>
  <si>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</si>
  <si>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</si>
  <si>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</si>
  <si>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</si>
  <si>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</si>
  <si>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</si>
  <si>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</si>
  <si>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</si>
  <si>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</si>
  <si>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</si>
  <si>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</si>
  <si>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</si>
  <si>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</si>
  <si>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</si>
  <si>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</si>
  <si>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</si>
  <si>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</si>
  <si>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</si>
  <si>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</si>
  <si>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</si>
  <si>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</si>
  <si>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</si>
  <si>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</si>
  <si>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</si>
  <si>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</si>
  <si>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</si>
  <si>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</si>
  <si>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</si>
  <si>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</si>
  <si>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</si>
  <si>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</si>
  <si>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</si>
  <si>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</si>
  <si>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</si>
  <si>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</si>
  <si>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</si>
  <si>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</si>
  <si>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</si>
  <si>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</si>
  <si>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</si>
  <si>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</si>
  <si>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</si>
  <si>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</si>
  <si>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</si>
  <si>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</si>
  <si>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</si>
  <si>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</si>
  <si>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</si>
  <si>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</si>
  <si>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</si>
  <si>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</si>
  <si>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</si>
  <si>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</si>
  <si>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</si>
  <si>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</si>
  <si>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</si>
  <si>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</si>
  <si>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</si>
  <si>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</si>
  <si>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</si>
  <si>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</si>
  <si>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</si>
  <si>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</si>
  <si>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</si>
  <si>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</si>
  <si>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</si>
  <si>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</si>
  <si>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</si>
  <si>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</si>
  <si>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</si>
  <si>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</si>
  <si>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</si>
  <si>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</si>
  <si>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</si>
  <si>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</si>
  <si>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</si>
  <si>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</si>
  <si>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</si>
  <si>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</si>
  <si>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</si>
  <si>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</si>
  <si>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</si>
  <si>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</si>
  <si>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</si>
  <si>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</si>
  <si>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</si>
  <si>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</si>
  <si>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</si>
  <si>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</si>
  <si>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</si>
  <si>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</si>
  <si>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</si>
  <si>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</si>
  <si>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</si>
  <si>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</si>
  <si>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</si>
  <si>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</si>
  <si>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</si>
  <si>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</si>
  <si>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</si>
  <si>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</si>
  <si>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</si>
  <si>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</si>
  <si>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</si>
  <si>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</si>
  <si>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</si>
  <si>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</si>
  <si>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</si>
  <si>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</si>
  <si>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</si>
  <si>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</si>
  <si>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</si>
  <si>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</si>
  <si>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</si>
  <si>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</si>
  <si>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</si>
  <si>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</si>
  <si>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</si>
  <si>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</si>
  <si>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</si>
  <si>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</si>
  <si>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</si>
  <si>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</si>
  <si>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</si>
  <si>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</si>
  <si>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</si>
  <si>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</si>
  <si>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</si>
  <si>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</si>
  <si>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</si>
  <si>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</si>
  <si>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</si>
  <si>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</si>
  <si>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</si>
  <si>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</si>
  <si>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</si>
  <si>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</si>
  <si>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</si>
  <si>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</si>
  <si>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</si>
  <si>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</si>
  <si>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</si>
  <si>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</si>
  <si>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</si>
  <si>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</si>
  <si>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</si>
  <si>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</si>
  <si>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</si>
  <si>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</si>
  <si>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</si>
  <si>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</si>
  <si>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</si>
  <si>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</si>
  <si>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</si>
  <si>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</si>
  <si>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</si>
  <si>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</si>
  <si>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</si>
  <si>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</si>
  <si>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</si>
  <si>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</si>
  <si>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</si>
  <si>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</si>
  <si>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</si>
  <si>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</si>
  <si>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</si>
  <si>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</si>
  <si>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</si>
  <si>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</si>
  <si>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</si>
  <si>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</si>
  <si>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</si>
  <si>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</si>
  <si>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</si>
  <si>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</si>
  <si>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</si>
  <si>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</si>
  <si>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</si>
  <si>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</si>
  <si>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</si>
  <si>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</si>
  <si>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</si>
  <si>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</si>
  <si>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</si>
  <si>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</si>
  <si>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</si>
  <si>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</si>
  <si>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</si>
  <si>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</si>
  <si>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</si>
  <si>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</si>
  <si>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</si>
  <si>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</si>
  <si>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</si>
  <si>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</si>
  <si>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</si>
  <si>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</si>
  <si>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</si>
  <si>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</si>
  <si>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</si>
  <si>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</si>
  <si>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</si>
  <si>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</si>
  <si>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</si>
  <si>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</si>
  <si>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</si>
  <si>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</si>
  <si>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</si>
  <si>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</si>
  <si>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</si>
  <si>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</si>
  <si>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</si>
  <si>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</si>
  <si>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</si>
  <si>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</si>
  <si>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</si>
  <si>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</si>
  <si>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</si>
  <si>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</si>
  <si>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</si>
  <si>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</si>
  <si>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</si>
  <si>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</si>
  <si>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</si>
  <si>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</si>
  <si>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</si>
  <si>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</si>
  <si>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</si>
  <si>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</si>
  <si>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</si>
  <si>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</si>
  <si>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</si>
  <si>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</si>
  <si>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</si>
  <si>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</si>
  <si>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</si>
  <si>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</si>
  <si>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</si>
  <si>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</si>
  <si>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</si>
  <si>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</si>
  <si>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</si>
  <si>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</si>
  <si>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</si>
  <si>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</si>
  <si>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</si>
  <si>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</si>
  <si>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</si>
  <si>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</si>
  <si>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</si>
  <si>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</si>
  <si>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</si>
  <si>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</si>
  <si>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</si>
  <si>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</si>
  <si>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</si>
  <si>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</si>
  <si>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</si>
  <si>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</si>
  <si>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</si>
  <si>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</si>
  <si>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</si>
  <si>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</si>
  <si>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</si>
  <si>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</si>
  <si>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</si>
  <si>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</si>
  <si>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</si>
  <si>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</si>
  <si>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</si>
  <si>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</si>
  <si>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</si>
  <si>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</si>
  <si>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</si>
  <si>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</si>
  <si>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</si>
  <si>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</si>
  <si>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</si>
  <si>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</si>
  <si>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</si>
  <si>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</si>
  <si>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</si>
  <si>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</si>
  <si>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</si>
  <si>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</si>
  <si>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</si>
  <si>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</si>
  <si>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</si>
  <si>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</si>
  <si>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</si>
  <si>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</si>
  <si>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</si>
  <si>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</si>
  <si>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</si>
  <si>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</si>
  <si>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</si>
  <si>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</si>
  <si>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</si>
  <si>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</si>
  <si>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</si>
  <si>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</si>
  <si>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</si>
  <si>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</si>
  <si>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</si>
  <si>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</si>
  <si>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</si>
  <si>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</si>
  <si>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</si>
  <si>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</si>
  <si>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</si>
  <si>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</si>
  <si>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</si>
  <si>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</si>
  <si>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</si>
  <si>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</si>
  <si>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</si>
  <si>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</si>
  <si>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</si>
  <si>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</si>
  <si>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</si>
  <si>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</si>
  <si>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</si>
  <si>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</si>
  <si>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</si>
  <si>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</si>
  <si>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</si>
  <si>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</si>
  <si>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</si>
  <si>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</si>
  <si>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</si>
  <si>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</si>
  <si>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</si>
  <si>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</si>
  <si>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</si>
  <si>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</si>
  <si>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</si>
  <si>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</si>
  <si>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</si>
  <si>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</si>
  <si>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</si>
  <si>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</si>
  <si>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</si>
  <si>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</si>
  <si>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</si>
  <si>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</si>
  <si>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</si>
  <si>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</si>
  <si>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</si>
  <si>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</si>
  <si>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</si>
  <si>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</si>
  <si>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</si>
  <si>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</si>
  <si>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</si>
  <si>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</si>
  <si>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</si>
  <si>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</si>
  <si>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</si>
  <si>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</si>
  <si>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</si>
  <si>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</si>
  <si>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</si>
  <si>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</si>
  <si>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</si>
  <si>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</si>
  <si>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</si>
  <si>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</si>
  <si>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</si>
  <si>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</si>
  <si>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</si>
  <si>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</si>
  <si>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</si>
  <si>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</si>
  <si>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</si>
  <si>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</si>
  <si>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</si>
  <si>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</si>
  <si>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</si>
  <si>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</si>
  <si>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</si>
  <si>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</si>
  <si>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</si>
  <si>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</si>
  <si>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</si>
  <si>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</si>
  <si>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</si>
  <si>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</si>
  <si>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</si>
  <si>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</si>
  <si>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</si>
  <si>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</si>
  <si>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</si>
  <si>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</si>
  <si>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</si>
  <si>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</si>
  <si>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</si>
  <si>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</si>
  <si>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</si>
  <si>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</si>
  <si>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</si>
  <si>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</si>
  <si>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</si>
  <si>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</si>
  <si>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</si>
  <si>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</si>
  <si>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</si>
  <si>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</si>
  <si>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</si>
  <si>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</si>
  <si>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</si>
  <si>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</si>
  <si>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</si>
  <si>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</si>
  <si>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</si>
  <si>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</si>
  <si>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</si>
  <si>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</si>
  <si>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</si>
  <si>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</si>
  <si>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</si>
  <si>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</si>
  <si>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</si>
  <si>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</si>
  <si>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</si>
  <si>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</si>
  <si>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</si>
  <si>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</si>
  <si>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</si>
  <si>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</si>
  <si>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</si>
  <si>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</si>
  <si>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</si>
  <si>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</si>
  <si>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</si>
  <si>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</si>
  <si>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</si>
  <si>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</si>
  <si>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</si>
  <si>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</si>
  <si>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</si>
  <si>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</si>
  <si>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</si>
  <si>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</si>
  <si>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</si>
  <si>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</si>
  <si>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</si>
  <si>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</si>
  <si>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</si>
  <si>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</si>
  <si>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</si>
  <si>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</si>
  <si>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</si>
  <si>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</si>
  <si>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</si>
  <si>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</si>
  <si>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</si>
  <si>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</si>
  <si>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</si>
  <si>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</si>
  <si>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</si>
  <si>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</si>
  <si>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</si>
  <si>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</si>
  <si>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</si>
  <si>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</si>
  <si>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</si>
  <si>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</si>
  <si>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</si>
  <si>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</si>
  <si>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</si>
  <si>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</si>
  <si>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</si>
  <si>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</si>
  <si>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</si>
  <si>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</si>
  <si>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</si>
  <si>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</si>
  <si>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</si>
  <si>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</si>
  <si>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</si>
  <si>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</si>
  <si>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</si>
  <si>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</si>
  <si>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</si>
  <si>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</si>
  <si>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</si>
  <si>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</si>
  <si>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</si>
  <si>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</si>
  <si>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</si>
  <si>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</si>
  <si>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</si>
  <si>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</si>
  <si>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</si>
  <si>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</si>
  <si>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</si>
  <si>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</si>
  <si>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</si>
  <si>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</si>
  <si>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</si>
  <si>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</si>
  <si>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</si>
  <si>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</si>
  <si>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</si>
  <si>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</si>
  <si>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</si>
  <si>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</si>
  <si>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</si>
  <si>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</si>
  <si>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</si>
  <si>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</si>
  <si>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</si>
  <si>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</si>
  <si>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</si>
  <si>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</si>
  <si>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</si>
  <si>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</si>
  <si>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</si>
  <si>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</si>
  <si>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</si>
  <si>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</si>
  <si>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</si>
  <si>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</si>
  <si>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</si>
  <si>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</si>
  <si>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</si>
  <si>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</si>
  <si>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</si>
  <si>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</si>
  <si>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</si>
  <si>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</si>
  <si>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</si>
  <si>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</si>
  <si>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</si>
  <si>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</si>
  <si>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</si>
  <si>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</si>
  <si>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</si>
  <si>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</si>
  <si>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</si>
  <si>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</si>
  <si>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</si>
  <si>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</si>
  <si>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</si>
  <si>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</si>
  <si>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</si>
  <si>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</si>
  <si>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</si>
  <si>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</si>
  <si>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</si>
  <si>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</si>
  <si>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</si>
  <si>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</si>
  <si>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</si>
  <si>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</si>
  <si>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</si>
  <si>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</si>
  <si>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</si>
  <si>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</si>
  <si>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</si>
  <si>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</si>
  <si>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</si>
  <si>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</si>
  <si>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</si>
  <si>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</si>
  <si>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</si>
  <si>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</si>
  <si>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</si>
  <si>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</si>
  <si>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</si>
  <si>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</si>
  <si>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</si>
  <si>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</si>
  <si>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</si>
  <si>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</si>
  <si>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</si>
  <si>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</si>
  <si>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</si>
  <si>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</si>
  <si>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</si>
  <si>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</si>
  <si>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</si>
  <si>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</si>
  <si>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</si>
  <si>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</si>
  <si>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</si>
  <si>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</si>
  <si>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</si>
  <si>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</si>
  <si>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</si>
  <si>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</si>
  <si>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</si>
  <si>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</si>
  <si>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</si>
  <si>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</si>
  <si>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</si>
  <si>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</si>
  <si>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</si>
  <si>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</si>
  <si>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</si>
  <si>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</si>
  <si>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</si>
  <si>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</si>
  <si>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</si>
  <si>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</si>
  <si>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</si>
  <si>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</si>
  <si>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</si>
  <si>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</si>
  <si>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</si>
  <si>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</si>
  <si>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</si>
  <si>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</si>
  <si>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</si>
  <si>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</si>
  <si>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</si>
  <si>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</si>
  <si>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</si>
  <si>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</si>
  <si>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</si>
  <si>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</si>
  <si>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</si>
  <si>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</si>
  <si>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</si>
  <si>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</si>
  <si>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</si>
  <si>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</si>
  <si>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</si>
  <si>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</si>
  <si>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</si>
  <si>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</si>
  <si>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</si>
  <si>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</si>
  <si>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</si>
  <si>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</si>
  <si>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</si>
  <si>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</si>
  <si>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</si>
  <si>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</si>
  <si>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</si>
  <si>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</si>
  <si>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</si>
  <si>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</si>
  <si>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</si>
  <si>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</si>
  <si>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</si>
  <si>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</si>
  <si>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</si>
  <si>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</si>
  <si>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</si>
  <si>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</si>
  <si>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</si>
  <si>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</si>
  <si>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</si>
  <si>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</si>
  <si>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</si>
  <si>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</si>
  <si>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</si>
  <si>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</si>
  <si>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</si>
  <si>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</si>
  <si>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</si>
  <si>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</si>
  <si>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</si>
  <si>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</si>
  <si>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</si>
  <si>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</si>
  <si>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</si>
  <si>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</si>
  <si>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</si>
  <si>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</si>
  <si>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</si>
  <si>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</si>
  <si>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</si>
  <si>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</si>
  <si>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</si>
  <si>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</si>
  <si>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</si>
  <si>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</si>
  <si>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</si>
  <si>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</si>
  <si>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</si>
  <si>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</si>
  <si>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</si>
  <si>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</si>
  <si>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</si>
  <si>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</si>
  <si>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</si>
  <si>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</si>
  <si>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</si>
  <si>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</si>
  <si>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</si>
  <si>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</si>
  <si>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</si>
  <si>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</si>
  <si>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</si>
  <si>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</si>
  <si>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</si>
  <si>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</si>
  <si>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</si>
  <si>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</si>
  <si>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</si>
  <si>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</si>
  <si>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</si>
  <si>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</si>
  <si>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</si>
  <si>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</si>
  <si>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</si>
  <si>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</si>
  <si>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</si>
  <si>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</si>
  <si>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</si>
  <si>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</si>
  <si>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</si>
  <si>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</si>
  <si>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</si>
  <si>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</si>
  <si>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</si>
  <si>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</si>
  <si>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</si>
  <si>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</si>
  <si>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</si>
  <si>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</si>
  <si>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</si>
  <si>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</si>
  <si>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</si>
  <si>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</si>
  <si>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</si>
  <si>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</si>
  <si>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</si>
  <si>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</si>
  <si>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</si>
  <si>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</si>
  <si>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</si>
  <si>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</si>
  <si>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</si>
  <si>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</si>
  <si>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</si>
  <si>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</si>
  <si>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</si>
  <si>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</si>
  <si>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</si>
  <si>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</si>
  <si>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</si>
  <si>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</si>
  <si>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</si>
  <si>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</si>
  <si>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</si>
  <si>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</si>
  <si>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</si>
  <si>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</si>
  <si>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</si>
  <si>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</si>
  <si>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</si>
  <si>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</si>
  <si>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</si>
  <si>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</si>
  <si>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</si>
  <si>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</si>
  <si>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</si>
  <si>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</si>
  <si>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</si>
  <si>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</si>
  <si>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</si>
  <si>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</si>
  <si>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</si>
  <si>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</si>
  <si>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</si>
  <si>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</si>
  <si>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</si>
  <si>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</si>
  <si>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</si>
  <si>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</si>
  <si>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</si>
  <si>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</si>
  <si>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</si>
  <si>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</si>
  <si>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</si>
  <si>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</si>
  <si>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</si>
  <si>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</si>
  <si>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</si>
  <si>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</si>
  <si>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</si>
  <si>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</si>
  <si>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</si>
  <si>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</si>
  <si>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</si>
  <si>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</si>
  <si>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</si>
  <si>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</si>
  <si>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</si>
  <si>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</si>
  <si>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</si>
  <si>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</si>
  <si>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</si>
  <si>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</si>
  <si>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</si>
  <si>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</si>
  <si>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</si>
  <si>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</si>
  <si>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</si>
  <si>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</si>
  <si>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</si>
  <si>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</si>
  <si>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</si>
  <si>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</si>
  <si>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</si>
  <si>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</si>
  <si>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</si>
  <si>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</si>
  <si>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</si>
  <si>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</si>
  <si>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</si>
  <si>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</si>
  <si>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</si>
  <si>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</si>
  <si>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</si>
  <si>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</si>
  <si>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</si>
  <si>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</si>
  <si>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</si>
  <si>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</si>
  <si>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</si>
  <si>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</si>
  <si>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</si>
  <si>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</si>
  <si>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</si>
  <si>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</si>
  <si>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</si>
  <si>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</si>
  <si>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</si>
  <si>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</si>
  <si>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</si>
  <si>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</si>
  <si>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</si>
  <si>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</si>
  <si>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</si>
  <si>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</si>
  <si>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</si>
  <si>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</si>
  <si>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</si>
  <si>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</si>
  <si>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</si>
  <si>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</si>
  <si>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</si>
  <si>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</si>
  <si>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</si>
  <si>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</si>
  <si>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</si>
  <si>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</si>
  <si>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</si>
  <si>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</si>
  <si>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</si>
  <si>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</si>
  <si>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</si>
  <si>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</si>
  <si>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</si>
  <si>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</si>
  <si>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</si>
  <si>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</si>
  <si>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</si>
  <si>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</si>
  <si>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</si>
  <si>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</si>
  <si>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</si>
  <si>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</si>
  <si>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</si>
  <si>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</si>
  <si>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</si>
  <si>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</si>
  <si>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</si>
  <si>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</si>
  <si>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</si>
  <si>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</si>
  <si>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</si>
  <si>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</si>
  <si>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</si>
  <si>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</si>
  <si>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</si>
  <si>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</si>
  <si>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</si>
  <si>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</si>
  <si>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</si>
  <si>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</si>
  <si>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</si>
  <si>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</si>
  <si>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</si>
  <si>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</si>
  <si>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</si>
  <si>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</si>
  <si>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</si>
  <si>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</si>
  <si>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</si>
  <si>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</si>
  <si>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</si>
  <si>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</si>
  <si>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</si>
  <si>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</si>
  <si>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</si>
  <si>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</si>
  <si>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</si>
  <si>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</si>
  <si>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</si>
  <si>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</si>
  <si>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</si>
  <si>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</si>
  <si>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</si>
  <si>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</si>
  <si>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</si>
  <si>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</si>
  <si>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</si>
  <si>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</si>
  <si>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</si>
  <si>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</si>
  <si>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</si>
  <si>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</si>
  <si>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</si>
  <si>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</si>
  <si>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</si>
  <si>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</si>
  <si>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</si>
  <si>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</si>
  <si>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</si>
  <si>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</si>
  <si>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</si>
  <si>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</si>
  <si>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</si>
  <si>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</si>
  <si>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</si>
  <si>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</si>
  <si>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</si>
  <si>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</si>
  <si>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</si>
  <si>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</si>
  <si>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</si>
  <si>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</si>
  <si>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</si>
  <si>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</si>
  <si>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</si>
  <si>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</si>
  <si>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</si>
  <si>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</si>
  <si>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</si>
  <si>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</si>
  <si>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</si>
  <si>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</si>
  <si>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</si>
  <si>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</si>
  <si>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</si>
  <si>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</si>
  <si>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</si>
  <si>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</si>
  <si>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</si>
  <si>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</si>
  <si>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</si>
  <si>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Value</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</si>
  <si>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</si>
  <si>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</si>
  <si>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</si>
  <si>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</si>
  <si>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</si>
  <si>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</si>
  <si>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</si>
  <si>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</si>
  <si>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</si>
  <si>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</si>
  <si>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</si>
  <si>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</si>
  <si>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</si>
  <si>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</si>
  <si>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</si>
  <si>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</si>
  <si>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</si>
  <si>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</si>
  <si>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</si>
  <si>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</si>
  <si>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</si>
  <si>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</si>
  <si>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</si>
  <si>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</si>
  <si>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</si>
  <si>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</si>
  <si>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</si>
  <si>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</si>
  <si>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</si>
  <si>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</si>
  <si>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</si>
  <si>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</si>
  <si>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</si>
  <si>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</si>
  <si>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</si>
  <si>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</si>
  <si>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</si>
  <si>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</si>
  <si>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</si>
  <si>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</si>
  <si>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</si>
  <si>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</si>
  <si>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</si>
  <si>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</si>
  <si>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</si>
  <si>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</si>
  <si>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</si>
  <si>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</si>
  <si>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</si>
  <si>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</si>
  <si>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</si>
  <si>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</si>
  <si>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</si>
  <si>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</si>
  <si>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</si>
  <si>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</si>
  <si>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</si>
  <si>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</si>
  <si>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</si>
  <si>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</si>
  <si>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</si>
  <si>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</si>
  <si>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</si>
  <si>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</si>
  <si>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</si>
  <si>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</si>
  <si>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</si>
  <si>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</si>
  <si>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</si>
  <si>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</si>
  <si>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</si>
  <si>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</si>
  <si>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</si>
  <si>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</si>
  <si>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</si>
  <si>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</si>
  <si>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</si>
  <si>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</si>
  <si>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</si>
  <si>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</si>
  <si>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</si>
  <si>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</si>
  <si>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</si>
  <si>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</si>
  <si>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</si>
  <si>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</si>
  <si>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</si>
  <si>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</si>
  <si>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</si>
  <si>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</si>
  <si>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</si>
  <si>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</si>
  <si>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</si>
  <si>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</si>
  <si>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</si>
  <si>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</si>
  <si>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</si>
  <si>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</si>
  <si>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</si>
  <si>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</si>
  <si>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</si>
  <si>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</si>
  <si>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</si>
  <si>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</si>
  <si>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</si>
  <si>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</si>
  <si>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</si>
  <si>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</si>
  <si>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</si>
  <si>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</si>
  <si>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</si>
  <si>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</si>
  <si>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</si>
  <si>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</si>
  <si>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</si>
  <si>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</si>
  <si>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</si>
  <si>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</si>
  <si>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</si>
  <si>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</si>
  <si>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</si>
  <si>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</si>
  <si>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</si>
  <si>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</si>
  <si>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</si>
  <si>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</si>
  <si>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</si>
  <si>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</si>
  <si>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</si>
  <si>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</si>
  <si>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</si>
  <si>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</si>
  <si>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</si>
  <si>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</si>
  <si>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</si>
  <si>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</si>
  <si>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</si>
  <si>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</si>
  <si>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</si>
  <si>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</si>
  <si>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</si>
  <si>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</si>
  <si>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</si>
  <si>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</si>
  <si>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</si>
  <si>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</si>
  <si>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</si>
  <si>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</si>
  <si>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</si>
  <si>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</si>
  <si>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</si>
  <si>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</si>
  <si>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</si>
  <si>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</si>
  <si>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</si>
  <si>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</si>
  <si>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</si>
  <si>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</si>
  <si>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</si>
  <si>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</si>
  <si>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</si>
  <si>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</si>
  <si>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</si>
  <si>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</si>
  <si>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</si>
  <si>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</si>
  <si>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</si>
  <si>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</si>
  <si>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</si>
  <si>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</si>
  <si>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</si>
  <si>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</si>
  <si>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</si>
  <si>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</si>
  <si>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</si>
  <si>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</si>
  <si>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</si>
  <si>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</si>
  <si>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</si>
  <si>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</si>
  <si>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</si>
  <si>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</si>
  <si>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</si>
  <si>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</si>
  <si>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</si>
  <si>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</si>
  <si>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</si>
  <si>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</si>
  <si>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</si>
  <si>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</si>
  <si>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</si>
  <si>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</si>
  <si>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</si>
  <si>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</si>
  <si>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</si>
  <si>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</si>
  <si>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</si>
  <si>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</si>
  <si>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</si>
  <si>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</si>
  <si>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</si>
  <si>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</si>
  <si>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</si>
  <si>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</si>
  <si>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</si>
  <si>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</si>
  <si>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</si>
  <si>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</si>
  <si>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</si>
  <si>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</si>
  <si>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</si>
  <si>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</si>
  <si>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</si>
  <si>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</si>
  <si>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</si>
  <si>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</si>
  <si>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</si>
  <si>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</si>
  <si>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</si>
  <si>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</si>
  <si>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</si>
  <si>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</si>
  <si>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</si>
  <si>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</si>
  <si>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</si>
  <si>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</si>
  <si>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</si>
  <si>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</si>
  <si>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</si>
  <si>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</si>
  <si>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</si>
  <si>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</si>
  <si>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</si>
  <si>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</si>
  <si>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</si>
  <si>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</si>
  <si>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</si>
  <si>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</si>
  <si>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</si>
  <si>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</si>
  <si>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</si>
  <si>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</si>
  <si>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</si>
  <si>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</si>
  <si>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</si>
  <si>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</si>
  <si>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</si>
  <si>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</si>
  <si>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</si>
  <si>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</si>
  <si>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</si>
  <si>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</si>
  <si>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</si>
  <si>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</si>
  <si>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</si>
  <si>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</si>
  <si>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</si>
  <si>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</si>
  <si>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</si>
  <si>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</si>
  <si>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</si>
  <si>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</si>
  <si>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</si>
  <si>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</si>
  <si>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</si>
  <si>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</si>
  <si>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</si>
  <si>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</si>
  <si>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</si>
  <si>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</si>
  <si>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</si>
  <si>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</si>
  <si>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</si>
  <si>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</si>
  <si>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</si>
  <si>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</si>
  <si>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</si>
  <si>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</si>
  <si>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</si>
  <si>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</si>
  <si>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</si>
  <si>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</si>
  <si>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</si>
  <si>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</si>
  <si>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</si>
  <si>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</si>
  <si>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</si>
  <si>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</si>
  <si>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</si>
  <si>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</si>
  <si>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</si>
  <si>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</si>
  <si>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</si>
  <si>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</si>
  <si>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</si>
  <si>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</si>
  <si>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</si>
  <si>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</si>
  <si>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</si>
  <si>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</si>
  <si>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</si>
  <si>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</si>
  <si>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</si>
  <si>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</si>
  <si>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</si>
  <si>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</si>
  <si>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</si>
  <si>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</si>
  <si>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</si>
  <si>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</si>
  <si>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</si>
  <si>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</si>
  <si>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</si>
  <si>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</si>
  <si>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</si>
  <si>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</si>
  <si>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</si>
  <si>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</si>
  <si>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</si>
  <si>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</si>
  <si>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</si>
  <si>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</si>
  <si>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</si>
  <si>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</si>
  <si>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</si>
  <si>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</si>
  <si>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</si>
  <si>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</si>
  <si>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</si>
  <si>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</si>
  <si>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</si>
  <si>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</si>
  <si>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</si>
  <si>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</si>
  <si>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</si>
  <si>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</si>
  <si>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</si>
  <si>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</si>
  <si>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</si>
  <si>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</si>
  <si>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</si>
  <si>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</si>
  <si>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</si>
  <si>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</si>
  <si>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</si>
  <si>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</si>
  <si>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</si>
  <si>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</si>
  <si>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</si>
  <si>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</si>
  <si>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</si>
  <si>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</si>
  <si>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</si>
  <si>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</si>
  <si>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</si>
  <si>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</si>
  <si>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</si>
  <si>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</si>
  <si>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</si>
  <si>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</si>
  <si>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</si>
  <si>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</si>
  <si>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</si>
  <si>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</si>
  <si>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</si>
  <si>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</si>
  <si>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</si>
  <si>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</si>
  <si>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</si>
  <si>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</si>
  <si>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</si>
  <si>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</si>
  <si>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</si>
  <si>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</si>
  <si>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</si>
  <si>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</si>
  <si>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</si>
  <si>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</si>
  <si>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</si>
  <si>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</si>
  <si>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</si>
  <si>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</si>
  <si>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</si>
  <si>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</si>
  <si>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</si>
  <si>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</si>
  <si>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</si>
  <si>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</si>
  <si>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</si>
  <si>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</si>
  <si>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</si>
  <si>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</si>
  <si>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</si>
  <si>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</si>
  <si>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</si>
  <si>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</si>
  <si>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</si>
  <si>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</si>
  <si>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</si>
  <si>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</si>
  <si>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</si>
  <si>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</si>
  <si>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</si>
  <si>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</si>
  <si>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</si>
  <si>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</si>
  <si>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</si>
  <si>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</si>
  <si>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</si>
  <si>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</si>
  <si>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</si>
  <si>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</si>
  <si>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</si>
  <si>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</si>
  <si>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</si>
  <si>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</si>
  <si>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</si>
  <si>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</si>
  <si>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</si>
  <si>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</si>
  <si>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</si>
  <si>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</si>
  <si>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</si>
  <si>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</si>
  <si>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</si>
  <si>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</si>
  <si>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</si>
  <si>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</si>
  <si>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</si>
  <si>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</si>
  <si>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</si>
  <si>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</si>
  <si>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</si>
  <si>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</si>
  <si>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</si>
  <si>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</si>
  <si>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</si>
  <si>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</si>
  <si>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</si>
  <si>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</si>
  <si>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</si>
  <si>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</si>
  <si>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</si>
  <si>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</si>
  <si>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</si>
  <si>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</si>
  <si>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</si>
  <si>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</si>
  <si>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</si>
  <si>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</si>
  <si>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</si>
  <si>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</si>
  <si>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</si>
  <si>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</si>
  <si>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</si>
  <si>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</si>
  <si>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</si>
  <si>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</si>
  <si>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</si>
  <si>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</si>
  <si>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</si>
  <si>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</si>
  <si>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-50.0</t>
  </si>
  <si>
    <t>0.1</t>
  </si>
  <si>
    <t>200.0</t>
  </si>
  <si>
    <t>450.0</t>
  </si>
  <si>
    <t>-0.3</t>
  </si>
  <si>
    <t>0.2</t>
  </si>
  <si>
    <t>0.6</t>
  </si>
  <si>
    <t>-0.5</t>
  </si>
  <si>
    <t>70.0</t>
  </si>
  <si>
    <t>250.0</t>
  </si>
  <si>
    <t>500.0</t>
  </si>
  <si>
    <t>-0.7</t>
  </si>
  <si>
    <t>-0.1</t>
  </si>
  <si>
    <t>1.1</t>
  </si>
  <si>
    <t>1.0</t>
  </si>
  <si>
    <t>0.9</t>
  </si>
  <si>
    <t>0.3</t>
  </si>
  <si>
    <t>-0.4</t>
  </si>
  <si>
    <t>-1.3</t>
  </si>
  <si>
    <t>-0.8</t>
  </si>
  <si>
    <t>0.7</t>
  </si>
  <si>
    <t>-0.2</t>
  </si>
  <si>
    <t>-0.9</t>
  </si>
  <si>
    <t>-100.0</t>
  </si>
  <si>
    <t>0.0</t>
  </si>
  <si>
    <t>-1.4</t>
  </si>
  <si>
    <t>100.0</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</si>
  <si>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</si>
  <si>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</si>
  <si>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</si>
  <si>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</si>
  <si>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</si>
  <si>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</si>
  <si>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</si>
  <si>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</si>
  <si>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</si>
  <si>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</si>
  <si>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</si>
  <si>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</si>
  <si>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</si>
  <si>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</si>
  <si>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</si>
  <si>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</si>
  <si>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</si>
  <si>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</si>
  <si>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</si>
  <si>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</si>
  <si>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</si>
  <si>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</si>
  <si>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</si>
  <si>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</si>
  <si>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</si>
  <si>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</si>
  <si>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</si>
  <si>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</si>
  <si>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</si>
  <si>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</si>
  <si>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</si>
  <si>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</si>
  <si>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</si>
  <si>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</si>
  <si>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</si>
  <si>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</si>
  <si>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</si>
  <si>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</si>
  <si>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</si>
  <si>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</si>
  <si>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</si>
  <si>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</si>
  <si>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</si>
  <si>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</si>
  <si>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</si>
  <si>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</si>
  <si>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</si>
  <si>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</si>
  <si>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</si>
  <si>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</si>
  <si>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</si>
  <si>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</si>
  <si>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</si>
  <si>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</si>
  <si>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</si>
  <si>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</si>
  <si>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</si>
  <si>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</si>
  <si>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</si>
  <si>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</si>
  <si>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</si>
  <si>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</si>
  <si>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</si>
  <si>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</si>
  <si>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</si>
  <si>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</si>
  <si>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</si>
  <si>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</si>
  <si>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</si>
  <si>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</si>
  <si>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</si>
  <si>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</si>
  <si>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</si>
  <si>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</si>
  <si>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</si>
  <si>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</si>
  <si>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</si>
  <si>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</si>
  <si>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</si>
  <si>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</si>
  <si>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</si>
  <si>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</si>
  <si>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</si>
  <si>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</si>
  <si>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</si>
  <si>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</si>
  <si>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</si>
  <si>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</si>
  <si>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</si>
  <si>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</si>
  <si>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</si>
  <si>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</si>
  <si>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</si>
  <si>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</si>
  <si>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</si>
  <si>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</si>
  <si>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</si>
  <si>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</si>
  <si>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</si>
  <si>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</si>
  <si>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</si>
  <si>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</si>
  <si>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</si>
  <si>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</si>
  <si>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</si>
  <si>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</si>
  <si>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</si>
  <si>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</si>
  <si>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</si>
  <si>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</si>
  <si>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</si>
  <si>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</si>
  <si>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</si>
  <si>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</si>
  <si>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</si>
  <si>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</si>
  <si>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</si>
  <si>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</si>
  <si>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</si>
  <si>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</si>
  <si>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</si>
  <si>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</si>
  <si>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</si>
  <si>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</si>
  <si>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</si>
  <si>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</si>
  <si>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</si>
  <si>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</si>
  <si>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</si>
  <si>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</si>
  <si>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</si>
  <si>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</si>
  <si>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</si>
  <si>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</si>
  <si>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</si>
  <si>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</si>
  <si>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</si>
  <si>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</si>
  <si>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</si>
  <si>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</si>
  <si>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</si>
  <si>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</si>
  <si>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</si>
  <si>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</si>
  <si>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</si>
  <si>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</si>
  <si>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</si>
  <si>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</si>
  <si>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</si>
  <si>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</si>
  <si>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</si>
  <si>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</si>
  <si>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</si>
  <si>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</si>
  <si>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</si>
  <si>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</si>
  <si>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</si>
  <si>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</si>
  <si>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</si>
  <si>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</si>
  <si>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</si>
  <si>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</si>
  <si>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</si>
  <si>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</si>
  <si>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</si>
  <si>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</si>
  <si>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</si>
  <si>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</si>
  <si>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</si>
  <si>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</si>
  <si>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</si>
  <si>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</si>
  <si>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</si>
  <si>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</si>
  <si>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</si>
  <si>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</si>
  <si>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</si>
  <si>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</si>
  <si>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</si>
  <si>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</si>
  <si>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</si>
  <si>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</si>
  <si>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</si>
  <si>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</si>
  <si>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</si>
  <si>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</si>
  <si>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</si>
  <si>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</si>
  <si>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</si>
  <si>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</si>
  <si>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</si>
  <si>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</si>
  <si>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</si>
  <si>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</si>
  <si>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</si>
  <si>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</si>
  <si>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</si>
  <si>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</si>
  <si>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</si>
  <si>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</si>
  <si>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</si>
  <si>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</si>
  <si>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</si>
  <si>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</si>
  <si>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</si>
  <si>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</si>
  <si>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</si>
  <si>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</si>
  <si>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</si>
  <si>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</si>
  <si>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</si>
  <si>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</si>
  <si>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</si>
  <si>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</si>
  <si>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</si>
  <si>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</si>
  <si>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</si>
  <si>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</si>
  <si>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</si>
  <si>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</si>
  <si>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</si>
  <si>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</si>
  <si>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</si>
  <si>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</si>
  <si>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</si>
  <si>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</si>
  <si>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</si>
  <si>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</si>
  <si>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</si>
  <si>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</si>
  <si>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</si>
  <si>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</si>
  <si>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</si>
  <si>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</si>
  <si>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</si>
  <si>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</si>
  <si>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</si>
  <si>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</si>
  <si>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</si>
  <si>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</si>
  <si>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</si>
  <si>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</si>
  <si>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</si>
  <si>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</si>
  <si>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</si>
  <si>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</si>
  <si>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</si>
  <si>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</si>
  <si>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</si>
  <si>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</si>
  <si>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</si>
  <si>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</si>
  <si>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</si>
  <si>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</si>
  <si>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</si>
  <si>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</si>
  <si>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</si>
  <si>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</si>
  <si>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</si>
  <si>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</si>
  <si>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</si>
  <si>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</si>
  <si>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</si>
  <si>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</si>
  <si>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</si>
  <si>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</si>
  <si>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</si>
  <si>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</si>
  <si>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</si>
  <si>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</si>
  <si>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</si>
  <si>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</si>
  <si>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</si>
  <si>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</si>
  <si>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</si>
  <si>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</si>
  <si>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</si>
  <si>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</si>
  <si>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</si>
  <si>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</si>
  <si>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</si>
  <si>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</si>
  <si>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</si>
  <si>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</si>
  <si>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</si>
  <si>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</si>
  <si>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</si>
  <si>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</si>
  <si>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</si>
  <si>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</si>
  <si>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</si>
  <si>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</si>
  <si>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</si>
  <si>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</si>
  <si>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</si>
  <si>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</si>
  <si>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</si>
  <si>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</si>
  <si>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</si>
  <si>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</si>
  <si>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</si>
  <si>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</si>
  <si>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</si>
  <si>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</si>
  <si>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</si>
  <si>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</si>
  <si>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</si>
  <si>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</si>
  <si>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</si>
  <si>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</si>
  <si>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</si>
  <si>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</si>
  <si>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</si>
  <si>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</si>
  <si>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</si>
  <si>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</si>
  <si>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</si>
  <si>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</si>
  <si>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</si>
  <si>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</si>
  <si>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</si>
  <si>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</si>
  <si>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</si>
  <si>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</si>
  <si>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</si>
  <si>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</si>
  <si>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</si>
  <si>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</si>
  <si>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</si>
  <si>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</si>
  <si>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</si>
  <si>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</si>
  <si>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</si>
  <si>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</si>
  <si>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</si>
  <si>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</si>
  <si>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</si>
  <si>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</si>
  <si>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</si>
  <si>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</si>
  <si>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</si>
  <si>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</si>
  <si>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</si>
  <si>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</si>
  <si>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</si>
  <si>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</si>
  <si>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</si>
  <si>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</si>
  <si>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</si>
  <si>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</si>
  <si>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</si>
  <si>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</si>
  <si>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</si>
  <si>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</si>
  <si>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</si>
  <si>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</si>
  <si>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</si>
  <si>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</si>
  <si>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</si>
  <si>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</si>
  <si>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</si>
  <si>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</si>
  <si>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</si>
  <si>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</si>
  <si>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</si>
  <si>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</si>
  <si>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</si>
  <si>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</si>
  <si>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</si>
  <si>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</si>
  <si>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</si>
  <si>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</si>
  <si>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</si>
  <si>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</si>
  <si>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</si>
  <si>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</si>
  <si>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</si>
  <si>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</si>
  <si>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</si>
  <si>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</si>
  <si>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</si>
  <si>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</si>
  <si>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</si>
  <si>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</si>
  <si>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</si>
  <si>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</si>
  <si>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</si>
  <si>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</si>
  <si>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</si>
  <si>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</si>
  <si>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</si>
  <si>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</si>
  <si>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</si>
  <si>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</si>
  <si>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</si>
  <si>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</si>
  <si>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</si>
  <si>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</si>
  <si>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</si>
  <si>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</si>
  <si>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</si>
  <si>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</si>
  <si>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</si>
  <si>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</si>
  <si>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</si>
  <si>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</si>
  <si>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</si>
  <si>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</si>
  <si>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</si>
  <si>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</si>
  <si>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</si>
  <si>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</si>
  <si>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</si>
  <si>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</si>
  <si>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</si>
  <si>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</si>
  <si>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</si>
  <si>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</si>
  <si>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</si>
  <si>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</si>
  <si>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</si>
  <si>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</si>
  <si>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</si>
  <si>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</si>
  <si>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</si>
  <si>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</si>
  <si>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</si>
  <si>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</si>
  <si>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</si>
  <si>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</si>
  <si>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</si>
  <si>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</si>
  <si>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</si>
  <si>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</si>
  <si>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</si>
  <si>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</si>
  <si>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</si>
  <si>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</si>
  <si>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</si>
  <si>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</si>
  <si>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</si>
  <si>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</si>
  <si>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</si>
  <si>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</si>
  <si>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</si>
  <si>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</si>
  <si>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</si>
  <si>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</si>
  <si>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</si>
  <si>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</si>
  <si>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</si>
  <si>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</si>
  <si>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</si>
  <si>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</si>
  <si>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</si>
  <si>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</si>
  <si>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</si>
  <si>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</si>
  <si>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</si>
  <si>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</si>
  <si>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</si>
  <si>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</si>
  <si>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</si>
  <si>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</si>
  <si>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</si>
  <si>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</si>
  <si>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</si>
  <si>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</si>
  <si>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</si>
  <si>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</si>
  <si>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</si>
  <si>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</si>
  <si>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</si>
  <si>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</si>
  <si>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</si>
  <si>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</si>
  <si>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</si>
  <si>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</si>
  <si>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</si>
  <si>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</si>
  <si>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</si>
  <si>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</si>
  <si>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</si>
  <si>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</si>
  <si>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</si>
  <si>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</si>
  <si>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</si>
  <si>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</si>
  <si>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</si>
  <si>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</si>
  <si>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</si>
  <si>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</si>
  <si>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</si>
  <si>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</si>
  <si>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</si>
  <si>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</si>
  <si>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</si>
  <si>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</si>
  <si>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</si>
  <si>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</si>
  <si>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</si>
  <si>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</si>
  <si>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</si>
  <si>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</si>
  <si>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</si>
  <si>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</si>
  <si>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</si>
  <si>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</si>
  <si>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</si>
  <si>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</si>
  <si>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</si>
  <si>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</si>
  <si>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</si>
  <si>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</si>
  <si>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</si>
  <si>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</si>
  <si>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</si>
  <si>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</si>
  <si>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</si>
  <si>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</si>
  <si>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</si>
  <si>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</si>
  <si>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</si>
  <si>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</si>
  <si>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</si>
  <si>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</si>
  <si>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</si>
  <si>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</si>
  <si>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</si>
  <si>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</si>
  <si>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</si>
  <si>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</si>
  <si>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</si>
  <si>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</si>
  <si>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</si>
  <si>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</si>
  <si>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</si>
  <si>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</si>
  <si>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</si>
  <si>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</si>
  <si>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</si>
  <si>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</si>
  <si>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</si>
  <si>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</si>
  <si>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</si>
  <si>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</si>
  <si>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</si>
  <si>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</si>
  <si>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</si>
  <si>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</si>
  <si>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</si>
  <si>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</si>
  <si>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</si>
  <si>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</si>
  <si>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</si>
  <si>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</si>
  <si>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</si>
  <si>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</si>
  <si>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</si>
  <si>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</si>
  <si>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</si>
  <si>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</si>
  <si>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</si>
  <si>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</si>
  <si>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</si>
  <si>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</si>
  <si>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</si>
  <si>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</si>
  <si>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</si>
  <si>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</si>
  <si>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</si>
  <si>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</si>
  <si>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</si>
  <si>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</si>
  <si>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</si>
  <si>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</si>
  <si>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</si>
  <si>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</si>
  <si>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</si>
  <si>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</si>
  <si>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</si>
  <si>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</si>
  <si>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</si>
  <si>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</si>
  <si>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</si>
  <si>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</si>
  <si>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</si>
  <si>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</si>
  <si>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</si>
  <si>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</si>
  <si>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</si>
  <si>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</si>
  <si>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</si>
  <si>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</si>
  <si>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</si>
  <si>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</si>
  <si>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</si>
  <si>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</si>
  <si>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</si>
  <si>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</si>
  <si>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</si>
  <si>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</si>
  <si>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</si>
  <si>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</si>
  <si>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</si>
  <si>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</si>
  <si>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</si>
  <si>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</si>
  <si>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</si>
  <si>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</si>
  <si>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</si>
  <si>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</si>
  <si>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</si>
  <si>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</si>
  <si>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</si>
  <si>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</si>
  <si>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</si>
  <si>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</si>
  <si>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</si>
  <si>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</si>
  <si>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</si>
  <si>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</si>
  <si>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</si>
  <si>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</si>
  <si>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</si>
  <si>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</si>
  <si>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</si>
  <si>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</si>
  <si>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</si>
  <si>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</si>
  <si>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</si>
  <si>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</si>
  <si>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</si>
  <si>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</si>
  <si>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</si>
  <si>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</si>
  <si>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</si>
  <si>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</si>
  <si>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</si>
  <si>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</si>
  <si>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</si>
  <si>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</si>
  <si>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</si>
  <si>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</si>
  <si>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</si>
  <si>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</si>
  <si>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</si>
  <si>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</si>
  <si>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</si>
  <si>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</si>
  <si>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</si>
  <si>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</si>
  <si>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</si>
  <si>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</si>
  <si>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</si>
  <si>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</si>
  <si>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</si>
  <si>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</si>
  <si>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</si>
  <si>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</si>
  <si>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</si>
  <si>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</si>
  <si>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</si>
  <si>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</si>
  <si>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</si>
  <si>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</si>
  <si>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</si>
  <si>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</si>
  <si>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</si>
  <si>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</si>
  <si>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</si>
  <si>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</si>
  <si>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</si>
  <si>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</si>
  <si>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</si>
  <si>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</si>
  <si>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</si>
  <si>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</si>
  <si>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</si>
  <si>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</si>
  <si>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</si>
  <si>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</si>
  <si>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</si>
  <si>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</si>
  <si>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</si>
  <si>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</si>
  <si>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</si>
  <si>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</si>
  <si>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</si>
  <si>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</si>
  <si>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</si>
  <si>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</si>
  <si>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</si>
  <si>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</si>
  <si>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</si>
  <si>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</si>
  <si>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</si>
  <si>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</si>
  <si>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</si>
  <si>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</si>
  <si>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</si>
  <si>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</si>
  <si>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</si>
  <si>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</si>
  <si>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</si>
  <si>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</si>
  <si>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</si>
  <si>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</si>
  <si>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</si>
  <si>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</si>
  <si>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</si>
  <si>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</si>
  <si>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</si>
  <si>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</si>
  <si>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</si>
  <si>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</si>
  <si>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</si>
  <si>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</si>
  <si>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</si>
  <si>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</si>
  <si>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</si>
  <si>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</si>
  <si>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</si>
  <si>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</si>
  <si>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</si>
  <si>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</si>
  <si>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</si>
  <si>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</si>
  <si>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</si>
  <si>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</si>
  <si>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</si>
  <si>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</si>
  <si>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</si>
  <si>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</si>
  <si>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</si>
  <si>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</si>
  <si>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</si>
  <si>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</si>
  <si>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</si>
  <si>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</si>
  <si>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</si>
  <si>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</si>
  <si>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</si>
  <si>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</si>
  <si>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</si>
  <si>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</si>
  <si>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</si>
  <si>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</si>
  <si>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</si>
  <si>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</si>
  <si>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</si>
  <si>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</si>
  <si>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</si>
  <si>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</si>
  <si>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</si>
  <si>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</si>
  <si>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</si>
  <si>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</si>
  <si>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</si>
  <si>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</si>
  <si>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</si>
  <si>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</si>
  <si>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</si>
  <si>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</si>
  <si>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</si>
  <si>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</si>
  <si>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</si>
  <si>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</si>
  <si>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</si>
  <si>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</si>
  <si>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</si>
  <si>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</si>
  <si>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</si>
  <si>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</si>
  <si>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</si>
  <si>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</si>
  <si>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</si>
  <si>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</si>
  <si>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</si>
  <si>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</si>
  <si>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</si>
  <si>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</si>
  <si>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</si>
  <si>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</si>
  <si>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</si>
  <si>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</si>
  <si>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</si>
  <si>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</si>
  <si>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</si>
  <si>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</si>
  <si>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</si>
  <si>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</si>
  <si>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</si>
  <si>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</si>
  <si>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</si>
  <si>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</si>
  <si>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</si>
  <si>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</si>
  <si>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</si>
  <si>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</si>
  <si>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</si>
  <si>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</si>
  <si>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</si>
  <si>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</si>
  <si>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</si>
  <si>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</si>
  <si>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</si>
  <si>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</si>
  <si>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</si>
  <si>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</si>
  <si>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</si>
  <si>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</si>
  <si>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</si>
  <si>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</si>
  <si>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</si>
  <si>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</si>
  <si>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</si>
  <si>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</si>
  <si>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</si>
  <si>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</si>
  <si>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</si>
  <si>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</si>
  <si>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</si>
  <si>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</si>
  <si>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</si>
  <si>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</si>
  <si>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</si>
  <si>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</si>
  <si>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</si>
  <si>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</si>
  <si>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</si>
  <si>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</si>
  <si>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</si>
  <si>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</si>
  <si>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</si>
  <si>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</si>
  <si>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</si>
  <si>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</si>
  <si>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</si>
  <si>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</si>
  <si>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</si>
  <si>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</si>
  <si>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</si>
  <si>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</si>
  <si>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</si>
  <si>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</si>
  <si>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</si>
  <si>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</si>
  <si>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</si>
  <si>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</si>
  <si>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</si>
  <si>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</si>
  <si>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</si>
  <si>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</si>
  <si>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</si>
  <si>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</si>
  <si>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</si>
  <si>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</si>
  <si>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</si>
  <si>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</si>
  <si>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</si>
  <si>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</si>
  <si>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</si>
  <si>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</si>
  <si>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</si>
  <si>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</si>
  <si>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</si>
  <si>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</si>
  <si>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</si>
  <si>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</si>
  <si>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</si>
  <si>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</si>
  <si>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</si>
  <si>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</si>
  <si>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</si>
  <si>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</si>
  <si>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</si>
  <si>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</si>
  <si>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</si>
  <si>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</si>
  <si>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</si>
  <si>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</si>
  <si>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</si>
  <si>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</si>
  <si>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</si>
  <si>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</si>
  <si>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</si>
  <si>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</si>
  <si>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</si>
  <si>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</si>
  <si>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</si>
  <si>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</si>
  <si>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</si>
  <si>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</si>
  <si>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</si>
  <si>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</si>
  <si>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</si>
  <si>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</si>
  <si>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</si>
  <si>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</si>
  <si>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</si>
  <si>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</si>
  <si>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</si>
  <si>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</si>
  <si>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</si>
  <si>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</si>
  <si>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</si>
  <si>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</si>
  <si>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</si>
  <si>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</si>
  <si>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</si>
  <si>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</si>
  <si>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</si>
  <si>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</si>
  <si>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</si>
  <si>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</si>
  <si>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</si>
  <si>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</si>
  <si>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</si>
  <si>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</si>
  <si>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</si>
  <si>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</si>
  <si>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</si>
  <si>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</si>
  <si>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</si>
  <si>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</si>
  <si>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</si>
  <si>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</si>
  <si>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</si>
  <si>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</si>
  <si>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</si>
  <si>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</si>
  <si>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</si>
  <si>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</si>
  <si>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</si>
  <si>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</si>
  <si>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</si>
  <si>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</si>
  <si>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</si>
  <si>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</si>
  <si>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</si>
  <si>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</si>
  <si>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</si>
  <si>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</si>
  <si>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</si>
  <si>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</si>
  <si>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</si>
  <si>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</si>
  <si>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</si>
  <si>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</si>
  <si>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</si>
  <si>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</si>
  <si>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</si>
  <si>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</si>
  <si>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</si>
  <si>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</si>
  <si>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</si>
  <si>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</si>
  <si>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</si>
  <si>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</si>
  <si>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</si>
  <si>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</si>
  <si>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</si>
  <si>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</si>
  <si>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</si>
  <si>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</si>
  <si>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</si>
  <si>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</si>
  <si>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</si>
  <si>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</si>
  <si>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</si>
  <si>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</si>
  <si>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</si>
  <si>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</si>
  <si>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</si>
  <si>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</si>
  <si>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</si>
  <si>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</si>
  <si>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</si>
  <si>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</si>
  <si>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</si>
  <si>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</si>
  <si>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</si>
  <si>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</si>
  <si>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</si>
  <si>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</si>
  <si>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</si>
  <si>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</si>
  <si>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</si>
  <si>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</si>
  <si>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</si>
  <si>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</si>
  <si>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</si>
  <si>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</si>
  <si>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</si>
  <si>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</si>
  <si>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</si>
  <si>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</si>
  <si>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</si>
  <si>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</si>
  <si>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</si>
  <si>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</si>
  <si>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</si>
  <si>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</si>
  <si>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</si>
  <si>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</si>
  <si>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</si>
  <si>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</si>
  <si>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</si>
  <si>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</si>
  <si>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</si>
  <si>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</si>
  <si>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</si>
  <si>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</si>
  <si>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</si>
  <si>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</si>
  <si>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</si>
  <si>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</si>
  <si>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</si>
  <si>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</si>
  <si>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</si>
  <si>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</si>
  <si>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</si>
  <si>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</si>
  <si>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</si>
  <si>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</si>
  <si>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</si>
  <si>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</si>
  <si>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</si>
  <si>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</si>
  <si>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</si>
  <si>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</si>
  <si>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</si>
  <si>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</si>
  <si>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</si>
  <si>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</si>
  <si>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</si>
  <si>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</si>
  <si>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</si>
  <si>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</si>
  <si>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</si>
  <si>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</si>
  <si>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</si>
  <si>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</si>
  <si>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</si>
  <si>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</si>
  <si>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</si>
  <si>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</si>
  <si>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</si>
  <si>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</si>
  <si>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</si>
  <si>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</si>
  <si>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</si>
  <si>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</si>
  <si>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</si>
  <si>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</si>
  <si>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</si>
  <si>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</si>
  <si>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</si>
  <si>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</si>
  <si>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</si>
  <si>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</si>
  <si>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</si>
  <si>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</si>
  <si>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</si>
  <si>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</si>
  <si>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</si>
  <si>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</si>
  <si>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</si>
  <si>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</si>
  <si>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</si>
  <si>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</si>
  <si>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</si>
  <si>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</si>
  <si>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</si>
  <si>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</si>
  <si>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</si>
  <si>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</si>
  <si>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</si>
  <si>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</si>
  <si>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</si>
  <si>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</si>
  <si>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</si>
  <si>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</si>
  <si>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</si>
  <si>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</si>
  <si>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</si>
  <si>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</si>
  <si>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</si>
  <si>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</si>
  <si>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</si>
  <si>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</si>
  <si>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</si>
  <si>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</si>
  <si>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</si>
  <si>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</si>
  <si>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</si>
  <si>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</si>
  <si>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</si>
  <si>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</si>
  <si>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</si>
  <si>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</si>
  <si>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</si>
  <si>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</si>
  <si>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</si>
  <si>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</si>
  <si>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</si>
  <si>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</si>
  <si>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</si>
  <si>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</si>
  <si>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</si>
  <si>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</si>
  <si>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</si>
  <si>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</si>
  <si>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</si>
  <si>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</si>
  <si>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</si>
  <si>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</si>
  <si>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</si>
  <si>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</si>
  <si>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</si>
  <si>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</si>
  <si>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</si>
  <si>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</si>
  <si>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</si>
  <si>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</si>
  <si>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</si>
  <si>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</si>
  <si>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</si>
  <si>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</si>
  <si>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</si>
  <si>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</si>
  <si>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</si>
  <si>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</si>
  <si>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</si>
  <si>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</si>
  <si>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</si>
  <si>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</si>
  <si>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</si>
  <si>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</si>
  <si>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</si>
  <si>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</si>
  <si>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</si>
  <si>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</si>
  <si>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</si>
  <si>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</si>
  <si>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</si>
  <si>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</si>
  <si>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</si>
  <si>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</si>
  <si>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</si>
  <si>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</si>
  <si>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</si>
  <si>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</si>
  <si>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</si>
  <si>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</si>
  <si>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</si>
  <si>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</si>
  <si>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</si>
  <si>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</si>
  <si>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</si>
  <si>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</si>
  <si>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</si>
  <si>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</si>
  <si>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</si>
  <si>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</si>
  <si>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</si>
  <si>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</si>
  <si>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</si>
  <si>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</si>
  <si>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</si>
  <si>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</si>
  <si>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</si>
  <si>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</si>
  <si>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</si>
  <si>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</si>
  <si>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</si>
  <si>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</si>
  <si>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</si>
  <si>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</si>
  <si>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</si>
  <si>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</si>
  <si>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</si>
  <si>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</si>
  <si>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</si>
  <si>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</si>
  <si>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</si>
  <si>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</si>
  <si>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</si>
  <si>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</si>
  <si>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</si>
  <si>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</si>
  <si>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</si>
  <si>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</si>
  <si>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</si>
  <si>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</si>
  <si>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</si>
  <si>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</si>
  <si>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</si>
  <si>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</si>
  <si>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</si>
  <si>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</si>
  <si>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</si>
  <si>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</si>
  <si>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</si>
  <si>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</si>
  <si>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</si>
  <si>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</si>
  <si>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</si>
  <si>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</si>
  <si>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</si>
  <si>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</si>
  <si>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</si>
  <si>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</si>
  <si>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</si>
  <si>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</si>
  <si>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</si>
  <si>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</si>
  <si>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</si>
  <si>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</si>
  <si>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</si>
  <si>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</si>
  <si>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</si>
  <si>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</si>
  <si>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</si>
  <si>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</si>
  <si>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</si>
  <si>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</si>
  <si>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</si>
  <si>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</si>
  <si>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</si>
  <si>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</si>
  <si>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</si>
  <si>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</si>
  <si>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</si>
  <si>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</si>
  <si>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</si>
  <si>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</si>
  <si>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</si>
  <si>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</si>
  <si>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</si>
  <si>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</si>
  <si>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</si>
  <si>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</si>
  <si>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</si>
  <si>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</si>
  <si>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</si>
  <si>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</si>
  <si>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</si>
  <si>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</si>
  <si>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</si>
  <si>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</si>
  <si>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</si>
  <si>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</si>
  <si>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</si>
  <si>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</si>
  <si>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</si>
  <si>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</si>
  <si>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</si>
  <si>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</si>
  <si>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</si>
  <si>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</si>
  <si>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</si>
  <si>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</si>
  <si>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</si>
  <si>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</si>
  <si>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</si>
  <si>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</si>
  <si>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</si>
  <si>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</si>
  <si>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</si>
  <si>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</si>
  <si>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</si>
  <si>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</si>
  <si>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</si>
  <si>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</si>
  <si>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</si>
  <si>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</si>
  <si>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</si>
  <si>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</si>
  <si>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</si>
  <si>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</si>
  <si>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</si>
  <si>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</si>
  <si>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</si>
  <si>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</si>
  <si>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</si>
  <si>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</si>
  <si>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</si>
  <si>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</si>
  <si>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</si>
  <si>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</si>
  <si>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</si>
  <si>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</si>
  <si>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</si>
  <si>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</si>
  <si>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</si>
  <si>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</si>
  <si>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</si>
  <si>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</si>
  <si>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</si>
  <si>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</si>
  <si>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</si>
  <si>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</si>
  <si>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</si>
  <si>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</si>
  <si>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</si>
  <si>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</si>
  <si>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</si>
  <si>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</si>
  <si>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</si>
  <si>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</si>
  <si>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</si>
  <si>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</si>
  <si>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</si>
  <si>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</si>
  <si>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</si>
  <si>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</si>
  <si>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</si>
  <si>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</si>
  <si>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</si>
  <si>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</si>
  <si>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</si>
  <si>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</si>
  <si>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</si>
  <si>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</si>
  <si>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</si>
  <si>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</si>
  <si>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</si>
  <si>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</si>
  <si>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</si>
  <si>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</si>
  <si>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</si>
  <si>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</si>
  <si>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</si>
  <si>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</si>
  <si>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</si>
  <si>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</si>
  <si>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</si>
  <si>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</si>
  <si>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</si>
  <si>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</si>
  <si>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</si>
  <si>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</si>
  <si>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</si>
  <si>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</si>
  <si>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</si>
  <si>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</si>
  <si>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</si>
  <si>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</si>
  <si>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</si>
  <si>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</si>
  <si>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</si>
  <si>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</si>
  <si>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</si>
  <si>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</si>
  <si>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</si>
  <si>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</si>
  <si>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</si>
  <si>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</si>
  <si>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</si>
  <si>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</si>
  <si>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</si>
  <si>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</si>
  <si>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</si>
  <si>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</si>
  <si>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</si>
  <si>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</si>
  <si>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</si>
  <si>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</si>
  <si>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</si>
  <si>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</si>
  <si>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</si>
  <si>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</si>
  <si>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</si>
  <si>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</si>
  <si>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</si>
  <si>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</si>
  <si>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</si>
  <si>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</si>
  <si>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</si>
  <si>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</si>
  <si>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</si>
  <si>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</si>
  <si>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</si>
  <si>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</si>
  <si>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</si>
  <si>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</si>
  <si>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</si>
  <si>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</si>
  <si>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</si>
  <si>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</si>
  <si>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</si>
  <si>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</si>
  <si>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</si>
  <si>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</si>
  <si>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</si>
  <si>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</si>
  <si>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</si>
  <si>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</si>
  <si>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</si>
  <si>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</si>
  <si>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</si>
  <si>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</si>
  <si>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</si>
  <si>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</si>
  <si>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</si>
  <si>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</si>
  <si>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</si>
  <si>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</si>
  <si>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</si>
  <si>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</si>
  <si>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</si>
  <si>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</si>
  <si>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</si>
  <si>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</si>
  <si>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</si>
  <si>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</si>
  <si>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</si>
  <si>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</si>
  <si>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</si>
  <si>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</si>
  <si>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</si>
  <si>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</si>
  <si>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</si>
  <si>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</si>
  <si>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</si>
  <si>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</si>
  <si>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</si>
  <si>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</si>
  <si>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</si>
  <si>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</si>
  <si>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</si>
  <si>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</si>
  <si>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</si>
  <si>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</si>
  <si>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</si>
  <si>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</si>
  <si>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</si>
  <si>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</si>
  <si>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</si>
  <si>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</si>
  <si>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</si>
  <si>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</si>
  <si>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</si>
  <si>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</si>
  <si>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</si>
  <si>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</si>
  <si>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</si>
  <si>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</si>
  <si>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</si>
  <si>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</si>
  <si>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</si>
  <si>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</si>
  <si>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</si>
  <si>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</si>
  <si>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</si>
  <si>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</si>
  <si>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</si>
  <si>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</si>
  <si>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</si>
  <si>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</si>
  <si>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</si>
  <si>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</si>
  <si>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</si>
  <si>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</si>
  <si>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</si>
  <si>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</si>
  <si>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</si>
  <si>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</si>
  <si>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</si>
  <si>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</si>
  <si>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</si>
  <si>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</si>
  <si>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</si>
  <si>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</si>
  <si>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</si>
  <si>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</si>
  <si>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</si>
  <si>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</si>
  <si>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</si>
  <si>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</si>
  <si>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</si>
  <si>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</si>
  <si>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</si>
  <si>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</si>
  <si>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</si>
  <si>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</si>
  <si>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</si>
  <si>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</si>
  <si>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</si>
  <si>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</si>
  <si>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</si>
  <si>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</si>
  <si>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</si>
  <si>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</si>
  <si>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</si>
  <si>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</si>
  <si>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</si>
  <si>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</si>
  <si>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</si>
  <si>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</si>
  <si>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</si>
  <si>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</si>
  <si>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</si>
  <si>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</si>
  <si>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</si>
  <si>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</si>
  <si>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</si>
  <si>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</si>
  <si>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</si>
  <si>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</si>
  <si>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</si>
  <si>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</si>
  <si>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</si>
  <si>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</si>
  <si>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</si>
  <si>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</si>
  <si>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</si>
  <si>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</si>
  <si>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</si>
  <si>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</si>
  <si>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</si>
  <si>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</si>
  <si>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</si>
  <si>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</si>
  <si>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</si>
  <si>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</si>
  <si>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</si>
  <si>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</si>
  <si>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</si>
  <si>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</si>
  <si>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</si>
  <si>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</si>
  <si>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</si>
  <si>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</si>
  <si>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</si>
  <si>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</si>
  <si>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</si>
  <si>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</si>
  <si>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</si>
  <si>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</si>
  <si>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</si>
  <si>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</si>
  <si>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</si>
  <si>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</si>
  <si>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</si>
  <si>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</si>
  <si>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</si>
  <si>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</si>
  <si>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</si>
  <si>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</si>
  <si>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</si>
  <si>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</si>
  <si>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</si>
  <si>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</si>
  <si>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</si>
  <si>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</si>
  <si>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</si>
  <si>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</si>
  <si>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</si>
  <si>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</si>
  <si>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</si>
  <si>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</si>
  <si>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</si>
  <si>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</si>
  <si>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</si>
  <si>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</si>
  <si>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</si>
  <si>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</si>
  <si>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</si>
  <si>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</si>
  <si>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</si>
  <si>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</si>
  <si>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</si>
  <si>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</si>
  <si>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</si>
  <si>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</si>
  <si>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</si>
  <si>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</si>
  <si>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</si>
  <si>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</si>
  <si>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</si>
  <si>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</si>
  <si>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</si>
  <si>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</si>
  <si>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</si>
  <si>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</si>
  <si>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</si>
  <si>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</si>
  <si>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</si>
  <si>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</si>
  <si>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</si>
  <si>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</si>
  <si>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</si>
  <si>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</si>
  <si>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</si>
  <si>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</si>
  <si>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</si>
  <si>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</si>
  <si>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</si>
  <si>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</si>
  <si>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</si>
  <si>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</si>
  <si>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</si>
  <si>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</si>
  <si>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</si>
  <si>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</si>
  <si>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</si>
  <si>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</si>
  <si>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</si>
  <si>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</si>
  <si>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</si>
  <si>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</si>
  <si>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</si>
  <si>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</si>
  <si>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</si>
  <si>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</si>
  <si>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</si>
  <si>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</si>
  <si>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</si>
  <si>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</si>
  <si>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</si>
  <si>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</si>
  <si>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</si>
  <si>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</si>
  <si>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</si>
  <si>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</si>
  <si>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</si>
  <si>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</si>
  <si>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</si>
  <si>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</si>
  <si>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</si>
  <si>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</si>
  <si>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</si>
  <si>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</si>
  <si>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</si>
  <si>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</si>
  <si>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</si>
  <si>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</si>
  <si>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</si>
  <si>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</si>
  <si>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</si>
  <si>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</si>
  <si>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</si>
  <si>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</si>
  <si>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</si>
  <si>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</si>
  <si>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</si>
  <si>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</si>
  <si>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</si>
  <si>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</si>
  <si>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</si>
  <si>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</si>
  <si>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</si>
  <si>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</si>
  <si>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</si>
  <si>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</si>
  <si>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</si>
  <si>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</si>
  <si>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</si>
  <si>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</si>
  <si>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</si>
  <si>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</si>
  <si>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</si>
  <si>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</si>
  <si>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</si>
  <si>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</si>
  <si>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</si>
  <si>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</si>
  <si>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</si>
  <si>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</si>
  <si>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</si>
  <si>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</si>
  <si>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</si>
  <si>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</si>
  <si>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</si>
  <si>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</si>
  <si>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</si>
  <si>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</si>
  <si>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</si>
  <si>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</si>
  <si>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</si>
  <si>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</si>
  <si>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</si>
  <si>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</si>
  <si>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</si>
  <si>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</si>
  <si>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</si>
  <si>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</si>
  <si>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</si>
  <si>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</si>
  <si>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</si>
  <si>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</si>
  <si>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</si>
  <si>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</si>
  <si>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</si>
  <si>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</si>
  <si>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</si>
  <si>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</si>
  <si>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</si>
  <si>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</si>
  <si>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</si>
  <si>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</si>
  <si>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</si>
  <si>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</si>
  <si>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</si>
  <si>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</si>
  <si>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</si>
  <si>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</si>
  <si>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</si>
  <si>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</si>
  <si>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</si>
  <si>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</si>
  <si>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</si>
  <si>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</si>
  <si>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</si>
  <si>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</si>
  <si>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</si>
  <si>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</si>
  <si>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</si>
  <si>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</si>
  <si>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</si>
  <si>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</si>
  <si>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</si>
  <si>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</si>
  <si>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</si>
  <si>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</si>
  <si>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</si>
  <si>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</si>
  <si>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</si>
  <si>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</si>
  <si>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</si>
  <si>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</si>
  <si>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</si>
  <si>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</si>
  <si>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</si>
  <si>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</si>
  <si>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</si>
  <si>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</si>
  <si>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</si>
  <si>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</si>
  <si>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</si>
  <si>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</si>
  <si>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</si>
  <si>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</si>
  <si>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</si>
  <si>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</si>
  <si>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</si>
  <si>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</si>
  <si>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</si>
  <si>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</si>
  <si>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</si>
  <si>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</si>
  <si>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</si>
  <si>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</si>
  <si>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</si>
  <si>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</si>
  <si>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</si>
  <si>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</si>
  <si>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</si>
  <si>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</si>
  <si>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</si>
  <si>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</si>
  <si>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</si>
  <si>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</si>
  <si>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</si>
  <si>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</si>
  <si>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</si>
  <si>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</si>
  <si>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</si>
  <si>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</si>
  <si>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</si>
  <si>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</si>
  <si>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</si>
  <si>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</si>
  <si>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</si>
  <si>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</si>
  <si>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</si>
  <si>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</si>
  <si>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</si>
  <si>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</si>
  <si>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</si>
  <si>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</si>
  <si>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</si>
  <si>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</si>
  <si>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</si>
  <si>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</si>
  <si>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</si>
  <si>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</si>
  <si>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</si>
  <si>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</si>
  <si>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</si>
  <si>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</si>
  <si>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</si>
  <si>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</si>
  <si>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</si>
  <si>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</si>
  <si>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</si>
  <si>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</si>
  <si>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</si>
  <si>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</si>
  <si>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</si>
  <si>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</si>
  <si>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</si>
  <si>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</si>
  <si>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</si>
  <si>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</si>
  <si>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</si>
  <si>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</si>
  <si>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</si>
  <si>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</si>
  <si>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</si>
  <si>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</si>
  <si>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</si>
  <si>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</si>
  <si>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</si>
  <si>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</si>
  <si>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</si>
  <si>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</si>
  <si>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</si>
  <si>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</si>
  <si>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</si>
  <si>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</si>
  <si>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</si>
  <si>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</si>
  <si>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</si>
  <si>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</si>
  <si>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</si>
  <si>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</si>
  <si>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</si>
  <si>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</si>
  <si>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</si>
  <si>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</si>
  <si>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</si>
  <si>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</si>
  <si>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</si>
  <si>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</si>
  <si>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</si>
  <si>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</si>
  <si>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</si>
  <si>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</si>
  <si>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</si>
  <si>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</si>
  <si>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</si>
  <si>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</si>
  <si>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</si>
  <si>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</si>
  <si>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</si>
  <si>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</si>
  <si>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</si>
  <si>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</si>
  <si>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</si>
  <si>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</si>
  <si>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</si>
  <si>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</si>
  <si>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</si>
  <si>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</si>
  <si>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</si>
  <si>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</si>
  <si>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</si>
  <si>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</si>
  <si>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</si>
  <si>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</si>
  <si>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</si>
  <si>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</si>
  <si>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</si>
  <si>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</si>
  <si>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</si>
  <si>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</si>
  <si>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</si>
  <si>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</si>
  <si>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</si>
  <si>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</si>
  <si>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</si>
  <si>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</si>
  <si>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</si>
  <si>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</si>
  <si>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</si>
  <si>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</si>
  <si>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</si>
  <si>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</si>
  <si>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</si>
  <si>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</si>
  <si>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</si>
  <si>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</si>
  <si>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</si>
  <si>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</si>
  <si>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</si>
  <si>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</si>
  <si>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</si>
  <si>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</si>
  <si>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</si>
  <si>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</si>
  <si>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</si>
  <si>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</si>
  <si>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</si>
  <si>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</si>
  <si>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</si>
  <si>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</si>
  <si>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</si>
  <si>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</si>
  <si>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</si>
  <si>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</si>
  <si>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</si>
  <si>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</si>
  <si>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</si>
  <si>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</si>
  <si>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</si>
  <si>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</si>
  <si>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</si>
  <si>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</si>
  <si>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</si>
  <si>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</si>
  <si>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</si>
  <si>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</si>
  <si>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</si>
  <si>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</si>
  <si>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</si>
  <si>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</si>
  <si>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</si>
  <si>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</si>
  <si>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</si>
  <si>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</si>
  <si>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</si>
  <si>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</si>
  <si>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</si>
  <si>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</si>
  <si>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</si>
  <si>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</si>
  <si>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</si>
  <si>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</si>
  <si>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</si>
  <si>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</si>
  <si>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</si>
  <si>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</si>
  <si>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</si>
  <si>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</si>
  <si>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</si>
  <si>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</si>
  <si>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</si>
  <si>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</si>
  <si>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</si>
  <si>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</si>
  <si>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</si>
  <si>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</si>
  <si>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</si>
  <si>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</si>
  <si>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</si>
  <si>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</si>
  <si>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</si>
  <si>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</si>
  <si>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</si>
  <si>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</si>
  <si>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</si>
  <si>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</si>
  <si>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</si>
  <si>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</si>
  <si>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</si>
  <si>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</si>
  <si>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</si>
  <si>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</si>
  <si>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</si>
  <si>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</si>
  <si>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</si>
  <si>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</si>
  <si>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</si>
  <si>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</si>
  <si>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</si>
  <si>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</si>
  <si>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</si>
  <si>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</si>
  <si>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</si>
  <si>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</si>
  <si>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</si>
  <si>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</si>
  <si>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</si>
  <si>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</si>
  <si>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</si>
  <si>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</si>
  <si>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</si>
  <si>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</si>
  <si>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</si>
  <si>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</si>
  <si>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</si>
  <si>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</si>
  <si>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</si>
  <si>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</si>
  <si>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</si>
  <si>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</si>
  <si>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</si>
  <si>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</si>
  <si>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</si>
  <si>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</si>
  <si>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</si>
  <si>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</si>
  <si>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</si>
  <si>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</si>
  <si>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</si>
  <si>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</si>
  <si>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</si>
  <si>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</si>
  <si>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</si>
  <si>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</si>
  <si>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</si>
  <si>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</si>
  <si>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</si>
  <si>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</si>
  <si>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</si>
  <si>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</si>
  <si>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</si>
  <si>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</si>
  <si>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</si>
  <si>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</si>
  <si>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</si>
  <si>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</si>
  <si>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</si>
  <si>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</si>
  <si>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</si>
  <si>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</si>
  <si>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</si>
  <si>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</si>
  <si>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</si>
  <si>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</si>
  <si>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</si>
  <si>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</si>
  <si>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</si>
  <si>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</si>
  <si>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</si>
  <si>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</si>
  <si>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</si>
  <si>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</si>
  <si>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</si>
  <si>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</si>
  <si>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</si>
  <si>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</si>
  <si>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</si>
  <si>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</si>
  <si>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</si>
  <si>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</si>
  <si>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</si>
  <si>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</si>
  <si>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</si>
  <si>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</si>
  <si>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</si>
  <si>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</si>
  <si>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</si>
  <si>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</si>
  <si>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</si>
  <si>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</si>
  <si>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</si>
  <si>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</si>
  <si>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</si>
  <si>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</si>
  <si>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</si>
  <si>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</si>
  <si>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</si>
  <si>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</si>
  <si>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</si>
  <si>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</si>
  <si>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</si>
  <si>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</si>
  <si>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</si>
  <si>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</si>
  <si>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</si>
  <si>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</si>
  <si>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</si>
  <si>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</si>
  <si>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</si>
  <si>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</si>
  <si>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</si>
  <si>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</si>
  <si>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</si>
  <si>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</si>
  <si>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</si>
  <si>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</si>
  <si>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</si>
  <si>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</si>
  <si>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</si>
  <si>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</si>
  <si>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</si>
  <si>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</si>
  <si>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</si>
  <si>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</si>
  <si>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</si>
  <si>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</si>
  <si>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</si>
  <si>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</si>
  <si>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</si>
  <si>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</si>
  <si>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</si>
  <si>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</si>
  <si>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</si>
  <si>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</si>
  <si>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</si>
  <si>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</si>
  <si>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</si>
  <si>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</si>
  <si>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</si>
  <si>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</si>
  <si>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</si>
  <si>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</si>
  <si>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</si>
  <si>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</si>
  <si>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</si>
  <si>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</si>
  <si>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</si>
  <si>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</si>
  <si>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</si>
  <si>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</si>
  <si>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</si>
  <si>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</si>
  <si>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</si>
  <si>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</si>
  <si>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</si>
  <si>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</si>
  <si>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</si>
  <si>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</si>
  <si>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</si>
  <si>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</si>
  <si>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</si>
  <si>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</si>
  <si>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</si>
  <si>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</si>
  <si>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</si>
  <si>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</si>
  <si>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</si>
  <si>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</si>
  <si>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</si>
  <si>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</si>
  <si>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</si>
  <si>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</si>
  <si>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</si>
  <si>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</si>
  <si>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</si>
  <si>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</si>
  <si>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</si>
  <si>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</si>
  <si>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</si>
  <si>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</si>
  <si>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</si>
  <si>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</si>
  <si>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</si>
  <si>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</si>
  <si>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</si>
  <si>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</si>
  <si>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</si>
  <si>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</si>
  <si>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</si>
  <si>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</si>
  <si>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</si>
  <si>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</si>
  <si>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</si>
  <si>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</si>
  <si>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</si>
  <si>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</si>
  <si>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</si>
  <si>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</si>
  <si>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</si>
  <si>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</si>
  <si>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</si>
  <si>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</si>
  <si>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</si>
  <si>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</si>
  <si>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</si>
  <si>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</si>
  <si>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</si>
  <si>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</si>
  <si>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</si>
  <si>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</si>
  <si>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</si>
  <si>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</si>
  <si>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</si>
  <si>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</si>
  <si>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</si>
  <si>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</si>
  <si>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</si>
  <si>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</si>
  <si>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</si>
  <si>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</si>
  <si>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</si>
  <si>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</si>
  <si>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</si>
  <si>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</si>
  <si>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</si>
  <si>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</si>
  <si>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</si>
  <si>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</si>
  <si>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</si>
  <si>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</si>
  <si>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</si>
  <si>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</si>
  <si>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</si>
  <si>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</si>
  <si>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</si>
  <si>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</si>
  <si>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</si>
  <si>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</si>
  <si>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</si>
  <si>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</si>
  <si>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</si>
  <si>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</si>
  <si>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</si>
  <si>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</si>
  <si>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</si>
  <si>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</si>
  <si>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</si>
  <si>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</si>
  <si>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</si>
  <si>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</si>
  <si>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</si>
  <si>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</si>
  <si>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</si>
  <si>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</si>
  <si>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</si>
  <si>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</si>
  <si>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</si>
  <si>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</si>
  <si>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</si>
  <si>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</si>
  <si>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</si>
  <si>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</si>
  <si>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</si>
  <si>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</si>
  <si>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</si>
  <si>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</si>
  <si>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</si>
  <si>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</si>
  <si>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</si>
  <si>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</si>
  <si>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</si>
  <si>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</si>
  <si>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</si>
  <si>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</si>
  <si>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</si>
  <si>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</si>
  <si>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</si>
  <si>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</si>
  <si>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</si>
  <si>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</si>
  <si>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</si>
  <si>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</si>
  <si>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</si>
  <si>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</si>
  <si>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</si>
  <si>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</si>
  <si>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</si>
  <si>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</si>
  <si>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</si>
  <si>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</si>
  <si>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</si>
  <si>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</si>
  <si>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</si>
  <si>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</si>
  <si>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</si>
  <si>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</si>
  <si>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</si>
  <si>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</si>
  <si>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</si>
  <si>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</si>
  <si>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</si>
  <si>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</si>
  <si>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</si>
  <si>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</si>
  <si>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</si>
  <si>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</si>
  <si>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</si>
  <si>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</si>
  <si>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</si>
  <si>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</si>
  <si>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</si>
  <si>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</si>
  <si>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</si>
  <si>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</si>
  <si>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</si>
  <si>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</si>
  <si>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</si>
  <si>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</si>
  <si>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</si>
  <si>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</si>
  <si>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</si>
  <si>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</si>
  <si>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</si>
  <si>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</si>
  <si>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</si>
  <si>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</si>
  <si>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</si>
  <si>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</si>
  <si>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</si>
  <si>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</si>
  <si>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</si>
  <si>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</si>
  <si>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</si>
  <si>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</si>
  <si>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</si>
  <si>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</si>
  <si>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</si>
  <si>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</si>
  <si>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</si>
  <si>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</si>
  <si>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</si>
  <si>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</si>
  <si>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</si>
  <si>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</si>
  <si>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</si>
  <si>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</si>
  <si>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</si>
  <si>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</si>
  <si>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</si>
  <si>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</si>
  <si>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</si>
  <si>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</si>
  <si>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</si>
  <si>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</si>
  <si>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</si>
  <si>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</si>
  <si>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</si>
  <si>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</si>
  <si>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</si>
  <si>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</si>
  <si>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</si>
  <si>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</si>
  <si>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</si>
  <si>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</si>
  <si>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</si>
  <si>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</si>
  <si>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</si>
  <si>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</si>
  <si>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</si>
  <si>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</si>
  <si>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</si>
  <si>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</si>
  <si>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</si>
  <si>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</si>
  <si>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</si>
  <si>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</si>
  <si>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</si>
  <si>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</si>
  <si>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</si>
  <si>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</si>
  <si>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</si>
  <si>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</si>
  <si>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</si>
  <si>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</si>
  <si>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</si>
  <si>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</si>
  <si>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</si>
  <si>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</si>
  <si>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</si>
  <si>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</si>
  <si>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</si>
  <si>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</si>
  <si>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</si>
  <si>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</si>
  <si>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</si>
  <si>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</si>
  <si>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</si>
  <si>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</si>
  <si>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</si>
  <si>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</si>
  <si>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</si>
  <si>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</si>
  <si>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</si>
  <si>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</si>
  <si>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</si>
  <si>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</si>
  <si>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</si>
  <si>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</si>
  <si>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</si>
  <si>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</si>
  <si>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</si>
  <si>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</si>
  <si>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</si>
  <si>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</si>
  <si>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</si>
  <si>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</si>
  <si>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</si>
  <si>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</si>
  <si>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</si>
  <si>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</si>
  <si>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</si>
  <si>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</si>
  <si>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</si>
  <si>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</si>
  <si>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</si>
  <si>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</si>
  <si>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</si>
  <si>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</si>
  <si>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</si>
  <si>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</si>
  <si>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</si>
  <si>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</si>
  <si>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</si>
  <si>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</si>
  <si>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</si>
  <si>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</si>
  <si>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</si>
  <si>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</si>
  <si>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</si>
  <si>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</si>
  <si>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</si>
  <si>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</si>
  <si>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</si>
  <si>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</si>
  <si>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</si>
  <si>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</si>
  <si>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</si>
  <si>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</si>
  <si>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</si>
  <si>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</si>
  <si>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</si>
  <si>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</si>
  <si>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</si>
  <si>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</si>
  <si>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</si>
  <si>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</si>
  <si>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</si>
  <si>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</si>
  <si>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</si>
  <si>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</si>
  <si>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</si>
  <si>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</si>
  <si>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</si>
  <si>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</si>
  <si>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</si>
  <si>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</si>
  <si>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</si>
  <si>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</si>
  <si>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</si>
  <si>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</si>
  <si>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</si>
  <si>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</si>
  <si>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</si>
  <si>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</si>
  <si>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</si>
  <si>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</si>
  <si>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</si>
  <si>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</si>
  <si>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</si>
  <si>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</si>
  <si>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</si>
  <si>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</si>
  <si>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</si>
  <si>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</si>
  <si>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</si>
  <si>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</si>
  <si>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</si>
  <si>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</si>
  <si>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</si>
  <si>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</si>
  <si>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</si>
  <si>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</si>
  <si>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</si>
  <si>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</si>
  <si>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</si>
  <si>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</si>
  <si>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</si>
  <si>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</si>
  <si>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</si>
  <si>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</si>
  <si>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</si>
  <si>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</si>
  <si>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</si>
  <si>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</si>
  <si>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</si>
  <si>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</si>
  <si>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</si>
  <si>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</si>
  <si>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</si>
  <si>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</si>
  <si>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</si>
  <si>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</si>
  <si>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</si>
  <si>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</si>
  <si>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</si>
  <si>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</si>
  <si>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</si>
  <si>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</si>
  <si>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</si>
  <si>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</si>
  <si>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</si>
  <si>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</si>
  <si>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</si>
  <si>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</si>
  <si>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</si>
  <si>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</si>
  <si>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</si>
  <si>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</si>
  <si>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</si>
  <si>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</si>
  <si>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</si>
  <si>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</si>
  <si>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</si>
  <si>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</si>
  <si>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</si>
  <si>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</si>
  <si>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</si>
  <si>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</si>
  <si>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</si>
  <si>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</si>
  <si>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</si>
  <si>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</si>
  <si>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</si>
  <si>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</si>
  <si>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</si>
  <si>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</si>
  <si>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</si>
  <si>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</si>
  <si>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</si>
  <si>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</si>
  <si>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</si>
  <si>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</si>
  <si>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</si>
  <si>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</si>
  <si>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</si>
  <si>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</si>
  <si>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</si>
  <si>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</si>
  <si>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</si>
  <si>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</si>
  <si>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</si>
  <si>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</si>
  <si>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</si>
  <si>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</si>
  <si>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</si>
  <si>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</si>
  <si>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</si>
  <si>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</si>
  <si>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</si>
  <si>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</si>
  <si>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</si>
  <si>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</si>
  <si>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</si>
  <si>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</si>
  <si>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</si>
  <si>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</si>
  <si>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</si>
  <si>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</si>
  <si>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</si>
  <si>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</si>
  <si>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</si>
  <si>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</si>
  <si>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</si>
  <si>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</si>
  <si>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</si>
  <si>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</si>
  <si>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</si>
  <si>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</si>
  <si>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</si>
  <si>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</si>
  <si>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</si>
  <si>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</si>
  <si>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</si>
  <si>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</si>
  <si>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</si>
  <si>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</si>
  <si>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</si>
  <si>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</si>
  <si>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</si>
  <si>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</si>
  <si>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</si>
  <si>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</si>
  <si>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</si>
  <si>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</si>
  <si>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</si>
  <si>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</si>
  <si>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</si>
  <si>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</si>
  <si>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</si>
  <si>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</si>
  <si>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</si>
  <si>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</si>
  <si>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</si>
  <si>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</si>
  <si>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</si>
  <si>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</si>
  <si>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</si>
  <si>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</si>
  <si>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</si>
  <si>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</si>
  <si>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</si>
  <si>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</si>
  <si>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</si>
  <si>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</si>
  <si>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</si>
  <si>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</si>
  <si>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</si>
  <si>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</si>
  <si>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</si>
  <si>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</si>
  <si>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</si>
  <si>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</si>
  <si>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</si>
  <si>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</si>
  <si>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</si>
  <si>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</si>
  <si>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</si>
  <si>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</si>
  <si>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</si>
  <si>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</si>
  <si>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</si>
  <si>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</si>
  <si>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</si>
  <si>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</si>
  <si>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</si>
  <si>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</si>
  <si>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</si>
  <si>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</si>
  <si>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</si>
  <si>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</si>
  <si>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</si>
  <si>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</si>
  <si>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</si>
  <si>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</si>
  <si>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</si>
  <si>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</si>
  <si>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</si>
  <si>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</si>
  <si>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</si>
  <si>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</si>
  <si>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</si>
  <si>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</si>
  <si>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</si>
  <si>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</si>
  <si>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</si>
  <si>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</si>
  <si>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</si>
  <si>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</si>
  <si>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</si>
  <si>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</si>
  <si>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</si>
  <si>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</si>
  <si>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</si>
  <si>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</si>
  <si>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</si>
  <si>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</si>
  <si>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</si>
  <si>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</si>
  <si>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</si>
  <si>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</si>
  <si>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</si>
  <si>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</si>
  <si>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</si>
  <si>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</si>
  <si>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</si>
  <si>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</si>
  <si>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</si>
  <si>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</si>
  <si>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</si>
  <si>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</si>
  <si>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</si>
  <si>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</si>
  <si>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</si>
  <si>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</si>
  <si>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</si>
  <si>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</si>
  <si>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</si>
  <si>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</si>
  <si>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</si>
  <si>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</si>
  <si>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</si>
  <si>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</si>
  <si>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</si>
  <si>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</si>
  <si>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</si>
  <si>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</si>
  <si>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</si>
  <si>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</si>
  <si>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</si>
  <si>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</si>
  <si>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</si>
  <si>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</si>
  <si>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</si>
  <si>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</si>
  <si>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</si>
  <si>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</si>
  <si>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</si>
  <si>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</si>
  <si>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</si>
  <si>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</si>
  <si>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</si>
  <si>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</si>
  <si>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</si>
  <si>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</si>
  <si>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</si>
  <si>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</si>
  <si>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</si>
  <si>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</si>
  <si>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</si>
  <si>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</si>
  <si>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</si>
  <si>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</si>
  <si>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</si>
  <si>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</si>
  <si>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</si>
  <si>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</si>
  <si>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</si>
  <si>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</si>
  <si>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</si>
  <si>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</si>
  <si>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</si>
  <si>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</si>
  <si>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</si>
  <si>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</si>
  <si>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</si>
  <si>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</si>
  <si>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</si>
  <si>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</si>
  <si>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</si>
  <si>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</si>
  <si>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</si>
  <si>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</si>
  <si>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</si>
  <si>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</si>
  <si>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</si>
  <si>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</si>
  <si>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</si>
  <si>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</si>
  <si>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</si>
  <si>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</si>
  <si>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</si>
  <si>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</si>
  <si>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</si>
  <si>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</si>
  <si>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</si>
  <si>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</si>
  <si>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</si>
  <si>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</si>
  <si>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</si>
  <si>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</si>
  <si>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</si>
  <si>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</si>
  <si>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</si>
  <si>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</si>
  <si>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</si>
  <si>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</si>
  <si>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</si>
  <si>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</si>
  <si>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</si>
  <si>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</si>
  <si>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</si>
  <si>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</si>
  <si>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</si>
  <si>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</si>
  <si>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</si>
  <si>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</si>
  <si>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</si>
  <si>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</si>
  <si>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</si>
  <si>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</si>
  <si>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</si>
  <si>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</si>
  <si>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</si>
  <si>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</si>
  <si>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</si>
  <si>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</si>
  <si>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</si>
  <si>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</si>
  <si>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</si>
  <si>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</si>
  <si>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</si>
  <si>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</si>
  <si>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</si>
  <si>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</si>
  <si>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</si>
  <si>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</si>
  <si>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</si>
  <si>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</si>
  <si>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</si>
  <si>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</si>
  <si>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</si>
  <si>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</si>
  <si>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</si>
  <si>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</si>
  <si>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</si>
  <si>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</si>
  <si>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</si>
  <si>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</si>
  <si>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</si>
  <si>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</si>
  <si>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</si>
  <si>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</si>
  <si>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</si>
  <si>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</si>
  <si>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</si>
  <si>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</si>
  <si>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</si>
  <si>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</si>
  <si>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</si>
  <si>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</si>
  <si>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</si>
  <si>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</si>
  <si>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</si>
  <si>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</si>
  <si>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</si>
  <si>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</si>
  <si>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</si>
  <si>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</si>
  <si>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</si>
  <si>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</si>
  <si>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</si>
  <si>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</si>
  <si>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</si>
  <si>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</si>
  <si>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</si>
  <si>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</si>
  <si>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</si>
  <si>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</si>
  <si>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</si>
  <si>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</si>
  <si>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</si>
  <si>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</si>
  <si>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</si>
  <si>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</si>
  <si>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</si>
  <si>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</si>
  <si>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</si>
  <si>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</si>
  <si>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</si>
  <si>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</si>
  <si>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</si>
  <si>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</si>
  <si>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</si>
  <si>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</si>
  <si>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</si>
  <si>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</si>
  <si>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</si>
  <si>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</si>
  <si>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</si>
  <si>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</si>
  <si>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</si>
  <si>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</si>
  <si>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</si>
  <si>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</si>
  <si>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</si>
  <si>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</si>
  <si>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</si>
  <si>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</si>
  <si>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</si>
  <si>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</si>
  <si>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</si>
  <si>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</si>
  <si>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</si>
  <si>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</si>
  <si>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</si>
  <si>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</si>
  <si>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</si>
  <si>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</si>
  <si>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</si>
  <si>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</si>
  <si>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</si>
  <si>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</si>
  <si>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</si>
  <si>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</si>
  <si>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</si>
  <si>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</si>
  <si>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</si>
  <si>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</si>
  <si>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</si>
  <si>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</si>
  <si>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</si>
  <si>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</si>
  <si>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</si>
  <si>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</si>
  <si>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</si>
  <si>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</si>
  <si>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</si>
  <si>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</si>
  <si>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</si>
  <si>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</si>
  <si>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</si>
  <si>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</si>
  <si>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</si>
  <si>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</si>
  <si>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</si>
  <si>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</si>
  <si>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</si>
  <si>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</si>
  <si>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</si>
  <si>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</si>
  <si>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</si>
  <si>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</si>
  <si>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</si>
  <si>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</si>
  <si>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</si>
  <si>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</si>
  <si>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</si>
  <si>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</si>
  <si>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</si>
  <si>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</si>
  <si>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</si>
  <si>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</si>
  <si>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</si>
  <si>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</si>
  <si>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</si>
  <si>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</si>
  <si>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</si>
  <si>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</si>
  <si>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</si>
  <si>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</si>
  <si>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</si>
  <si>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</si>
  <si>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</si>
  <si>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</si>
  <si>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</si>
  <si>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</si>
  <si>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</si>
  <si>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</si>
  <si>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</si>
  <si>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</si>
  <si>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</si>
  <si>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</si>
  <si>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</si>
  <si>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</si>
  <si>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</si>
  <si>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</si>
  <si>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</si>
  <si>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</si>
  <si>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</si>
  <si>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</si>
  <si>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</si>
  <si>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</si>
  <si>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</si>
  <si>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</si>
  <si>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</si>
  <si>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</si>
  <si>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</si>
  <si>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</si>
  <si>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</si>
  <si>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</si>
  <si>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</si>
  <si>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</si>
  <si>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</si>
  <si>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</si>
  <si>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</si>
  <si>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</si>
  <si>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</si>
  <si>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</si>
  <si>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</si>
  <si>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</si>
  <si>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</si>
  <si>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</si>
  <si>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</si>
  <si>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</si>
  <si>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</si>
  <si>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</si>
  <si>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</si>
  <si>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</si>
  <si>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</si>
  <si>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</si>
  <si>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</si>
  <si>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</si>
  <si>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</si>
  <si>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</si>
  <si>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</si>
  <si>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</si>
  <si>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</si>
  <si>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</si>
  <si>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</si>
  <si>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</si>
  <si>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</si>
  <si>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</si>
  <si>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</si>
  <si>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</si>
  <si>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</si>
  <si>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</si>
  <si>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</si>
  <si>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</si>
  <si>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</si>
  <si>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</si>
  <si>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</si>
  <si>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</si>
  <si>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</si>
  <si>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</si>
  <si>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</si>
  <si>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</si>
  <si>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</si>
  <si>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</si>
  <si>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</si>
  <si>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</si>
  <si>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</si>
  <si>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</si>
  <si>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</si>
  <si>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</si>
  <si>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</si>
  <si>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</si>
  <si>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</si>
  <si>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</si>
  <si>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</si>
  <si>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</si>
  <si>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</si>
  <si>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</si>
  <si>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</si>
  <si>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</si>
  <si>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</si>
  <si>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</si>
  <si>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</si>
  <si>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</si>
  <si>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</si>
  <si>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</si>
  <si>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</si>
  <si>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</si>
  <si>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</si>
  <si>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</si>
  <si>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</si>
  <si>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</si>
  <si>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</si>
  <si>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</si>
  <si>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</si>
  <si>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</si>
  <si>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</si>
  <si>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</si>
  <si>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</si>
  <si>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</si>
  <si>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</si>
  <si>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</si>
  <si>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</si>
  <si>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</si>
  <si>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</si>
  <si>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</si>
  <si>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</si>
  <si>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</si>
  <si>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</si>
  <si>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</si>
  <si>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</si>
  <si>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</si>
  <si>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</si>
  <si>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</si>
  <si>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</si>
  <si>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</si>
  <si>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</si>
  <si>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</si>
  <si>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</si>
  <si>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</si>
  <si>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</si>
  <si>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</si>
  <si>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</si>
  <si>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</si>
  <si>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</si>
  <si>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</si>
  <si>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</si>
  <si>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</si>
  <si>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</si>
  <si>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</si>
  <si>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</si>
  <si>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</si>
  <si>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</si>
  <si>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</si>
  <si>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</si>
  <si>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</si>
  <si>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</si>
  <si>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</si>
  <si>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</si>
  <si>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</si>
  <si>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</si>
  <si>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</si>
  <si>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</si>
  <si>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</si>
  <si>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</si>
  <si>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</si>
  <si>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</si>
  <si>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</si>
  <si>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</si>
  <si>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</si>
  <si>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</si>
  <si>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</si>
  <si>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</si>
  <si>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</si>
  <si>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</si>
  <si>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</si>
  <si>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</si>
  <si>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</si>
  <si>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</si>
  <si>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</si>
  <si>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</si>
  <si>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</si>
  <si>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</si>
  <si>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</si>
  <si>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</si>
  <si>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</si>
  <si>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</si>
  <si>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</si>
  <si>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</si>
  <si>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</si>
  <si>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</si>
  <si>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</si>
  <si>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</si>
  <si>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</si>
  <si>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</si>
  <si>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</si>
  <si>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</si>
  <si>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</si>
  <si>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</si>
  <si>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</si>
  <si>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</si>
  <si>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</si>
  <si>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</si>
  <si>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</si>
  <si>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</si>
  <si>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</si>
  <si>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</si>
  <si>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</si>
  <si>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</si>
  <si>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</si>
  <si>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</si>
  <si>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</si>
  <si>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</si>
  <si>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</si>
  <si>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</si>
  <si>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</si>
  <si>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</si>
  <si>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</si>
  <si>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</si>
  <si>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</si>
  <si>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</si>
  <si>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</si>
  <si>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</si>
  <si>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</si>
  <si>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</si>
  <si>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</si>
  <si>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</si>
  <si>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</si>
  <si>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</si>
  <si>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</si>
  <si>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</si>
  <si>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</si>
  <si>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</si>
  <si>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</si>
  <si>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</si>
  <si>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</si>
  <si>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</si>
  <si>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</si>
  <si>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</si>
  <si>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</si>
  <si>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</si>
  <si>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</si>
  <si>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</si>
  <si>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</si>
  <si>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</si>
  <si>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</si>
  <si>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</si>
  <si>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</si>
  <si>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</si>
  <si>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</si>
  <si>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</si>
  <si>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</si>
  <si>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</si>
  <si>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</si>
  <si>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</si>
  <si>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</si>
  <si>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</si>
  <si>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</si>
  <si>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</si>
  <si>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</si>
  <si>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</si>
  <si>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</si>
  <si>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</si>
  <si>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</si>
  <si>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</si>
  <si>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</si>
  <si>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</si>
  <si>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</si>
  <si>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</si>
  <si>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</si>
  <si>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</si>
  <si>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</si>
  <si>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</si>
  <si>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</si>
  <si>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</si>
  <si>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</si>
  <si>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</si>
  <si>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</si>
  <si>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</si>
  <si>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</si>
  <si>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</si>
  <si>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</si>
  <si>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</si>
  <si>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</si>
  <si>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</si>
  <si>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</si>
  <si>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</si>
  <si>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</si>
  <si>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</si>
  <si>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</si>
  <si>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</si>
  <si>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</si>
  <si>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</si>
  <si>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</si>
  <si>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</si>
  <si>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</si>
  <si>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</si>
  <si>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</si>
  <si>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</si>
  <si>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</si>
  <si>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</si>
  <si>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</si>
  <si>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</si>
  <si>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</si>
  <si>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</si>
  <si>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</si>
  <si>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</si>
  <si>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</si>
  <si>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</si>
  <si>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</si>
  <si>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</si>
  <si>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</si>
  <si>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</si>
  <si>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</si>
  <si>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</si>
  <si>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</si>
  <si>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</si>
  <si>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</si>
  <si>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</si>
  <si>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</si>
  <si>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</si>
  <si>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</si>
  <si>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</si>
  <si>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</si>
  <si>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</si>
  <si>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</si>
  <si>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</si>
  <si>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</si>
  <si>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</si>
  <si>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</si>
  <si>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</si>
  <si>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</si>
  <si>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</si>
  <si>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</si>
  <si>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</si>
  <si>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</si>
  <si>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</si>
  <si>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</si>
  <si>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</si>
  <si>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</si>
  <si>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</si>
  <si>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</si>
  <si>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</si>
  <si>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</si>
  <si>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</si>
  <si>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</si>
  <si>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</si>
  <si>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</si>
  <si>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</si>
  <si>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</si>
  <si>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</si>
  <si>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</si>
  <si>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</si>
  <si>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</si>
  <si>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</si>
  <si>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</si>
  <si>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</si>
  <si>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</si>
  <si>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</si>
  <si>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</si>
  <si>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</si>
  <si>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</si>
  <si>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</si>
  <si>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</si>
  <si>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</si>
  <si>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</si>
  <si>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</si>
  <si>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</si>
  <si>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</si>
  <si>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</si>
  <si>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</si>
  <si>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</si>
  <si>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</si>
  <si>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</si>
  <si>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</si>
  <si>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</si>
  <si>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</si>
  <si>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</si>
  <si>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</si>
  <si>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</si>
  <si>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</si>
  <si>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</si>
  <si>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</si>
  <si>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</si>
  <si>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</si>
  <si>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</si>
  <si>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</si>
  <si>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</si>
  <si>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</si>
  <si>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</si>
  <si>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</si>
  <si>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</si>
  <si>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</si>
  <si>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</si>
  <si>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</si>
  <si>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</si>
  <si>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</si>
  <si>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</si>
  <si>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</si>
  <si>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</si>
  <si>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</si>
  <si>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</si>
  <si>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</si>
  <si>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</si>
  <si>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</si>
  <si>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</si>
  <si>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</si>
  <si>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</si>
  <si>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</si>
  <si>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</si>
  <si>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</si>
  <si>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</si>
  <si>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</si>
  <si>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</si>
  <si>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</si>
  <si>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</si>
  <si>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</si>
  <si>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</si>
  <si>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</si>
  <si>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</si>
  <si>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</si>
  <si>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</si>
  <si>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</si>
  <si>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</si>
  <si>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</si>
  <si>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</si>
  <si>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</si>
  <si>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</si>
  <si>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</si>
  <si>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</si>
  <si>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</si>
  <si>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</si>
  <si>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</si>
  <si>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</si>
  <si>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</si>
  <si>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</si>
  <si>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</si>
  <si>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</si>
  <si>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</si>
  <si>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</si>
  <si>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</si>
  <si>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</si>
  <si>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</si>
  <si>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</si>
  <si>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</si>
  <si>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</si>
  <si>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</si>
  <si>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</si>
  <si>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</si>
  <si>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</si>
  <si>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</si>
  <si>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</si>
  <si>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</si>
  <si>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</si>
  <si>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</si>
  <si>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</si>
  <si>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</si>
  <si>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</si>
  <si>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</si>
  <si>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</si>
  <si>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</si>
  <si>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</si>
  <si>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</si>
  <si>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</si>
  <si>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</si>
  <si>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</si>
  <si>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</si>
  <si>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</si>
  <si>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</si>
  <si>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</si>
  <si>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</si>
  <si>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</si>
  <si>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</si>
  <si>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</si>
  <si>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</si>
  <si>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</si>
  <si>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</si>
  <si>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</si>
  <si>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</si>
  <si>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</si>
  <si>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</si>
  <si>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</si>
  <si>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</si>
  <si>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</si>
  <si>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</si>
  <si>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</si>
  <si>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</si>
  <si>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</si>
  <si>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</si>
  <si>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</si>
  <si>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</si>
  <si>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</si>
  <si>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</si>
  <si>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</si>
  <si>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</si>
  <si>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</si>
  <si>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</si>
  <si>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</si>
  <si>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</si>
  <si>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</si>
  <si>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</si>
  <si>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</si>
  <si>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</si>
  <si>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</si>
  <si>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</si>
  <si>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</si>
  <si>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</si>
  <si>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</si>
  <si>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</si>
  <si>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</si>
  <si>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</si>
  <si>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</si>
  <si>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</si>
  <si>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</si>
  <si>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</si>
  <si>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</si>
  <si>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</si>
  <si>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</si>
  <si>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</si>
  <si>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</si>
  <si>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</si>
  <si>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</si>
  <si>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</si>
  <si>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</si>
  <si>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</si>
  <si>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</si>
  <si>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</si>
  <si>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</si>
  <si>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</si>
  <si>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</si>
  <si>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</si>
  <si>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</si>
  <si>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</si>
  <si>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</si>
  <si>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</si>
  <si>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</si>
  <si>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</si>
  <si>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</si>
  <si>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</si>
  <si>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</si>
  <si>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</si>
  <si>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</si>
  <si>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</si>
  <si>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</si>
  <si>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</si>
  <si>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</si>
  <si>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</si>
  <si>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</si>
  <si>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</si>
  <si>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</si>
  <si>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</si>
  <si>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</si>
  <si>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</si>
  <si>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</si>
  <si>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</si>
  <si>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</si>
  <si>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</si>
  <si>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</si>
  <si>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</si>
  <si>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</si>
  <si>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</si>
  <si>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</si>
  <si>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</si>
  <si>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</si>
  <si>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</si>
  <si>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</si>
  <si>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</si>
  <si>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</si>
  <si>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</si>
  <si>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</si>
  <si>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</si>
  <si>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</si>
  <si>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</si>
  <si>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</si>
  <si>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</si>
  <si>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</si>
  <si>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</si>
  <si>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</si>
  <si>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</si>
  <si>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</si>
  <si>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</si>
  <si>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</si>
  <si>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</si>
  <si>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</si>
  <si>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</si>
  <si>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</si>
  <si>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</si>
  <si>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</si>
  <si>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</si>
  <si>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</si>
  <si>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</si>
  <si>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</si>
  <si>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</si>
  <si>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</si>
  <si>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</si>
  <si>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</si>
  <si>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</si>
  <si>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</si>
  <si>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</si>
  <si>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</si>
  <si>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</si>
  <si>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</si>
  <si>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</si>
  <si>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</si>
  <si>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</si>
  <si>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</si>
  <si>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</si>
  <si>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</si>
  <si>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</si>
  <si>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</si>
  <si>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</si>
  <si>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</si>
  <si>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</si>
  <si>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</si>
  <si>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</si>
  <si>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</si>
  <si>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</si>
  <si>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</si>
  <si>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</si>
  <si>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</si>
  <si>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</si>
  <si>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</si>
  <si>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</si>
  <si>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</si>
  <si>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</si>
  <si>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</si>
  <si>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</si>
  <si>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</si>
  <si>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</si>
  <si>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</si>
  <si>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</si>
  <si>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</si>
  <si>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</si>
  <si>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</si>
  <si>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</si>
  <si>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</si>
  <si>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</si>
  <si>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</si>
  <si>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</si>
  <si>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</si>
  <si>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</si>
  <si>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</si>
  <si>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</si>
  <si>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</si>
  <si>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</si>
  <si>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</si>
  <si>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</si>
  <si>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</si>
  <si>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</si>
  <si>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</si>
  <si>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</si>
  <si>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</si>
  <si>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</si>
  <si>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</si>
  <si>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</si>
  <si>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</si>
  <si>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</si>
  <si>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</si>
  <si>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</si>
  <si>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</si>
  <si>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</si>
  <si>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</si>
  <si>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</si>
  <si>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</si>
  <si>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</si>
  <si>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</si>
  <si>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</si>
  <si>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</si>
  <si>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</si>
  <si>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</si>
  <si>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</si>
  <si>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</si>
  <si>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</si>
  <si>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</si>
  <si>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</si>
  <si>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</si>
  <si>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</si>
  <si>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</si>
  <si>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</si>
  <si>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</si>
  <si>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</si>
  <si>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</si>
  <si>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</si>
  <si>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</si>
  <si>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</si>
  <si>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</si>
  <si>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</si>
  <si>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</si>
  <si>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</si>
  <si>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</si>
  <si>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</si>
  <si>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</si>
  <si>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</si>
  <si>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</si>
  <si>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</si>
  <si>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</si>
  <si>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</si>
  <si>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</si>
  <si>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</si>
  <si>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</si>
  <si>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</si>
  <si>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</si>
  <si>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</si>
  <si>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</si>
  <si>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</si>
  <si>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</si>
  <si>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</si>
  <si>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</si>
  <si>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</si>
  <si>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</si>
  <si>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</si>
  <si>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</si>
  <si>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</si>
  <si>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</si>
  <si>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</si>
  <si>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</si>
  <si>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</si>
  <si>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</si>
  <si>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</si>
  <si>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</si>
  <si>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</si>
  <si>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</si>
  <si>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</si>
  <si>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</si>
  <si>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</si>
  <si>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</si>
  <si>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</si>
  <si>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</si>
  <si>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</si>
  <si>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</si>
  <si>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</si>
  <si>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</si>
  <si>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</si>
  <si>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</si>
  <si>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</si>
  <si>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</si>
  <si>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</si>
  <si>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</si>
  <si>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</si>
  <si>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</si>
  <si>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</si>
  <si>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</si>
  <si>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</si>
  <si>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</si>
  <si>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</si>
  <si>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</si>
  <si>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</si>
  <si>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</si>
  <si>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</si>
  <si>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</si>
  <si>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</si>
  <si>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</si>
  <si>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</si>
  <si>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</si>
  <si>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</si>
  <si>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</si>
  <si>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</si>
  <si>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</si>
  <si>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</si>
  <si>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</si>
  <si>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</si>
  <si>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</si>
  <si>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</si>
  <si>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</si>
  <si>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</si>
  <si>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</si>
  <si>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</si>
  <si>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</si>
  <si>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</si>
  <si>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</si>
  <si>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</si>
  <si>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</si>
  <si>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</si>
  <si>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</si>
  <si>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</si>
  <si>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</si>
  <si>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</si>
  <si>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</si>
  <si>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</si>
  <si>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</si>
  <si>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</si>
  <si>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</si>
  <si>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</si>
  <si>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</si>
  <si>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</si>
  <si>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</si>
  <si>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</si>
  <si>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</si>
  <si>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</si>
  <si>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</si>
  <si>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</si>
  <si>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</si>
  <si>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</si>
  <si>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</si>
  <si>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</si>
  <si>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</si>
  <si>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</si>
  <si>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</si>
  <si>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</si>
  <si>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</si>
  <si>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</si>
  <si>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</si>
  <si>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</si>
  <si>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</si>
  <si>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</si>
  <si>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</si>
  <si>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</si>
  <si>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</si>
  <si>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</si>
  <si>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</si>
  <si>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</si>
  <si>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</si>
  <si>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</si>
  <si>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</si>
  <si>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</si>
  <si>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</si>
  <si>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</si>
  <si>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</si>
  <si>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</si>
  <si>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</si>
  <si>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</si>
  <si>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</si>
  <si>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</si>
  <si>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</si>
  <si>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</si>
  <si>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</si>
  <si>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</si>
  <si>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</si>
  <si>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</si>
  <si>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</si>
  <si>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</si>
  <si>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</si>
  <si>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</si>
  <si>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</si>
  <si>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</si>
  <si>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</si>
  <si>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</si>
  <si>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</si>
  <si>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</si>
  <si>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</si>
  <si>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</si>
  <si>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</si>
  <si>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</si>
  <si>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</si>
  <si>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</si>
  <si>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</si>
  <si>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</si>
  <si>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</si>
  <si>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</si>
  <si>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</si>
  <si>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</si>
  <si>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</si>
  <si>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</si>
  <si>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</si>
  <si>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</si>
  <si>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</si>
  <si>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</si>
  <si>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</si>
  <si>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</si>
  <si>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</si>
  <si>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</si>
  <si>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</si>
  <si>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</si>
  <si>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</si>
  <si>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</si>
  <si>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</si>
  <si>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</si>
  <si>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</si>
  <si>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</si>
  <si>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</si>
  <si>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</si>
  <si>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</si>
  <si>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</si>
  <si>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</si>
  <si>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</si>
  <si>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</si>
  <si>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</si>
  <si>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</si>
  <si>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</si>
  <si>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</si>
  <si>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</si>
  <si>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</si>
  <si>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</si>
  <si>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</si>
  <si>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</si>
  <si>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</si>
  <si>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</si>
  <si>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</si>
  <si>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</si>
  <si>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</si>
  <si>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</si>
  <si>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</si>
  <si>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</si>
  <si>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</si>
  <si>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</si>
  <si>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</si>
  <si>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</si>
  <si>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</si>
  <si>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</si>
  <si>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</si>
  <si>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</si>
  <si>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</si>
  <si>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</si>
  <si>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</si>
  <si>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</si>
  <si>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</si>
  <si>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</si>
  <si>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</si>
  <si>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</si>
  <si>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</si>
  <si>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</si>
  <si>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</si>
  <si>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</si>
  <si>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</si>
  <si>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</si>
  <si>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</si>
  <si>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</si>
  <si>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</si>
  <si>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</si>
  <si>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</si>
  <si>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</si>
  <si>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</si>
  <si>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</si>
  <si>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</si>
  <si>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</si>
  <si>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</si>
  <si>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</si>
  <si>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</si>
  <si>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</si>
  <si>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</si>
  <si>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</si>
  <si>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</si>
  <si>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</si>
  <si>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</si>
  <si>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</si>
  <si>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</si>
  <si>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</si>
  <si>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</si>
  <si>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</si>
  <si>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</si>
  <si>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</si>
  <si>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</si>
  <si>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</si>
  <si>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</si>
  <si>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</si>
  <si>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</si>
  <si>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</si>
  <si>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</si>
  <si>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</si>
  <si>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</si>
  <si>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</si>
  <si>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</si>
  <si>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</si>
  <si>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</si>
  <si>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</si>
  <si>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</si>
  <si>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</si>
  <si>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</si>
  <si>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</si>
  <si>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</si>
  <si>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</si>
  <si>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</si>
  <si>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</si>
  <si>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</si>
  <si>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</si>
  <si>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</si>
  <si>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</si>
  <si>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</si>
  <si>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</si>
  <si>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</si>
  <si>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</si>
  <si>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</si>
  <si>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</si>
  <si>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</si>
  <si>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</si>
  <si>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</si>
  <si>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</si>
  <si>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</si>
  <si>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</si>
  <si>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</si>
  <si>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</si>
  <si>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</si>
  <si>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</si>
  <si>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</si>
  <si>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</si>
  <si>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</si>
  <si>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</si>
  <si>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</si>
  <si>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</si>
  <si>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</si>
  <si>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</si>
  <si>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</si>
  <si>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</si>
  <si>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</si>
  <si>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</si>
  <si>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</si>
  <si>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</si>
  <si>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</si>
  <si>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</si>
  <si>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</si>
  <si>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</si>
  <si>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</si>
  <si>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</si>
  <si>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</si>
  <si>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</si>
  <si>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</si>
  <si>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</si>
  <si>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</si>
  <si>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</si>
  <si>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</si>
  <si>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</si>
  <si>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</si>
  <si>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</si>
  <si>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</si>
  <si>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</si>
  <si>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</si>
  <si>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</si>
  <si>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</si>
  <si>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</si>
  <si>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</si>
  <si>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</si>
  <si>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</si>
  <si>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</si>
  <si>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</si>
  <si>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</si>
  <si>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</si>
  <si>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</si>
  <si>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</si>
  <si>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</si>
  <si>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</si>
  <si>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</si>
  <si>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</si>
  <si>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</si>
  <si>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</si>
  <si>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</si>
  <si>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</si>
  <si>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</si>
  <si>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</si>
  <si>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</si>
  <si>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</si>
  <si>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</si>
  <si>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</si>
  <si>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</si>
  <si>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</si>
  <si>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</si>
  <si>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</si>
  <si>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</si>
  <si>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</si>
  <si>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</si>
  <si>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</si>
  <si>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</si>
  <si>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</si>
  <si>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</si>
  <si>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</si>
  <si>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</si>
  <si>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</si>
  <si>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</si>
  <si>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</si>
  <si>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</si>
  <si>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</si>
  <si>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</si>
  <si>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</si>
  <si>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</si>
  <si>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</si>
  <si>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</si>
  <si>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</si>
  <si>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</si>
  <si>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</si>
  <si>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</si>
  <si>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</si>
  <si>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</si>
  <si>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</si>
  <si>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</si>
  <si>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</si>
  <si>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</si>
  <si>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</si>
  <si>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</si>
  <si>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</si>
  <si>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</si>
  <si>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</si>
  <si>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</si>
  <si>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</si>
  <si>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</si>
  <si>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</si>
  <si>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</si>
  <si>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</si>
  <si>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</si>
  <si>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</si>
  <si>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</si>
  <si>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</si>
  <si>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</si>
  <si>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</si>
  <si>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</si>
  <si>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</si>
  <si>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</si>
  <si>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</si>
  <si>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</si>
  <si>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</si>
  <si>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</si>
  <si>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</si>
  <si>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</si>
  <si>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</si>
  <si>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</si>
  <si>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</si>
  <si>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</si>
  <si>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</si>
  <si>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</si>
  <si>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</si>
  <si>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</si>
  <si>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</si>
  <si>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</si>
  <si>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</si>
  <si>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</si>
  <si>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</si>
  <si>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</si>
  <si>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</si>
  <si>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</si>
  <si>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</si>
  <si>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</si>
  <si>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</si>
  <si>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</si>
  <si>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</si>
  <si>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</si>
  <si>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</si>
  <si>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</si>
  <si>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</si>
  <si>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</si>
  <si>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</si>
  <si>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</si>
  <si>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</si>
  <si>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</si>
  <si>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</si>
  <si>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</si>
  <si>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</si>
  <si>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</si>
  <si>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</si>
  <si>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</si>
  <si>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</si>
  <si>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</si>
  <si>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</si>
  <si>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</si>
  <si>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</si>
  <si>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</si>
  <si>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</si>
  <si>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</si>
  <si>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</si>
  <si>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</si>
  <si>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</si>
  <si>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</si>
  <si>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</si>
  <si>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</si>
  <si>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</si>
  <si>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</si>
  <si>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</si>
  <si>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</si>
  <si>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</si>
  <si>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</si>
  <si>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</si>
  <si>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</si>
  <si>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</si>
  <si>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</si>
  <si>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</si>
  <si>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</si>
  <si>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</si>
  <si>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</si>
  <si>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</si>
  <si>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</si>
  <si>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</si>
  <si>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</si>
  <si>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</si>
  <si>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</si>
  <si>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</si>
  <si>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</si>
  <si>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</si>
  <si>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</si>
  <si>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</si>
  <si>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</si>
  <si>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</si>
  <si>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</si>
  <si>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</si>
  <si>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</si>
  <si>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</si>
  <si>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</si>
  <si>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</si>
  <si>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</si>
  <si>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</si>
  <si>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</si>
  <si>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</si>
  <si>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</si>
  <si>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</si>
  <si>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</si>
  <si>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</si>
  <si>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</si>
  <si>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</si>
  <si>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</si>
  <si>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</si>
  <si>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</si>
  <si>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</si>
  <si>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</si>
  <si>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</si>
  <si>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</si>
  <si>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</si>
  <si>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</si>
  <si>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</si>
  <si>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</si>
  <si>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</si>
  <si>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</si>
  <si>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</si>
  <si>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</si>
  <si>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</si>
  <si>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</si>
  <si>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</si>
  <si>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</si>
  <si>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</si>
  <si>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</si>
  <si>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</si>
  <si>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</si>
  <si>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</si>
  <si>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</si>
  <si>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</si>
  <si>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</si>
  <si>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</si>
  <si>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</si>
  <si>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</si>
  <si>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</si>
  <si>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</si>
  <si>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</si>
  <si>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</si>
  <si>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</si>
  <si>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</si>
  <si>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</si>
  <si>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</si>
  <si>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</si>
  <si>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</si>
  <si>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</si>
  <si>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</si>
  <si>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</si>
  <si>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</si>
  <si>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</si>
  <si>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</si>
  <si>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</si>
  <si>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</si>
  <si>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</si>
  <si>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</si>
  <si>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</si>
  <si>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</si>
  <si>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</si>
  <si>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</si>
  <si>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</si>
  <si>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</si>
  <si>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</si>
  <si>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</si>
  <si>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</si>
  <si>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</si>
  <si>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</si>
  <si>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</si>
  <si>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</si>
  <si>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</si>
  <si>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</si>
  <si>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</si>
  <si>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</si>
  <si>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</si>
  <si>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</si>
  <si>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</si>
  <si>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</si>
  <si>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</si>
  <si>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</si>
  <si>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</si>
  <si>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</si>
  <si>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</si>
  <si>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</si>
  <si>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</si>
  <si>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</si>
  <si>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</si>
  <si>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</si>
  <si>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</si>
  <si>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</si>
  <si>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</si>
  <si>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</si>
  <si>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</si>
  <si>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</si>
  <si>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</si>
  <si>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</si>
  <si>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</si>
  <si>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</si>
  <si>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</si>
  <si>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</si>
  <si>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</si>
  <si>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</si>
  <si>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</si>
  <si>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</si>
  <si>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</si>
  <si>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</si>
  <si>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</si>
  <si>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</si>
  <si>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</si>
  <si>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</si>
  <si>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</si>
  <si>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</si>
  <si>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</si>
  <si>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</si>
  <si>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</si>
  <si>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</si>
  <si>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</si>
  <si>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</si>
  <si>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</si>
  <si>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</si>
  <si>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</si>
  <si>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</si>
  <si>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</si>
  <si>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</si>
  <si>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</si>
  <si>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</si>
  <si>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</si>
  <si>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</si>
  <si>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</si>
  <si>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</si>
  <si>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</si>
  <si>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</si>
  <si>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</si>
  <si>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</si>
  <si>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</si>
  <si>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</si>
  <si>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</si>
  <si>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</si>
  <si>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</si>
  <si>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</si>
  <si>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</si>
  <si>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</si>
  <si>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</si>
  <si>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</si>
  <si>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</si>
  <si>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</si>
  <si>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</si>
  <si>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</si>
  <si>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</si>
  <si>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</si>
  <si>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</si>
  <si>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</si>
  <si>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</si>
  <si>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</si>
  <si>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</si>
  <si>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</si>
  <si>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</si>
  <si>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</si>
  <si>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</si>
  <si>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</si>
  <si>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</si>
  <si>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</si>
  <si>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</si>
  <si>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</si>
  <si>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</si>
  <si>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</si>
  <si>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</si>
  <si>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</si>
  <si>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</si>
  <si>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</si>
  <si>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</si>
  <si>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</si>
  <si>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</si>
  <si>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</si>
  <si>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</si>
  <si>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</si>
  <si>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</si>
  <si>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</si>
  <si>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</si>
  <si>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</si>
  <si>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</si>
  <si>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</si>
  <si>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</si>
  <si>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</si>
  <si>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</si>
  <si>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</si>
  <si>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</si>
  <si>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</si>
  <si>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</si>
  <si>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</si>
  <si>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</si>
  <si>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</si>
  <si>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</si>
  <si>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</si>
  <si>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</si>
  <si>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</si>
  <si>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</si>
  <si>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</si>
  <si>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</si>
  <si>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</si>
  <si>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</si>
  <si>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</si>
  <si>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</si>
  <si>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</si>
  <si>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</si>
  <si>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</si>
  <si>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</si>
  <si>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</si>
  <si>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</si>
  <si>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</si>
  <si>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</si>
  <si>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</si>
  <si>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</si>
  <si>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</si>
  <si>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</si>
  <si>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</si>
  <si>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</si>
  <si>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</si>
  <si>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</si>
  <si>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</si>
  <si>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</si>
  <si>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</si>
  <si>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</si>
  <si>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</si>
  <si>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</si>
  <si>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</si>
  <si>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</si>
  <si>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</si>
  <si>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</si>
  <si>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</si>
  <si>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</si>
  <si>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</si>
  <si>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</si>
  <si>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</si>
  <si>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</si>
  <si>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</si>
  <si>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</si>
  <si>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</si>
  <si>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</si>
  <si>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</si>
  <si>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</si>
  <si>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</si>
  <si>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</si>
  <si>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</si>
  <si>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</si>
  <si>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</si>
  <si>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</si>
  <si>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</si>
  <si>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</si>
  <si>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</si>
  <si>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</si>
  <si>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</si>
  <si>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</si>
  <si>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</si>
  <si>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</si>
  <si>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</si>
  <si>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</si>
  <si>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</si>
  <si>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</si>
  <si>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</si>
  <si>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</si>
  <si>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</si>
  <si>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</si>
  <si>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</si>
  <si>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</si>
  <si>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</si>
  <si>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</si>
  <si>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</si>
  <si>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</si>
  <si>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</si>
  <si>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</si>
  <si>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</si>
  <si>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</si>
  <si>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</si>
  <si>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</si>
  <si>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</si>
  <si>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</si>
  <si>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</si>
  <si>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</si>
  <si>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</si>
  <si>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</si>
  <si>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</si>
  <si>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</si>
  <si>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</si>
  <si>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</si>
  <si>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</si>
  <si>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</si>
  <si>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</si>
  <si>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</si>
  <si>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</si>
  <si>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</si>
  <si>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</si>
  <si>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</si>
  <si>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</si>
  <si>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</si>
  <si>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</si>
  <si>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</si>
  <si>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</si>
  <si>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</si>
  <si>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</si>
  <si>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</si>
  <si>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</si>
  <si>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</si>
  <si>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</si>
  <si>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</si>
  <si>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</si>
  <si>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</si>
  <si>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</si>
  <si>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</si>
  <si>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</si>
  <si>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</si>
  <si>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</si>
  <si>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</si>
  <si>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</si>
  <si>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</si>
  <si>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</si>
  <si>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</si>
  <si>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</si>
  <si>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</si>
  <si>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</si>
  <si>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</si>
  <si>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</si>
  <si>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</si>
  <si>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</si>
  <si>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</si>
  <si>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</si>
  <si>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</si>
  <si>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</si>
  <si>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</si>
  <si>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</si>
  <si>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</si>
  <si>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</si>
  <si>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</si>
  <si>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</si>
  <si>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</si>
  <si>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</si>
  <si>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</si>
  <si>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</si>
  <si>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</si>
  <si>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</si>
  <si>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</si>
  <si>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</si>
  <si>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</si>
  <si>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</si>
  <si>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</si>
  <si>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</si>
  <si>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</si>
  <si>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</si>
  <si>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</si>
  <si>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</si>
  <si>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</si>
  <si>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</si>
  <si>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</si>
  <si>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</si>
  <si>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</si>
  <si>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</si>
  <si>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</si>
  <si>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</si>
  <si>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</si>
  <si>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</si>
  <si>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</si>
  <si>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</si>
  <si>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</si>
  <si>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</si>
  <si>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</si>
  <si>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</si>
  <si>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</si>
  <si>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</si>
  <si>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</si>
  <si>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</si>
  <si>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</si>
  <si>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</si>
  <si>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</si>
  <si>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</si>
  <si>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</si>
  <si>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</si>
  <si>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</si>
  <si>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</si>
  <si>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</si>
  <si>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</si>
  <si>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</si>
  <si>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</si>
  <si>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</si>
  <si>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</si>
  <si>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</si>
  <si>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</si>
  <si>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</si>
  <si>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</si>
  <si>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</si>
  <si>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</si>
  <si>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</si>
  <si>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</si>
  <si>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</si>
  <si>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</si>
  <si>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</si>
  <si>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</si>
  <si>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</si>
  <si>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</si>
  <si>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</si>
  <si>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</si>
  <si>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</si>
  <si>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</si>
  <si>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</si>
  <si>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</si>
  <si>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</si>
  <si>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</si>
  <si>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</si>
  <si>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</si>
  <si>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</si>
  <si>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</si>
  <si>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</si>
  <si>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</si>
  <si>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</si>
  <si>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</si>
  <si>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</si>
  <si>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</si>
  <si>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</si>
  <si>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</si>
  <si>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</si>
  <si>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</si>
  <si>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</si>
  <si>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</si>
  <si>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</si>
  <si>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</si>
  <si>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</si>
  <si>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</si>
  <si>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</si>
  <si>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</si>
  <si>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</si>
  <si>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</si>
  <si>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</si>
  <si>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</si>
  <si>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</si>
  <si>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</si>
  <si>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</si>
  <si>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</si>
  <si>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</si>
  <si>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</si>
  <si>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</si>
  <si>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</si>
  <si>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</si>
  <si>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</si>
  <si>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</si>
  <si>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</si>
  <si>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</si>
  <si>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</si>
  <si>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</si>
  <si>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</si>
  <si>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</si>
  <si>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</si>
  <si>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</si>
  <si>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</si>
  <si>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</si>
  <si>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</si>
  <si>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</si>
  <si>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</si>
  <si>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</si>
  <si>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</si>
  <si>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</si>
  <si>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</si>
  <si>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</si>
  <si>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</si>
  <si>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</si>
  <si>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</si>
  <si>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</si>
  <si>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</si>
  <si>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</si>
  <si>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</si>
  <si>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</si>
  <si>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</si>
  <si>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</si>
  <si>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</si>
  <si>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</si>
  <si>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</si>
  <si>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</si>
  <si>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</si>
  <si>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</si>
  <si>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</si>
  <si>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</si>
  <si>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</si>
  <si>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</si>
  <si>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</si>
  <si>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</si>
  <si>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</si>
  <si>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</si>
  <si>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</si>
  <si>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</si>
  <si>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</si>
  <si>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</si>
  <si>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</si>
  <si>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</si>
  <si>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</si>
  <si>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</si>
  <si>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</si>
  <si>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</si>
  <si>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</si>
  <si>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</si>
  <si>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</si>
  <si>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</si>
  <si>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</si>
  <si>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</si>
  <si>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</si>
  <si>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</si>
  <si>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</si>
  <si>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</si>
  <si>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</si>
  <si>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</si>
  <si>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</si>
  <si>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</si>
  <si>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</si>
  <si>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</si>
  <si>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</si>
  <si>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</si>
  <si>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</si>
  <si>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</si>
  <si>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</si>
  <si>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</si>
  <si>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</si>
  <si>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</si>
  <si>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</si>
  <si>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</si>
  <si>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</si>
  <si>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</si>
  <si>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</si>
  <si>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</si>
  <si>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</si>
  <si>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</si>
  <si>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</si>
  <si>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</si>
  <si>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</si>
  <si>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</si>
  <si>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</si>
  <si>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</si>
  <si>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</si>
  <si>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</si>
  <si>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</si>
  <si>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</si>
  <si>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</si>
  <si>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</si>
  <si>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</si>
  <si>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</si>
  <si>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</si>
  <si>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</si>
  <si>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</si>
  <si>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</si>
  <si>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</si>
  <si>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</si>
  <si>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</si>
  <si>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</si>
  <si>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</si>
  <si>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</si>
  <si>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</si>
  <si>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</si>
  <si>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</si>
  <si>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</si>
  <si>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</si>
  <si>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</si>
  <si>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</si>
  <si>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</si>
  <si>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</si>
  <si>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</si>
  <si>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</si>
  <si>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</si>
  <si>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</si>
  <si>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</si>
  <si>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</si>
  <si>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</si>
  <si>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</si>
  <si>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</si>
  <si>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</si>
  <si>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</si>
  <si>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</si>
  <si>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</si>
  <si>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</si>
  <si>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</si>
  <si>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</si>
  <si>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</si>
  <si>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</si>
  <si>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</si>
  <si>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</si>
  <si>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</si>
  <si>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</si>
  <si>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</si>
  <si>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</si>
  <si>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</si>
  <si>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</si>
  <si>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</si>
  <si>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</si>
  <si>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</si>
  <si>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</si>
  <si>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</si>
  <si>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</si>
  <si>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</si>
  <si>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</si>
  <si>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</si>
  <si>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</si>
  <si>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</si>
  <si>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</si>
  <si>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</si>
  <si>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</si>
  <si>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</si>
  <si>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</si>
  <si>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</si>
  <si>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</si>
  <si>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</si>
  <si>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</si>
  <si>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</si>
  <si>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</si>
  <si>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</si>
  <si>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</si>
  <si>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</si>
  <si>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</si>
  <si>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</si>
  <si>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</si>
  <si>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</si>
  <si>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</si>
  <si>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</si>
  <si>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</si>
  <si>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</si>
  <si>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</si>
  <si>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</si>
  <si>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</si>
  <si>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</si>
  <si>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</si>
  <si>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</si>
  <si>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</si>
  <si>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</si>
  <si>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</si>
  <si>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</si>
  <si>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</si>
  <si>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</si>
  <si>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</si>
  <si>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</si>
  <si>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</si>
  <si>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</si>
  <si>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</si>
  <si>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</si>
  <si>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</si>
  <si>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</si>
  <si>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</si>
  <si>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</si>
  <si>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</si>
  <si>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</si>
  <si>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</si>
  <si>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</si>
  <si>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</si>
  <si>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</si>
  <si>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</si>
  <si>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</si>
  <si>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</si>
  <si>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</si>
  <si>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</si>
  <si>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</si>
  <si>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</si>
  <si>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</si>
  <si>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</si>
  <si>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</si>
  <si>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</si>
  <si>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</si>
  <si>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</si>
  <si>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</si>
  <si>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</si>
  <si>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</si>
  <si>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</si>
  <si>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</si>
  <si>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</si>
  <si>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</si>
  <si>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</si>
  <si>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</si>
  <si>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</si>
  <si>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</si>
  <si>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</si>
  <si>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</si>
  <si>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</si>
  <si>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</si>
  <si>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</si>
  <si>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</si>
  <si>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</si>
  <si>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</si>
  <si>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</si>
  <si>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</si>
  <si>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</si>
  <si>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</si>
  <si>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</si>
  <si>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</si>
  <si>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</si>
  <si>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</si>
  <si>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</si>
  <si>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</si>
  <si>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</si>
  <si>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</si>
  <si>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</si>
  <si>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</si>
  <si>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</si>
  <si>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</si>
  <si>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</si>
  <si>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</si>
  <si>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</si>
  <si>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</si>
  <si>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</si>
  <si>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</si>
  <si>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</si>
  <si>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</si>
  <si>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</si>
  <si>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</si>
  <si>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</si>
  <si>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</si>
  <si>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</si>
  <si>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</si>
  <si>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</si>
  <si>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</si>
  <si>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</si>
  <si>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</si>
  <si>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</si>
  <si>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</si>
  <si>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</si>
  <si>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</si>
  <si>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</si>
  <si>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</si>
  <si>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</si>
  <si>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</si>
  <si>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</si>
  <si>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</si>
  <si>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</si>
  <si>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</si>
  <si>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</si>
  <si>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</si>
  <si>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</si>
  <si>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</si>
  <si>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</si>
  <si>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</si>
  <si>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</si>
  <si>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</si>
  <si>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</si>
  <si>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</si>
  <si>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</si>
  <si>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</si>
  <si>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</si>
  <si>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</si>
  <si>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</si>
  <si>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</si>
  <si>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</si>
  <si>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</si>
  <si>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</si>
  <si>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</si>
  <si>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</si>
  <si>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</si>
  <si>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</si>
  <si>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</si>
  <si>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</si>
  <si>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</si>
  <si>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</si>
  <si>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</si>
  <si>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</si>
  <si>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</si>
  <si>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</si>
  <si>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</si>
  <si>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</si>
  <si>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</si>
  <si>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</si>
  <si>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</si>
  <si>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</si>
  <si>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</si>
  <si>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</si>
  <si>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</si>
  <si>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</si>
  <si>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</si>
  <si>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</si>
  <si>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</si>
  <si>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</si>
  <si>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</si>
  <si>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</si>
  <si>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</si>
  <si>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</si>
  <si>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</si>
  <si>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</si>
  <si>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</si>
  <si>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</si>
  <si>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</si>
  <si>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</si>
  <si>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</si>
  <si>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</si>
  <si>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</si>
  <si>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</si>
  <si>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</si>
  <si>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</si>
  <si>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</si>
  <si>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</si>
  <si>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</si>
  <si>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</si>
  <si>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</si>
  <si>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</si>
  <si>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</si>
  <si>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</si>
  <si>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</si>
  <si>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</si>
  <si>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</si>
  <si>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</si>
  <si>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</si>
  <si>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</si>
  <si>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</si>
  <si>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</si>
  <si>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</si>
  <si>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</si>
  <si>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</si>
  <si>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</si>
  <si>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</si>
  <si>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</si>
  <si>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</si>
  <si>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</si>
  <si>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</si>
  <si>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</si>
  <si>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</si>
  <si>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</si>
  <si>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</si>
  <si>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</si>
  <si>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</si>
  <si>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</si>
  <si>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</si>
  <si>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</si>
  <si>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</si>
  <si>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</si>
  <si>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</si>
  <si>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</si>
  <si>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</si>
  <si>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</si>
  <si>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</si>
  <si>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</si>
  <si>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</si>
  <si>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</si>
  <si>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</si>
  <si>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</si>
  <si>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</si>
  <si>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</si>
  <si>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</si>
  <si>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</si>
  <si>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</si>
  <si>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</si>
  <si>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</si>
  <si>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</si>
  <si>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</si>
  <si>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</si>
  <si>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</si>
  <si>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</si>
  <si>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</si>
  <si>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</si>
  <si>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</si>
  <si>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</si>
  <si>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</si>
  <si>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</si>
  <si>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</si>
  <si>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</si>
  <si>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</si>
  <si>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</si>
  <si>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</si>
  <si>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</si>
  <si>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</si>
  <si>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</si>
  <si>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</si>
  <si>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</si>
  <si>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</si>
  <si>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</si>
  <si>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</si>
  <si>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</si>
  <si>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</si>
  <si>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</si>
  <si>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</si>
  <si>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</si>
  <si>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</si>
  <si>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</si>
  <si>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</si>
  <si>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</si>
  <si>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</si>
  <si>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</si>
  <si>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</si>
  <si>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</si>
  <si>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</si>
  <si>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</si>
  <si>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</si>
  <si>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</si>
  <si>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</si>
  <si>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</si>
  <si>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</si>
  <si>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</si>
  <si>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</si>
  <si>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</si>
  <si>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</si>
  <si>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</si>
  <si>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</si>
  <si>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</si>
  <si>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</si>
  <si>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</si>
  <si>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</si>
  <si>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</si>
  <si>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</si>
  <si>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</si>
  <si>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</si>
  <si>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</si>
  <si>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</si>
  <si>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</si>
  <si>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</si>
  <si>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</si>
  <si>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</si>
  <si>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</si>
  <si>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</si>
  <si>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</si>
  <si>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</si>
  <si>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</si>
  <si>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</si>
  <si>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</si>
  <si>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</si>
  <si>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</si>
  <si>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</si>
  <si>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</si>
  <si>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</si>
  <si>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</si>
  <si>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</si>
  <si>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</si>
  <si>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</si>
  <si>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</si>
  <si>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</si>
  <si>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</si>
  <si>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</si>
  <si>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</si>
  <si>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</si>
  <si>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</si>
  <si>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</si>
  <si>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</si>
  <si>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</si>
  <si>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</si>
  <si>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</si>
  <si>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</si>
  <si>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</si>
  <si>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</si>
  <si>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</si>
  <si>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</si>
  <si>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</si>
  <si>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</si>
  <si>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</si>
  <si>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</si>
  <si>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</si>
  <si>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</si>
  <si>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</si>
  <si>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</si>
  <si>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</si>
  <si>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</si>
  <si>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</si>
  <si>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</si>
  <si>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</si>
  <si>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</si>
  <si>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</si>
  <si>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</si>
  <si>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</si>
  <si>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</si>
  <si>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</si>
  <si>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</si>
  <si>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</si>
  <si>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</si>
  <si>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</si>
  <si>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</si>
  <si>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</si>
  <si>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</si>
  <si>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</si>
  <si>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</si>
  <si>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</si>
  <si>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</si>
  <si>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</si>
  <si>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</si>
  <si>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</si>
  <si>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PART NUMBER</t>
  </si>
  <si>
    <t>CATEGORY</t>
  </si>
  <si>
    <t xml:space="preserve"> </t>
  </si>
  <si>
    <t>-125.0</t>
  </si>
  <si>
    <t>Ver. 06.22.25</t>
  </si>
  <si>
    <t>Index</t>
  </si>
  <si>
    <t>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</si>
</sst>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9"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14" borderId="4" xfId="0" applyNumberFormat="1" applyFont="1" applyFill="1" applyBorder="1" applyAlignment="1" applyProtection="1">
      <alignment horizontal="left"/>
      <protection locked="0"/>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0" fillId="0" borderId="0" xfId="0" applyNumberFormat="1"/>
    <xf numFmtId="0" fontId="115" fillId="0" borderId="0" xfId="0" applyFont="1"/>
    <xf numFmtId="0" fontId="33" fillId="4" borderId="4" xfId="0" applyNumberFormat="1" applyFont="1" applyFill="1" applyBorder="1" applyAlignment="1">
      <alignment horizontal="left"/>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 Target="richData/rdrichvalue.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Structure" Target="richData/rdrichvaluestructure.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9"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6"/>
    <tableColumn id="2" xr3:uid="{D07D770F-21F7-425E-8CCA-AA85FFD513A3}" uniqueName="2" name="serial_number" queryTableFieldId="2" dataDxfId="55"/>
    <tableColumn id="3" xr3:uid="{D963BD5C-EE98-4CDD-ABAE-5315BBDA1135}" uniqueName="3" name="asset_tag" queryTableFieldId="3" dataDxfId="54"/>
    <tableColumn id="4" xr3:uid="{44F03B5B-6C09-4D5C-B2E2-D809B4EDF2B0}" uniqueName="4" name="custom_order_number" queryTableFieldId="4" dataDxfId="53"/>
    <tableColumn id="5" xr3:uid="{412A70E1-7452-417E-A3A9-BD3499EBD33C}" uniqueName="5" name="service_date" queryTableFieldId="5" dataDxfId="52"/>
    <tableColumn id="6" xr3:uid="{B359FFDA-2633-4F67-9E7E-BA0BB88ADA64}" uniqueName="6" name="next_service_date" queryTableFieldId="6" dataDxfId="51"/>
    <tableColumn id="7" xr3:uid="{297A4F29-F6E9-4BD3-A7A2-5F1039480BAE}" uniqueName="7" name="certificate_number" queryTableFieldId="7" dataDxfId="50"/>
    <tableColumn id="8" xr3:uid="{7C740CB9-37DA-435E-A87E-AF050E31623C}" uniqueName="8" name="wire_roll_cert_number" queryTableFieldId="8" dataDxfId="49"/>
    <tableColumn id="9" xr3:uid="{5B17E9FC-0D68-4EA9-9145-B5DC8FAF5A93}" uniqueName="9" name="type" queryTableFieldId="9" dataDxfId="4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5" tableType="queryTable" totalsRowShown="0">
  <autoFilter ref="A1:B25"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6">
  <autoFilter ref="A1:C9" xr:uid="{8AF992F3-27EF-4265-960D-70EC6F74FAFA}"/>
  <sortState xmlns:xlrd2="http://schemas.microsoft.com/office/spreadsheetml/2017/richdata2" ref="A2:C9">
    <sortCondition ref="B1:B9"/>
  </sortState>
  <tableColumns count="3">
    <tableColumn id="1" xr3:uid="{1F7D0D09-7152-4679-B25C-65CF0E0AB2D4}" name="Type" dataDxfId="85"/>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79"/>
    <tableColumn id="7" xr3:uid="{3E130632-D63E-485B-AA7F-FF01BB115CD8}" uniqueName="7" name="AddressLine2" queryTableFieldId="7" dataDxfId="78"/>
    <tableColumn id="8" xr3:uid="{B07B805E-B475-4FEF-A83E-C870164F0C1C}" uniqueName="8" name="AddressLine3" queryTableFieldId="8" dataDxfId="77"/>
    <tableColumn id="9" xr3:uid="{3603DEDD-08A6-4233-A5D5-79D5A1A0055E}" uniqueName="9" name="FormNumber" queryTableFieldId="9" dataDxfId="76"/>
    <tableColumn id="10" xr3:uid="{B63B6E05-D199-4BCD-9A28-28B5F5832CE0}" uniqueName="10" name="CalibrationMethod" queryTableFieldId="10" dataDxfId="75"/>
    <tableColumn id="11" xr3:uid="{EC51B02C-FD97-492B-BF24-15D683C6ED4C}" uniqueName="11" name="ToleranceSource" queryTableFieldId="11" dataDxfId="74"/>
    <tableColumn id="12" xr3:uid="{706BF144-B069-4B3F-AFB9-7848E93D758C}" uniqueName="12" name="Item" queryTableFieldId="12" dataDxfId="7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2"/>
    <tableColumn id="18" xr3:uid="{2B4941C4-9755-4A0D-86C3-2C668815DEF2}" uniqueName="18" name="Tolerance" queryTableFieldId="18" dataDxfId="71"/>
    <tableColumn id="19" xr3:uid="{756D3CB6-E1A4-4B24-93A7-8AB4732E9BE6}" uniqueName="19" name="HeatingMethod" queryTableFieldId="19" dataDxfId="70"/>
    <tableColumn id="20" xr3:uid="{A46E5597-E3E9-444B-8D64-D35898DCC2B4}" uniqueName="20" name="WorkingZoneSize" queryTableFieldId="20" dataDxfId="6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68"/>
    <tableColumn id="32" xr3:uid="{1852EB3E-F034-42EA-8A35-98DDD1845F7B}" uniqueName="32" name="TestLocation" queryTableFieldId="32" dataDxfId="67"/>
    <tableColumn id="33" xr3:uid="{15129CDA-47B3-4B02-8524-3F9672DC4216}" uniqueName="33" name="OvenLocation" queryTableFieldId="33" dataDxfId="66"/>
    <tableColumn id="34" xr3:uid="{F4A9D00F-E54E-4736-976C-15166BF81AEF}" uniqueName="34" name="Condition" queryTableFieldId="34" dataDxfId="6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4"/>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84" dataDxfId="83">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59"/>
    <tableColumn id="19" xr3:uid="{31D68568-B5E1-4705-9496-19F08F967786}" uniqueName="19" name="Address2" queryTableFieldId="19" dataDxfId="5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7"/>
    <tableColumn id="2" xr3:uid="{95339291-2A8D-485F-84D8-6C671DD7D038}" uniqueName="2" name="company_id" queryTableFieldId="2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2" dataDxfId="81">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7"/>
    <tableColumn id="12" xr3:uid="{C13B0E02-FD03-4438-B98A-E6A8ED8A9F13}" uniqueName="12" name="manufacturer_part_number" queryTableFieldId="25"/>
    <tableColumn id="11" xr3:uid="{48BC425D-225D-4DB3-A151-D583A73AA082}" uniqueName="11" name="notes" queryTableFieldId="11" dataDxfId="46"/>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0"/>
    <tableColumn id="2" xr3:uid="{3F00D05D-81EB-4FF6-809B-A908F7C8040B}" uniqueName="2" name="Value"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8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67" xr3:uid="{001D00FD-1B09-486F-8FC5-D73CCE6BC900}" uniqueName="67" name="-100" queryTableFieldId="155"/>
    <tableColumn id="68" xr3:uid="{96202F99-45CE-4263-9E73-CA07BBFF784B}" uniqueName="68" name="-75" queryTableFieldId="156"/>
    <tableColumn id="69" xr3:uid="{14BC76BB-A197-4DF8-9617-1D7AD5FDBFD9}" uniqueName="69" name="-50" queryTableFieldId="157"/>
    <tableColumn id="70" xr3:uid="{E7FC9399-E59F-41F7-A9BC-10121318E4C8}" uniqueName="70" name="-25" queryTableFieldId="158"/>
    <tableColumn id="71" xr3:uid="{8F3E43CA-3E81-4AFC-BAB7-EC0678FABC2D}" uniqueName="71" name="0" queryTableFieldId="159"/>
    <tableColumn id="72" xr3:uid="{FB1A60DB-284A-45E4-936E-9F5D334A7166}" uniqueName="72" name="125" queryTableFieldId="160"/>
    <tableColumn id="73" xr3:uid="{791A1F3B-1BD0-4710-8249-627B494D442B}" uniqueName="73" name="250" queryTableFieldId="161"/>
    <tableColumn id="74" xr3:uid="{018DC03F-1263-432D-B466-980FA19FF41C}" uniqueName="74" name="375" queryTableFieldId="162"/>
    <tableColumn id="75" xr3:uid="{96246A9E-00ED-41F1-8BA5-283C2718B4BA}" uniqueName="75" name="500" queryTableFieldId="163"/>
    <tableColumn id="76" xr3:uid="{A49B5F35-519F-4F79-9058-CB16228F9F53}" uniqueName="76" name="750" queryTableFieldId="164"/>
    <tableColumn id="77" xr3:uid="{3C1578B5-1824-4CF0-ACC1-2814D4FD53BE}" uniqueName="77" name="1000" queryTableFieldId="16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3" dataDxfId="62" headerRowCellStyle="Normal 2" dataCellStyle="Normal 2">
  <autoFilter ref="U11:V25" xr:uid="{DCCFF26E-EC5C-4962-98DB-A7DA1F3C8CE2}"/>
  <tableColumns count="2">
    <tableColumn id="1" xr3:uid="{DFC40837-B092-4826-9847-4A23BE22020F}" name="4" dataDxfId="61" dataCellStyle="Normal 2"/>
    <tableColumn id="2" xr3:uid="{0711DB07-19DA-4D5E-A417-C242A0304453}" name="10" dataDxfId="60"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3.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H3" sqref="H3"/>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5867</v>
      </c>
      <c r="B1" t="s">
        <v>5868</v>
      </c>
      <c r="C1" t="s">
        <v>5869</v>
      </c>
      <c r="D1" t="s">
        <v>5870</v>
      </c>
      <c r="E1" t="s">
        <v>5871</v>
      </c>
      <c r="F1" t="s">
        <v>5872</v>
      </c>
      <c r="G1" t="s">
        <v>5873</v>
      </c>
      <c r="H1" t="s">
        <v>5874</v>
      </c>
      <c r="I1" t="s">
        <v>5915</v>
      </c>
      <c r="J1" t="s">
        <v>5576</v>
      </c>
      <c r="K1" t="s">
        <v>5577</v>
      </c>
    </row>
    <row r="2" spans="1:11" x14ac:dyDescent="0.2">
      <c r="A2" s="175">
        <v>1235770</v>
      </c>
      <c r="B2" s="100" t="s">
        <v>5471</v>
      </c>
      <c r="C2" s="100" t="s">
        <v>5472</v>
      </c>
      <c r="D2" s="100" t="s">
        <v>5665</v>
      </c>
      <c r="E2" s="111">
        <v>45747</v>
      </c>
      <c r="F2" s="111">
        <v>47573</v>
      </c>
      <c r="G2" s="100" t="s">
        <v>5666</v>
      </c>
      <c r="H2" s="100"/>
      <c r="I2" s="100" t="s">
        <v>5575</v>
      </c>
      <c r="J2">
        <v>-100</v>
      </c>
      <c r="K2">
        <v>450</v>
      </c>
    </row>
    <row r="3" spans="1:11" x14ac:dyDescent="0.2">
      <c r="A3" s="175">
        <v>1235660</v>
      </c>
      <c r="B3" s="100" t="s">
        <v>241</v>
      </c>
      <c r="C3" s="100" t="s">
        <v>5451</v>
      </c>
      <c r="D3" s="100" t="s">
        <v>5875</v>
      </c>
      <c r="E3" s="111">
        <v>45775</v>
      </c>
      <c r="F3" s="111">
        <v>47601</v>
      </c>
      <c r="G3" s="100" t="s">
        <v>5876</v>
      </c>
      <c r="H3" s="100"/>
      <c r="I3" s="100" t="s">
        <v>5569</v>
      </c>
      <c r="J3">
        <v>-50</v>
      </c>
      <c r="K3">
        <v>450</v>
      </c>
    </row>
    <row r="4" spans="1:11" x14ac:dyDescent="0.2">
      <c r="A4" s="175">
        <v>1235502</v>
      </c>
      <c r="B4" s="100" t="s">
        <v>242</v>
      </c>
      <c r="C4" s="100" t="s">
        <v>5389</v>
      </c>
      <c r="D4" s="100" t="s">
        <v>5877</v>
      </c>
      <c r="E4" s="111">
        <v>45778</v>
      </c>
      <c r="F4" s="111">
        <v>47604</v>
      </c>
      <c r="G4" s="100" t="s">
        <v>5878</v>
      </c>
      <c r="H4" s="100" t="s">
        <v>5879</v>
      </c>
      <c r="I4" s="100" t="s">
        <v>5569</v>
      </c>
      <c r="J4">
        <v>-50</v>
      </c>
      <c r="K4">
        <v>450</v>
      </c>
    </row>
    <row r="5" spans="1:11" x14ac:dyDescent="0.2">
      <c r="A5" s="175">
        <v>1235505</v>
      </c>
      <c r="B5" s="100" t="s">
        <v>243</v>
      </c>
      <c r="C5" s="100" t="s">
        <v>5393</v>
      </c>
      <c r="D5" s="100" t="s">
        <v>5681</v>
      </c>
      <c r="E5" s="111">
        <v>45708</v>
      </c>
      <c r="F5" s="111">
        <v>47534</v>
      </c>
      <c r="G5" s="100" t="s">
        <v>5682</v>
      </c>
      <c r="H5" s="100" t="s">
        <v>5880</v>
      </c>
      <c r="I5" s="100" t="s">
        <v>5569</v>
      </c>
      <c r="J5">
        <v>-50</v>
      </c>
      <c r="K5">
        <v>450</v>
      </c>
    </row>
    <row r="6" spans="1:11" x14ac:dyDescent="0.2">
      <c r="A6" s="175">
        <v>1235646</v>
      </c>
      <c r="B6" s="100" t="s">
        <v>244</v>
      </c>
      <c r="C6" s="100" t="s">
        <v>5447</v>
      </c>
      <c r="D6" s="100" t="s">
        <v>5881</v>
      </c>
      <c r="E6" s="111">
        <v>45777</v>
      </c>
      <c r="F6" s="111">
        <v>47603</v>
      </c>
      <c r="G6" s="100" t="s">
        <v>5882</v>
      </c>
      <c r="H6" s="100" t="s">
        <v>5879</v>
      </c>
      <c r="I6" s="100" t="s">
        <v>5569</v>
      </c>
      <c r="J6">
        <v>-50</v>
      </c>
      <c r="K6">
        <v>450</v>
      </c>
    </row>
    <row r="7" spans="1:11" x14ac:dyDescent="0.2">
      <c r="A7" s="175">
        <v>1235659</v>
      </c>
      <c r="B7" s="100" t="s">
        <v>245</v>
      </c>
      <c r="C7" s="100" t="s">
        <v>5449</v>
      </c>
      <c r="D7" s="100" t="s">
        <v>5692</v>
      </c>
      <c r="E7" s="111">
        <v>45758</v>
      </c>
      <c r="F7" s="111">
        <v>47584</v>
      </c>
      <c r="G7" s="100" t="s">
        <v>5693</v>
      </c>
      <c r="H7" s="100" t="s">
        <v>5880</v>
      </c>
      <c r="I7" s="100" t="s">
        <v>5569</v>
      </c>
      <c r="J7">
        <v>-50</v>
      </c>
      <c r="K7">
        <v>450</v>
      </c>
    </row>
    <row r="8" spans="1:11" x14ac:dyDescent="0.2">
      <c r="A8" s="175">
        <v>1235504</v>
      </c>
      <c r="B8" s="100" t="s">
        <v>246</v>
      </c>
      <c r="C8" s="100" t="s">
        <v>5392</v>
      </c>
      <c r="D8" s="100" t="s">
        <v>5883</v>
      </c>
      <c r="E8" s="111">
        <v>45719</v>
      </c>
      <c r="F8" s="111">
        <v>47545</v>
      </c>
      <c r="G8" s="100" t="s">
        <v>5884</v>
      </c>
      <c r="H8" s="100" t="s">
        <v>5885</v>
      </c>
      <c r="I8" s="100" t="s">
        <v>5569</v>
      </c>
      <c r="J8">
        <v>-50</v>
      </c>
      <c r="K8">
        <v>450</v>
      </c>
    </row>
    <row r="9" spans="1:11" x14ac:dyDescent="0.2">
      <c r="A9" s="175">
        <v>1235506</v>
      </c>
      <c r="B9" s="100" t="s">
        <v>247</v>
      </c>
      <c r="C9" s="100" t="s">
        <v>5394</v>
      </c>
      <c r="D9" s="100" t="s">
        <v>5886</v>
      </c>
      <c r="E9" s="111">
        <v>45755</v>
      </c>
      <c r="F9" s="111">
        <v>47581</v>
      </c>
      <c r="G9" s="100" t="s">
        <v>5887</v>
      </c>
      <c r="H9" s="100" t="s">
        <v>5880</v>
      </c>
      <c r="I9" s="100" t="s">
        <v>5569</v>
      </c>
      <c r="J9">
        <v>-50</v>
      </c>
      <c r="K9">
        <v>450</v>
      </c>
    </row>
    <row r="10" spans="1:11" x14ac:dyDescent="0.2">
      <c r="A10" s="175">
        <v>1235510</v>
      </c>
      <c r="B10" s="100" t="s">
        <v>248</v>
      </c>
      <c r="C10" s="100" t="s">
        <v>5399</v>
      </c>
      <c r="D10" s="100" t="s">
        <v>5888</v>
      </c>
      <c r="E10" s="111">
        <v>45646</v>
      </c>
      <c r="F10" s="111">
        <v>47472</v>
      </c>
      <c r="G10" s="100" t="s">
        <v>5889</v>
      </c>
      <c r="H10" s="100" t="s">
        <v>5890</v>
      </c>
      <c r="I10" s="100" t="s">
        <v>5569</v>
      </c>
      <c r="J10">
        <v>-50</v>
      </c>
      <c r="K10">
        <v>450</v>
      </c>
    </row>
    <row r="11" spans="1:11" x14ac:dyDescent="0.2">
      <c r="A11" s="175">
        <v>1235508</v>
      </c>
      <c r="B11" s="100" t="s">
        <v>3303</v>
      </c>
      <c r="C11" s="100" t="s">
        <v>5397</v>
      </c>
      <c r="D11" s="100" t="s">
        <v>5891</v>
      </c>
      <c r="E11" s="111">
        <v>45765</v>
      </c>
      <c r="F11" s="111">
        <v>47591</v>
      </c>
      <c r="G11" s="100" t="s">
        <v>5892</v>
      </c>
      <c r="H11" s="100" t="s">
        <v>5893</v>
      </c>
      <c r="I11" s="100" t="s">
        <v>5570</v>
      </c>
      <c r="J11">
        <v>70</v>
      </c>
      <c r="K11">
        <v>450</v>
      </c>
    </row>
    <row r="12" spans="1:11" x14ac:dyDescent="0.2">
      <c r="A12" s="175">
        <v>1235777</v>
      </c>
      <c r="B12" s="100" t="s">
        <v>251</v>
      </c>
      <c r="C12" s="100" t="s">
        <v>5474</v>
      </c>
      <c r="D12" s="100" t="s">
        <v>5894</v>
      </c>
      <c r="E12" s="111">
        <v>45687</v>
      </c>
      <c r="F12" s="111">
        <v>47513</v>
      </c>
      <c r="G12" s="100" t="s">
        <v>5895</v>
      </c>
      <c r="H12" s="100" t="s">
        <v>5896</v>
      </c>
      <c r="I12" s="100" t="s">
        <v>5570</v>
      </c>
      <c r="J12">
        <v>70</v>
      </c>
      <c r="K12">
        <v>450</v>
      </c>
    </row>
    <row r="13" spans="1:11" x14ac:dyDescent="0.2">
      <c r="A13" s="175">
        <v>1235400</v>
      </c>
      <c r="B13" s="100" t="s">
        <v>252</v>
      </c>
      <c r="C13" s="100" t="s">
        <v>5326</v>
      </c>
      <c r="D13" s="100" t="s">
        <v>5897</v>
      </c>
      <c r="E13" s="111">
        <v>45765</v>
      </c>
      <c r="F13" s="111">
        <v>47591</v>
      </c>
      <c r="G13" s="100" t="s">
        <v>5898</v>
      </c>
      <c r="H13" s="100" t="s">
        <v>5899</v>
      </c>
      <c r="I13" s="100" t="s">
        <v>5570</v>
      </c>
      <c r="J13">
        <v>70</v>
      </c>
      <c r="K13">
        <v>450</v>
      </c>
    </row>
    <row r="14" spans="1:11" x14ac:dyDescent="0.2">
      <c r="A14" s="175">
        <v>1235661</v>
      </c>
      <c r="B14" s="100" t="s">
        <v>253</v>
      </c>
      <c r="C14" s="100" t="s">
        <v>5452</v>
      </c>
      <c r="D14" s="100" t="s">
        <v>5739</v>
      </c>
      <c r="E14" s="111">
        <v>45763</v>
      </c>
      <c r="F14" s="111">
        <v>47589</v>
      </c>
      <c r="G14" s="100" t="s">
        <v>5740</v>
      </c>
      <c r="H14" s="100"/>
      <c r="I14" s="100" t="s">
        <v>5570</v>
      </c>
      <c r="J14">
        <v>70</v>
      </c>
      <c r="K14">
        <v>450</v>
      </c>
    </row>
    <row r="15" spans="1:11" x14ac:dyDescent="0.2">
      <c r="A15" s="175">
        <v>1235507</v>
      </c>
      <c r="B15" s="100" t="s">
        <v>254</v>
      </c>
      <c r="C15" s="100" t="s">
        <v>5396</v>
      </c>
      <c r="D15" s="100" t="s">
        <v>5744</v>
      </c>
      <c r="E15" s="111">
        <v>45765</v>
      </c>
      <c r="F15" s="111">
        <v>47591</v>
      </c>
      <c r="G15" s="100" t="s">
        <v>5745</v>
      </c>
      <c r="H15" s="100" t="s">
        <v>5899</v>
      </c>
      <c r="I15" s="100" t="s">
        <v>5570</v>
      </c>
      <c r="J15">
        <v>70</v>
      </c>
      <c r="K15">
        <v>450</v>
      </c>
    </row>
    <row r="16" spans="1:11" x14ac:dyDescent="0.2">
      <c r="A16" s="175">
        <v>1235500</v>
      </c>
      <c r="B16" s="100" t="s">
        <v>255</v>
      </c>
      <c r="C16" s="100" t="s">
        <v>5387</v>
      </c>
      <c r="D16" s="100" t="s">
        <v>5749</v>
      </c>
      <c r="E16" s="111">
        <v>45758</v>
      </c>
      <c r="F16" s="111">
        <v>47584</v>
      </c>
      <c r="G16" s="100" t="s">
        <v>5750</v>
      </c>
      <c r="H16" s="100" t="s">
        <v>5900</v>
      </c>
      <c r="I16" s="100" t="s">
        <v>5570</v>
      </c>
      <c r="J16">
        <v>70</v>
      </c>
      <c r="K16">
        <v>450</v>
      </c>
    </row>
    <row r="17" spans="1:11" x14ac:dyDescent="0.2">
      <c r="A17" s="175">
        <v>1235509</v>
      </c>
      <c r="B17" s="100" t="s">
        <v>256</v>
      </c>
      <c r="C17" s="100" t="s">
        <v>5398</v>
      </c>
      <c r="D17" s="100" t="s">
        <v>5901</v>
      </c>
      <c r="E17" s="111">
        <v>45763</v>
      </c>
      <c r="F17" s="111">
        <v>47589</v>
      </c>
      <c r="G17" s="100" t="s">
        <v>5902</v>
      </c>
      <c r="H17" s="100" t="s">
        <v>5900</v>
      </c>
      <c r="I17" s="100" t="s">
        <v>5570</v>
      </c>
      <c r="J17">
        <v>70</v>
      </c>
      <c r="K17">
        <v>450</v>
      </c>
    </row>
    <row r="18" spans="1:11" x14ac:dyDescent="0.2">
      <c r="A18" s="175">
        <v>1235498</v>
      </c>
      <c r="B18" s="100" t="s">
        <v>257</v>
      </c>
      <c r="C18" s="100" t="s">
        <v>5385</v>
      </c>
      <c r="D18" s="100" t="s">
        <v>5903</v>
      </c>
      <c r="E18" s="111">
        <v>45667</v>
      </c>
      <c r="F18" s="111">
        <v>47493</v>
      </c>
      <c r="G18" s="100" t="s">
        <v>5904</v>
      </c>
      <c r="H18" s="100" t="s">
        <v>5893</v>
      </c>
      <c r="I18" s="100" t="s">
        <v>5570</v>
      </c>
      <c r="J18">
        <v>70</v>
      </c>
      <c r="K18">
        <v>450</v>
      </c>
    </row>
    <row r="19" spans="1:11" x14ac:dyDescent="0.2">
      <c r="A19" s="175">
        <v>1235401</v>
      </c>
      <c r="B19" s="100" t="s">
        <v>258</v>
      </c>
      <c r="C19" s="100" t="s">
        <v>5335</v>
      </c>
      <c r="D19" s="100" t="s">
        <v>5905</v>
      </c>
      <c r="E19" s="111">
        <v>45763</v>
      </c>
      <c r="F19" s="111">
        <v>47589</v>
      </c>
      <c r="G19" s="100" t="s">
        <v>5906</v>
      </c>
      <c r="H19" s="100" t="s">
        <v>5907</v>
      </c>
      <c r="I19" s="100" t="s">
        <v>5570</v>
      </c>
      <c r="J19">
        <v>70</v>
      </c>
      <c r="K19">
        <v>450</v>
      </c>
    </row>
    <row r="20" spans="1:11" x14ac:dyDescent="0.2">
      <c r="A20" s="175">
        <v>1235402</v>
      </c>
      <c r="B20" s="100" t="s">
        <v>259</v>
      </c>
      <c r="C20" s="100" t="s">
        <v>5337</v>
      </c>
      <c r="D20" s="100" t="s">
        <v>5771</v>
      </c>
      <c r="E20" s="111">
        <v>45758</v>
      </c>
      <c r="F20" s="111">
        <v>47584</v>
      </c>
      <c r="G20" s="100" t="s">
        <v>5772</v>
      </c>
      <c r="H20" s="100" t="s">
        <v>5896</v>
      </c>
      <c r="I20" s="100" t="s">
        <v>5570</v>
      </c>
      <c r="J20">
        <v>70</v>
      </c>
      <c r="K20">
        <v>450</v>
      </c>
    </row>
    <row r="21" spans="1:11" x14ac:dyDescent="0.2">
      <c r="A21" s="175">
        <v>1235673</v>
      </c>
      <c r="B21" s="100" t="s">
        <v>2310</v>
      </c>
      <c r="C21" s="100" t="s">
        <v>5454</v>
      </c>
      <c r="D21" s="100" t="s">
        <v>5908</v>
      </c>
      <c r="E21" s="111">
        <v>45775</v>
      </c>
      <c r="F21" s="111"/>
      <c r="G21" s="100" t="s">
        <v>5909</v>
      </c>
      <c r="H21" s="100" t="s">
        <v>5910</v>
      </c>
      <c r="I21" s="100" t="s">
        <v>5568</v>
      </c>
      <c r="J21">
        <v>70</v>
      </c>
      <c r="K21">
        <v>500</v>
      </c>
    </row>
    <row r="22" spans="1:11" x14ac:dyDescent="0.2">
      <c r="A22" s="175">
        <v>1235526</v>
      </c>
      <c r="B22" s="100" t="s">
        <v>260</v>
      </c>
      <c r="C22" s="100" t="s">
        <v>5408</v>
      </c>
      <c r="D22" s="100" t="s">
        <v>5911</v>
      </c>
      <c r="E22" s="111">
        <v>45649</v>
      </c>
      <c r="F22" s="111">
        <v>47475</v>
      </c>
      <c r="G22" s="100" t="s">
        <v>5912</v>
      </c>
      <c r="H22" s="100" t="s">
        <v>5913</v>
      </c>
      <c r="I22" s="100" t="s">
        <v>5568</v>
      </c>
      <c r="J22">
        <v>70</v>
      </c>
      <c r="K22">
        <v>500</v>
      </c>
    </row>
    <row r="23" spans="1:11" x14ac:dyDescent="0.2">
      <c r="A23" s="175">
        <v>2635568</v>
      </c>
      <c r="B23" s="100" t="s">
        <v>261</v>
      </c>
      <c r="C23" s="100" t="s">
        <v>5488</v>
      </c>
      <c r="D23" s="100" t="s">
        <v>5791</v>
      </c>
      <c r="E23" s="111">
        <v>45559</v>
      </c>
      <c r="F23" s="111">
        <v>47385</v>
      </c>
      <c r="G23" s="100" t="s">
        <v>5792</v>
      </c>
      <c r="H23" s="100" t="s">
        <v>5913</v>
      </c>
      <c r="I23" s="100" t="s">
        <v>5568</v>
      </c>
      <c r="J23">
        <v>70</v>
      </c>
      <c r="K23">
        <v>500</v>
      </c>
    </row>
    <row r="24" spans="1:11" x14ac:dyDescent="0.2">
      <c r="A24" s="175">
        <v>1235704</v>
      </c>
      <c r="B24" s="100" t="s">
        <v>615</v>
      </c>
      <c r="C24" s="100" t="s">
        <v>5464</v>
      </c>
      <c r="D24" s="100" t="s">
        <v>5821</v>
      </c>
      <c r="E24" s="111">
        <v>45643</v>
      </c>
      <c r="F24" s="111">
        <v>47469</v>
      </c>
      <c r="G24" s="100" t="s">
        <v>5822</v>
      </c>
      <c r="H24" s="100" t="s">
        <v>5914</v>
      </c>
      <c r="I24" s="100" t="s">
        <v>5916</v>
      </c>
    </row>
    <row r="25" spans="1:11" x14ac:dyDescent="0.2">
      <c r="A25" s="175">
        <v>1235767</v>
      </c>
      <c r="B25" s="100" t="s">
        <v>553</v>
      </c>
      <c r="C25" s="100"/>
      <c r="D25" s="100"/>
      <c r="E25" s="111"/>
      <c r="F25" s="111"/>
      <c r="G25" s="100"/>
      <c r="H25" s="100"/>
      <c r="I25" s="100" t="s">
        <v>5572</v>
      </c>
      <c r="J25">
        <v>70</v>
      </c>
      <c r="K25">
        <v>1000</v>
      </c>
    </row>
    <row r="26" spans="1:11" x14ac:dyDescent="0.2">
      <c r="A26" s="175">
        <v>1235772</v>
      </c>
      <c r="B26" s="100" t="s">
        <v>564</v>
      </c>
      <c r="C26" s="100"/>
      <c r="D26" s="100"/>
      <c r="E26" s="111"/>
      <c r="F26" s="111"/>
      <c r="G26" s="100"/>
      <c r="H26" s="100"/>
      <c r="I26" s="100" t="s">
        <v>5573</v>
      </c>
      <c r="J26">
        <v>200</v>
      </c>
      <c r="K26">
        <v>1850</v>
      </c>
    </row>
    <row r="27" spans="1:11" x14ac:dyDescent="0.2">
      <c r="A27" s="175">
        <v>1235768</v>
      </c>
      <c r="B27" s="100" t="s">
        <v>577</v>
      </c>
      <c r="C27" s="100"/>
      <c r="D27" s="100"/>
      <c r="E27" s="111"/>
      <c r="F27" s="111"/>
      <c r="G27" s="100"/>
      <c r="H27" s="100"/>
      <c r="I27" s="100" t="s">
        <v>5574</v>
      </c>
      <c r="J27">
        <v>700</v>
      </c>
      <c r="K27">
        <v>2200</v>
      </c>
    </row>
    <row r="28" spans="1:11" x14ac:dyDescent="0.2">
      <c r="A28" s="175">
        <v>1235769</v>
      </c>
      <c r="B28" s="100" t="s">
        <v>579</v>
      </c>
      <c r="C28" s="100"/>
      <c r="D28" s="100"/>
      <c r="E28" s="111"/>
      <c r="F28" s="111"/>
      <c r="G28" s="100"/>
      <c r="H28" s="100"/>
      <c r="I28" s="100" t="s">
        <v>5571</v>
      </c>
      <c r="J28">
        <v>700</v>
      </c>
      <c r="K28">
        <v>2200</v>
      </c>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t="s">
        <v>5502</v>
      </c>
      <c r="B1" t="s">
        <v>5532</v>
      </c>
    </row>
    <row r="2" spans="1:2" x14ac:dyDescent="0.2">
      <c r="A2" t="s">
        <v>5917</v>
      </c>
      <c r="B2">
        <v>1276494</v>
      </c>
    </row>
    <row r="3" spans="1:2" x14ac:dyDescent="0.2">
      <c r="A3" t="s">
        <v>5918</v>
      </c>
      <c r="B3" t="s">
        <v>1010</v>
      </c>
    </row>
    <row r="4" spans="1:2" x14ac:dyDescent="0.2">
      <c r="A4" t="s">
        <v>5919</v>
      </c>
      <c r="B4" t="s">
        <v>6049</v>
      </c>
    </row>
    <row r="5" spans="1:2" x14ac:dyDescent="0.2">
      <c r="A5" t="s">
        <v>5920</v>
      </c>
      <c r="B5" t="s">
        <v>357</v>
      </c>
    </row>
    <row r="6" spans="1:2" x14ac:dyDescent="0.2">
      <c r="A6" t="s">
        <v>5921</v>
      </c>
      <c r="B6" t="s">
        <v>549</v>
      </c>
    </row>
    <row r="7" spans="1:2" x14ac:dyDescent="0.2">
      <c r="A7" t="s">
        <v>5922</v>
      </c>
      <c r="B7" t="s">
        <v>6022</v>
      </c>
    </row>
    <row r="8" spans="1:2" x14ac:dyDescent="0.2">
      <c r="A8" s="44" t="s">
        <v>5923</v>
      </c>
      <c r="B8">
        <v>57283</v>
      </c>
    </row>
    <row r="9" spans="1:2" x14ac:dyDescent="0.2">
      <c r="A9" t="s">
        <v>5924</v>
      </c>
      <c r="B9" t="s">
        <v>6050</v>
      </c>
    </row>
    <row r="10" spans="1:2" x14ac:dyDescent="0.2">
      <c r="A10" t="s">
        <v>5925</v>
      </c>
      <c r="B10" t="s">
        <v>1010</v>
      </c>
    </row>
    <row r="11" spans="1:2" x14ac:dyDescent="0.2">
      <c r="A11" t="s">
        <v>5926</v>
      </c>
      <c r="B11" t="s">
        <v>6051</v>
      </c>
    </row>
    <row r="12" spans="1:2" x14ac:dyDescent="0.2">
      <c r="A12" t="s">
        <v>5927</v>
      </c>
      <c r="B12" t="s">
        <v>6052</v>
      </c>
    </row>
    <row r="13" spans="1:2" x14ac:dyDescent="0.2">
      <c r="A13" t="s">
        <v>5928</v>
      </c>
      <c r="B13" t="s">
        <v>5338</v>
      </c>
    </row>
    <row r="14" spans="1:2" x14ac:dyDescent="0.2">
      <c r="A14" t="s">
        <v>5929</v>
      </c>
      <c r="B14" t="s">
        <v>6053</v>
      </c>
    </row>
    <row r="15" spans="1:2" x14ac:dyDescent="0.2">
      <c r="A15" t="s">
        <v>5930</v>
      </c>
      <c r="B15">
        <v>1202979</v>
      </c>
    </row>
    <row r="16" spans="1:2" x14ac:dyDescent="0.2">
      <c r="A16" t="s">
        <v>583</v>
      </c>
      <c r="B16" t="s">
        <v>3453</v>
      </c>
    </row>
    <row r="17" spans="1:2" x14ac:dyDescent="0.2">
      <c r="A17" t="s">
        <v>755</v>
      </c>
      <c r="B17" t="s">
        <v>6054</v>
      </c>
    </row>
    <row r="18" spans="1:2" x14ac:dyDescent="0.2">
      <c r="A18" t="s">
        <v>756</v>
      </c>
      <c r="B18" t="s">
        <v>766</v>
      </c>
    </row>
    <row r="19" spans="1:2" x14ac:dyDescent="0.2">
      <c r="A19" t="s">
        <v>753</v>
      </c>
      <c r="B19" t="s">
        <v>6055</v>
      </c>
    </row>
    <row r="20" spans="1:2" x14ac:dyDescent="0.2">
      <c r="A20" t="s">
        <v>6056</v>
      </c>
      <c r="B20" t="s">
        <v>5446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25"/>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t="s">
        <v>11077</v>
      </c>
      <c r="B1" t="s">
        <v>11078</v>
      </c>
    </row>
    <row r="2" spans="1:2" x14ac:dyDescent="0.2">
      <c r="A2">
        <v>1</v>
      </c>
      <c r="B2">
        <v>1</v>
      </c>
    </row>
    <row r="3" spans="1:2" x14ac:dyDescent="0.2">
      <c r="A3">
        <v>2</v>
      </c>
      <c r="B3">
        <v>1</v>
      </c>
    </row>
    <row r="4" spans="1:2" x14ac:dyDescent="0.2">
      <c r="A4">
        <v>3</v>
      </c>
      <c r="B4">
        <v>1</v>
      </c>
    </row>
    <row r="5" spans="1:2" x14ac:dyDescent="0.2">
      <c r="A5">
        <v>4</v>
      </c>
      <c r="B5">
        <v>1</v>
      </c>
    </row>
    <row r="6" spans="1:2" x14ac:dyDescent="0.2">
      <c r="A6">
        <v>5</v>
      </c>
      <c r="B6">
        <v>1</v>
      </c>
    </row>
    <row r="7" spans="1:2" x14ac:dyDescent="0.2">
      <c r="A7">
        <v>6</v>
      </c>
      <c r="B7">
        <v>1</v>
      </c>
    </row>
    <row r="8" spans="1:2" x14ac:dyDescent="0.2">
      <c r="A8">
        <v>7</v>
      </c>
      <c r="B8">
        <v>1</v>
      </c>
    </row>
    <row r="9" spans="1:2" x14ac:dyDescent="0.2">
      <c r="A9">
        <v>8</v>
      </c>
      <c r="B9">
        <v>1</v>
      </c>
    </row>
    <row r="10" spans="1:2" x14ac:dyDescent="0.2">
      <c r="A10">
        <v>9</v>
      </c>
      <c r="B10">
        <v>1</v>
      </c>
    </row>
    <row r="11" spans="1:2" x14ac:dyDescent="0.2">
      <c r="A11">
        <v>10</v>
      </c>
      <c r="B11">
        <v>1</v>
      </c>
    </row>
    <row r="12" spans="1:2" x14ac:dyDescent="0.2">
      <c r="A12">
        <v>21</v>
      </c>
      <c r="B12">
        <v>1</v>
      </c>
    </row>
    <row r="13" spans="1:2" x14ac:dyDescent="0.2">
      <c r="A13">
        <v>22</v>
      </c>
      <c r="B13">
        <v>1</v>
      </c>
    </row>
    <row r="14" spans="1:2" x14ac:dyDescent="0.2">
      <c r="A14">
        <v>23</v>
      </c>
      <c r="B14">
        <v>1</v>
      </c>
    </row>
    <row r="15" spans="1:2" x14ac:dyDescent="0.2">
      <c r="A15">
        <v>24</v>
      </c>
      <c r="B15">
        <v>1</v>
      </c>
    </row>
    <row r="16" spans="1:2" x14ac:dyDescent="0.2">
      <c r="A16">
        <v>25</v>
      </c>
      <c r="B16">
        <v>1</v>
      </c>
    </row>
    <row r="17" spans="1:2" x14ac:dyDescent="0.2">
      <c r="A17">
        <v>26</v>
      </c>
      <c r="B17">
        <v>1</v>
      </c>
    </row>
    <row r="18" spans="1:2" x14ac:dyDescent="0.2">
      <c r="A18">
        <v>27</v>
      </c>
      <c r="B18">
        <v>1</v>
      </c>
    </row>
    <row r="19" spans="1:2" x14ac:dyDescent="0.2">
      <c r="A19">
        <v>28</v>
      </c>
      <c r="B19">
        <v>1</v>
      </c>
    </row>
    <row r="20" spans="1:2" x14ac:dyDescent="0.2">
      <c r="A20">
        <v>29</v>
      </c>
      <c r="B20">
        <v>1</v>
      </c>
    </row>
    <row r="21" spans="1:2" x14ac:dyDescent="0.2">
      <c r="A21">
        <v>30</v>
      </c>
      <c r="B21">
        <v>1</v>
      </c>
    </row>
    <row r="22" spans="1:2" x14ac:dyDescent="0.2">
      <c r="A22">
        <v>31</v>
      </c>
      <c r="B22">
        <v>1</v>
      </c>
    </row>
    <row r="23" spans="1:2" x14ac:dyDescent="0.2">
      <c r="A23">
        <v>32</v>
      </c>
      <c r="B23">
        <v>1</v>
      </c>
    </row>
    <row r="24" spans="1:2" x14ac:dyDescent="0.2">
      <c r="A24">
        <v>33</v>
      </c>
      <c r="B24">
        <v>1</v>
      </c>
    </row>
    <row r="25" spans="1:2" x14ac:dyDescent="0.2">
      <c r="A25">
        <v>34</v>
      </c>
      <c r="B25">
        <v>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5992</v>
      </c>
      <c r="B1" t="s">
        <v>5993</v>
      </c>
      <c r="C1" t="s">
        <v>5994</v>
      </c>
    </row>
    <row r="2" spans="1:3" x14ac:dyDescent="0.2">
      <c r="A2" t="s">
        <v>5907</v>
      </c>
      <c r="B2" t="s">
        <v>6003</v>
      </c>
      <c r="C2" t="s">
        <v>6011</v>
      </c>
    </row>
    <row r="3" spans="1:3" x14ac:dyDescent="0.2">
      <c r="A3" t="s">
        <v>5907</v>
      </c>
      <c r="B3" t="s">
        <v>5997</v>
      </c>
      <c r="C3" t="s">
        <v>5996</v>
      </c>
    </row>
    <row r="4" spans="1:3" x14ac:dyDescent="0.2">
      <c r="A4" t="s">
        <v>5907</v>
      </c>
      <c r="B4" t="s">
        <v>5998</v>
      </c>
      <c r="C4" t="s">
        <v>6001</v>
      </c>
    </row>
    <row r="5" spans="1:3" x14ac:dyDescent="0.2">
      <c r="A5" t="s">
        <v>5913</v>
      </c>
      <c r="B5" t="s">
        <v>6003</v>
      </c>
      <c r="C5" t="s">
        <v>6007</v>
      </c>
    </row>
    <row r="6" spans="1:3" x14ac:dyDescent="0.2">
      <c r="A6" t="s">
        <v>5913</v>
      </c>
      <c r="B6" t="s">
        <v>6004</v>
      </c>
      <c r="C6" t="s">
        <v>6011</v>
      </c>
    </row>
    <row r="7" spans="1:3" x14ac:dyDescent="0.2">
      <c r="A7" t="s">
        <v>5913</v>
      </c>
      <c r="B7" t="s">
        <v>6005</v>
      </c>
      <c r="C7" t="s">
        <v>6009</v>
      </c>
    </row>
    <row r="8" spans="1:3" x14ac:dyDescent="0.2">
      <c r="A8" t="s">
        <v>5896</v>
      </c>
      <c r="B8" t="s">
        <v>6003</v>
      </c>
      <c r="C8" t="s">
        <v>6019</v>
      </c>
    </row>
    <row r="9" spans="1:3" x14ac:dyDescent="0.2">
      <c r="A9" t="s">
        <v>5896</v>
      </c>
      <c r="B9" t="s">
        <v>5997</v>
      </c>
      <c r="C9" t="s">
        <v>6016</v>
      </c>
    </row>
    <row r="10" spans="1:3" x14ac:dyDescent="0.2">
      <c r="A10" t="s">
        <v>5896</v>
      </c>
      <c r="B10" t="s">
        <v>5998</v>
      </c>
      <c r="C10" t="s">
        <v>6012</v>
      </c>
    </row>
    <row r="11" spans="1:3" x14ac:dyDescent="0.2">
      <c r="A11" t="s">
        <v>5890</v>
      </c>
      <c r="B11" t="s">
        <v>5995</v>
      </c>
      <c r="C11" t="s">
        <v>5999</v>
      </c>
    </row>
    <row r="12" spans="1:3" x14ac:dyDescent="0.2">
      <c r="A12" t="s">
        <v>5890</v>
      </c>
      <c r="B12" t="s">
        <v>5997</v>
      </c>
      <c r="C12" t="s">
        <v>6002</v>
      </c>
    </row>
    <row r="13" spans="1:3" x14ac:dyDescent="0.2">
      <c r="A13" t="s">
        <v>5890</v>
      </c>
      <c r="B13" t="s">
        <v>5998</v>
      </c>
      <c r="C13" t="s">
        <v>6013</v>
      </c>
    </row>
    <row r="14" spans="1:3" x14ac:dyDescent="0.2">
      <c r="A14" t="s">
        <v>5885</v>
      </c>
      <c r="B14" t="s">
        <v>5995</v>
      </c>
      <c r="C14" t="s">
        <v>5999</v>
      </c>
    </row>
    <row r="15" spans="1:3" x14ac:dyDescent="0.2">
      <c r="A15" t="s">
        <v>5885</v>
      </c>
      <c r="B15" t="s">
        <v>5997</v>
      </c>
      <c r="C15" t="s">
        <v>6002</v>
      </c>
    </row>
    <row r="16" spans="1:3" x14ac:dyDescent="0.2">
      <c r="A16" t="s">
        <v>5885</v>
      </c>
      <c r="B16" t="s">
        <v>5998</v>
      </c>
      <c r="C16" t="s">
        <v>6020</v>
      </c>
    </row>
    <row r="17" spans="1:3" x14ac:dyDescent="0.2">
      <c r="A17" t="s">
        <v>5899</v>
      </c>
      <c r="B17" t="s">
        <v>6003</v>
      </c>
      <c r="C17" t="s">
        <v>6000</v>
      </c>
    </row>
    <row r="18" spans="1:3" x14ac:dyDescent="0.2">
      <c r="A18" t="s">
        <v>5899</v>
      </c>
      <c r="B18" t="s">
        <v>5997</v>
      </c>
      <c r="C18" t="s">
        <v>6002</v>
      </c>
    </row>
    <row r="19" spans="1:3" x14ac:dyDescent="0.2">
      <c r="A19" t="s">
        <v>5899</v>
      </c>
      <c r="B19" t="s">
        <v>5998</v>
      </c>
      <c r="C19" t="s">
        <v>6014</v>
      </c>
    </row>
    <row r="20" spans="1:3" x14ac:dyDescent="0.2">
      <c r="A20" t="s">
        <v>5900</v>
      </c>
      <c r="B20" t="s">
        <v>6003</v>
      </c>
      <c r="C20" t="s">
        <v>6000</v>
      </c>
    </row>
    <row r="21" spans="1:3" x14ac:dyDescent="0.2">
      <c r="A21" t="s">
        <v>5900</v>
      </c>
      <c r="B21" t="s">
        <v>5997</v>
      </c>
      <c r="C21" t="s">
        <v>6002</v>
      </c>
    </row>
    <row r="22" spans="1:3" x14ac:dyDescent="0.2">
      <c r="A22" t="s">
        <v>5900</v>
      </c>
      <c r="B22" t="s">
        <v>5998</v>
      </c>
      <c r="C22" t="s">
        <v>6014</v>
      </c>
    </row>
    <row r="23" spans="1:3" x14ac:dyDescent="0.2">
      <c r="A23" t="s">
        <v>5893</v>
      </c>
      <c r="B23" t="s">
        <v>6003</v>
      </c>
      <c r="C23" t="s">
        <v>5996</v>
      </c>
    </row>
    <row r="24" spans="1:3" x14ac:dyDescent="0.2">
      <c r="A24" t="s">
        <v>5893</v>
      </c>
      <c r="B24" t="s">
        <v>5997</v>
      </c>
      <c r="C24" t="s">
        <v>6006</v>
      </c>
    </row>
    <row r="25" spans="1:3" x14ac:dyDescent="0.2">
      <c r="A25" t="s">
        <v>5893</v>
      </c>
      <c r="B25" t="s">
        <v>5998</v>
      </c>
      <c r="C25" t="s">
        <v>6017</v>
      </c>
    </row>
    <row r="26" spans="1:3" x14ac:dyDescent="0.2">
      <c r="A26" t="s">
        <v>5910</v>
      </c>
      <c r="B26" t="s">
        <v>6003</v>
      </c>
      <c r="C26" t="s">
        <v>6000</v>
      </c>
    </row>
    <row r="27" spans="1:3" x14ac:dyDescent="0.2">
      <c r="A27" t="s">
        <v>5910</v>
      </c>
      <c r="B27" t="s">
        <v>5997</v>
      </c>
      <c r="C27" t="s">
        <v>6002</v>
      </c>
    </row>
    <row r="28" spans="1:3" x14ac:dyDescent="0.2">
      <c r="A28" t="s">
        <v>5910</v>
      </c>
      <c r="B28" t="s">
        <v>5998</v>
      </c>
      <c r="C28" t="s">
        <v>6002</v>
      </c>
    </row>
    <row r="29" spans="1:3" x14ac:dyDescent="0.2">
      <c r="A29" t="s">
        <v>5879</v>
      </c>
      <c r="B29" t="s">
        <v>5995</v>
      </c>
      <c r="C29" t="s">
        <v>6008</v>
      </c>
    </row>
    <row r="30" spans="1:3" x14ac:dyDescent="0.2">
      <c r="A30" t="s">
        <v>5879</v>
      </c>
      <c r="B30" t="s">
        <v>5997</v>
      </c>
      <c r="C30" t="s">
        <v>6010</v>
      </c>
    </row>
    <row r="31" spans="1:3" x14ac:dyDescent="0.2">
      <c r="A31" t="s">
        <v>5879</v>
      </c>
      <c r="B31" t="s">
        <v>5998</v>
      </c>
      <c r="C31" t="s">
        <v>6008</v>
      </c>
    </row>
    <row r="32" spans="1:3" x14ac:dyDescent="0.2">
      <c r="A32" t="s">
        <v>5914</v>
      </c>
      <c r="B32" t="s">
        <v>11075</v>
      </c>
      <c r="C32" t="s">
        <v>6007</v>
      </c>
    </row>
    <row r="33" spans="1:3" x14ac:dyDescent="0.2">
      <c r="A33" t="s">
        <v>5914</v>
      </c>
      <c r="B33" t="s">
        <v>6018</v>
      </c>
      <c r="C33" t="s">
        <v>6011</v>
      </c>
    </row>
    <row r="34" spans="1:3" x14ac:dyDescent="0.2">
      <c r="A34" t="s">
        <v>5914</v>
      </c>
      <c r="B34" t="s">
        <v>6019</v>
      </c>
      <c r="C34" t="s">
        <v>6015</v>
      </c>
    </row>
    <row r="35" spans="1:3" x14ac:dyDescent="0.2">
      <c r="A35" t="s">
        <v>5914</v>
      </c>
      <c r="B35" t="s">
        <v>6021</v>
      </c>
      <c r="C35" t="s">
        <v>6012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11076</v>
      </c>
      <c r="B1" s="176"/>
      <c r="C1" s="528" t="s">
        <v>63</v>
      </c>
      <c r="D1" s="529"/>
      <c r="E1" s="529"/>
      <c r="F1" s="529"/>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494"/>
      <c r="E3" s="179"/>
      <c r="F3" s="179"/>
      <c r="G3" s="179"/>
      <c r="H3" s="179"/>
      <c r="I3" s="179"/>
      <c r="J3" s="530" t="s">
        <v>130</v>
      </c>
      <c r="K3" s="531"/>
      <c r="L3" s="532"/>
      <c r="M3" s="179"/>
      <c r="N3" s="547" t="s">
        <v>119</v>
      </c>
      <c r="O3" s="547"/>
      <c r="P3" s="547"/>
      <c r="Q3" s="547"/>
      <c r="R3" s="547"/>
      <c r="S3" s="547"/>
      <c r="T3" s="185"/>
      <c r="U3" s="185"/>
      <c r="V3" s="185"/>
      <c r="W3" s="188"/>
      <c r="X3" s="188"/>
      <c r="Y3" s="188"/>
      <c r="Z3" s="188"/>
      <c r="AA3" s="188"/>
      <c r="AB3" s="188"/>
      <c r="AC3" s="188"/>
    </row>
    <row r="4" spans="1:29" x14ac:dyDescent="0.2">
      <c r="A4" s="181"/>
      <c r="B4" s="186"/>
      <c r="C4" s="187" t="s">
        <v>543</v>
      </c>
      <c r="D4" s="500" t="str" cm="1">
        <f t="array" ref="D4">Condition</f>
        <v>Used</v>
      </c>
      <c r="E4" s="179"/>
      <c r="F4" s="179"/>
      <c r="G4" s="179"/>
      <c r="H4" s="179"/>
      <c r="I4" s="179"/>
      <c r="J4" s="535" t="s">
        <v>4</v>
      </c>
      <c r="K4" s="536"/>
      <c r="L4" s="189">
        <f ca="1">IF(ISERROR(Access_Data!$D$33),0,Access_Data!$D$33)</f>
        <v>0</v>
      </c>
      <c r="M4" s="179"/>
      <c r="N4" s="190" t="s">
        <v>118</v>
      </c>
      <c r="O4" s="191" t="s">
        <v>117</v>
      </c>
      <c r="P4" s="533" t="s">
        <v>128</v>
      </c>
      <c r="Q4" s="534"/>
      <c r="R4" s="192" t="s">
        <v>166</v>
      </c>
      <c r="S4" s="192" t="s">
        <v>170</v>
      </c>
      <c r="T4" s="185"/>
      <c r="U4" s="428"/>
      <c r="V4" s="428"/>
      <c r="W4" s="428"/>
      <c r="X4" s="428"/>
      <c r="Y4" s="428"/>
      <c r="Z4" s="428"/>
      <c r="AA4" s="428"/>
      <c r="AB4" s="428"/>
      <c r="AC4" s="188"/>
    </row>
    <row r="5" spans="1:29" x14ac:dyDescent="0.2">
      <c r="A5" s="181"/>
      <c r="B5" s="186"/>
      <c r="C5" s="187" t="s">
        <v>53</v>
      </c>
      <c r="D5" s="551" t="str">
        <f>companyName</f>
        <v>CHROME PLUS INT'L - WICHITA</v>
      </c>
      <c r="E5" s="552"/>
      <c r="F5" s="552"/>
      <c r="G5" s="552"/>
      <c r="H5" s="553"/>
      <c r="I5" s="501">
        <f>VLOOKUP(D5,customers_table[],5,FALSE)</f>
        <v>0</v>
      </c>
      <c r="J5" s="535" t="s">
        <v>5</v>
      </c>
      <c r="K5" s="536"/>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48" t="str">
        <f>VLOOKUP("assetName",WorkItemDetails[],2,FALSE)</f>
        <v>DESPATCH RS4HD Temperature Uniformity Survey, 10 points</v>
      </c>
      <c r="E6" s="549"/>
      <c r="F6" s="549"/>
      <c r="G6" s="549"/>
      <c r="H6" s="550"/>
      <c r="I6" s="478"/>
      <c r="J6" s="535" t="s">
        <v>129</v>
      </c>
      <c r="K6" s="536"/>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497"/>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86</v>
      </c>
      <c r="D9" s="496"/>
      <c r="E9" s="501"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70</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115</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114</v>
      </c>
      <c r="D13" s="491" t="e">
        <f>VLOOKUP("next_service_date",DaqbookServiceRecord[], 2, FALSE)</f>
        <v>#N/A</v>
      </c>
      <c r="E13" s="179"/>
      <c r="F13" s="208"/>
      <c r="G13" s="209" t="str">
        <f>IF(Access_Data!$C$52=1,"!!!!! OVEN OVERSHOT IN POINTS 15-28 !!!!!","")</f>
        <v/>
      </c>
      <c r="H13" s="179"/>
      <c r="I13" s="179"/>
      <c r="J13" s="368" t="s">
        <v>2286</v>
      </c>
      <c r="K13" s="545" t="str">
        <f>IFERROR(VLOOKUP("PoNumber",WorkItemDetails[],2,FALSE),"")</f>
        <v/>
      </c>
      <c r="L13" s="546"/>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116</v>
      </c>
      <c r="D14" s="492" t="e">
        <f>VLOOKUP("certificate_number",DaqbookServiceRecord[], 2, FALSE)</f>
        <v>#N/A</v>
      </c>
      <c r="E14" s="179"/>
      <c r="F14" s="179"/>
      <c r="G14" s="184" t="str">
        <f>IF(Access_Data!$D$52=1,"!!!!! OVEN OVERSHOT IN POINTS 29-40","")</f>
        <v/>
      </c>
      <c r="H14" s="179"/>
      <c r="I14" s="179"/>
      <c r="J14" s="210" t="s">
        <v>165</v>
      </c>
      <c r="K14" s="676"/>
      <c r="L14" s="677"/>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85</v>
      </c>
      <c r="D15" s="490"/>
      <c r="E15" s="179"/>
      <c r="F15" s="179"/>
      <c r="G15" s="179"/>
      <c r="H15" s="401" t="b">
        <v>1</v>
      </c>
      <c r="I15" s="179"/>
      <c r="J15" s="211" t="s">
        <v>160</v>
      </c>
      <c r="K15" s="539"/>
      <c r="L15" s="540"/>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626</v>
      </c>
      <c r="D16" s="380"/>
      <c r="E16" s="179"/>
      <c r="F16" s="210" t="s">
        <v>105</v>
      </c>
      <c r="G16" s="307" t="s">
        <v>648</v>
      </c>
      <c r="H16" s="214"/>
      <c r="I16" s="179"/>
      <c r="J16" s="557" t="s">
        <v>196</v>
      </c>
      <c r="K16" s="558"/>
      <c r="L16" s="499"/>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84</v>
      </c>
      <c r="D17" s="381"/>
      <c r="E17" s="179"/>
      <c r="F17" s="211" t="s">
        <v>124</v>
      </c>
      <c r="G17" s="400" t="str">
        <f>Load</f>
        <v>Empty Rack</v>
      </c>
      <c r="I17" s="184"/>
      <c r="J17" s="557" t="s">
        <v>197</v>
      </c>
      <c r="K17" s="558"/>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87</v>
      </c>
      <c r="D18" s="382"/>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107</v>
      </c>
      <c r="G19" s="537" t="str">
        <f>IF(K15="Salt",0, IF(OR(K15="Hot",K15="SIM Load Hot"),IF(OR(D26="",D28=""),"N/A",IF(ISBLANK(D26),"N/A",D28-D26)),"N/A"))</f>
        <v>N/A</v>
      </c>
      <c r="H19" s="538"/>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1" t="str">
        <f>IF(I94=TRUE,"SAT Tolerance (per AMS2750):","SAT Tolerance (per BAC5621):")</f>
        <v>SAT Tolerance (per AMS2750):</v>
      </c>
      <c r="C20" s="542"/>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88</v>
      </c>
      <c r="D23" s="496"/>
      <c r="E23" s="179"/>
      <c r="F23" s="224" t="s">
        <v>125</v>
      </c>
      <c r="G23" s="565" t="s">
        <v>3363</v>
      </c>
      <c r="H23" s="566"/>
      <c r="I23" s="566"/>
      <c r="J23" s="566"/>
      <c r="K23" s="567"/>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3358</v>
      </c>
      <c r="AA23" s="428"/>
      <c r="AB23" s="428"/>
      <c r="AC23" s="188"/>
    </row>
    <row r="24" spans="1:29" x14ac:dyDescent="0.2">
      <c r="A24" s="181"/>
      <c r="B24" s="543" t="s">
        <v>5547</v>
      </c>
      <c r="C24" s="544"/>
      <c r="D24" s="493" t="e" cm="1" vm="2">
        <f t="array" ref="D24">_xlfn.REGEXEXTRACT(WorkItemNumber, "-\d{2}(R\d{1,2})?$")</f>
        <v>#N/A</v>
      </c>
      <c r="E24" s="179"/>
      <c r="F24" s="224" t="s">
        <v>126</v>
      </c>
      <c r="G24" s="568"/>
      <c r="H24" s="569"/>
      <c r="I24" s="569"/>
      <c r="J24" s="569"/>
      <c r="K24" s="570"/>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3359</v>
      </c>
      <c r="AA24" s="428"/>
      <c r="AB24" s="428"/>
      <c r="AC24" s="188"/>
    </row>
    <row r="25" spans="1:29" x14ac:dyDescent="0.2">
      <c r="A25" s="181"/>
      <c r="B25" s="202"/>
      <c r="C25" s="209"/>
      <c r="D25" s="204"/>
      <c r="E25" s="179"/>
      <c r="F25" s="224" t="s">
        <v>127</v>
      </c>
      <c r="G25" s="568"/>
      <c r="H25" s="569"/>
      <c r="I25" s="569"/>
      <c r="J25" s="569"/>
      <c r="K25" s="570"/>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3360</v>
      </c>
      <c r="AA25" s="428"/>
      <c r="AB25" s="428"/>
      <c r="AC25" s="188"/>
    </row>
    <row r="26" spans="1:29" x14ac:dyDescent="0.2">
      <c r="A26" s="181"/>
      <c r="B26" s="212"/>
      <c r="C26" s="213" t="s">
        <v>80</v>
      </c>
      <c r="D26" s="675"/>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3361</v>
      </c>
      <c r="AA26" s="428"/>
      <c r="AB26" s="428"/>
      <c r="AC26" s="188"/>
    </row>
    <row r="27" spans="1:29" x14ac:dyDescent="0.2">
      <c r="A27" s="181"/>
      <c r="B27" s="226">
        <v>10</v>
      </c>
      <c r="C27" s="187" t="s">
        <v>81</v>
      </c>
      <c r="D27" s="675"/>
      <c r="E27" s="225"/>
      <c r="F27" s="368" t="s">
        <v>757</v>
      </c>
      <c r="G27" s="367" t="str">
        <f>IF(CheckRec="y","Cal by Customer",D$3)</f>
        <v>Cal by Customer</v>
      </c>
      <c r="H27" s="563" t="str">
        <f>IF(ISBLANK(D6),"",IF(CheckRec="x","CHECK INSTRUMENT CAL DATES!!!!             CHECK INSTRUMENT CAL DATES!!!!",""))</f>
        <v/>
      </c>
      <c r="I27" s="564"/>
      <c r="J27" s="564"/>
      <c r="K27" s="564"/>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3362</v>
      </c>
      <c r="AA27" s="428"/>
      <c r="AB27" s="428"/>
      <c r="AC27" s="188"/>
    </row>
    <row r="28" spans="1:29" x14ac:dyDescent="0.2">
      <c r="A28" s="181"/>
      <c r="B28" s="227">
        <v>30</v>
      </c>
      <c r="C28" s="216" t="s">
        <v>82</v>
      </c>
      <c r="D28" s="675"/>
      <c r="E28" s="225"/>
      <c r="F28" s="368" t="s">
        <v>758</v>
      </c>
      <c r="G28" s="367" t="str">
        <f>IF(CheckRec="y","Cal by Customer",D$3)</f>
        <v>Cal by Customer</v>
      </c>
      <c r="H28" s="563"/>
      <c r="I28" s="564"/>
      <c r="J28" s="564"/>
      <c r="K28" s="564"/>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101</v>
      </c>
      <c r="D29" s="228" t="str">
        <f>(IF(OR(D27="",D28=""),"",IF(ISBLANK(D27),"",D28-D27)))</f>
        <v/>
      </c>
      <c r="E29" s="229" t="e">
        <f>IF(D29=0,"&lt;2",ROUND(IF(LEN(D29)&gt;3,D29*1440,TEXT(D29,"hh:mm")),0)) &amp;" MINUTES"</f>
        <v>#VALUE!</v>
      </c>
      <c r="F29" s="320" t="s">
        <v>759</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3364</v>
      </c>
      <c r="AA29" s="428"/>
      <c r="AB29" s="428"/>
      <c r="AC29" s="188"/>
    </row>
    <row r="30" spans="1:29" x14ac:dyDescent="0.2">
      <c r="A30" s="181"/>
      <c r="B30" s="429">
        <v>45</v>
      </c>
      <c r="C30" s="216" t="s">
        <v>83</v>
      </c>
      <c r="D30" s="675"/>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3365</v>
      </c>
      <c r="AA30" s="428"/>
      <c r="AB30" s="428"/>
      <c r="AC30" s="188"/>
    </row>
    <row r="31" spans="1:29" x14ac:dyDescent="0.2">
      <c r="A31" s="181"/>
      <c r="B31" s="186"/>
      <c r="C31" s="187" t="s">
        <v>69</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3366</v>
      </c>
      <c r="AA31" s="428"/>
      <c r="AB31" s="428"/>
      <c r="AC31" s="188"/>
    </row>
    <row r="32" spans="1:29" x14ac:dyDescent="0.2">
      <c r="A32" s="222"/>
      <c r="B32" s="231"/>
      <c r="C32" s="232" t="s">
        <v>109</v>
      </c>
      <c r="D32" s="498"/>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30" t="s">
        <v>62</v>
      </c>
      <c r="C34" s="531"/>
      <c r="D34" s="531"/>
      <c r="E34" s="531"/>
      <c r="F34" s="531"/>
      <c r="G34" s="531"/>
      <c r="H34" s="531"/>
      <c r="I34" s="531"/>
      <c r="J34" s="531"/>
      <c r="K34" s="531"/>
      <c r="L34" s="532"/>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54" t="s">
        <v>45</v>
      </c>
      <c r="E46" s="555"/>
      <c r="F46" s="555"/>
      <c r="G46" s="555"/>
      <c r="H46" s="555"/>
      <c r="I46" s="556"/>
      <c r="J46" s="369"/>
      <c r="K46" s="369"/>
      <c r="L46" s="369"/>
      <c r="M46" s="571" t="s">
        <v>2311</v>
      </c>
      <c r="N46" s="572"/>
      <c r="O46" s="573"/>
      <c r="P46" s="574"/>
      <c r="Q46" s="320"/>
      <c r="R46" s="320"/>
      <c r="S46" s="370"/>
      <c r="T46" s="370"/>
      <c r="U46" s="370"/>
    </row>
    <row r="47" spans="1:29" x14ac:dyDescent="0.2">
      <c r="A47" s="203"/>
      <c r="B47" s="249"/>
      <c r="C47" s="376" t="s">
        <v>79</v>
      </c>
      <c r="D47" s="508" t="str">
        <f>IF(D48="","",""""&amp;_xlfn.XLOOKUP(D$48,WireSets[serial_number],WireSets[type],"",0)&amp;"""")</f>
        <v/>
      </c>
      <c r="E47" s="508" t="str">
        <f>IF(E48="","",""""&amp;_xlfn.XLOOKUP(E$48,WireSets[serial_number],WireSets[type],"",0)&amp;"""")</f>
        <v/>
      </c>
      <c r="F47" s="508" t="str">
        <f>IF(F48="","",""""&amp;_xlfn.XLOOKUP(F$48,WireSets[serial_number],WireSets[type],"",0)&amp;"""")</f>
        <v/>
      </c>
      <c r="G47" s="508" t="str">
        <f>IF(G48="","",""""&amp;_xlfn.XLOOKUP(G$48,WireSets[serial_number],WireSets[type],"",0)&amp;"""")</f>
        <v/>
      </c>
      <c r="H47" s="508" t="str">
        <f>IF(H48="","",""""&amp;_xlfn.XLOOKUP(H$48,WireSets[serial_number],WireSets[type],"",0)&amp;"""")</f>
        <v/>
      </c>
      <c r="I47" s="508" t="str">
        <f>IF(I48="","",""""&amp;_xlfn.XLOOKUP(I$48,WireSets[serial_number],WireSets[type],"",0)&amp;"""")</f>
        <v/>
      </c>
      <c r="J47" s="369"/>
      <c r="K47" s="369"/>
      <c r="M47" s="372" t="s">
        <v>2312</v>
      </c>
      <c r="N47" s="387" t="s">
        <v>2313</v>
      </c>
      <c r="O47" s="388"/>
      <c r="P47" s="561" t="s">
        <v>2314</v>
      </c>
      <c r="Q47" s="561"/>
      <c r="R47" s="373" t="s">
        <v>2315</v>
      </c>
      <c r="S47" s="370"/>
      <c r="T47" s="370"/>
      <c r="U47" s="370"/>
    </row>
    <row r="48" spans="1:29" x14ac:dyDescent="0.2">
      <c r="A48" s="181"/>
      <c r="B48" s="249"/>
      <c r="C48" s="510" t="s">
        <v>46</v>
      </c>
      <c r="D48" s="509"/>
      <c r="E48" s="509"/>
      <c r="F48" s="509"/>
      <c r="G48" s="509"/>
      <c r="H48" s="509"/>
      <c r="I48" s="509"/>
      <c r="J48" s="369"/>
      <c r="K48" s="369"/>
      <c r="L48" s="369"/>
      <c r="M48" s="562" t="s">
        <v>2316</v>
      </c>
      <c r="N48" s="562"/>
      <c r="O48" s="389"/>
      <c r="P48" s="522" t="s">
        <v>3555</v>
      </c>
      <c r="Q48" s="523"/>
      <c r="R48" s="524"/>
      <c r="S48" s="433"/>
      <c r="T48" s="437"/>
      <c r="U48" s="522" t="s">
        <v>3558</v>
      </c>
      <c r="V48" s="523"/>
      <c r="W48" s="524"/>
    </row>
    <row r="49" spans="1:24" x14ac:dyDescent="0.2">
      <c r="A49" s="181"/>
      <c r="B49" s="251"/>
      <c r="C49" s="376" t="s">
        <v>47</v>
      </c>
      <c r="D49" s="507" t="str">
        <f>_xlfn.XLOOKUP(D$48,WireSets[serial_number],WireSets[service_date],"",0)</f>
        <v/>
      </c>
      <c r="E49" s="507" t="str">
        <f>_xlfn.XLOOKUP(E$48,WireSets[serial_number],WireSets[service_date],"",0)</f>
        <v/>
      </c>
      <c r="F49" s="507" t="str">
        <f>_xlfn.XLOOKUP(F$48,WireSets[serial_number],WireSets[service_date],"",0)</f>
        <v/>
      </c>
      <c r="G49" s="507" t="str">
        <f>_xlfn.XLOOKUP(G$48,WireSets[serial_number],WireSets[service_date],"",0)</f>
        <v/>
      </c>
      <c r="H49" s="507" t="str">
        <f>_xlfn.XLOOKUP(H$48,WireSets[serial_number],WireSets[service_date],"",0)</f>
        <v/>
      </c>
      <c r="I49" s="507" t="str">
        <f>_xlfn.XLOOKUP(I$48,WireSets[serial_number],WireSets[service_date],"",0)</f>
        <v/>
      </c>
      <c r="J49" s="369"/>
      <c r="K49" s="369" t="s">
        <v>11074</v>
      </c>
      <c r="L49" s="369"/>
      <c r="M49" s="372" t="s">
        <v>2317</v>
      </c>
      <c r="N49" s="374" t="str">
        <f>IF(PB="","",PB)</f>
        <v>Unavailable</v>
      </c>
      <c r="O49" s="304"/>
      <c r="P49" s="525" t="s">
        <v>3560</v>
      </c>
      <c r="Q49" s="526"/>
      <c r="R49" s="527"/>
      <c r="S49" s="457"/>
      <c r="T49" s="439"/>
      <c r="U49" s="525" t="s">
        <v>3559</v>
      </c>
      <c r="V49" s="526"/>
      <c r="W49" s="527"/>
      <c r="X49" s="390"/>
    </row>
    <row r="50" spans="1:24" x14ac:dyDescent="0.2">
      <c r="A50" s="181"/>
      <c r="B50" s="252"/>
      <c r="C50" s="376" t="s">
        <v>48</v>
      </c>
      <c r="D50" s="507" t="str">
        <f>_xlfn.XLOOKUP(D$48,WireSets[serial_number],WireSets[next_service_date],"",0)</f>
        <v/>
      </c>
      <c r="E50" s="507" t="str">
        <f>_xlfn.XLOOKUP(E$48,WireSets[serial_number],WireSets[next_service_date],"",0)</f>
        <v/>
      </c>
      <c r="F50" s="507" t="str">
        <f>_xlfn.XLOOKUP(F$48,WireSets[serial_number],WireSets[next_service_date],"",0)</f>
        <v/>
      </c>
      <c r="G50" s="507" t="str">
        <f>_xlfn.XLOOKUP(G$48,WireSets[serial_number],WireSets[next_service_date],"",0)</f>
        <v/>
      </c>
      <c r="H50" s="507" t="str">
        <f>_xlfn.XLOOKUP(H$48,WireSets[serial_number],WireSets[next_service_date],"",0)</f>
        <v/>
      </c>
      <c r="I50" s="507" t="str">
        <f>_xlfn.XLOOKUP(I$48,WireSets[serial_number],WireSets[next_service_date],"",0)</f>
        <v/>
      </c>
      <c r="J50" s="369"/>
      <c r="K50" s="369"/>
      <c r="L50" s="369"/>
      <c r="M50" s="372" t="s">
        <v>2318</v>
      </c>
      <c r="N50" s="374" t="str">
        <f>IF(Integral="","",Integral)</f>
        <v/>
      </c>
      <c r="O50" s="304"/>
      <c r="P50" s="513" t="s">
        <v>2319</v>
      </c>
      <c r="Q50" s="514"/>
      <c r="R50" s="515"/>
      <c r="S50" s="436"/>
      <c r="T50" s="440"/>
      <c r="U50" s="513" t="s">
        <v>2319</v>
      </c>
      <c r="V50" s="514"/>
      <c r="W50" s="515"/>
      <c r="X50" s="370"/>
    </row>
    <row r="51" spans="1:24" x14ac:dyDescent="0.2">
      <c r="A51" s="181"/>
      <c r="B51" s="253"/>
      <c r="C51" s="376" t="s">
        <v>77</v>
      </c>
      <c r="D51" s="509"/>
      <c r="E51" s="509"/>
      <c r="F51" s="509"/>
      <c r="G51" s="509"/>
      <c r="H51" s="509"/>
      <c r="I51" s="509"/>
      <c r="J51" s="369"/>
      <c r="K51" s="426"/>
      <c r="L51" s="369"/>
      <c r="M51" s="375" t="s">
        <v>2320</v>
      </c>
      <c r="N51" s="374" t="str">
        <f>IF(Derivative="","",Derivative)</f>
        <v/>
      </c>
      <c r="P51" s="525" t="s">
        <v>3556</v>
      </c>
      <c r="Q51" s="526"/>
      <c r="R51" s="527"/>
      <c r="S51" s="457"/>
      <c r="T51" s="442"/>
      <c r="U51" s="525" t="s">
        <v>3561</v>
      </c>
      <c r="V51" s="526"/>
      <c r="W51" s="527"/>
      <c r="X51" s="390"/>
    </row>
    <row r="52" spans="1:24" x14ac:dyDescent="0.2">
      <c r="A52" s="181"/>
      <c r="B52" s="249"/>
      <c r="C52" s="376" t="s">
        <v>2326</v>
      </c>
      <c r="D52" s="509"/>
      <c r="E52" s="509"/>
      <c r="F52" s="509"/>
      <c r="G52" s="509"/>
      <c r="H52" s="509"/>
      <c r="I52" s="509"/>
      <c r="J52" s="369"/>
      <c r="K52" s="426"/>
      <c r="L52" s="369"/>
      <c r="M52" s="375" t="s">
        <v>2321</v>
      </c>
      <c r="N52" s="374" t="str">
        <f>IF(Other1="","",Other1)</f>
        <v/>
      </c>
      <c r="O52" s="304"/>
      <c r="P52" s="513" t="s">
        <v>2319</v>
      </c>
      <c r="Q52" s="514"/>
      <c r="R52" s="515"/>
      <c r="S52" s="436"/>
      <c r="T52" s="441"/>
      <c r="U52" s="513" t="s">
        <v>2319</v>
      </c>
      <c r="V52" s="514"/>
      <c r="W52" s="515"/>
      <c r="X52" s="370"/>
    </row>
    <row r="53" spans="1:24" ht="12.75" customHeight="1" x14ac:dyDescent="0.2">
      <c r="A53" s="181"/>
      <c r="B53" s="249"/>
      <c r="C53" s="376" t="s">
        <v>78</v>
      </c>
      <c r="D53" s="511" t="str">
        <f>_xlfn.XLOOKUP(D$48,WireSets[serial_number],WireSets[Max],"",0)</f>
        <v/>
      </c>
      <c r="E53" s="511" t="str">
        <f>_xlfn.XLOOKUP(E$48,WireSets[serial_number],WireSets[Max],"",0)</f>
        <v/>
      </c>
      <c r="F53" s="511" t="str">
        <f>_xlfn.XLOOKUP(F$48,WireSets[serial_number],WireSets[Max],"",0)</f>
        <v/>
      </c>
      <c r="G53" s="511" t="str">
        <f>_xlfn.XLOOKUP(G$48,WireSets[serial_number],WireSets[Max],"",0)</f>
        <v/>
      </c>
      <c r="H53" s="511" t="str">
        <f>_xlfn.XLOOKUP(H$48,WireSets[serial_number],WireSets[Max],"",0)</f>
        <v/>
      </c>
      <c r="I53" s="511" t="str">
        <f>_xlfn.XLOOKUP(I$48,WireSets[serial_number],WireSets[Max],"",0)</f>
        <v/>
      </c>
      <c r="J53" s="369"/>
      <c r="K53" s="427"/>
      <c r="L53" s="427"/>
      <c r="M53" s="412" t="s">
        <v>2321</v>
      </c>
      <c r="N53" s="374" t="str">
        <f>IF(Other2="","",Other2)</f>
        <v/>
      </c>
      <c r="O53" s="304"/>
      <c r="P53" s="516" t="s">
        <v>3557</v>
      </c>
      <c r="Q53" s="517"/>
      <c r="R53" s="518"/>
      <c r="S53" s="458"/>
      <c r="T53" s="438"/>
      <c r="U53" s="516" t="s">
        <v>3562</v>
      </c>
      <c r="V53" s="517"/>
      <c r="W53" s="518"/>
      <c r="X53" s="391"/>
    </row>
    <row r="54" spans="1:24" x14ac:dyDescent="0.2">
      <c r="A54" s="181"/>
      <c r="B54" s="249"/>
      <c r="C54" s="377" t="s">
        <v>110</v>
      </c>
      <c r="D54" s="685" t="str">
        <f>_xlfn.XLOOKUP(D$48,WireSets[serial_number],WireSets[certificate_number],"",0)</f>
        <v/>
      </c>
      <c r="E54" s="685" t="str">
        <f>_xlfn.XLOOKUP(E$48,WireSets[serial_number],WireSets[certificate_number],"",0)</f>
        <v/>
      </c>
      <c r="F54" s="685" t="str">
        <f>_xlfn.XLOOKUP(F$48,WireSets[serial_number],WireSets[certificate_number],"",0)</f>
        <v/>
      </c>
      <c r="G54" s="685" t="str">
        <f>_xlfn.XLOOKUP(G$48,WireSets[serial_number],WireSets[certificate_number],"",0)</f>
        <v/>
      </c>
      <c r="H54" s="685" t="str">
        <f>_xlfn.XLOOKUP(H$48,WireSets[serial_number],WireSets[certificate_number],"",0)</f>
        <v/>
      </c>
      <c r="I54" s="685" t="str">
        <f>_xlfn.XLOOKUP(I$48,WireSets[serial_number],WireSets[certificate_number],"",0)</f>
        <v/>
      </c>
      <c r="J54" s="305"/>
      <c r="K54" s="413"/>
      <c r="L54" s="414"/>
      <c r="M54" s="415" t="s">
        <v>3063</v>
      </c>
      <c r="N54" s="424" t="s">
        <v>3067</v>
      </c>
      <c r="O54" s="225"/>
      <c r="P54" s="519"/>
      <c r="Q54" s="520"/>
      <c r="R54" s="521"/>
      <c r="S54" s="435"/>
      <c r="T54" s="432"/>
      <c r="U54" s="519"/>
      <c r="V54" s="520"/>
      <c r="W54" s="521"/>
    </row>
    <row r="55" spans="1:24" x14ac:dyDescent="0.2">
      <c r="A55" s="181"/>
      <c r="B55" s="249"/>
      <c r="C55" s="377" t="s">
        <v>183</v>
      </c>
      <c r="D55" s="511" t="str">
        <f>_xlfn.XLOOKUP(D$48,WireSets[serial_number],WireSets[wire_roll_cert_number],"",0)</f>
        <v/>
      </c>
      <c r="E55" s="511" t="str">
        <f>_xlfn.XLOOKUP(E$48,WireSets[serial_number],WireSets[wire_roll_cert_number],"",0)</f>
        <v/>
      </c>
      <c r="F55" s="511" t="str">
        <f>_xlfn.XLOOKUP(F$48,WireSets[serial_number],WireSets[wire_roll_cert_number],"",0)</f>
        <v/>
      </c>
      <c r="G55" s="511" t="str">
        <f>_xlfn.XLOOKUP(G$48,WireSets[serial_number],WireSets[wire_roll_cert_number],"",0)</f>
        <v/>
      </c>
      <c r="H55" s="511" t="str">
        <f>_xlfn.XLOOKUP(H$48,WireSets[serial_number],WireSets[wire_roll_cert_number],"",0)</f>
        <v/>
      </c>
      <c r="I55" s="511" t="str">
        <f>_xlfn.XLOOKUP(I$48,WireSets[serial_number],WireSets[wire_roll_cert_number],"",0)</f>
        <v/>
      </c>
      <c r="J55" s="306"/>
      <c r="K55" s="416"/>
      <c r="L55" s="417"/>
      <c r="M55" s="418" t="s">
        <v>3064</v>
      </c>
      <c r="N55" s="425" t="s">
        <v>3067</v>
      </c>
      <c r="O55" s="225"/>
      <c r="P55" s="392" t="s">
        <v>2322</v>
      </c>
      <c r="Q55" s="392" t="s">
        <v>26</v>
      </c>
      <c r="R55" s="443" t="s">
        <v>2323</v>
      </c>
      <c r="S55" s="447"/>
      <c r="T55" s="445"/>
      <c r="U55" s="395" t="s">
        <v>2324</v>
      </c>
      <c r="V55" s="392" t="s">
        <v>26</v>
      </c>
      <c r="W55" s="392" t="s">
        <v>2325</v>
      </c>
    </row>
    <row r="56" spans="1:24" x14ac:dyDescent="0.2">
      <c r="A56" s="181"/>
      <c r="B56" s="254"/>
      <c r="C56" s="377" t="s">
        <v>184</v>
      </c>
      <c r="D56" s="509"/>
      <c r="E56" s="509"/>
      <c r="F56" s="509"/>
      <c r="G56" s="509"/>
      <c r="H56" s="509"/>
      <c r="I56" s="509"/>
      <c r="J56" s="303"/>
      <c r="K56" s="419"/>
      <c r="L56" s="420"/>
      <c r="M56" s="418" t="s">
        <v>3065</v>
      </c>
      <c r="N56" s="425" t="s">
        <v>3067</v>
      </c>
      <c r="O56" s="225"/>
      <c r="P56" s="393"/>
      <c r="Q56" s="394"/>
      <c r="R56" s="444"/>
      <c r="S56" s="448"/>
      <c r="T56" s="446"/>
      <c r="U56" s="396"/>
      <c r="V56" s="394"/>
      <c r="W56" s="393"/>
    </row>
    <row r="57" spans="1:24" x14ac:dyDescent="0.2">
      <c r="A57" s="181"/>
      <c r="B57" s="247"/>
      <c r="C57" s="368" t="s">
        <v>2327</v>
      </c>
      <c r="D57" s="512"/>
      <c r="E57" s="512"/>
      <c r="F57" s="512"/>
      <c r="G57" s="512"/>
      <c r="H57" s="512"/>
      <c r="I57" s="512"/>
      <c r="J57" s="179"/>
      <c r="K57" s="421"/>
      <c r="L57" s="422"/>
      <c r="M57" s="423" t="s">
        <v>3066</v>
      </c>
      <c r="N57" s="425" t="s">
        <v>3067</v>
      </c>
      <c r="O57" s="225"/>
    </row>
    <row r="58" spans="1:24" x14ac:dyDescent="0.2">
      <c r="A58" s="181"/>
      <c r="B58" s="247"/>
      <c r="C58" s="554" t="s">
        <v>189</v>
      </c>
      <c r="D58" s="555"/>
      <c r="E58" s="555"/>
      <c r="F58" s="555"/>
      <c r="G58" s="555"/>
      <c r="H58" s="555"/>
      <c r="I58" s="555"/>
      <c r="J58" s="555"/>
      <c r="K58" s="559"/>
      <c r="L58" s="560"/>
      <c r="M58" s="320"/>
      <c r="N58" s="320"/>
      <c r="O58" s="320"/>
      <c r="P58" s="320"/>
      <c r="Q58" s="320"/>
      <c r="R58" s="370"/>
      <c r="S58" s="370"/>
      <c r="T58" s="370"/>
      <c r="U58" s="370"/>
    </row>
    <row r="59" spans="1:24" x14ac:dyDescent="0.2">
      <c r="A59" s="181"/>
      <c r="B59" s="247"/>
      <c r="C59" s="554" t="s">
        <v>194</v>
      </c>
      <c r="D59" s="555"/>
      <c r="E59" s="555"/>
      <c r="F59" s="555"/>
      <c r="G59" s="555"/>
      <c r="H59" s="555"/>
      <c r="I59" s="555"/>
      <c r="J59" s="555"/>
      <c r="K59" s="555"/>
      <c r="L59" s="556"/>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192</v>
      </c>
      <c r="E60" s="259"/>
      <c r="F60" s="260" t="s">
        <v>190</v>
      </c>
      <c r="G60" s="261"/>
      <c r="H60" s="261"/>
      <c r="I60" s="261"/>
      <c r="J60" s="262"/>
      <c r="K60" s="259"/>
      <c r="L60" s="263" t="s">
        <v>191</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193</v>
      </c>
      <c r="E61" s="259"/>
      <c r="F61" s="266" t="s">
        <v>195</v>
      </c>
      <c r="G61" s="267"/>
      <c r="H61" s="267"/>
      <c r="I61" s="268"/>
      <c r="J61" s="259"/>
      <c r="K61" s="269" t="s">
        <v>191</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2485</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cm="1">
        <f t="array" ref="B72:B85">TRANSPOSE(TUS_Worksheet!C$13:P$13)</f>
        <v>1.2</v>
      </c>
      <c r="C72" s="281">
        <v>1</v>
      </c>
      <c r="D72" s="282" cm="1">
        <f t="array" ref="D72:D111">IF(B72:B111="","",C72:C111)</f>
        <v>1</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v>1.2</v>
      </c>
      <c r="C73" s="281">
        <v>2</v>
      </c>
      <c r="D73" s="282">
        <v>2</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v>1.1000000000000001</v>
      </c>
      <c r="C74" s="281">
        <v>3</v>
      </c>
      <c r="D74" s="282">
        <v>3</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v>1.3</v>
      </c>
      <c r="C75" s="281">
        <v>4</v>
      </c>
      <c r="D75" s="282">
        <v>4</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v>1.1000000000000001</v>
      </c>
      <c r="C76" s="281">
        <v>5</v>
      </c>
      <c r="D76" s="282">
        <v>5</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v>1</v>
      </c>
      <c r="C77" s="281">
        <v>6</v>
      </c>
      <c r="D77" s="282">
        <v>6</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v>0.9</v>
      </c>
      <c r="C78" s="281">
        <v>7</v>
      </c>
      <c r="D78" s="282">
        <v>7</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v>1.3</v>
      </c>
      <c r="C79" s="281">
        <v>8</v>
      </c>
      <c r="D79" s="282">
        <v>8</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v>1.2</v>
      </c>
      <c r="C80" s="281">
        <v>9</v>
      </c>
      <c r="D80" s="282">
        <v>9</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v>1.4</v>
      </c>
      <c r="C81" s="281">
        <v>10</v>
      </c>
      <c r="D81" s="282">
        <v>10</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v>1</v>
      </c>
      <c r="C92" s="281">
        <v>21</v>
      </c>
      <c r="D92" s="282">
        <v>21</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v>1</v>
      </c>
      <c r="C93" s="281">
        <v>22</v>
      </c>
      <c r="D93" s="282">
        <v>22</v>
      </c>
      <c r="E93" s="294"/>
      <c r="F93" s="298" t="s">
        <v>637</v>
      </c>
      <c r="G93" s="299" t="e">
        <f>VLOOKUP(D19,G86:H91,2,FALSE)</f>
        <v>#N/A</v>
      </c>
      <c r="H93" s="300" t="s">
        <v>638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v>1</v>
      </c>
      <c r="C94" s="281">
        <v>23</v>
      </c>
      <c r="D94" s="282">
        <v>23</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v>0.9</v>
      </c>
      <c r="C95" s="281">
        <v>24</v>
      </c>
      <c r="D95" s="282">
        <v>24</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v>0.5</v>
      </c>
      <c r="C96" s="281">
        <v>25</v>
      </c>
      <c r="D96" s="282">
        <v>25</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v>1.5</v>
      </c>
      <c r="C97" s="281">
        <v>26</v>
      </c>
      <c r="D97" s="282">
        <v>26</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v>1.1000000000000001</v>
      </c>
      <c r="C98" s="281">
        <v>27</v>
      </c>
      <c r="D98" s="282">
        <v>27</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v>0.7</v>
      </c>
      <c r="C99" s="281">
        <v>28</v>
      </c>
      <c r="D99" s="282">
        <v>28</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cm="1">
        <f t="array" ref="B100:B111">TRANSPOSE(TUS_Worksheet!C$25:N$25)</f>
        <v>0.8</v>
      </c>
      <c r="C100" s="281">
        <v>29</v>
      </c>
      <c r="D100" s="282">
        <v>29</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v>0.8</v>
      </c>
      <c r="C101" s="281">
        <v>30</v>
      </c>
      <c r="D101" s="282">
        <v>30</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v>0.7</v>
      </c>
      <c r="C102" s="281">
        <v>31</v>
      </c>
      <c r="D102" s="282">
        <v>31</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v>1.1000000000000001</v>
      </c>
      <c r="C103" s="281">
        <v>32</v>
      </c>
      <c r="D103" s="282">
        <v>32</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v>1</v>
      </c>
      <c r="C104" s="281">
        <v>33</v>
      </c>
      <c r="D104" s="282">
        <v>33</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v>1</v>
      </c>
      <c r="C105" s="281">
        <v>34</v>
      </c>
      <c r="D105" s="282">
        <v>34</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iQBhkNV5wEAqGWDP96NEpYcv3YrJSkkrJvupQK1VXHxFn4OrRpHBpgMt+KhuES/66oODK6KFoqQLGl7TXdBOTA==" saltValue="eOdP/coIlNMTV8zpxFtS9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5296</v>
      </c>
      <c r="B1" t="s">
        <v>5535</v>
      </c>
      <c r="C1" t="s">
        <v>5536</v>
      </c>
      <c r="D1" t="s">
        <v>5537</v>
      </c>
      <c r="E1" t="s">
        <v>5538</v>
      </c>
      <c r="F1" t="s">
        <v>5533</v>
      </c>
      <c r="G1" t="s">
        <v>5522</v>
      </c>
      <c r="H1" t="s">
        <v>5503</v>
      </c>
      <c r="I1" t="s">
        <v>5523</v>
      </c>
      <c r="J1" t="s">
        <v>5508</v>
      </c>
      <c r="K1" t="s">
        <v>5509</v>
      </c>
      <c r="L1" t="s">
        <v>5510</v>
      </c>
      <c r="M1" t="s">
        <v>5524</v>
      </c>
      <c r="N1" t="s">
        <v>3728</v>
      </c>
      <c r="O1" t="s">
        <v>3729</v>
      </c>
      <c r="P1" t="s">
        <v>5297</v>
      </c>
      <c r="Q1" t="s">
        <v>5512</v>
      </c>
      <c r="R1" t="s">
        <v>5513</v>
      </c>
      <c r="S1" t="s">
        <v>5514</v>
      </c>
      <c r="T1" t="s">
        <v>5511</v>
      </c>
      <c r="U1" t="s">
        <v>5525</v>
      </c>
      <c r="V1" t="s">
        <v>5526</v>
      </c>
      <c r="W1" t="s">
        <v>5515</v>
      </c>
      <c r="X1" t="s">
        <v>5516</v>
      </c>
      <c r="Y1" t="s">
        <v>5517</v>
      </c>
      <c r="Z1" t="s">
        <v>5504</v>
      </c>
      <c r="AA1" t="s">
        <v>5505</v>
      </c>
      <c r="AB1" t="s">
        <v>5506</v>
      </c>
      <c r="AC1" t="s">
        <v>5507</v>
      </c>
      <c r="AD1" t="s">
        <v>5298</v>
      </c>
      <c r="AE1" t="s">
        <v>5299</v>
      </c>
      <c r="AF1" t="s">
        <v>5520</v>
      </c>
      <c r="AG1" t="s">
        <v>5521</v>
      </c>
      <c r="AH1" t="s">
        <v>5518</v>
      </c>
      <c r="AI1" t="s">
        <v>5519</v>
      </c>
      <c r="AJ1" t="s">
        <v>5534</v>
      </c>
      <c r="AK1" t="s">
        <v>5539</v>
      </c>
      <c r="AL1" t="s">
        <v>5540</v>
      </c>
    </row>
    <row r="2" spans="1:38" x14ac:dyDescent="0.2">
      <c r="A2">
        <v>1235344</v>
      </c>
      <c r="B2">
        <v>6864835</v>
      </c>
      <c r="C2">
        <v>7653243</v>
      </c>
      <c r="E2" t="b">
        <v>0</v>
      </c>
      <c r="G2" t="s">
        <v>5579</v>
      </c>
      <c r="I2" t="s">
        <v>5580</v>
      </c>
      <c r="J2" t="s">
        <v>5527</v>
      </c>
      <c r="K2" t="s">
        <v>5527</v>
      </c>
      <c r="L2" t="s">
        <v>5527</v>
      </c>
      <c r="M2" t="s">
        <v>5581</v>
      </c>
      <c r="N2" t="s">
        <v>5300</v>
      </c>
      <c r="O2" t="s">
        <v>2308</v>
      </c>
      <c r="P2" t="s">
        <v>143</v>
      </c>
      <c r="V2" t="s">
        <v>5582</v>
      </c>
      <c r="Y2" t="s">
        <v>5583</v>
      </c>
      <c r="AD2" t="s">
        <v>2306</v>
      </c>
      <c r="AE2" t="s">
        <v>5301</v>
      </c>
      <c r="AJ2" t="s">
        <v>5584</v>
      </c>
      <c r="AK2" t="s">
        <v>5585</v>
      </c>
      <c r="AL2" t="s">
        <v>5586</v>
      </c>
    </row>
    <row r="3" spans="1:38" x14ac:dyDescent="0.2">
      <c r="A3">
        <v>1235555</v>
      </c>
      <c r="B3">
        <v>8036587</v>
      </c>
      <c r="C3">
        <v>7589603</v>
      </c>
      <c r="E3" t="b">
        <v>0</v>
      </c>
      <c r="F3">
        <v>72040</v>
      </c>
      <c r="G3" t="s">
        <v>5587</v>
      </c>
      <c r="H3">
        <v>1</v>
      </c>
      <c r="I3" t="s">
        <v>5588</v>
      </c>
      <c r="J3" t="s">
        <v>5528</v>
      </c>
      <c r="K3" t="s">
        <v>5527</v>
      </c>
      <c r="L3" t="s">
        <v>5529</v>
      </c>
      <c r="M3" t="s">
        <v>5589</v>
      </c>
      <c r="N3" t="s">
        <v>5415</v>
      </c>
      <c r="O3" t="s">
        <v>268</v>
      </c>
      <c r="P3" t="s">
        <v>5380</v>
      </c>
      <c r="S3" t="s">
        <v>5590</v>
      </c>
      <c r="U3" t="s">
        <v>5591</v>
      </c>
      <c r="V3" t="s">
        <v>5592</v>
      </c>
      <c r="W3" t="s">
        <v>5405</v>
      </c>
      <c r="X3" t="s">
        <v>5530</v>
      </c>
      <c r="Y3" t="s">
        <v>5593</v>
      </c>
      <c r="Z3" t="s">
        <v>5543</v>
      </c>
      <c r="AB3" t="s">
        <v>5585</v>
      </c>
      <c r="AD3" t="s">
        <v>5531</v>
      </c>
      <c r="AE3" t="s">
        <v>5531</v>
      </c>
      <c r="AF3">
        <v>0</v>
      </c>
      <c r="AG3">
        <v>0</v>
      </c>
      <c r="AH3">
        <v>46</v>
      </c>
      <c r="AI3">
        <v>0</v>
      </c>
      <c r="AJ3" t="s">
        <v>5545</v>
      </c>
      <c r="AK3" t="s">
        <v>5585</v>
      </c>
      <c r="AL3" t="s">
        <v>5594</v>
      </c>
    </row>
    <row r="4" spans="1:38" x14ac:dyDescent="0.2">
      <c r="A4">
        <v>1235388</v>
      </c>
      <c r="B4">
        <v>7537859</v>
      </c>
      <c r="C4">
        <v>187510</v>
      </c>
      <c r="E4" t="b">
        <v>0</v>
      </c>
      <c r="F4">
        <v>62285</v>
      </c>
      <c r="G4" t="s">
        <v>5595</v>
      </c>
      <c r="H4">
        <v>1</v>
      </c>
      <c r="I4" t="s">
        <v>5596</v>
      </c>
      <c r="J4" t="s">
        <v>5528</v>
      </c>
      <c r="K4" t="s">
        <v>5527</v>
      </c>
      <c r="L4" t="s">
        <v>5529</v>
      </c>
      <c r="M4" t="s">
        <v>5597</v>
      </c>
      <c r="N4" t="s">
        <v>5316</v>
      </c>
      <c r="O4" t="s">
        <v>276</v>
      </c>
      <c r="P4" t="s">
        <v>5317</v>
      </c>
      <c r="S4" t="s">
        <v>5598</v>
      </c>
      <c r="U4" t="s">
        <v>5599</v>
      </c>
      <c r="V4" t="s">
        <v>5600</v>
      </c>
      <c r="W4" t="s">
        <v>5601</v>
      </c>
      <c r="X4" t="s">
        <v>5530</v>
      </c>
      <c r="Y4" t="s">
        <v>5593</v>
      </c>
      <c r="Z4" t="s">
        <v>5543</v>
      </c>
      <c r="AA4" t="s">
        <v>34</v>
      </c>
      <c r="AB4" t="s">
        <v>5602</v>
      </c>
      <c r="AD4" t="s">
        <v>275</v>
      </c>
      <c r="AE4" t="s">
        <v>5318</v>
      </c>
      <c r="AF4">
        <v>0</v>
      </c>
      <c r="AG4">
        <v>0</v>
      </c>
      <c r="AH4">
        <v>70</v>
      </c>
      <c r="AI4">
        <v>0</v>
      </c>
      <c r="AJ4" t="s">
        <v>5545</v>
      </c>
      <c r="AK4" t="s">
        <v>5602</v>
      </c>
      <c r="AL4" t="s">
        <v>5546</v>
      </c>
    </row>
    <row r="5" spans="1:38" x14ac:dyDescent="0.2">
      <c r="A5">
        <v>1235682</v>
      </c>
      <c r="B5">
        <v>7943647</v>
      </c>
      <c r="C5">
        <v>187508</v>
      </c>
      <c r="E5" t="b">
        <v>0</v>
      </c>
      <c r="F5">
        <v>69999</v>
      </c>
      <c r="G5" t="s">
        <v>5603</v>
      </c>
      <c r="H5">
        <v>1</v>
      </c>
      <c r="I5" t="s">
        <v>5604</v>
      </c>
      <c r="J5" t="s">
        <v>5528</v>
      </c>
      <c r="K5" t="s">
        <v>5529</v>
      </c>
      <c r="L5" t="s">
        <v>5529</v>
      </c>
      <c r="M5" t="s">
        <v>5605</v>
      </c>
      <c r="N5" t="s">
        <v>5456</v>
      </c>
      <c r="O5" t="s">
        <v>59</v>
      </c>
      <c r="S5" t="s">
        <v>5541</v>
      </c>
      <c r="U5" t="s">
        <v>5606</v>
      </c>
      <c r="V5" t="s">
        <v>5607</v>
      </c>
      <c r="W5" t="s">
        <v>5405</v>
      </c>
      <c r="X5" t="s">
        <v>5530</v>
      </c>
      <c r="Y5" t="s">
        <v>5542</v>
      </c>
      <c r="Z5" t="s">
        <v>5543</v>
      </c>
      <c r="AA5" t="s">
        <v>34</v>
      </c>
      <c r="AB5" t="s">
        <v>5544</v>
      </c>
      <c r="AD5" t="s">
        <v>5457</v>
      </c>
      <c r="AE5" t="s">
        <v>5362</v>
      </c>
      <c r="AF5">
        <v>0</v>
      </c>
      <c r="AG5">
        <v>0</v>
      </c>
      <c r="AH5">
        <v>392.75</v>
      </c>
      <c r="AI5">
        <v>0</v>
      </c>
      <c r="AJ5" t="s">
        <v>5545</v>
      </c>
      <c r="AK5" t="s">
        <v>5544</v>
      </c>
      <c r="AL5" t="s">
        <v>5546</v>
      </c>
    </row>
    <row r="6" spans="1:38" x14ac:dyDescent="0.2">
      <c r="A6">
        <v>1235426</v>
      </c>
      <c r="B6">
        <v>8035840</v>
      </c>
      <c r="C6">
        <v>187508</v>
      </c>
      <c r="E6" t="b">
        <v>0</v>
      </c>
      <c r="F6">
        <v>72024</v>
      </c>
      <c r="G6" t="s">
        <v>5558</v>
      </c>
      <c r="H6">
        <v>1</v>
      </c>
      <c r="I6" t="s">
        <v>5559</v>
      </c>
      <c r="J6" t="s">
        <v>5528</v>
      </c>
      <c r="K6" t="s">
        <v>5529</v>
      </c>
      <c r="L6" t="s">
        <v>5529</v>
      </c>
      <c r="M6" t="s">
        <v>5608</v>
      </c>
      <c r="N6" t="s">
        <v>5360</v>
      </c>
      <c r="O6" t="s">
        <v>71</v>
      </c>
      <c r="S6" t="s">
        <v>5541</v>
      </c>
      <c r="U6" t="s">
        <v>5609</v>
      </c>
      <c r="V6" t="s">
        <v>5610</v>
      </c>
      <c r="W6" t="s">
        <v>5405</v>
      </c>
      <c r="X6" t="s">
        <v>5530</v>
      </c>
      <c r="Y6" t="s">
        <v>5542</v>
      </c>
      <c r="Z6" t="s">
        <v>5543</v>
      </c>
      <c r="AA6" t="s">
        <v>34</v>
      </c>
      <c r="AB6" t="s">
        <v>5544</v>
      </c>
      <c r="AD6" t="s">
        <v>5361</v>
      </c>
      <c r="AE6" t="s">
        <v>5362</v>
      </c>
      <c r="AF6">
        <v>0</v>
      </c>
      <c r="AG6">
        <v>0</v>
      </c>
      <c r="AH6">
        <v>392.75</v>
      </c>
      <c r="AI6">
        <v>0</v>
      </c>
      <c r="AJ6" t="s">
        <v>5545</v>
      </c>
      <c r="AK6" t="s">
        <v>5544</v>
      </c>
      <c r="AL6" t="s">
        <v>5546</v>
      </c>
    </row>
    <row r="7" spans="1:38" x14ac:dyDescent="0.2">
      <c r="A7">
        <v>1235686</v>
      </c>
      <c r="B7">
        <v>8143520</v>
      </c>
      <c r="C7">
        <v>187508</v>
      </c>
      <c r="E7" t="b">
        <v>0</v>
      </c>
      <c r="F7">
        <v>73531</v>
      </c>
      <c r="G7" t="s">
        <v>5555</v>
      </c>
      <c r="H7">
        <v>1</v>
      </c>
      <c r="I7" t="s">
        <v>5556</v>
      </c>
      <c r="J7" t="s">
        <v>5528</v>
      </c>
      <c r="K7" t="s">
        <v>5529</v>
      </c>
      <c r="L7" t="s">
        <v>5529</v>
      </c>
      <c r="M7" t="s">
        <v>5611</v>
      </c>
      <c r="N7" t="s">
        <v>5459</v>
      </c>
      <c r="O7" t="s">
        <v>75</v>
      </c>
      <c r="S7" t="s">
        <v>5541</v>
      </c>
      <c r="U7" t="s">
        <v>5612</v>
      </c>
      <c r="V7" t="s">
        <v>5613</v>
      </c>
      <c r="W7" t="s">
        <v>5405</v>
      </c>
      <c r="X7" t="s">
        <v>5530</v>
      </c>
      <c r="Y7" t="s">
        <v>5542</v>
      </c>
      <c r="Z7" t="s">
        <v>5543</v>
      </c>
      <c r="AA7" t="s">
        <v>34</v>
      </c>
      <c r="AB7" t="s">
        <v>5544</v>
      </c>
      <c r="AD7" t="s">
        <v>5460</v>
      </c>
      <c r="AE7" t="s">
        <v>5461</v>
      </c>
      <c r="AF7">
        <v>0</v>
      </c>
      <c r="AG7">
        <v>0</v>
      </c>
      <c r="AH7">
        <v>392.75</v>
      </c>
      <c r="AI7">
        <v>0</v>
      </c>
      <c r="AJ7" t="s">
        <v>5545</v>
      </c>
      <c r="AK7" t="s">
        <v>5544</v>
      </c>
      <c r="AL7" t="s">
        <v>5546</v>
      </c>
    </row>
    <row r="8" spans="1:38" x14ac:dyDescent="0.2">
      <c r="A8">
        <v>1235630</v>
      </c>
      <c r="B8">
        <v>7925909</v>
      </c>
      <c r="C8">
        <v>187508</v>
      </c>
      <c r="E8" t="b">
        <v>0</v>
      </c>
      <c r="F8">
        <v>69663</v>
      </c>
      <c r="G8" t="s">
        <v>5614</v>
      </c>
      <c r="H8">
        <v>1</v>
      </c>
      <c r="I8" t="s">
        <v>5615</v>
      </c>
      <c r="J8" t="s">
        <v>5528</v>
      </c>
      <c r="K8" t="s">
        <v>5529</v>
      </c>
      <c r="L8" t="s">
        <v>5529</v>
      </c>
      <c r="M8" t="s">
        <v>5616</v>
      </c>
      <c r="N8" t="s">
        <v>5442</v>
      </c>
      <c r="O8" t="s">
        <v>137</v>
      </c>
      <c r="S8" t="s">
        <v>5541</v>
      </c>
      <c r="U8" t="s">
        <v>5617</v>
      </c>
      <c r="V8" t="s">
        <v>5618</v>
      </c>
      <c r="W8" t="s">
        <v>5405</v>
      </c>
      <c r="X8" t="s">
        <v>5530</v>
      </c>
      <c r="Y8" t="s">
        <v>5542</v>
      </c>
      <c r="Z8" t="s">
        <v>5543</v>
      </c>
      <c r="AA8" t="s">
        <v>34</v>
      </c>
      <c r="AB8" t="s">
        <v>5544</v>
      </c>
      <c r="AD8" t="s">
        <v>5443</v>
      </c>
      <c r="AE8" t="s">
        <v>5362</v>
      </c>
      <c r="AF8">
        <v>0</v>
      </c>
      <c r="AG8">
        <v>0</v>
      </c>
      <c r="AH8">
        <v>392.75</v>
      </c>
      <c r="AI8">
        <v>0</v>
      </c>
      <c r="AJ8" t="s">
        <v>5545</v>
      </c>
      <c r="AK8" t="s">
        <v>5544</v>
      </c>
      <c r="AL8" t="s">
        <v>5546</v>
      </c>
    </row>
    <row r="9" spans="1:38" x14ac:dyDescent="0.2">
      <c r="A9">
        <v>1235561</v>
      </c>
      <c r="B9">
        <v>7925915</v>
      </c>
      <c r="C9">
        <v>187508</v>
      </c>
      <c r="E9" t="b">
        <v>0</v>
      </c>
      <c r="F9">
        <v>69665</v>
      </c>
      <c r="G9" t="s">
        <v>5619</v>
      </c>
      <c r="H9">
        <v>1</v>
      </c>
      <c r="I9" t="s">
        <v>5620</v>
      </c>
      <c r="J9" t="s">
        <v>5528</v>
      </c>
      <c r="K9" t="s">
        <v>5529</v>
      </c>
      <c r="L9" t="s">
        <v>5529</v>
      </c>
      <c r="M9" t="s">
        <v>5621</v>
      </c>
      <c r="N9" t="s">
        <v>5420</v>
      </c>
      <c r="O9" t="s">
        <v>141</v>
      </c>
      <c r="S9" t="s">
        <v>5541</v>
      </c>
      <c r="U9" t="s">
        <v>5617</v>
      </c>
      <c r="V9" t="s">
        <v>5622</v>
      </c>
      <c r="W9" t="s">
        <v>5405</v>
      </c>
      <c r="X9" t="s">
        <v>5530</v>
      </c>
      <c r="Y9" t="s">
        <v>5542</v>
      </c>
      <c r="Z9" t="s">
        <v>5543</v>
      </c>
      <c r="AA9" t="s">
        <v>34</v>
      </c>
      <c r="AB9" t="s">
        <v>5544</v>
      </c>
      <c r="AD9" t="s">
        <v>5421</v>
      </c>
      <c r="AE9" t="s">
        <v>5422</v>
      </c>
      <c r="AF9">
        <v>0</v>
      </c>
      <c r="AG9">
        <v>0</v>
      </c>
      <c r="AH9">
        <v>392.75</v>
      </c>
      <c r="AI9">
        <v>0</v>
      </c>
      <c r="AJ9" t="s">
        <v>5545</v>
      </c>
      <c r="AK9" t="s">
        <v>5544</v>
      </c>
      <c r="AL9" t="s">
        <v>5546</v>
      </c>
    </row>
    <row r="10" spans="1:38" x14ac:dyDescent="0.2">
      <c r="A10">
        <v>1235543</v>
      </c>
      <c r="B10">
        <v>8075187</v>
      </c>
      <c r="C10">
        <v>187508</v>
      </c>
      <c r="E10" t="b">
        <v>0</v>
      </c>
      <c r="F10">
        <v>72822</v>
      </c>
      <c r="G10" t="s">
        <v>5623</v>
      </c>
      <c r="H10">
        <v>1</v>
      </c>
      <c r="I10" t="s">
        <v>5624</v>
      </c>
      <c r="J10" t="s">
        <v>5528</v>
      </c>
      <c r="K10" t="s">
        <v>5529</v>
      </c>
      <c r="L10" t="s">
        <v>5529</v>
      </c>
      <c r="M10" t="s">
        <v>5625</v>
      </c>
      <c r="N10" t="s">
        <v>5412</v>
      </c>
      <c r="O10" t="s">
        <v>140</v>
      </c>
      <c r="S10" t="s">
        <v>5541</v>
      </c>
      <c r="U10" t="s">
        <v>5626</v>
      </c>
      <c r="V10" t="s">
        <v>5627</v>
      </c>
      <c r="W10" t="s">
        <v>5405</v>
      </c>
      <c r="X10" t="s">
        <v>5530</v>
      </c>
      <c r="Y10" t="s">
        <v>5542</v>
      </c>
      <c r="Z10" t="s">
        <v>5543</v>
      </c>
      <c r="AA10" t="s">
        <v>34</v>
      </c>
      <c r="AB10" t="s">
        <v>5544</v>
      </c>
      <c r="AD10" t="s">
        <v>5361</v>
      </c>
      <c r="AE10" t="s">
        <v>5413</v>
      </c>
      <c r="AF10">
        <v>0</v>
      </c>
      <c r="AG10">
        <v>0</v>
      </c>
      <c r="AH10">
        <v>392.75</v>
      </c>
      <c r="AI10">
        <v>0</v>
      </c>
      <c r="AJ10" t="s">
        <v>5545</v>
      </c>
      <c r="AK10" t="s">
        <v>5544</v>
      </c>
      <c r="AL10" t="s">
        <v>5546</v>
      </c>
    </row>
    <row r="11" spans="1:38" x14ac:dyDescent="0.2">
      <c r="A11">
        <v>1235622</v>
      </c>
      <c r="B11">
        <v>7925914</v>
      </c>
      <c r="C11">
        <v>187508</v>
      </c>
      <c r="E11" t="b">
        <v>0</v>
      </c>
      <c r="F11">
        <v>69664</v>
      </c>
      <c r="G11" t="s">
        <v>5628</v>
      </c>
      <c r="H11">
        <v>1</v>
      </c>
      <c r="I11" t="s">
        <v>5629</v>
      </c>
      <c r="J11" t="s">
        <v>5528</v>
      </c>
      <c r="K11" t="s">
        <v>5529</v>
      </c>
      <c r="L11" t="s">
        <v>5529</v>
      </c>
      <c r="M11" t="s">
        <v>5630</v>
      </c>
      <c r="N11" t="s">
        <v>5436</v>
      </c>
      <c r="O11" t="s">
        <v>188</v>
      </c>
      <c r="S11" t="s">
        <v>5541</v>
      </c>
      <c r="U11" t="s">
        <v>5617</v>
      </c>
      <c r="V11" t="s">
        <v>5631</v>
      </c>
      <c r="W11" t="s">
        <v>5405</v>
      </c>
      <c r="X11" t="s">
        <v>5530</v>
      </c>
      <c r="Y11" t="s">
        <v>5542</v>
      </c>
      <c r="Z11" t="s">
        <v>5543</v>
      </c>
      <c r="AA11" t="s">
        <v>34</v>
      </c>
      <c r="AB11" t="s">
        <v>5544</v>
      </c>
      <c r="AD11" t="s">
        <v>5437</v>
      </c>
      <c r="AE11" t="s">
        <v>5438</v>
      </c>
      <c r="AF11">
        <v>0</v>
      </c>
      <c r="AG11">
        <v>0</v>
      </c>
      <c r="AH11">
        <v>392.75</v>
      </c>
      <c r="AI11">
        <v>0</v>
      </c>
      <c r="AJ11" t="s">
        <v>5545</v>
      </c>
      <c r="AK11" t="s">
        <v>5544</v>
      </c>
      <c r="AL11" t="s">
        <v>5546</v>
      </c>
    </row>
    <row r="12" spans="1:38" x14ac:dyDescent="0.2">
      <c r="A12">
        <v>1235403</v>
      </c>
      <c r="B12">
        <v>7975239</v>
      </c>
      <c r="C12">
        <v>187508</v>
      </c>
      <c r="E12" t="b">
        <v>0</v>
      </c>
      <c r="F12">
        <v>70613</v>
      </c>
      <c r="G12" t="s">
        <v>5632</v>
      </c>
      <c r="H12">
        <v>3</v>
      </c>
      <c r="I12" t="s">
        <v>5633</v>
      </c>
      <c r="J12" t="s">
        <v>5528</v>
      </c>
      <c r="K12" t="s">
        <v>5529</v>
      </c>
      <c r="L12" t="s">
        <v>5529</v>
      </c>
      <c r="M12" t="s">
        <v>5634</v>
      </c>
      <c r="N12" t="s">
        <v>5342</v>
      </c>
      <c r="O12" t="s">
        <v>216</v>
      </c>
      <c r="P12" t="s">
        <v>135</v>
      </c>
      <c r="S12" t="s">
        <v>5635</v>
      </c>
      <c r="U12" t="s">
        <v>5636</v>
      </c>
      <c r="V12" t="s">
        <v>5637</v>
      </c>
      <c r="W12" t="s">
        <v>5405</v>
      </c>
      <c r="X12" t="s">
        <v>5530</v>
      </c>
      <c r="Y12" t="s">
        <v>5542</v>
      </c>
      <c r="Z12" t="s">
        <v>5543</v>
      </c>
      <c r="AA12" t="s">
        <v>34</v>
      </c>
      <c r="AB12" t="s">
        <v>5544</v>
      </c>
      <c r="AD12" t="s">
        <v>215</v>
      </c>
      <c r="AE12" t="s">
        <v>5343</v>
      </c>
      <c r="AF12">
        <v>0</v>
      </c>
      <c r="AG12">
        <v>0</v>
      </c>
      <c r="AH12">
        <v>418.5</v>
      </c>
      <c r="AI12">
        <v>0</v>
      </c>
      <c r="AJ12" t="s">
        <v>5545</v>
      </c>
      <c r="AK12" t="s">
        <v>5544</v>
      </c>
      <c r="AL12" t="s">
        <v>5546</v>
      </c>
    </row>
    <row r="13" spans="1:38" x14ac:dyDescent="0.2">
      <c r="A13">
        <v>1235569</v>
      </c>
      <c r="B13">
        <v>7975237</v>
      </c>
      <c r="C13">
        <v>187508</v>
      </c>
      <c r="E13" t="b">
        <v>0</v>
      </c>
      <c r="F13">
        <v>70613</v>
      </c>
      <c r="G13" t="s">
        <v>5632</v>
      </c>
      <c r="H13">
        <v>1</v>
      </c>
      <c r="I13" t="s">
        <v>5638</v>
      </c>
      <c r="J13" t="s">
        <v>5528</v>
      </c>
      <c r="K13" t="s">
        <v>5529</v>
      </c>
      <c r="L13" t="s">
        <v>5529</v>
      </c>
      <c r="M13" t="s">
        <v>5639</v>
      </c>
      <c r="N13" t="s">
        <v>5429</v>
      </c>
      <c r="O13" t="s">
        <v>218</v>
      </c>
      <c r="P13" t="s">
        <v>5430</v>
      </c>
      <c r="S13" t="s">
        <v>5635</v>
      </c>
      <c r="U13" t="s">
        <v>5636</v>
      </c>
      <c r="V13" t="s">
        <v>5640</v>
      </c>
      <c r="W13" t="s">
        <v>5405</v>
      </c>
      <c r="X13" t="s">
        <v>5530</v>
      </c>
      <c r="Y13" t="s">
        <v>5542</v>
      </c>
      <c r="Z13" t="s">
        <v>5543</v>
      </c>
      <c r="AA13" t="s">
        <v>34</v>
      </c>
      <c r="AB13" t="s">
        <v>5544</v>
      </c>
      <c r="AD13" t="s">
        <v>217</v>
      </c>
      <c r="AE13" t="s">
        <v>5343</v>
      </c>
      <c r="AF13">
        <v>0</v>
      </c>
      <c r="AG13">
        <v>0</v>
      </c>
      <c r="AH13">
        <v>418.5</v>
      </c>
      <c r="AI13">
        <v>0</v>
      </c>
      <c r="AJ13" t="s">
        <v>5545</v>
      </c>
      <c r="AK13" t="s">
        <v>5544</v>
      </c>
      <c r="AL13" t="s">
        <v>5546</v>
      </c>
    </row>
    <row r="14" spans="1:38" x14ac:dyDescent="0.2">
      <c r="A14">
        <v>1235743</v>
      </c>
      <c r="B14">
        <v>7975241</v>
      </c>
      <c r="C14">
        <v>187508</v>
      </c>
      <c r="E14" t="b">
        <v>0</v>
      </c>
      <c r="F14">
        <v>70613</v>
      </c>
      <c r="G14" t="s">
        <v>5632</v>
      </c>
      <c r="H14">
        <v>5</v>
      </c>
      <c r="I14" t="s">
        <v>5641</v>
      </c>
      <c r="J14" t="s">
        <v>5528</v>
      </c>
      <c r="K14" t="s">
        <v>5529</v>
      </c>
      <c r="L14" t="s">
        <v>5529</v>
      </c>
      <c r="M14" t="s">
        <v>5642</v>
      </c>
      <c r="N14" t="s">
        <v>5466</v>
      </c>
      <c r="O14" t="s">
        <v>5468</v>
      </c>
      <c r="P14" t="s">
        <v>5467</v>
      </c>
      <c r="S14" t="s">
        <v>5635</v>
      </c>
      <c r="U14" t="s">
        <v>5636</v>
      </c>
      <c r="V14" t="s">
        <v>5643</v>
      </c>
      <c r="W14" t="s">
        <v>5405</v>
      </c>
      <c r="X14" t="s">
        <v>5530</v>
      </c>
      <c r="Y14" t="s">
        <v>5542</v>
      </c>
      <c r="Z14" t="s">
        <v>5543</v>
      </c>
      <c r="AA14" t="s">
        <v>34</v>
      </c>
      <c r="AB14" t="s">
        <v>5544</v>
      </c>
      <c r="AD14" t="s">
        <v>5469</v>
      </c>
      <c r="AE14" t="s">
        <v>5343</v>
      </c>
      <c r="AF14">
        <v>0</v>
      </c>
      <c r="AG14">
        <v>0</v>
      </c>
      <c r="AH14">
        <v>418.5</v>
      </c>
      <c r="AI14">
        <v>0</v>
      </c>
      <c r="AJ14" t="s">
        <v>5545</v>
      </c>
      <c r="AK14" t="s">
        <v>5544</v>
      </c>
      <c r="AL14" t="s">
        <v>5546</v>
      </c>
    </row>
    <row r="15" spans="1:38" x14ac:dyDescent="0.2">
      <c r="A15">
        <v>2550412</v>
      </c>
      <c r="B15">
        <v>7975245</v>
      </c>
      <c r="C15">
        <v>187508</v>
      </c>
      <c r="E15" t="b">
        <v>0</v>
      </c>
      <c r="F15">
        <v>70613</v>
      </c>
      <c r="G15" t="s">
        <v>5632</v>
      </c>
      <c r="H15">
        <v>9</v>
      </c>
      <c r="I15" t="s">
        <v>5644</v>
      </c>
      <c r="J15" t="s">
        <v>5528</v>
      </c>
      <c r="K15" t="s">
        <v>5529</v>
      </c>
      <c r="L15" t="s">
        <v>5529</v>
      </c>
      <c r="M15" t="s">
        <v>5645</v>
      </c>
      <c r="N15" t="s">
        <v>5484</v>
      </c>
      <c r="O15" t="s">
        <v>5485</v>
      </c>
      <c r="P15" t="s">
        <v>3499</v>
      </c>
      <c r="S15" t="s">
        <v>5635</v>
      </c>
      <c r="U15" t="s">
        <v>5636</v>
      </c>
      <c r="V15" t="s">
        <v>5646</v>
      </c>
      <c r="W15" t="s">
        <v>5405</v>
      </c>
      <c r="X15" t="s">
        <v>5530</v>
      </c>
      <c r="Y15" t="s">
        <v>5542</v>
      </c>
      <c r="Z15" t="s">
        <v>5543</v>
      </c>
      <c r="AA15" t="s">
        <v>34</v>
      </c>
      <c r="AB15" t="s">
        <v>5544</v>
      </c>
      <c r="AD15" t="s">
        <v>5486</v>
      </c>
      <c r="AE15" t="s">
        <v>5487</v>
      </c>
      <c r="AF15">
        <v>0</v>
      </c>
      <c r="AG15">
        <v>0</v>
      </c>
      <c r="AH15">
        <v>418.5</v>
      </c>
      <c r="AI15">
        <v>0</v>
      </c>
      <c r="AJ15" t="s">
        <v>5545</v>
      </c>
      <c r="AK15" t="s">
        <v>5544</v>
      </c>
      <c r="AL15" t="s">
        <v>5546</v>
      </c>
    </row>
    <row r="16" spans="1:38" x14ac:dyDescent="0.2">
      <c r="A16">
        <v>1446161</v>
      </c>
      <c r="B16">
        <v>7975243</v>
      </c>
      <c r="C16">
        <v>187508</v>
      </c>
      <c r="E16" t="b">
        <v>0</v>
      </c>
      <c r="F16">
        <v>70613</v>
      </c>
      <c r="G16" t="s">
        <v>5632</v>
      </c>
      <c r="H16">
        <v>7</v>
      </c>
      <c r="I16" t="s">
        <v>5647</v>
      </c>
      <c r="J16" t="s">
        <v>5528</v>
      </c>
      <c r="K16" t="s">
        <v>5529</v>
      </c>
      <c r="L16" t="s">
        <v>5529</v>
      </c>
      <c r="M16" t="s">
        <v>5648</v>
      </c>
      <c r="N16" t="s">
        <v>5476</v>
      </c>
      <c r="O16" t="s">
        <v>5478</v>
      </c>
      <c r="P16" t="s">
        <v>5477</v>
      </c>
      <c r="S16" t="s">
        <v>5635</v>
      </c>
      <c r="U16" t="s">
        <v>5636</v>
      </c>
      <c r="V16" t="s">
        <v>5649</v>
      </c>
      <c r="W16" t="s">
        <v>5405</v>
      </c>
      <c r="X16" t="s">
        <v>5530</v>
      </c>
      <c r="Y16" t="s">
        <v>5542</v>
      </c>
      <c r="Z16" t="s">
        <v>5543</v>
      </c>
      <c r="AA16" t="s">
        <v>34</v>
      </c>
      <c r="AB16" t="s">
        <v>5544</v>
      </c>
      <c r="AD16" t="s">
        <v>5479</v>
      </c>
      <c r="AE16" t="s">
        <v>5343</v>
      </c>
      <c r="AF16">
        <v>0</v>
      </c>
      <c r="AG16">
        <v>0</v>
      </c>
      <c r="AH16">
        <v>418.5</v>
      </c>
      <c r="AI16">
        <v>0</v>
      </c>
      <c r="AJ16" t="s">
        <v>5545</v>
      </c>
      <c r="AK16" t="s">
        <v>5544</v>
      </c>
      <c r="AL16" t="s">
        <v>5546</v>
      </c>
    </row>
    <row r="17" spans="1:38" x14ac:dyDescent="0.2">
      <c r="A17">
        <v>2701517</v>
      </c>
      <c r="B17">
        <v>7975246</v>
      </c>
      <c r="C17">
        <v>187508</v>
      </c>
      <c r="E17" t="b">
        <v>0</v>
      </c>
      <c r="F17">
        <v>70613</v>
      </c>
      <c r="G17" t="s">
        <v>5632</v>
      </c>
      <c r="H17">
        <v>10</v>
      </c>
      <c r="I17" t="s">
        <v>5650</v>
      </c>
      <c r="J17" t="s">
        <v>5528</v>
      </c>
      <c r="K17" t="s">
        <v>5529</v>
      </c>
      <c r="L17" t="s">
        <v>5529</v>
      </c>
      <c r="M17" t="s">
        <v>5651</v>
      </c>
      <c r="N17" t="s">
        <v>5489</v>
      </c>
      <c r="O17" t="s">
        <v>5491</v>
      </c>
      <c r="P17" t="s">
        <v>5490</v>
      </c>
      <c r="S17" t="s">
        <v>5635</v>
      </c>
      <c r="U17" t="s">
        <v>5636</v>
      </c>
      <c r="V17" t="s">
        <v>5652</v>
      </c>
      <c r="W17" t="s">
        <v>5405</v>
      </c>
      <c r="X17" t="s">
        <v>5530</v>
      </c>
      <c r="Y17" t="s">
        <v>5542</v>
      </c>
      <c r="Z17" t="s">
        <v>5543</v>
      </c>
      <c r="AA17" t="s">
        <v>34</v>
      </c>
      <c r="AB17" t="s">
        <v>5544</v>
      </c>
      <c r="AD17" t="s">
        <v>219</v>
      </c>
      <c r="AE17" t="s">
        <v>5343</v>
      </c>
      <c r="AF17">
        <v>0</v>
      </c>
      <c r="AG17">
        <v>0</v>
      </c>
      <c r="AH17">
        <v>418.5</v>
      </c>
      <c r="AI17">
        <v>0</v>
      </c>
      <c r="AJ17" t="s">
        <v>5545</v>
      </c>
      <c r="AK17" t="s">
        <v>5544</v>
      </c>
      <c r="AL17" t="s">
        <v>5546</v>
      </c>
    </row>
    <row r="18" spans="1:38" x14ac:dyDescent="0.2">
      <c r="A18">
        <v>2336905</v>
      </c>
      <c r="B18">
        <v>7975244</v>
      </c>
      <c r="C18">
        <v>187508</v>
      </c>
      <c r="E18" t="b">
        <v>0</v>
      </c>
      <c r="F18">
        <v>70613</v>
      </c>
      <c r="G18" t="s">
        <v>5632</v>
      </c>
      <c r="H18">
        <v>8</v>
      </c>
      <c r="I18" t="s">
        <v>5653</v>
      </c>
      <c r="J18" t="s">
        <v>5528</v>
      </c>
      <c r="K18" t="s">
        <v>5529</v>
      </c>
      <c r="L18" t="s">
        <v>5529</v>
      </c>
      <c r="M18" t="s">
        <v>5654</v>
      </c>
      <c r="N18" t="s">
        <v>5480</v>
      </c>
      <c r="O18" t="s">
        <v>5482</v>
      </c>
      <c r="P18" t="s">
        <v>5481</v>
      </c>
      <c r="S18" t="s">
        <v>5635</v>
      </c>
      <c r="U18" t="s">
        <v>5636</v>
      </c>
      <c r="V18" t="s">
        <v>5655</v>
      </c>
      <c r="W18" t="s">
        <v>5405</v>
      </c>
      <c r="X18" t="s">
        <v>5530</v>
      </c>
      <c r="Y18" t="s">
        <v>5542</v>
      </c>
      <c r="Z18" t="s">
        <v>5543</v>
      </c>
      <c r="AA18" t="s">
        <v>34</v>
      </c>
      <c r="AB18" t="s">
        <v>5544</v>
      </c>
      <c r="AD18" t="s">
        <v>5483</v>
      </c>
      <c r="AE18" t="s">
        <v>5343</v>
      </c>
      <c r="AF18">
        <v>0</v>
      </c>
      <c r="AG18">
        <v>0</v>
      </c>
      <c r="AH18">
        <v>418.5</v>
      </c>
      <c r="AI18">
        <v>0</v>
      </c>
      <c r="AJ18" t="s">
        <v>5545</v>
      </c>
      <c r="AK18" t="s">
        <v>5544</v>
      </c>
      <c r="AL18" t="s">
        <v>5546</v>
      </c>
    </row>
    <row r="19" spans="1:38" x14ac:dyDescent="0.2">
      <c r="A19">
        <v>1235639</v>
      </c>
      <c r="B19">
        <v>7975242</v>
      </c>
      <c r="C19">
        <v>187508</v>
      </c>
      <c r="E19" t="b">
        <v>0</v>
      </c>
      <c r="F19">
        <v>70613</v>
      </c>
      <c r="G19" t="s">
        <v>5632</v>
      </c>
      <c r="H19">
        <v>6</v>
      </c>
      <c r="I19" t="s">
        <v>5656</v>
      </c>
      <c r="J19" t="s">
        <v>5528</v>
      </c>
      <c r="K19" t="s">
        <v>5529</v>
      </c>
      <c r="L19" t="s">
        <v>5529</v>
      </c>
      <c r="M19" t="s">
        <v>5657</v>
      </c>
      <c r="N19" t="s">
        <v>5444</v>
      </c>
      <c r="O19" t="s">
        <v>214</v>
      </c>
      <c r="P19" t="s">
        <v>5445</v>
      </c>
      <c r="S19" t="s">
        <v>5635</v>
      </c>
      <c r="U19" t="s">
        <v>5636</v>
      </c>
      <c r="V19" t="s">
        <v>5658</v>
      </c>
      <c r="W19" t="s">
        <v>5405</v>
      </c>
      <c r="X19" t="s">
        <v>5530</v>
      </c>
      <c r="Y19" t="s">
        <v>5542</v>
      </c>
      <c r="Z19" t="s">
        <v>5543</v>
      </c>
      <c r="AA19" t="s">
        <v>34</v>
      </c>
      <c r="AB19" t="s">
        <v>5544</v>
      </c>
      <c r="AD19" t="s">
        <v>213</v>
      </c>
      <c r="AE19" t="s">
        <v>5343</v>
      </c>
      <c r="AF19">
        <v>0</v>
      </c>
      <c r="AG19">
        <v>0</v>
      </c>
      <c r="AH19">
        <v>418.5</v>
      </c>
      <c r="AI19">
        <v>0</v>
      </c>
      <c r="AJ19" t="s">
        <v>5545</v>
      </c>
      <c r="AK19" t="s">
        <v>5544</v>
      </c>
      <c r="AL19" t="s">
        <v>5546</v>
      </c>
    </row>
    <row r="20" spans="1:38" x14ac:dyDescent="0.2">
      <c r="A20">
        <v>1235626</v>
      </c>
      <c r="B20">
        <v>7975238</v>
      </c>
      <c r="C20">
        <v>187508</v>
      </c>
      <c r="E20" t="b">
        <v>0</v>
      </c>
      <c r="F20">
        <v>70613</v>
      </c>
      <c r="G20" t="s">
        <v>5632</v>
      </c>
      <c r="H20">
        <v>2</v>
      </c>
      <c r="I20" t="s">
        <v>5659</v>
      </c>
      <c r="J20" t="s">
        <v>5528</v>
      </c>
      <c r="K20" t="s">
        <v>5529</v>
      </c>
      <c r="L20" t="s">
        <v>5529</v>
      </c>
      <c r="M20" t="s">
        <v>5660</v>
      </c>
      <c r="N20" t="s">
        <v>5439</v>
      </c>
      <c r="O20" t="s">
        <v>222</v>
      </c>
      <c r="P20" t="s">
        <v>5440</v>
      </c>
      <c r="S20" t="s">
        <v>5635</v>
      </c>
      <c r="U20" t="s">
        <v>5636</v>
      </c>
      <c r="V20" t="s">
        <v>5661</v>
      </c>
      <c r="W20" t="s">
        <v>5405</v>
      </c>
      <c r="X20" t="s">
        <v>5530</v>
      </c>
      <c r="Y20" t="s">
        <v>5542</v>
      </c>
      <c r="Z20" t="s">
        <v>5543</v>
      </c>
      <c r="AA20" t="s">
        <v>34</v>
      </c>
      <c r="AB20" t="s">
        <v>5544</v>
      </c>
      <c r="AD20" t="s">
        <v>221</v>
      </c>
      <c r="AE20" t="s">
        <v>5343</v>
      </c>
      <c r="AF20">
        <v>0</v>
      </c>
      <c r="AG20">
        <v>0</v>
      </c>
      <c r="AH20">
        <v>418.5</v>
      </c>
      <c r="AI20">
        <v>0</v>
      </c>
      <c r="AJ20" t="s">
        <v>5545</v>
      </c>
      <c r="AK20" t="s">
        <v>5544</v>
      </c>
      <c r="AL20" t="s">
        <v>5546</v>
      </c>
    </row>
    <row r="21" spans="1:38" x14ac:dyDescent="0.2">
      <c r="A21">
        <v>1235522</v>
      </c>
      <c r="B21">
        <v>7975240</v>
      </c>
      <c r="C21">
        <v>187508</v>
      </c>
      <c r="E21" t="b">
        <v>0</v>
      </c>
      <c r="F21">
        <v>70613</v>
      </c>
      <c r="G21" t="s">
        <v>5632</v>
      </c>
      <c r="H21">
        <v>4</v>
      </c>
      <c r="I21" t="s">
        <v>5662</v>
      </c>
      <c r="J21" t="s">
        <v>5528</v>
      </c>
      <c r="K21" t="s">
        <v>5529</v>
      </c>
      <c r="L21" t="s">
        <v>5529</v>
      </c>
      <c r="M21" t="s">
        <v>5663</v>
      </c>
      <c r="N21" t="s">
        <v>5404</v>
      </c>
      <c r="O21" t="s">
        <v>220</v>
      </c>
      <c r="P21" t="s">
        <v>5405</v>
      </c>
      <c r="S21" t="s">
        <v>5635</v>
      </c>
      <c r="U21" t="s">
        <v>5636</v>
      </c>
      <c r="V21" t="s">
        <v>5664</v>
      </c>
      <c r="W21" t="s">
        <v>5405</v>
      </c>
      <c r="X21" t="s">
        <v>5530</v>
      </c>
      <c r="Y21" t="s">
        <v>5542</v>
      </c>
      <c r="Z21" t="s">
        <v>5543</v>
      </c>
      <c r="AA21" t="s">
        <v>34</v>
      </c>
      <c r="AB21" t="s">
        <v>5544</v>
      </c>
      <c r="AD21" t="s">
        <v>219</v>
      </c>
      <c r="AE21" t="s">
        <v>5343</v>
      </c>
      <c r="AF21">
        <v>0</v>
      </c>
      <c r="AG21">
        <v>0</v>
      </c>
      <c r="AH21">
        <v>418.5</v>
      </c>
      <c r="AI21">
        <v>0</v>
      </c>
      <c r="AJ21" t="s">
        <v>5545</v>
      </c>
      <c r="AK21" t="s">
        <v>5544</v>
      </c>
      <c r="AL21" t="s">
        <v>5546</v>
      </c>
    </row>
    <row r="23" spans="1:38" x14ac:dyDescent="0.2">
      <c r="A23">
        <v>1235770</v>
      </c>
      <c r="B23">
        <v>8030104</v>
      </c>
      <c r="C23">
        <v>187514</v>
      </c>
      <c r="E23" t="b">
        <v>0</v>
      </c>
      <c r="F23">
        <v>71864</v>
      </c>
      <c r="G23" t="s">
        <v>5665</v>
      </c>
      <c r="H23">
        <v>1</v>
      </c>
      <c r="I23" t="s">
        <v>5666</v>
      </c>
      <c r="J23" t="s">
        <v>5528</v>
      </c>
      <c r="K23" t="s">
        <v>5529</v>
      </c>
      <c r="L23" t="s">
        <v>5529</v>
      </c>
      <c r="M23" t="s">
        <v>5667</v>
      </c>
      <c r="N23" t="s">
        <v>5471</v>
      </c>
      <c r="O23" t="s">
        <v>5472</v>
      </c>
      <c r="U23" t="s">
        <v>5668</v>
      </c>
      <c r="V23" t="s">
        <v>5669</v>
      </c>
      <c r="W23" t="s">
        <v>5477</v>
      </c>
      <c r="X23" t="s">
        <v>5530</v>
      </c>
      <c r="Y23" t="s">
        <v>5336</v>
      </c>
      <c r="Z23" t="s">
        <v>5543</v>
      </c>
      <c r="AB23" t="s">
        <v>5670</v>
      </c>
      <c r="AD23" t="s">
        <v>551</v>
      </c>
      <c r="AE23" t="s">
        <v>5473</v>
      </c>
      <c r="AF23">
        <v>0</v>
      </c>
      <c r="AG23">
        <v>0</v>
      </c>
      <c r="AH23">
        <v>0</v>
      </c>
      <c r="AI23">
        <v>0</v>
      </c>
      <c r="AJ23" t="s">
        <v>5545</v>
      </c>
      <c r="AK23" t="s">
        <v>5670</v>
      </c>
      <c r="AL23" t="s">
        <v>5546</v>
      </c>
    </row>
    <row r="24" spans="1:38" x14ac:dyDescent="0.2">
      <c r="A24">
        <v>1235767</v>
      </c>
    </row>
    <row r="25" spans="1:38" x14ac:dyDescent="0.2">
      <c r="A25">
        <v>1235772</v>
      </c>
    </row>
    <row r="26" spans="1:38" x14ac:dyDescent="0.2">
      <c r="A26">
        <v>1235660</v>
      </c>
      <c r="B26">
        <v>7612900</v>
      </c>
      <c r="C26">
        <v>187509</v>
      </c>
      <c r="E26" t="b">
        <v>0</v>
      </c>
      <c r="F26">
        <v>64197</v>
      </c>
      <c r="G26" t="s">
        <v>5671</v>
      </c>
      <c r="H26">
        <v>1</v>
      </c>
      <c r="I26" t="s">
        <v>5672</v>
      </c>
      <c r="J26" t="s">
        <v>5528</v>
      </c>
      <c r="K26" t="s">
        <v>5529</v>
      </c>
      <c r="L26" t="s">
        <v>5529</v>
      </c>
      <c r="M26" t="s">
        <v>5673</v>
      </c>
      <c r="N26" t="s">
        <v>241</v>
      </c>
      <c r="O26" t="s">
        <v>5451</v>
      </c>
      <c r="U26" t="s">
        <v>5674</v>
      </c>
      <c r="V26" t="s">
        <v>5675</v>
      </c>
      <c r="W26" t="s">
        <v>135</v>
      </c>
      <c r="X26" t="s">
        <v>5530</v>
      </c>
      <c r="Y26" t="s">
        <v>145</v>
      </c>
      <c r="AB26" t="s">
        <v>5670</v>
      </c>
      <c r="AD26" t="s">
        <v>554</v>
      </c>
      <c r="AE26" t="s">
        <v>5390</v>
      </c>
      <c r="AF26">
        <v>0</v>
      </c>
      <c r="AG26">
        <v>0</v>
      </c>
      <c r="AI26">
        <v>0</v>
      </c>
      <c r="AJ26" t="s">
        <v>5545</v>
      </c>
      <c r="AK26" t="s">
        <v>5670</v>
      </c>
      <c r="AL26" t="s">
        <v>5594</v>
      </c>
    </row>
    <row r="27" spans="1:38" x14ac:dyDescent="0.2">
      <c r="A27">
        <v>1235502</v>
      </c>
      <c r="B27">
        <v>6008756</v>
      </c>
      <c r="C27">
        <v>187514</v>
      </c>
      <c r="E27" t="b">
        <v>0</v>
      </c>
      <c r="F27">
        <v>41783</v>
      </c>
      <c r="G27" t="s">
        <v>5676</v>
      </c>
      <c r="H27">
        <v>1</v>
      </c>
      <c r="I27" t="s">
        <v>5677</v>
      </c>
      <c r="J27" t="s">
        <v>5528</v>
      </c>
      <c r="K27" t="s">
        <v>5529</v>
      </c>
      <c r="L27" t="s">
        <v>5529</v>
      </c>
      <c r="M27" t="s">
        <v>5678</v>
      </c>
      <c r="N27" t="s">
        <v>242</v>
      </c>
      <c r="O27" t="s">
        <v>5389</v>
      </c>
      <c r="U27" t="s">
        <v>5679</v>
      </c>
      <c r="V27" t="s">
        <v>5680</v>
      </c>
      <c r="W27" t="s">
        <v>199</v>
      </c>
      <c r="X27" t="s">
        <v>5530</v>
      </c>
      <c r="Y27" t="s">
        <v>145</v>
      </c>
      <c r="Z27" t="s">
        <v>5543</v>
      </c>
      <c r="AB27" t="s">
        <v>5670</v>
      </c>
      <c r="AD27" t="s">
        <v>555</v>
      </c>
      <c r="AE27" t="s">
        <v>5390</v>
      </c>
      <c r="AF27">
        <v>0</v>
      </c>
      <c r="AG27">
        <v>0</v>
      </c>
      <c r="AH27">
        <v>27.5</v>
      </c>
      <c r="AI27">
        <v>0</v>
      </c>
      <c r="AJ27" t="s">
        <v>5545</v>
      </c>
      <c r="AK27" t="s">
        <v>5670</v>
      </c>
      <c r="AL27" t="s">
        <v>5546</v>
      </c>
    </row>
    <row r="28" spans="1:38" x14ac:dyDescent="0.2">
      <c r="A28">
        <v>1235505</v>
      </c>
      <c r="B28">
        <v>7971837</v>
      </c>
      <c r="C28">
        <v>187514</v>
      </c>
      <c r="E28" t="b">
        <v>0</v>
      </c>
      <c r="F28">
        <v>70496</v>
      </c>
      <c r="G28" t="s">
        <v>5681</v>
      </c>
      <c r="H28">
        <v>1</v>
      </c>
      <c r="I28" t="s">
        <v>5682</v>
      </c>
      <c r="J28" t="s">
        <v>5528</v>
      </c>
      <c r="K28" t="s">
        <v>5529</v>
      </c>
      <c r="L28" t="s">
        <v>5529</v>
      </c>
      <c r="M28" t="s">
        <v>5683</v>
      </c>
      <c r="N28" t="s">
        <v>243</v>
      </c>
      <c r="O28" t="s">
        <v>5393</v>
      </c>
      <c r="S28" t="s">
        <v>5684</v>
      </c>
      <c r="U28" t="s">
        <v>5685</v>
      </c>
      <c r="V28" t="s">
        <v>5686</v>
      </c>
      <c r="W28" t="s">
        <v>5490</v>
      </c>
      <c r="X28" t="s">
        <v>5530</v>
      </c>
      <c r="Y28" t="s">
        <v>5336</v>
      </c>
      <c r="Z28" t="s">
        <v>5543</v>
      </c>
      <c r="AB28" t="s">
        <v>5670</v>
      </c>
      <c r="AD28" t="s">
        <v>556</v>
      </c>
      <c r="AE28" t="s">
        <v>5390</v>
      </c>
      <c r="AF28">
        <v>0</v>
      </c>
      <c r="AG28">
        <v>0</v>
      </c>
      <c r="AH28">
        <v>75</v>
      </c>
      <c r="AI28">
        <v>0</v>
      </c>
      <c r="AJ28" t="s">
        <v>5545</v>
      </c>
      <c r="AK28" t="s">
        <v>5670</v>
      </c>
      <c r="AL28" t="s">
        <v>5546</v>
      </c>
    </row>
    <row r="29" spans="1:38" x14ac:dyDescent="0.2">
      <c r="A29">
        <v>1235646</v>
      </c>
      <c r="B29">
        <v>6249107</v>
      </c>
      <c r="C29">
        <v>187514</v>
      </c>
      <c r="E29" t="b">
        <v>0</v>
      </c>
      <c r="F29">
        <v>46530</v>
      </c>
      <c r="G29" t="s">
        <v>5687</v>
      </c>
      <c r="H29">
        <v>1</v>
      </c>
      <c r="I29" t="s">
        <v>5688</v>
      </c>
      <c r="J29" t="s">
        <v>5528</v>
      </c>
      <c r="K29" t="s">
        <v>5529</v>
      </c>
      <c r="L29" t="s">
        <v>5529</v>
      </c>
      <c r="M29" t="s">
        <v>5689</v>
      </c>
      <c r="N29" t="s">
        <v>244</v>
      </c>
      <c r="O29" t="s">
        <v>5447</v>
      </c>
      <c r="U29" t="s">
        <v>5690</v>
      </c>
      <c r="V29" t="s">
        <v>5691</v>
      </c>
      <c r="W29" t="s">
        <v>199</v>
      </c>
      <c r="X29" t="s">
        <v>5530</v>
      </c>
      <c r="Y29" t="s">
        <v>5542</v>
      </c>
      <c r="AB29" t="s">
        <v>5670</v>
      </c>
      <c r="AD29" t="s">
        <v>557</v>
      </c>
      <c r="AE29" t="s">
        <v>5448</v>
      </c>
      <c r="AF29">
        <v>0</v>
      </c>
      <c r="AG29">
        <v>0</v>
      </c>
      <c r="AI29">
        <v>0</v>
      </c>
      <c r="AJ29" t="s">
        <v>5545</v>
      </c>
      <c r="AK29" t="s">
        <v>5670</v>
      </c>
      <c r="AL29" t="s">
        <v>5546</v>
      </c>
    </row>
    <row r="30" spans="1:38" x14ac:dyDescent="0.2">
      <c r="A30">
        <v>1235659</v>
      </c>
      <c r="B30">
        <v>8065644</v>
      </c>
      <c r="C30">
        <v>187514</v>
      </c>
      <c r="E30" t="b">
        <v>0</v>
      </c>
      <c r="F30">
        <v>72594</v>
      </c>
      <c r="G30" t="s">
        <v>5692</v>
      </c>
      <c r="H30">
        <v>1</v>
      </c>
      <c r="I30" t="s">
        <v>5693</v>
      </c>
      <c r="J30" t="s">
        <v>5528</v>
      </c>
      <c r="K30" t="s">
        <v>5529</v>
      </c>
      <c r="L30" t="s">
        <v>5529</v>
      </c>
      <c r="M30" t="s">
        <v>5694</v>
      </c>
      <c r="N30" t="s">
        <v>245</v>
      </c>
      <c r="O30" t="s">
        <v>5449</v>
      </c>
      <c r="U30" t="s">
        <v>5695</v>
      </c>
      <c r="V30" t="s">
        <v>5696</v>
      </c>
      <c r="W30" t="s">
        <v>5430</v>
      </c>
      <c r="X30" t="s">
        <v>5530</v>
      </c>
      <c r="Y30" t="s">
        <v>5336</v>
      </c>
      <c r="Z30" t="s">
        <v>5543</v>
      </c>
      <c r="AB30" t="s">
        <v>5670</v>
      </c>
      <c r="AD30" t="s">
        <v>558</v>
      </c>
      <c r="AE30" t="s">
        <v>5450</v>
      </c>
      <c r="AF30">
        <v>0</v>
      </c>
      <c r="AG30">
        <v>0</v>
      </c>
      <c r="AH30">
        <v>0</v>
      </c>
      <c r="AI30">
        <v>0</v>
      </c>
      <c r="AJ30" t="s">
        <v>5545</v>
      </c>
      <c r="AK30" t="s">
        <v>5670</v>
      </c>
      <c r="AL30" t="s">
        <v>5546</v>
      </c>
    </row>
    <row r="31" spans="1:38" x14ac:dyDescent="0.2">
      <c r="A31">
        <v>1235504</v>
      </c>
      <c r="B31">
        <v>6820976</v>
      </c>
      <c r="C31">
        <v>187514</v>
      </c>
      <c r="E31" t="b">
        <v>0</v>
      </c>
      <c r="F31">
        <v>50724</v>
      </c>
      <c r="G31" t="s">
        <v>5697</v>
      </c>
      <c r="H31">
        <v>1</v>
      </c>
      <c r="I31" t="s">
        <v>5698</v>
      </c>
      <c r="J31" t="s">
        <v>5528</v>
      </c>
      <c r="K31" t="s">
        <v>5529</v>
      </c>
      <c r="L31" t="s">
        <v>5529</v>
      </c>
      <c r="M31" t="s">
        <v>5699</v>
      </c>
      <c r="N31" t="s">
        <v>246</v>
      </c>
      <c r="O31" t="s">
        <v>5392</v>
      </c>
      <c r="U31" t="s">
        <v>5700</v>
      </c>
      <c r="V31" t="s">
        <v>5701</v>
      </c>
      <c r="W31" t="s">
        <v>5467</v>
      </c>
      <c r="X31" t="s">
        <v>5530</v>
      </c>
      <c r="Y31" t="s">
        <v>5542</v>
      </c>
      <c r="Z31" t="s">
        <v>5543</v>
      </c>
      <c r="AB31" t="s">
        <v>5670</v>
      </c>
      <c r="AD31" t="s">
        <v>559</v>
      </c>
      <c r="AE31" t="s">
        <v>5390</v>
      </c>
      <c r="AF31">
        <v>0</v>
      </c>
      <c r="AG31">
        <v>0</v>
      </c>
      <c r="AH31">
        <v>27.5</v>
      </c>
      <c r="AI31">
        <v>0</v>
      </c>
      <c r="AJ31" t="s">
        <v>5545</v>
      </c>
      <c r="AK31" t="s">
        <v>5670</v>
      </c>
      <c r="AL31" t="s">
        <v>5546</v>
      </c>
    </row>
    <row r="32" spans="1:38" x14ac:dyDescent="0.2">
      <c r="A32">
        <v>1235506</v>
      </c>
      <c r="B32">
        <v>7162110</v>
      </c>
      <c r="C32">
        <v>187514</v>
      </c>
      <c r="E32" t="b">
        <v>0</v>
      </c>
      <c r="F32">
        <v>57050</v>
      </c>
      <c r="G32" t="s">
        <v>5702</v>
      </c>
      <c r="H32">
        <v>1</v>
      </c>
      <c r="I32" t="s">
        <v>5703</v>
      </c>
      <c r="J32" t="s">
        <v>5528</v>
      </c>
      <c r="K32" t="s">
        <v>5529</v>
      </c>
      <c r="L32" t="s">
        <v>5529</v>
      </c>
      <c r="M32" t="s">
        <v>5704</v>
      </c>
      <c r="N32" t="s">
        <v>247</v>
      </c>
      <c r="O32" t="s">
        <v>5394</v>
      </c>
      <c r="U32" t="s">
        <v>5705</v>
      </c>
      <c r="V32" t="s">
        <v>5706</v>
      </c>
      <c r="W32" t="s">
        <v>135</v>
      </c>
      <c r="X32" t="s">
        <v>5530</v>
      </c>
      <c r="Y32" t="s">
        <v>5542</v>
      </c>
      <c r="AB32" t="s">
        <v>5670</v>
      </c>
      <c r="AD32" t="s">
        <v>560</v>
      </c>
      <c r="AE32" t="s">
        <v>5390</v>
      </c>
      <c r="AF32">
        <v>0</v>
      </c>
      <c r="AG32">
        <v>0</v>
      </c>
      <c r="AI32">
        <v>0</v>
      </c>
      <c r="AJ32" t="s">
        <v>5545</v>
      </c>
      <c r="AK32" t="s">
        <v>5670</v>
      </c>
      <c r="AL32" t="s">
        <v>5546</v>
      </c>
    </row>
    <row r="33" spans="1:38" x14ac:dyDescent="0.2">
      <c r="A33">
        <v>1235510</v>
      </c>
      <c r="B33">
        <v>6129692</v>
      </c>
      <c r="C33">
        <v>187514</v>
      </c>
      <c r="E33" t="b">
        <v>0</v>
      </c>
      <c r="F33">
        <v>44349</v>
      </c>
      <c r="G33" t="s">
        <v>5707</v>
      </c>
      <c r="H33">
        <v>1</v>
      </c>
      <c r="I33" t="s">
        <v>5708</v>
      </c>
      <c r="J33" t="s">
        <v>5528</v>
      </c>
      <c r="K33" t="s">
        <v>5529</v>
      </c>
      <c r="L33" t="s">
        <v>5529</v>
      </c>
      <c r="M33" t="s">
        <v>5709</v>
      </c>
      <c r="N33" t="s">
        <v>248</v>
      </c>
      <c r="O33" t="s">
        <v>5399</v>
      </c>
      <c r="U33" t="s">
        <v>5710</v>
      </c>
      <c r="V33" t="s">
        <v>5711</v>
      </c>
      <c r="W33" t="s">
        <v>5712</v>
      </c>
      <c r="X33" t="s">
        <v>5530</v>
      </c>
      <c r="Y33" t="s">
        <v>5542</v>
      </c>
      <c r="AB33" t="s">
        <v>5670</v>
      </c>
      <c r="AD33" t="s">
        <v>561</v>
      </c>
      <c r="AE33" t="s">
        <v>5390</v>
      </c>
      <c r="AF33">
        <v>0</v>
      </c>
      <c r="AG33">
        <v>0</v>
      </c>
      <c r="AI33">
        <v>0</v>
      </c>
      <c r="AJ33" t="s">
        <v>5545</v>
      </c>
      <c r="AK33" t="s">
        <v>5670</v>
      </c>
      <c r="AL33" t="s">
        <v>5546</v>
      </c>
    </row>
    <row r="34" spans="1:38" x14ac:dyDescent="0.2">
      <c r="A34">
        <v>1235590</v>
      </c>
      <c r="B34">
        <v>7948956</v>
      </c>
      <c r="C34">
        <v>187514</v>
      </c>
      <c r="E34" t="b">
        <v>0</v>
      </c>
      <c r="F34">
        <v>70164</v>
      </c>
      <c r="G34" t="s">
        <v>5713</v>
      </c>
      <c r="H34">
        <v>1</v>
      </c>
      <c r="I34" t="s">
        <v>5714</v>
      </c>
      <c r="J34" t="s">
        <v>5715</v>
      </c>
      <c r="K34" t="s">
        <v>5529</v>
      </c>
      <c r="L34" t="s">
        <v>5529</v>
      </c>
      <c r="M34" t="s">
        <v>5716</v>
      </c>
      <c r="N34" t="s">
        <v>250</v>
      </c>
      <c r="O34" t="s">
        <v>249</v>
      </c>
      <c r="U34" t="s">
        <v>5717</v>
      </c>
      <c r="X34" t="s">
        <v>5530</v>
      </c>
      <c r="Y34" t="s">
        <v>145</v>
      </c>
      <c r="Z34" t="s">
        <v>5543</v>
      </c>
      <c r="AD34" t="s">
        <v>562</v>
      </c>
      <c r="AE34" t="s">
        <v>5390</v>
      </c>
      <c r="AJ34" t="s">
        <v>5545</v>
      </c>
      <c r="AK34" t="s">
        <v>5670</v>
      </c>
      <c r="AL34" t="s">
        <v>5546</v>
      </c>
    </row>
    <row r="35" spans="1:38" x14ac:dyDescent="0.2">
      <c r="A35">
        <v>1235489</v>
      </c>
      <c r="B35">
        <v>7008912</v>
      </c>
      <c r="C35">
        <v>187510</v>
      </c>
      <c r="E35" t="b">
        <v>0</v>
      </c>
      <c r="F35">
        <v>53750</v>
      </c>
      <c r="G35" t="s">
        <v>5718</v>
      </c>
      <c r="H35">
        <v>1</v>
      </c>
      <c r="I35" t="s">
        <v>5719</v>
      </c>
      <c r="J35" t="s">
        <v>5528</v>
      </c>
      <c r="K35" t="s">
        <v>5527</v>
      </c>
      <c r="L35" t="s">
        <v>5529</v>
      </c>
      <c r="M35" t="s">
        <v>5720</v>
      </c>
      <c r="N35" t="s">
        <v>5379</v>
      </c>
      <c r="O35" t="s">
        <v>5381</v>
      </c>
      <c r="S35" t="s">
        <v>5598</v>
      </c>
      <c r="U35" t="s">
        <v>5721</v>
      </c>
      <c r="V35" t="s">
        <v>5722</v>
      </c>
      <c r="W35" t="s">
        <v>5405</v>
      </c>
      <c r="X35" t="s">
        <v>5530</v>
      </c>
      <c r="Y35" t="s">
        <v>145</v>
      </c>
      <c r="Z35" t="s">
        <v>5543</v>
      </c>
      <c r="AA35" t="s">
        <v>34</v>
      </c>
      <c r="AB35" t="s">
        <v>5602</v>
      </c>
      <c r="AD35" t="s">
        <v>5382</v>
      </c>
      <c r="AE35" t="s">
        <v>5382</v>
      </c>
      <c r="AF35">
        <v>0</v>
      </c>
      <c r="AG35">
        <v>0</v>
      </c>
      <c r="AH35">
        <v>76.25</v>
      </c>
      <c r="AI35">
        <v>0</v>
      </c>
      <c r="AJ35" t="s">
        <v>5545</v>
      </c>
      <c r="AK35" t="s">
        <v>5602</v>
      </c>
      <c r="AL35" t="s">
        <v>5546</v>
      </c>
    </row>
    <row r="36" spans="1:38" x14ac:dyDescent="0.2">
      <c r="A36">
        <v>1235508</v>
      </c>
      <c r="B36">
        <v>4996970</v>
      </c>
      <c r="C36">
        <v>187508</v>
      </c>
      <c r="E36" t="b">
        <v>0</v>
      </c>
      <c r="F36">
        <v>28336</v>
      </c>
      <c r="G36" t="s">
        <v>5723</v>
      </c>
      <c r="H36">
        <v>1</v>
      </c>
      <c r="I36" t="s">
        <v>5724</v>
      </c>
      <c r="J36" t="s">
        <v>5528</v>
      </c>
      <c r="K36" t="s">
        <v>5529</v>
      </c>
      <c r="L36" t="s">
        <v>5529</v>
      </c>
      <c r="M36" t="s">
        <v>5725</v>
      </c>
      <c r="N36" t="s">
        <v>5726</v>
      </c>
      <c r="O36" t="s">
        <v>5397</v>
      </c>
      <c r="U36" t="s">
        <v>5727</v>
      </c>
      <c r="X36" t="s">
        <v>5530</v>
      </c>
      <c r="Y36" t="s">
        <v>145</v>
      </c>
      <c r="Z36" t="s">
        <v>5543</v>
      </c>
      <c r="AD36" t="s">
        <v>5728</v>
      </c>
      <c r="AE36" t="s">
        <v>5327</v>
      </c>
      <c r="AJ36" t="s">
        <v>5545</v>
      </c>
      <c r="AK36" t="s">
        <v>5544</v>
      </c>
      <c r="AL36" t="s">
        <v>5546</v>
      </c>
    </row>
    <row r="37" spans="1:38" x14ac:dyDescent="0.2">
      <c r="A37">
        <v>1235777</v>
      </c>
      <c r="B37">
        <v>5034456</v>
      </c>
      <c r="C37">
        <v>187514</v>
      </c>
      <c r="E37" t="b">
        <v>0</v>
      </c>
      <c r="F37">
        <v>29273</v>
      </c>
      <c r="G37" t="s">
        <v>5729</v>
      </c>
      <c r="H37">
        <v>1</v>
      </c>
      <c r="I37" t="s">
        <v>5730</v>
      </c>
      <c r="J37" t="s">
        <v>5528</v>
      </c>
      <c r="K37" t="s">
        <v>5529</v>
      </c>
      <c r="L37" t="s">
        <v>5529</v>
      </c>
      <c r="M37" t="s">
        <v>5731</v>
      </c>
      <c r="N37" t="s">
        <v>251</v>
      </c>
      <c r="O37" t="s">
        <v>5474</v>
      </c>
      <c r="S37" t="s">
        <v>5684</v>
      </c>
      <c r="V37" t="s">
        <v>5732</v>
      </c>
      <c r="W37" t="s">
        <v>5733</v>
      </c>
      <c r="X37" t="s">
        <v>5530</v>
      </c>
      <c r="Y37" t="s">
        <v>145</v>
      </c>
      <c r="Z37" t="s">
        <v>5543</v>
      </c>
      <c r="AB37" t="s">
        <v>5670</v>
      </c>
      <c r="AD37" t="s">
        <v>565</v>
      </c>
      <c r="AE37" t="s">
        <v>5475</v>
      </c>
      <c r="AF37">
        <v>0</v>
      </c>
      <c r="AG37">
        <v>0</v>
      </c>
      <c r="AH37">
        <v>27.5</v>
      </c>
      <c r="AI37">
        <v>0</v>
      </c>
      <c r="AJ37" t="s">
        <v>5545</v>
      </c>
      <c r="AK37" t="s">
        <v>5670</v>
      </c>
      <c r="AL37" t="s">
        <v>5546</v>
      </c>
    </row>
    <row r="38" spans="1:38" x14ac:dyDescent="0.2">
      <c r="A38">
        <v>1235400</v>
      </c>
      <c r="B38">
        <v>6119636</v>
      </c>
      <c r="C38">
        <v>187514</v>
      </c>
      <c r="E38" t="b">
        <v>0</v>
      </c>
      <c r="F38">
        <v>44172</v>
      </c>
      <c r="G38" t="s">
        <v>5734</v>
      </c>
      <c r="H38">
        <v>1</v>
      </c>
      <c r="I38" t="s">
        <v>5735</v>
      </c>
      <c r="J38" t="s">
        <v>5528</v>
      </c>
      <c r="K38" t="s">
        <v>5529</v>
      </c>
      <c r="L38" t="s">
        <v>5529</v>
      </c>
      <c r="M38" t="s">
        <v>5736</v>
      </c>
      <c r="N38" t="s">
        <v>252</v>
      </c>
      <c r="O38" t="s">
        <v>5326</v>
      </c>
      <c r="U38" t="s">
        <v>5737</v>
      </c>
      <c r="V38" t="s">
        <v>5738</v>
      </c>
      <c r="W38" t="s">
        <v>5712</v>
      </c>
      <c r="X38" t="s">
        <v>5530</v>
      </c>
      <c r="Y38" t="s">
        <v>5542</v>
      </c>
      <c r="AB38" t="s">
        <v>5670</v>
      </c>
      <c r="AD38" t="s">
        <v>566</v>
      </c>
      <c r="AE38" t="s">
        <v>5327</v>
      </c>
      <c r="AF38">
        <v>0</v>
      </c>
      <c r="AG38">
        <v>0</v>
      </c>
      <c r="AI38">
        <v>0</v>
      </c>
      <c r="AJ38" t="s">
        <v>5545</v>
      </c>
      <c r="AK38" t="s">
        <v>5670</v>
      </c>
      <c r="AL38" t="s">
        <v>5546</v>
      </c>
    </row>
    <row r="39" spans="1:38" x14ac:dyDescent="0.2">
      <c r="A39">
        <v>1235661</v>
      </c>
      <c r="B39">
        <v>8074219</v>
      </c>
      <c r="C39">
        <v>187514</v>
      </c>
      <c r="E39" t="b">
        <v>0</v>
      </c>
      <c r="F39">
        <v>72769</v>
      </c>
      <c r="G39" t="s">
        <v>5739</v>
      </c>
      <c r="H39">
        <v>1</v>
      </c>
      <c r="I39" t="s">
        <v>5740</v>
      </c>
      <c r="J39" t="s">
        <v>5528</v>
      </c>
      <c r="K39" t="s">
        <v>5529</v>
      </c>
      <c r="L39" t="s">
        <v>5529</v>
      </c>
      <c r="M39" t="s">
        <v>5741</v>
      </c>
      <c r="N39" t="s">
        <v>253</v>
      </c>
      <c r="O39" t="s">
        <v>5452</v>
      </c>
      <c r="S39" t="s">
        <v>5684</v>
      </c>
      <c r="U39" t="s">
        <v>5742</v>
      </c>
      <c r="V39" t="s">
        <v>5743</v>
      </c>
      <c r="W39" t="s">
        <v>5490</v>
      </c>
      <c r="X39" t="s">
        <v>5530</v>
      </c>
      <c r="Y39" t="s">
        <v>5542</v>
      </c>
      <c r="Z39" t="s">
        <v>5543</v>
      </c>
      <c r="AB39" t="s">
        <v>5670</v>
      </c>
      <c r="AD39" t="s">
        <v>567</v>
      </c>
      <c r="AE39" t="s">
        <v>5327</v>
      </c>
      <c r="AF39">
        <v>0</v>
      </c>
      <c r="AG39">
        <v>0</v>
      </c>
      <c r="AH39">
        <v>0</v>
      </c>
      <c r="AI39">
        <v>0</v>
      </c>
      <c r="AJ39" t="s">
        <v>5545</v>
      </c>
      <c r="AK39" t="s">
        <v>5670</v>
      </c>
      <c r="AL39" t="s">
        <v>5546</v>
      </c>
    </row>
    <row r="40" spans="1:38" x14ac:dyDescent="0.2">
      <c r="A40">
        <v>1235507</v>
      </c>
      <c r="B40">
        <v>8085736</v>
      </c>
      <c r="C40">
        <v>187514</v>
      </c>
      <c r="E40" t="b">
        <v>0</v>
      </c>
      <c r="F40">
        <v>72935</v>
      </c>
      <c r="G40" t="s">
        <v>5744</v>
      </c>
      <c r="H40">
        <v>1</v>
      </c>
      <c r="I40" t="s">
        <v>5745</v>
      </c>
      <c r="J40" t="s">
        <v>5527</v>
      </c>
      <c r="K40" t="s">
        <v>5527</v>
      </c>
      <c r="L40" t="s">
        <v>5527</v>
      </c>
      <c r="M40" t="s">
        <v>5746</v>
      </c>
      <c r="N40" t="s">
        <v>254</v>
      </c>
      <c r="O40" t="s">
        <v>5396</v>
      </c>
      <c r="U40" t="s">
        <v>5747</v>
      </c>
      <c r="V40" t="s">
        <v>5748</v>
      </c>
      <c r="W40" t="s">
        <v>5445</v>
      </c>
      <c r="X40" t="s">
        <v>5530</v>
      </c>
      <c r="Y40" t="s">
        <v>5542</v>
      </c>
      <c r="AB40" t="s">
        <v>5670</v>
      </c>
      <c r="AD40" t="s">
        <v>568</v>
      </c>
      <c r="AE40" t="s">
        <v>5327</v>
      </c>
      <c r="AF40">
        <v>0</v>
      </c>
      <c r="AG40">
        <v>0</v>
      </c>
      <c r="AI40">
        <v>0</v>
      </c>
      <c r="AJ40" t="s">
        <v>5545</v>
      </c>
      <c r="AK40" t="s">
        <v>5670</v>
      </c>
      <c r="AL40" t="s">
        <v>5546</v>
      </c>
    </row>
    <row r="42" spans="1:38" x14ac:dyDescent="0.2">
      <c r="A42">
        <v>1235500</v>
      </c>
      <c r="B42">
        <v>8128420</v>
      </c>
      <c r="C42">
        <v>187514</v>
      </c>
      <c r="E42" t="b">
        <v>0</v>
      </c>
      <c r="F42">
        <v>73271</v>
      </c>
      <c r="G42" t="s">
        <v>5749</v>
      </c>
      <c r="H42">
        <v>1</v>
      </c>
      <c r="I42" t="s">
        <v>5750</v>
      </c>
      <c r="J42" t="s">
        <v>5528</v>
      </c>
      <c r="K42" t="s">
        <v>5527</v>
      </c>
      <c r="L42" t="s">
        <v>5529</v>
      </c>
      <c r="M42" t="s">
        <v>5751</v>
      </c>
      <c r="N42" t="s">
        <v>255</v>
      </c>
      <c r="O42" t="s">
        <v>5387</v>
      </c>
      <c r="U42" t="s">
        <v>5752</v>
      </c>
      <c r="V42" t="s">
        <v>5753</v>
      </c>
      <c r="W42" t="s">
        <v>135</v>
      </c>
      <c r="X42" t="s">
        <v>5530</v>
      </c>
      <c r="Y42" t="s">
        <v>145</v>
      </c>
      <c r="Z42" t="s">
        <v>5543</v>
      </c>
      <c r="AB42" t="s">
        <v>5670</v>
      </c>
      <c r="AD42" t="s">
        <v>569</v>
      </c>
      <c r="AE42" t="s">
        <v>5327</v>
      </c>
      <c r="AF42">
        <v>0</v>
      </c>
      <c r="AG42">
        <v>0</v>
      </c>
      <c r="AH42">
        <v>0</v>
      </c>
      <c r="AI42">
        <v>0</v>
      </c>
      <c r="AJ42" t="s">
        <v>5545</v>
      </c>
      <c r="AK42" t="s">
        <v>5670</v>
      </c>
      <c r="AL42" t="s">
        <v>5546</v>
      </c>
    </row>
    <row r="43" spans="1:38" x14ac:dyDescent="0.2">
      <c r="A43">
        <v>1235509</v>
      </c>
      <c r="B43">
        <v>6206718</v>
      </c>
      <c r="C43">
        <v>187514</v>
      </c>
      <c r="E43" t="b">
        <v>0</v>
      </c>
      <c r="F43">
        <v>46040</v>
      </c>
      <c r="G43" t="s">
        <v>5754</v>
      </c>
      <c r="H43">
        <v>2</v>
      </c>
      <c r="I43" t="s">
        <v>5755</v>
      </c>
      <c r="J43" t="s">
        <v>5528</v>
      </c>
      <c r="K43" t="s">
        <v>5529</v>
      </c>
      <c r="L43" t="s">
        <v>5529</v>
      </c>
      <c r="M43" t="s">
        <v>5756</v>
      </c>
      <c r="N43" t="s">
        <v>256</v>
      </c>
      <c r="O43" t="s">
        <v>5398</v>
      </c>
      <c r="U43" t="s">
        <v>5757</v>
      </c>
      <c r="V43" t="s">
        <v>5758</v>
      </c>
      <c r="W43" t="s">
        <v>5733</v>
      </c>
      <c r="X43" t="s">
        <v>5530</v>
      </c>
      <c r="Y43" t="s">
        <v>5542</v>
      </c>
      <c r="AB43" t="s">
        <v>5670</v>
      </c>
      <c r="AD43" t="s">
        <v>570</v>
      </c>
      <c r="AE43" t="s">
        <v>5327</v>
      </c>
      <c r="AF43">
        <v>0</v>
      </c>
      <c r="AG43">
        <v>0</v>
      </c>
      <c r="AI43">
        <v>0</v>
      </c>
      <c r="AJ43" t="s">
        <v>5545</v>
      </c>
      <c r="AK43" t="s">
        <v>5670</v>
      </c>
      <c r="AL43" t="s">
        <v>5546</v>
      </c>
    </row>
    <row r="44" spans="1:38" x14ac:dyDescent="0.2">
      <c r="A44">
        <v>1235498</v>
      </c>
      <c r="B44">
        <v>4234901</v>
      </c>
      <c r="C44">
        <v>187508</v>
      </c>
      <c r="E44" t="b">
        <v>0</v>
      </c>
      <c r="F44">
        <v>24455</v>
      </c>
      <c r="G44" t="s">
        <v>5759</v>
      </c>
      <c r="H44">
        <v>1</v>
      </c>
      <c r="I44" t="s">
        <v>5760</v>
      </c>
      <c r="J44" t="s">
        <v>5528</v>
      </c>
      <c r="K44" t="s">
        <v>5529</v>
      </c>
      <c r="L44" t="s">
        <v>5529</v>
      </c>
      <c r="M44" t="s">
        <v>5761</v>
      </c>
      <c r="N44" t="s">
        <v>257</v>
      </c>
      <c r="O44" t="s">
        <v>5385</v>
      </c>
      <c r="S44" t="s">
        <v>5762</v>
      </c>
      <c r="U44" t="s">
        <v>5763</v>
      </c>
      <c r="V44" t="s">
        <v>5764</v>
      </c>
      <c r="W44" t="s">
        <v>5765</v>
      </c>
      <c r="X44" t="s">
        <v>5530</v>
      </c>
      <c r="Y44" t="s">
        <v>145</v>
      </c>
      <c r="Z44" t="s">
        <v>5543</v>
      </c>
      <c r="AB44" t="s">
        <v>5544</v>
      </c>
      <c r="AD44" t="s">
        <v>571</v>
      </c>
      <c r="AE44" t="s">
        <v>5327</v>
      </c>
      <c r="AF44">
        <v>0</v>
      </c>
      <c r="AG44">
        <v>0</v>
      </c>
      <c r="AH44">
        <v>68</v>
      </c>
      <c r="AI44">
        <v>0</v>
      </c>
      <c r="AJ44" t="s">
        <v>5545</v>
      </c>
      <c r="AK44" t="s">
        <v>5544</v>
      </c>
      <c r="AL44" t="s">
        <v>5546</v>
      </c>
    </row>
    <row r="45" spans="1:38" x14ac:dyDescent="0.2">
      <c r="A45">
        <v>1235401</v>
      </c>
      <c r="B45">
        <v>6140648</v>
      </c>
      <c r="C45">
        <v>187514</v>
      </c>
      <c r="E45" t="b">
        <v>0</v>
      </c>
      <c r="F45">
        <v>44618</v>
      </c>
      <c r="G45" t="s">
        <v>5766</v>
      </c>
      <c r="H45">
        <v>1</v>
      </c>
      <c r="I45" t="s">
        <v>5767</v>
      </c>
      <c r="J45" t="s">
        <v>5528</v>
      </c>
      <c r="K45" t="s">
        <v>5529</v>
      </c>
      <c r="L45" t="s">
        <v>5529</v>
      </c>
      <c r="M45" t="s">
        <v>5768</v>
      </c>
      <c r="N45" t="s">
        <v>258</v>
      </c>
      <c r="O45" t="s">
        <v>5335</v>
      </c>
      <c r="P45" t="s">
        <v>143</v>
      </c>
      <c r="U45" t="s">
        <v>5769</v>
      </c>
      <c r="V45" t="s">
        <v>5770</v>
      </c>
      <c r="W45" t="s">
        <v>199</v>
      </c>
      <c r="X45" t="s">
        <v>5530</v>
      </c>
      <c r="Y45" t="s">
        <v>145</v>
      </c>
      <c r="AB45" t="s">
        <v>5670</v>
      </c>
      <c r="AD45" t="s">
        <v>572</v>
      </c>
      <c r="AE45" t="s">
        <v>5327</v>
      </c>
      <c r="AF45">
        <v>0</v>
      </c>
      <c r="AG45">
        <v>0</v>
      </c>
      <c r="AI45">
        <v>0</v>
      </c>
      <c r="AJ45" t="s">
        <v>5545</v>
      </c>
      <c r="AK45" t="s">
        <v>5670</v>
      </c>
      <c r="AL45" t="s">
        <v>5546</v>
      </c>
    </row>
    <row r="46" spans="1:38" x14ac:dyDescent="0.2">
      <c r="A46">
        <v>1235402</v>
      </c>
      <c r="B46">
        <v>8128495</v>
      </c>
      <c r="C46">
        <v>187514</v>
      </c>
      <c r="E46" t="b">
        <v>0</v>
      </c>
      <c r="F46">
        <v>73279</v>
      </c>
      <c r="G46" t="s">
        <v>5771</v>
      </c>
      <c r="H46">
        <v>1</v>
      </c>
      <c r="I46" t="s">
        <v>5772</v>
      </c>
      <c r="J46" t="s">
        <v>5528</v>
      </c>
      <c r="K46" t="s">
        <v>5529</v>
      </c>
      <c r="L46" t="s">
        <v>5529</v>
      </c>
      <c r="M46" t="s">
        <v>5773</v>
      </c>
      <c r="N46" t="s">
        <v>259</v>
      </c>
      <c r="O46" t="s">
        <v>5337</v>
      </c>
      <c r="P46" t="s">
        <v>143</v>
      </c>
      <c r="U46" t="s">
        <v>5774</v>
      </c>
      <c r="V46" t="s">
        <v>5775</v>
      </c>
      <c r="W46" t="s">
        <v>135</v>
      </c>
      <c r="X46" t="s">
        <v>5530</v>
      </c>
      <c r="Y46" t="s">
        <v>145</v>
      </c>
      <c r="Z46" t="s">
        <v>5543</v>
      </c>
      <c r="AB46" t="s">
        <v>5670</v>
      </c>
      <c r="AD46" t="s">
        <v>573</v>
      </c>
      <c r="AE46" t="s">
        <v>5327</v>
      </c>
      <c r="AF46">
        <v>0</v>
      </c>
      <c r="AG46">
        <v>0</v>
      </c>
      <c r="AH46">
        <v>0</v>
      </c>
      <c r="AI46">
        <v>0</v>
      </c>
      <c r="AJ46" t="s">
        <v>5545</v>
      </c>
      <c r="AK46" t="s">
        <v>5670</v>
      </c>
      <c r="AL46" t="s">
        <v>5546</v>
      </c>
    </row>
    <row r="47" spans="1:38" x14ac:dyDescent="0.2">
      <c r="A47">
        <v>1235610</v>
      </c>
      <c r="B47">
        <v>3518992</v>
      </c>
      <c r="E47" t="b">
        <v>0</v>
      </c>
      <c r="F47">
        <v>7771</v>
      </c>
      <c r="G47" t="s">
        <v>5776</v>
      </c>
      <c r="H47">
        <v>1</v>
      </c>
      <c r="I47" t="s">
        <v>5777</v>
      </c>
      <c r="J47" t="s">
        <v>5528</v>
      </c>
      <c r="K47" t="s">
        <v>5527</v>
      </c>
      <c r="L47" t="s">
        <v>5529</v>
      </c>
      <c r="M47" t="s">
        <v>5778</v>
      </c>
      <c r="N47" t="s">
        <v>271</v>
      </c>
      <c r="O47" t="s">
        <v>270</v>
      </c>
      <c r="P47" t="s">
        <v>5432</v>
      </c>
      <c r="S47" t="s">
        <v>5590</v>
      </c>
      <c r="V47" t="s">
        <v>5779</v>
      </c>
      <c r="W47" t="s">
        <v>5405</v>
      </c>
      <c r="X47" t="s">
        <v>5530</v>
      </c>
      <c r="Y47" t="s">
        <v>145</v>
      </c>
      <c r="Z47" t="s">
        <v>5543</v>
      </c>
      <c r="AD47" t="s">
        <v>269</v>
      </c>
      <c r="AE47" t="s">
        <v>5433</v>
      </c>
      <c r="AF47">
        <v>0</v>
      </c>
      <c r="AG47">
        <v>0</v>
      </c>
      <c r="AH47">
        <v>41</v>
      </c>
      <c r="AI47">
        <v>0</v>
      </c>
      <c r="AJ47" t="s">
        <v>5780</v>
      </c>
    </row>
    <row r="49" spans="1:38" x14ac:dyDescent="0.2">
      <c r="A49">
        <v>1235673</v>
      </c>
      <c r="B49">
        <v>7098933</v>
      </c>
      <c r="C49">
        <v>187514</v>
      </c>
      <c r="E49" t="b">
        <v>0</v>
      </c>
      <c r="F49">
        <v>55608</v>
      </c>
      <c r="G49" t="s">
        <v>5781</v>
      </c>
      <c r="H49">
        <v>1</v>
      </c>
      <c r="I49" t="s">
        <v>5782</v>
      </c>
      <c r="J49" t="s">
        <v>5528</v>
      </c>
      <c r="K49" t="s">
        <v>5529</v>
      </c>
      <c r="L49" t="s">
        <v>5529</v>
      </c>
      <c r="M49" t="s">
        <v>5783</v>
      </c>
      <c r="N49" t="s">
        <v>2310</v>
      </c>
      <c r="O49" t="s">
        <v>5454</v>
      </c>
      <c r="U49" t="s">
        <v>5784</v>
      </c>
      <c r="V49" t="s">
        <v>5785</v>
      </c>
      <c r="W49" t="s">
        <v>135</v>
      </c>
      <c r="X49" t="s">
        <v>5530</v>
      </c>
      <c r="Y49" t="s">
        <v>5542</v>
      </c>
      <c r="Z49" t="s">
        <v>5543</v>
      </c>
      <c r="AB49" t="s">
        <v>5670</v>
      </c>
      <c r="AD49" t="s">
        <v>2309</v>
      </c>
      <c r="AE49" t="s">
        <v>5409</v>
      </c>
      <c r="AF49">
        <v>0</v>
      </c>
      <c r="AG49">
        <v>0</v>
      </c>
      <c r="AH49">
        <v>27.5</v>
      </c>
      <c r="AI49">
        <v>0</v>
      </c>
      <c r="AJ49" t="s">
        <v>5545</v>
      </c>
      <c r="AK49" t="s">
        <v>5670</v>
      </c>
      <c r="AL49" t="s">
        <v>5546</v>
      </c>
    </row>
    <row r="50" spans="1:38" x14ac:dyDescent="0.2">
      <c r="A50">
        <v>1235526</v>
      </c>
      <c r="B50">
        <v>6917566</v>
      </c>
      <c r="C50">
        <v>187514</v>
      </c>
      <c r="E50" t="b">
        <v>0</v>
      </c>
      <c r="F50">
        <v>51875</v>
      </c>
      <c r="G50" t="s">
        <v>5786</v>
      </c>
      <c r="H50">
        <v>1</v>
      </c>
      <c r="I50" t="s">
        <v>5787</v>
      </c>
      <c r="J50" t="s">
        <v>5528</v>
      </c>
      <c r="K50" t="s">
        <v>5529</v>
      </c>
      <c r="L50" t="s">
        <v>5529</v>
      </c>
      <c r="M50" t="s">
        <v>5788</v>
      </c>
      <c r="N50" t="s">
        <v>260</v>
      </c>
      <c r="O50" t="s">
        <v>5408</v>
      </c>
      <c r="U50" t="s">
        <v>5789</v>
      </c>
      <c r="V50" t="s">
        <v>5790</v>
      </c>
      <c r="W50" t="s">
        <v>5430</v>
      </c>
      <c r="X50" t="s">
        <v>5530</v>
      </c>
      <c r="Y50" t="s">
        <v>5542</v>
      </c>
      <c r="AB50" t="s">
        <v>5670</v>
      </c>
      <c r="AD50" t="s">
        <v>574</v>
      </c>
      <c r="AE50" t="s">
        <v>5409</v>
      </c>
      <c r="AF50">
        <v>0</v>
      </c>
      <c r="AG50">
        <v>0</v>
      </c>
      <c r="AI50">
        <v>0</v>
      </c>
      <c r="AJ50" t="s">
        <v>5545</v>
      </c>
      <c r="AK50" t="s">
        <v>5670</v>
      </c>
      <c r="AL50" t="s">
        <v>5546</v>
      </c>
    </row>
    <row r="51" spans="1:38" x14ac:dyDescent="0.2">
      <c r="A51">
        <v>2635568</v>
      </c>
      <c r="B51">
        <v>7621062</v>
      </c>
      <c r="C51">
        <v>187514</v>
      </c>
      <c r="E51" t="b">
        <v>0</v>
      </c>
      <c r="F51">
        <v>64450</v>
      </c>
      <c r="G51" t="s">
        <v>5791</v>
      </c>
      <c r="H51">
        <v>1</v>
      </c>
      <c r="I51" t="s">
        <v>5792</v>
      </c>
      <c r="J51" t="s">
        <v>5527</v>
      </c>
      <c r="K51" t="s">
        <v>5527</v>
      </c>
      <c r="L51" t="s">
        <v>5527</v>
      </c>
      <c r="M51" t="s">
        <v>5793</v>
      </c>
      <c r="N51" t="s">
        <v>261</v>
      </c>
      <c r="O51" t="s">
        <v>5488</v>
      </c>
      <c r="U51" t="s">
        <v>5794</v>
      </c>
      <c r="V51" t="s">
        <v>5795</v>
      </c>
      <c r="W51" t="s">
        <v>5481</v>
      </c>
      <c r="X51" t="s">
        <v>5530</v>
      </c>
      <c r="Y51" t="s">
        <v>5336</v>
      </c>
      <c r="Z51" t="s">
        <v>5543</v>
      </c>
      <c r="AB51" t="s">
        <v>5670</v>
      </c>
      <c r="AD51" t="s">
        <v>575</v>
      </c>
      <c r="AE51" t="s">
        <v>5409</v>
      </c>
      <c r="AF51">
        <v>0</v>
      </c>
      <c r="AG51">
        <v>0</v>
      </c>
      <c r="AH51">
        <v>27.5</v>
      </c>
      <c r="AI51">
        <v>0</v>
      </c>
      <c r="AJ51" t="s">
        <v>5545</v>
      </c>
      <c r="AK51" t="s">
        <v>5670</v>
      </c>
      <c r="AL51" t="s">
        <v>5546</v>
      </c>
    </row>
    <row r="52" spans="1:38" x14ac:dyDescent="0.2">
      <c r="A52">
        <v>1235345</v>
      </c>
      <c r="B52">
        <v>7865996</v>
      </c>
      <c r="C52">
        <v>7654931</v>
      </c>
      <c r="E52" t="b">
        <v>0</v>
      </c>
      <c r="F52">
        <v>68489</v>
      </c>
      <c r="G52" t="s">
        <v>5796</v>
      </c>
      <c r="H52">
        <v>1</v>
      </c>
      <c r="I52" t="s">
        <v>5797</v>
      </c>
      <c r="J52" t="s">
        <v>5528</v>
      </c>
      <c r="K52" t="s">
        <v>5529</v>
      </c>
      <c r="L52" t="s">
        <v>5529</v>
      </c>
      <c r="M52" t="s">
        <v>5798</v>
      </c>
      <c r="N52" t="s">
        <v>225</v>
      </c>
      <c r="O52" t="s">
        <v>225</v>
      </c>
      <c r="P52" t="s">
        <v>5307</v>
      </c>
      <c r="S52" t="s">
        <v>5799</v>
      </c>
      <c r="U52" t="s">
        <v>5800</v>
      </c>
      <c r="V52" t="s">
        <v>5801</v>
      </c>
      <c r="W52" t="s">
        <v>5802</v>
      </c>
      <c r="X52" t="s">
        <v>5530</v>
      </c>
      <c r="Y52" t="s">
        <v>145</v>
      </c>
      <c r="Z52" t="s">
        <v>5803</v>
      </c>
      <c r="AB52" t="s">
        <v>5585</v>
      </c>
      <c r="AD52" t="s">
        <v>224</v>
      </c>
      <c r="AE52" t="s">
        <v>5308</v>
      </c>
      <c r="AF52">
        <v>0</v>
      </c>
      <c r="AG52">
        <v>0</v>
      </c>
      <c r="AH52">
        <v>117.75</v>
      </c>
      <c r="AI52">
        <v>0</v>
      </c>
      <c r="AJ52" t="s">
        <v>5545</v>
      </c>
      <c r="AK52" t="s">
        <v>5585</v>
      </c>
      <c r="AL52" t="s">
        <v>5804</v>
      </c>
    </row>
    <row r="53" spans="1:38" x14ac:dyDescent="0.2">
      <c r="A53">
        <v>1235444</v>
      </c>
      <c r="B53">
        <v>7855800</v>
      </c>
      <c r="C53">
        <v>187508</v>
      </c>
      <c r="E53" t="b">
        <v>0</v>
      </c>
      <c r="F53">
        <v>68290</v>
      </c>
      <c r="G53" t="s">
        <v>5805</v>
      </c>
      <c r="H53">
        <v>1</v>
      </c>
      <c r="I53" t="s">
        <v>5806</v>
      </c>
      <c r="J53" t="s">
        <v>5528</v>
      </c>
      <c r="K53" t="s">
        <v>5527</v>
      </c>
      <c r="L53" t="s">
        <v>5529</v>
      </c>
      <c r="M53" t="s">
        <v>5807</v>
      </c>
      <c r="N53" t="s">
        <v>230</v>
      </c>
      <c r="O53" t="s">
        <v>229</v>
      </c>
      <c r="P53" t="s">
        <v>143</v>
      </c>
      <c r="S53" t="s">
        <v>5598</v>
      </c>
      <c r="U53" t="s">
        <v>5808</v>
      </c>
      <c r="V53" t="s">
        <v>5809</v>
      </c>
      <c r="W53" t="s">
        <v>5405</v>
      </c>
      <c r="X53" t="s">
        <v>5530</v>
      </c>
      <c r="Y53" t="s">
        <v>5542</v>
      </c>
      <c r="Z53" t="s">
        <v>5543</v>
      </c>
      <c r="AB53" t="s">
        <v>5544</v>
      </c>
      <c r="AD53" t="s">
        <v>5376</v>
      </c>
      <c r="AE53" t="s">
        <v>5810</v>
      </c>
      <c r="AF53">
        <v>0</v>
      </c>
      <c r="AG53">
        <v>0</v>
      </c>
      <c r="AH53">
        <v>102</v>
      </c>
      <c r="AI53">
        <v>0</v>
      </c>
      <c r="AJ53" t="s">
        <v>5545</v>
      </c>
      <c r="AK53" t="s">
        <v>5544</v>
      </c>
      <c r="AL53" t="s">
        <v>5546</v>
      </c>
    </row>
    <row r="54" spans="1:38" x14ac:dyDescent="0.2">
      <c r="A54">
        <v>1235564</v>
      </c>
      <c r="B54">
        <v>7890061</v>
      </c>
      <c r="C54">
        <v>187508</v>
      </c>
      <c r="E54" t="b">
        <v>0</v>
      </c>
      <c r="F54">
        <v>69031</v>
      </c>
      <c r="G54" t="s">
        <v>5811</v>
      </c>
      <c r="H54">
        <v>1</v>
      </c>
      <c r="I54" t="s">
        <v>5812</v>
      </c>
      <c r="J54" t="s">
        <v>5528</v>
      </c>
      <c r="K54" t="s">
        <v>5527</v>
      </c>
      <c r="L54" t="s">
        <v>5529</v>
      </c>
      <c r="M54" t="s">
        <v>5813</v>
      </c>
      <c r="N54" t="s">
        <v>236</v>
      </c>
      <c r="O54" t="s">
        <v>235</v>
      </c>
      <c r="S54" t="s">
        <v>5814</v>
      </c>
      <c r="U54" t="s">
        <v>5815</v>
      </c>
      <c r="V54" t="s">
        <v>5816</v>
      </c>
      <c r="W54" t="s">
        <v>5405</v>
      </c>
      <c r="X54" t="s">
        <v>5530</v>
      </c>
      <c r="Y54" t="s">
        <v>5542</v>
      </c>
      <c r="Z54" t="s">
        <v>5543</v>
      </c>
      <c r="AB54" t="s">
        <v>5544</v>
      </c>
      <c r="AD54" t="s">
        <v>234</v>
      </c>
      <c r="AE54" t="s">
        <v>5427</v>
      </c>
      <c r="AF54">
        <v>0</v>
      </c>
      <c r="AG54">
        <v>0</v>
      </c>
      <c r="AH54">
        <v>75</v>
      </c>
      <c r="AI54">
        <v>0</v>
      </c>
      <c r="AJ54" t="s">
        <v>5545</v>
      </c>
      <c r="AK54" t="s">
        <v>5544</v>
      </c>
      <c r="AL54" t="s">
        <v>5546</v>
      </c>
    </row>
    <row r="55" spans="1:38" x14ac:dyDescent="0.2">
      <c r="A55">
        <v>1235501</v>
      </c>
      <c r="B55">
        <v>8010165</v>
      </c>
      <c r="C55">
        <v>187508</v>
      </c>
      <c r="E55" t="b">
        <v>0</v>
      </c>
      <c r="F55">
        <v>71410</v>
      </c>
      <c r="G55" t="s">
        <v>5817</v>
      </c>
      <c r="H55">
        <v>1</v>
      </c>
      <c r="I55" t="s">
        <v>5818</v>
      </c>
      <c r="J55" t="s">
        <v>5528</v>
      </c>
      <c r="K55" t="s">
        <v>5527</v>
      </c>
      <c r="L55" t="s">
        <v>5529</v>
      </c>
      <c r="M55" t="s">
        <v>5819</v>
      </c>
      <c r="N55" t="s">
        <v>239</v>
      </c>
      <c r="O55" t="s">
        <v>238</v>
      </c>
      <c r="P55" t="s">
        <v>5336</v>
      </c>
      <c r="S55" t="s">
        <v>5598</v>
      </c>
      <c r="U55" t="s">
        <v>5636</v>
      </c>
      <c r="V55" t="s">
        <v>5820</v>
      </c>
      <c r="W55" t="s">
        <v>5405</v>
      </c>
      <c r="X55" t="s">
        <v>5530</v>
      </c>
      <c r="Y55" t="s">
        <v>5542</v>
      </c>
      <c r="Z55" t="s">
        <v>5543</v>
      </c>
      <c r="AB55" t="s">
        <v>5544</v>
      </c>
      <c r="AD55" t="s">
        <v>237</v>
      </c>
      <c r="AE55" t="s">
        <v>5388</v>
      </c>
      <c r="AF55">
        <v>0</v>
      </c>
      <c r="AG55">
        <v>0</v>
      </c>
      <c r="AH55">
        <v>75</v>
      </c>
      <c r="AI55">
        <v>0</v>
      </c>
      <c r="AJ55" t="s">
        <v>5545</v>
      </c>
      <c r="AK55" t="s">
        <v>5544</v>
      </c>
      <c r="AL55" t="s">
        <v>5546</v>
      </c>
    </row>
    <row r="56" spans="1:38" x14ac:dyDescent="0.2">
      <c r="A56">
        <v>1235704</v>
      </c>
      <c r="B56">
        <v>8031653</v>
      </c>
      <c r="C56">
        <v>187514</v>
      </c>
      <c r="E56" t="b">
        <v>0</v>
      </c>
      <c r="F56">
        <v>71907</v>
      </c>
      <c r="G56" t="s">
        <v>5821</v>
      </c>
      <c r="H56">
        <v>1</v>
      </c>
      <c r="I56" t="s">
        <v>5822</v>
      </c>
      <c r="J56" t="s">
        <v>5528</v>
      </c>
      <c r="K56" t="s">
        <v>5529</v>
      </c>
      <c r="L56" t="s">
        <v>5529</v>
      </c>
      <c r="M56" t="s">
        <v>5823</v>
      </c>
      <c r="N56" t="s">
        <v>615</v>
      </c>
      <c r="O56" t="s">
        <v>5464</v>
      </c>
      <c r="S56" t="s">
        <v>5684</v>
      </c>
      <c r="U56" t="s">
        <v>5824</v>
      </c>
      <c r="V56" t="s">
        <v>5825</v>
      </c>
      <c r="W56" t="s">
        <v>3499</v>
      </c>
      <c r="X56" t="s">
        <v>5530</v>
      </c>
      <c r="Y56" t="s">
        <v>5336</v>
      </c>
      <c r="Z56" t="s">
        <v>5543</v>
      </c>
      <c r="AB56" t="s">
        <v>5670</v>
      </c>
      <c r="AD56" t="s">
        <v>614</v>
      </c>
      <c r="AE56" t="s">
        <v>614</v>
      </c>
      <c r="AF56">
        <v>0</v>
      </c>
      <c r="AG56">
        <v>0</v>
      </c>
      <c r="AH56">
        <v>27.5</v>
      </c>
      <c r="AI56">
        <v>0</v>
      </c>
      <c r="AJ56" t="s">
        <v>5545</v>
      </c>
      <c r="AK56" t="s">
        <v>5670</v>
      </c>
      <c r="AL56" t="s">
        <v>5546</v>
      </c>
    </row>
    <row r="57" spans="1:38" x14ac:dyDescent="0.2">
      <c r="A57">
        <v>1235563</v>
      </c>
      <c r="B57">
        <v>7009411</v>
      </c>
      <c r="C57">
        <v>7589603</v>
      </c>
      <c r="E57" t="b">
        <v>0</v>
      </c>
      <c r="F57">
        <v>53782</v>
      </c>
      <c r="G57" t="s">
        <v>5826</v>
      </c>
      <c r="H57">
        <v>1</v>
      </c>
      <c r="I57" t="s">
        <v>5827</v>
      </c>
      <c r="J57" t="s">
        <v>5528</v>
      </c>
      <c r="K57" t="s">
        <v>5527</v>
      </c>
      <c r="L57" t="s">
        <v>5529</v>
      </c>
      <c r="M57" t="s">
        <v>5828</v>
      </c>
      <c r="N57" t="s">
        <v>277</v>
      </c>
      <c r="O57" t="s">
        <v>277</v>
      </c>
      <c r="P57" t="s">
        <v>5424</v>
      </c>
      <c r="S57" t="s">
        <v>5590</v>
      </c>
      <c r="U57" t="s">
        <v>5829</v>
      </c>
      <c r="V57" t="s">
        <v>5830</v>
      </c>
      <c r="W57" t="s">
        <v>5405</v>
      </c>
      <c r="X57" t="s">
        <v>5530</v>
      </c>
      <c r="Y57" t="s">
        <v>145</v>
      </c>
      <c r="Z57" t="s">
        <v>5543</v>
      </c>
      <c r="AB57" t="s">
        <v>5585</v>
      </c>
      <c r="AD57" t="s">
        <v>5425</v>
      </c>
      <c r="AE57" t="s">
        <v>5426</v>
      </c>
      <c r="AF57">
        <v>0</v>
      </c>
      <c r="AG57">
        <v>0</v>
      </c>
      <c r="AH57">
        <v>46</v>
      </c>
      <c r="AI57">
        <v>0</v>
      </c>
      <c r="AJ57" t="s">
        <v>5545</v>
      </c>
      <c r="AK57" t="s">
        <v>5585</v>
      </c>
      <c r="AL57" t="s">
        <v>5594</v>
      </c>
    </row>
    <row r="58" spans="1:38" x14ac:dyDescent="0.2">
      <c r="A58">
        <v>1235428</v>
      </c>
      <c r="B58">
        <v>3934094</v>
      </c>
      <c r="C58">
        <v>7589603</v>
      </c>
      <c r="E58" t="b">
        <v>0</v>
      </c>
      <c r="F58">
        <v>17702</v>
      </c>
      <c r="G58" t="s">
        <v>5831</v>
      </c>
      <c r="H58">
        <v>1</v>
      </c>
      <c r="I58" t="s">
        <v>5832</v>
      </c>
      <c r="J58" t="s">
        <v>5528</v>
      </c>
      <c r="K58" t="s">
        <v>5529</v>
      </c>
      <c r="L58" t="s">
        <v>5529</v>
      </c>
      <c r="M58" t="s">
        <v>5833</v>
      </c>
      <c r="N58" t="s">
        <v>278</v>
      </c>
      <c r="O58" t="s">
        <v>278</v>
      </c>
      <c r="P58" t="s">
        <v>5765</v>
      </c>
      <c r="S58" t="s">
        <v>5590</v>
      </c>
      <c r="V58" t="s">
        <v>5834</v>
      </c>
      <c r="W58" t="s">
        <v>5405</v>
      </c>
      <c r="X58" t="s">
        <v>5530</v>
      </c>
      <c r="Y58" t="s">
        <v>145</v>
      </c>
      <c r="Z58" t="s">
        <v>5543</v>
      </c>
      <c r="AB58" t="s">
        <v>5585</v>
      </c>
      <c r="AD58" t="s">
        <v>5835</v>
      </c>
      <c r="AE58" t="s">
        <v>5836</v>
      </c>
      <c r="AF58">
        <v>0</v>
      </c>
      <c r="AG58">
        <v>0</v>
      </c>
      <c r="AH58">
        <v>41</v>
      </c>
      <c r="AI58">
        <v>0</v>
      </c>
      <c r="AJ58" t="s">
        <v>5545</v>
      </c>
      <c r="AK58" t="s">
        <v>5585</v>
      </c>
      <c r="AL58" t="s">
        <v>5594</v>
      </c>
    </row>
    <row r="59" spans="1:38" x14ac:dyDescent="0.2">
      <c r="A59">
        <v>2822437</v>
      </c>
    </row>
    <row r="60" spans="1:38" x14ac:dyDescent="0.2">
      <c r="A60">
        <v>1235598</v>
      </c>
      <c r="B60">
        <v>7490110</v>
      </c>
      <c r="C60">
        <v>7589602</v>
      </c>
      <c r="E60" t="b">
        <v>0</v>
      </c>
      <c r="F60">
        <v>61175</v>
      </c>
      <c r="G60" t="s">
        <v>5837</v>
      </c>
      <c r="H60">
        <v>1</v>
      </c>
      <c r="I60" t="s">
        <v>5838</v>
      </c>
      <c r="J60" t="s">
        <v>5528</v>
      </c>
      <c r="K60" t="s">
        <v>5527</v>
      </c>
      <c r="L60" t="s">
        <v>5529</v>
      </c>
      <c r="M60" t="s">
        <v>5839</v>
      </c>
      <c r="N60" t="s">
        <v>226</v>
      </c>
      <c r="O60" t="s">
        <v>226</v>
      </c>
      <c r="P60" t="s">
        <v>5405</v>
      </c>
      <c r="S60" t="s">
        <v>5598</v>
      </c>
      <c r="U60" t="s">
        <v>5840</v>
      </c>
      <c r="V60" t="s">
        <v>5841</v>
      </c>
      <c r="W60" t="s">
        <v>5405</v>
      </c>
      <c r="X60" t="s">
        <v>5530</v>
      </c>
      <c r="Y60" t="s">
        <v>145</v>
      </c>
      <c r="Z60" t="s">
        <v>5543</v>
      </c>
      <c r="AA60" t="s">
        <v>34</v>
      </c>
      <c r="AB60" t="s">
        <v>5602</v>
      </c>
      <c r="AD60" t="s">
        <v>5431</v>
      </c>
      <c r="AE60" t="s">
        <v>5431</v>
      </c>
      <c r="AF60">
        <v>0</v>
      </c>
      <c r="AG60">
        <v>0</v>
      </c>
      <c r="AH60">
        <v>76.25</v>
      </c>
      <c r="AI60">
        <v>0</v>
      </c>
      <c r="AJ60" t="s">
        <v>5545</v>
      </c>
      <c r="AK60" t="s">
        <v>5602</v>
      </c>
      <c r="AL60" t="s">
        <v>5594</v>
      </c>
    </row>
    <row r="61" spans="1:38" x14ac:dyDescent="0.2">
      <c r="A61">
        <v>1235517</v>
      </c>
      <c r="B61">
        <v>6829128</v>
      </c>
      <c r="C61">
        <v>187510</v>
      </c>
      <c r="E61" t="b">
        <v>0</v>
      </c>
      <c r="F61">
        <v>50907</v>
      </c>
      <c r="G61" t="s">
        <v>5842</v>
      </c>
      <c r="H61">
        <v>1</v>
      </c>
      <c r="I61" t="s">
        <v>5843</v>
      </c>
      <c r="J61" t="s">
        <v>5528</v>
      </c>
      <c r="K61" t="s">
        <v>5527</v>
      </c>
      <c r="L61" t="s">
        <v>5529</v>
      </c>
      <c r="M61" t="s">
        <v>5844</v>
      </c>
      <c r="N61" t="s">
        <v>227</v>
      </c>
      <c r="O61" t="s">
        <v>227</v>
      </c>
      <c r="P61" t="s">
        <v>135</v>
      </c>
      <c r="S61" t="s">
        <v>5598</v>
      </c>
      <c r="U61" t="s">
        <v>5845</v>
      </c>
      <c r="V61" t="s">
        <v>5846</v>
      </c>
      <c r="W61" t="s">
        <v>5405</v>
      </c>
      <c r="X61" t="s">
        <v>5530</v>
      </c>
      <c r="Y61" t="s">
        <v>145</v>
      </c>
      <c r="Z61" t="s">
        <v>5543</v>
      </c>
      <c r="AA61" t="s">
        <v>34</v>
      </c>
      <c r="AB61" t="s">
        <v>5602</v>
      </c>
      <c r="AD61" t="s">
        <v>5847</v>
      </c>
      <c r="AE61" t="s">
        <v>5847</v>
      </c>
      <c r="AF61">
        <v>0</v>
      </c>
      <c r="AG61">
        <v>0</v>
      </c>
      <c r="AH61">
        <v>74.75</v>
      </c>
      <c r="AI61">
        <v>0</v>
      </c>
      <c r="AJ61" t="s">
        <v>5545</v>
      </c>
      <c r="AK61" t="s">
        <v>5602</v>
      </c>
      <c r="AL61" t="s">
        <v>5546</v>
      </c>
    </row>
    <row r="62" spans="1:38" x14ac:dyDescent="0.2">
      <c r="A62">
        <v>2822784</v>
      </c>
      <c r="B62">
        <v>8069275</v>
      </c>
      <c r="E62" t="b">
        <v>0</v>
      </c>
      <c r="F62">
        <v>72690</v>
      </c>
      <c r="G62" t="s">
        <v>5848</v>
      </c>
      <c r="H62">
        <v>1</v>
      </c>
      <c r="I62" t="s">
        <v>5849</v>
      </c>
      <c r="J62" t="s">
        <v>5528</v>
      </c>
      <c r="K62" t="s">
        <v>5529</v>
      </c>
      <c r="L62" t="s">
        <v>5529</v>
      </c>
      <c r="M62" t="s">
        <v>5850</v>
      </c>
      <c r="N62" t="s">
        <v>5497</v>
      </c>
      <c r="O62" t="s">
        <v>5497</v>
      </c>
      <c r="P62" t="s">
        <v>177</v>
      </c>
      <c r="S62" t="s">
        <v>5851</v>
      </c>
      <c r="V62" t="s">
        <v>5852</v>
      </c>
      <c r="W62" t="s">
        <v>5405</v>
      </c>
      <c r="X62" t="s">
        <v>5530</v>
      </c>
      <c r="Y62" t="s">
        <v>5593</v>
      </c>
      <c r="Z62" t="s">
        <v>5543</v>
      </c>
      <c r="AA62" t="s">
        <v>34</v>
      </c>
      <c r="AD62" t="s">
        <v>5498</v>
      </c>
      <c r="AE62" t="s">
        <v>5498</v>
      </c>
      <c r="AF62">
        <v>0</v>
      </c>
      <c r="AG62">
        <v>0</v>
      </c>
      <c r="AH62">
        <v>76.25</v>
      </c>
      <c r="AI62">
        <v>0</v>
      </c>
      <c r="AJ62" t="s">
        <v>5545</v>
      </c>
    </row>
    <row r="63" spans="1:38" x14ac:dyDescent="0.2">
      <c r="A63">
        <v>1235416</v>
      </c>
      <c r="B63">
        <v>7618351</v>
      </c>
      <c r="C63">
        <v>187510</v>
      </c>
      <c r="E63" t="b">
        <v>0</v>
      </c>
      <c r="F63">
        <v>64375</v>
      </c>
      <c r="G63" t="s">
        <v>5853</v>
      </c>
      <c r="H63">
        <v>1</v>
      </c>
      <c r="I63" t="s">
        <v>5854</v>
      </c>
      <c r="J63" t="s">
        <v>5528</v>
      </c>
      <c r="K63" t="s">
        <v>5855</v>
      </c>
      <c r="L63" t="s">
        <v>5529</v>
      </c>
      <c r="M63" t="s">
        <v>5856</v>
      </c>
      <c r="N63" t="s">
        <v>5350</v>
      </c>
      <c r="O63" t="s">
        <v>5350</v>
      </c>
      <c r="P63" t="s">
        <v>5351</v>
      </c>
      <c r="S63" t="s">
        <v>5857</v>
      </c>
      <c r="U63" t="s">
        <v>5858</v>
      </c>
      <c r="V63" t="s">
        <v>5859</v>
      </c>
      <c r="W63" t="s">
        <v>5405</v>
      </c>
      <c r="X63" t="s">
        <v>5530</v>
      </c>
      <c r="Y63" t="s">
        <v>145</v>
      </c>
      <c r="Z63" t="s">
        <v>5543</v>
      </c>
      <c r="AA63" t="s">
        <v>34</v>
      </c>
      <c r="AB63" t="s">
        <v>5602</v>
      </c>
      <c r="AD63" t="s">
        <v>5352</v>
      </c>
      <c r="AE63" t="s">
        <v>5352</v>
      </c>
      <c r="AF63">
        <v>0</v>
      </c>
      <c r="AG63">
        <v>0</v>
      </c>
      <c r="AH63">
        <v>76.25</v>
      </c>
      <c r="AI63">
        <v>0</v>
      </c>
      <c r="AJ63" t="s">
        <v>5545</v>
      </c>
      <c r="AK63" t="s">
        <v>5602</v>
      </c>
      <c r="AL63" t="s">
        <v>5546</v>
      </c>
    </row>
    <row r="64" spans="1:38" x14ac:dyDescent="0.2">
      <c r="A64">
        <v>1235503</v>
      </c>
      <c r="B64">
        <v>8035837</v>
      </c>
      <c r="C64">
        <v>187508</v>
      </c>
      <c r="E64" t="b">
        <v>0</v>
      </c>
      <c r="F64">
        <v>72022</v>
      </c>
      <c r="G64" t="s">
        <v>5860</v>
      </c>
      <c r="H64">
        <v>1</v>
      </c>
      <c r="I64" t="s">
        <v>5861</v>
      </c>
      <c r="J64" t="s">
        <v>5528</v>
      </c>
      <c r="K64" t="s">
        <v>5527</v>
      </c>
      <c r="L64" t="s">
        <v>5529</v>
      </c>
      <c r="M64" t="s">
        <v>5862</v>
      </c>
      <c r="N64" t="s">
        <v>646</v>
      </c>
      <c r="O64" t="s">
        <v>231</v>
      </c>
      <c r="P64" t="s">
        <v>5336</v>
      </c>
      <c r="S64" t="s">
        <v>5863</v>
      </c>
      <c r="U64" t="s">
        <v>5864</v>
      </c>
      <c r="V64" t="s">
        <v>5865</v>
      </c>
      <c r="W64" t="s">
        <v>5405</v>
      </c>
      <c r="X64" t="s">
        <v>5530</v>
      </c>
      <c r="Y64" t="s">
        <v>5542</v>
      </c>
      <c r="Z64" t="s">
        <v>5543</v>
      </c>
      <c r="AB64" t="s">
        <v>5544</v>
      </c>
      <c r="AD64" t="s">
        <v>647</v>
      </c>
      <c r="AE64" t="s">
        <v>5391</v>
      </c>
      <c r="AF64">
        <v>0</v>
      </c>
      <c r="AG64">
        <v>0</v>
      </c>
      <c r="AH64">
        <v>97</v>
      </c>
      <c r="AI64">
        <v>0</v>
      </c>
      <c r="AJ64" t="s">
        <v>5545</v>
      </c>
      <c r="AK64" t="s">
        <v>5544</v>
      </c>
      <c r="AL64" t="s">
        <v>5546</v>
      </c>
    </row>
    <row r="65" spans="1:1" x14ac:dyDescent="0.2">
      <c r="A65">
        <v>1235768</v>
      </c>
    </row>
    <row r="66" spans="1:1" x14ac:dyDescent="0.2">
      <c r="A66">
        <v>1235769</v>
      </c>
    </row>
    <row r="67" spans="1:1" x14ac:dyDescent="0.2">
      <c r="A67">
        <v>1235540</v>
      </c>
    </row>
  </sheetData>
  <sheetProtection algorithmName="SHA-512" hashValue="TQW53lsJqyflynhG6QG8FYmS/b+cnuzYac2IOZvOfB+A+ZsSdTPffBoX4f7oPJNEG8wkmXYpSzqNSYqW5QhMGw==" saltValue="nHQ5O9WlvBMl+LuXI6Y31Q=="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5578</v>
      </c>
      <c r="B1" s="44" t="s">
        <v>5576</v>
      </c>
      <c r="C1" s="44" t="s">
        <v>5577</v>
      </c>
    </row>
    <row r="2" spans="1:3" x14ac:dyDescent="0.2">
      <c r="A2" s="44" t="s">
        <v>5575</v>
      </c>
      <c r="B2">
        <v>-100</v>
      </c>
      <c r="C2">
        <v>450</v>
      </c>
    </row>
    <row r="3" spans="1:3" x14ac:dyDescent="0.2">
      <c r="A3" s="44" t="s">
        <v>5569</v>
      </c>
      <c r="B3">
        <v>-50</v>
      </c>
      <c r="C3">
        <v>450</v>
      </c>
    </row>
    <row r="4" spans="1:3" x14ac:dyDescent="0.2">
      <c r="A4" s="44" t="s">
        <v>5568</v>
      </c>
      <c r="B4">
        <v>70</v>
      </c>
      <c r="C4">
        <v>500</v>
      </c>
    </row>
    <row r="5" spans="1:3" x14ac:dyDescent="0.2">
      <c r="A5" s="44" t="s">
        <v>5570</v>
      </c>
      <c r="B5">
        <v>70</v>
      </c>
      <c r="C5">
        <v>450</v>
      </c>
    </row>
    <row r="6" spans="1:3" x14ac:dyDescent="0.2">
      <c r="A6" s="44" t="s">
        <v>5572</v>
      </c>
      <c r="B6">
        <v>70</v>
      </c>
      <c r="C6">
        <v>1000</v>
      </c>
    </row>
    <row r="7" spans="1:3" x14ac:dyDescent="0.2">
      <c r="A7" s="44" t="s">
        <v>5573</v>
      </c>
      <c r="B7">
        <v>200</v>
      </c>
      <c r="C7">
        <v>1850</v>
      </c>
    </row>
    <row r="8" spans="1:3" x14ac:dyDescent="0.2">
      <c r="A8" s="44" t="s">
        <v>5571</v>
      </c>
      <c r="B8">
        <v>700</v>
      </c>
      <c r="C8">
        <v>2200</v>
      </c>
    </row>
    <row r="9" spans="1:3" x14ac:dyDescent="0.2">
      <c r="A9" s="44" t="s">
        <v>5574</v>
      </c>
      <c r="B9">
        <v>700</v>
      </c>
      <c r="C9">
        <v>2200</v>
      </c>
    </row>
  </sheetData>
  <sheetProtection algorithmName="SHA-512" hashValue="72vY0nHvVc4sqss923/0C1MdCyz7v8HtonsKRPMBdOPGgxY16ieQJc6ox6SIo9EhP6vDTKhOzRT9yIqxPptfJw==" saltValue="VMQHXI0ztqmGCKiI6sDAJw=="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590" t="s">
        <v>145</v>
      </c>
      <c r="E1" s="590"/>
      <c r="F1" s="590"/>
      <c r="G1" s="590"/>
      <c r="H1" s="590"/>
      <c r="I1" s="590"/>
      <c r="J1" s="590"/>
      <c r="K1" s="590"/>
      <c r="L1" s="590"/>
      <c r="M1" s="590"/>
    </row>
    <row r="2" spans="1:18" ht="23.25" customHeight="1" x14ac:dyDescent="0.3">
      <c r="C2" s="358"/>
      <c r="D2" s="358" t="s">
        <v>827</v>
      </c>
      <c r="E2" s="358"/>
      <c r="F2" s="358"/>
      <c r="G2" s="358"/>
      <c r="H2" s="358"/>
      <c r="I2" s="358"/>
      <c r="J2" s="358"/>
      <c r="K2" s="358"/>
      <c r="L2" s="358"/>
      <c r="M2" s="358"/>
    </row>
    <row r="3" spans="1:18" ht="23.25" x14ac:dyDescent="0.35">
      <c r="C3" s="591"/>
      <c r="D3" s="591"/>
      <c r="E3" s="591"/>
      <c r="F3" s="591"/>
      <c r="G3" s="591"/>
      <c r="H3" s="591"/>
      <c r="I3" s="591"/>
      <c r="J3" s="591"/>
      <c r="K3" s="591"/>
      <c r="L3" s="591"/>
      <c r="M3" s="591"/>
    </row>
    <row r="4" spans="1:18" ht="23.25" x14ac:dyDescent="0.35">
      <c r="C4" s="342"/>
      <c r="D4" s="342"/>
      <c r="E4" s="342"/>
      <c r="F4" s="342"/>
      <c r="G4" s="342"/>
      <c r="H4" s="342"/>
      <c r="I4" s="342"/>
      <c r="J4" s="342"/>
      <c r="K4" s="342"/>
      <c r="L4" s="342"/>
      <c r="M4" s="342"/>
    </row>
    <row r="5" spans="1:18" ht="23.25" x14ac:dyDescent="0.35">
      <c r="C5" s="608" t="s">
        <v>18</v>
      </c>
      <c r="D5" s="608"/>
      <c r="E5" s="608"/>
      <c r="F5" s="608"/>
      <c r="G5" s="608"/>
      <c r="H5" s="608"/>
      <c r="I5" s="608"/>
      <c r="J5" s="608"/>
      <c r="K5" s="608"/>
      <c r="L5" s="608"/>
      <c r="M5" s="608"/>
    </row>
    <row r="6" spans="1:18" ht="23.25" x14ac:dyDescent="0.35">
      <c r="C6" s="343"/>
      <c r="D6" s="343"/>
      <c r="E6" s="575" t="str">
        <f>IF(Main!K14="","",CONCATENATE("Report Number: ", WorkItemNumber))</f>
        <v/>
      </c>
      <c r="F6" s="575"/>
      <c r="G6" s="575"/>
      <c r="H6" s="575"/>
      <c r="I6" s="575"/>
      <c r="J6" s="575"/>
      <c r="K6" s="575"/>
      <c r="L6" s="343"/>
      <c r="M6" s="343"/>
    </row>
    <row r="7" spans="1:18" ht="18.75" customHeight="1" x14ac:dyDescent="0.3">
      <c r="G7" s="587"/>
      <c r="H7" s="587"/>
      <c r="I7" s="316"/>
      <c r="R7" t="str">
        <f>CONCATENATE("Page ",Main!L9," of ",Main!L10)</f>
        <v xml:space="preserve">Page  of </v>
      </c>
    </row>
    <row r="8" spans="1:18" ht="18" customHeight="1" x14ac:dyDescent="0.25">
      <c r="G8" s="603"/>
      <c r="H8" s="603"/>
      <c r="J8" s="106"/>
      <c r="K8" s="344" t="s">
        <v>824</v>
      </c>
      <c r="L8" s="684" t="str">
        <f>FormNumber</f>
        <v>40100 Revision C 12-26-19</v>
      </c>
      <c r="M8" s="684"/>
      <c r="N8" s="684"/>
      <c r="O8" s="684"/>
    </row>
    <row r="9" spans="1:18" ht="18" customHeight="1" x14ac:dyDescent="0.25">
      <c r="A9" s="344" t="s">
        <v>776</v>
      </c>
      <c r="B9" s="38" t="str">
        <f>Main!D5</f>
        <v>CHROME PLUS INT'L - WICHITA</v>
      </c>
      <c r="J9" s="106"/>
      <c r="K9" s="344" t="s">
        <v>825</v>
      </c>
      <c r="L9" s="588" t="str">
        <f>CalMethod</f>
        <v>JGI WP4100, AMS 2750H</v>
      </c>
      <c r="M9" s="588"/>
      <c r="N9" s="588"/>
      <c r="O9" s="588"/>
    </row>
    <row r="10" spans="1:18" ht="18" customHeight="1" x14ac:dyDescent="0.25">
      <c r="A10" s="118"/>
      <c r="B10" s="339" t="str">
        <f>_xlfn.XLOOKUP(clientCompanyId,customers_table[company_id],customers_table[Address1])</f>
        <v>3939 W 29Th St S</v>
      </c>
      <c r="J10" s="106"/>
      <c r="K10" s="344"/>
      <c r="L10" s="588"/>
      <c r="M10" s="588"/>
      <c r="N10" s="588"/>
      <c r="O10" s="588"/>
    </row>
    <row r="11" spans="1:18" ht="18" customHeight="1" x14ac:dyDescent="0.25">
      <c r="A11" s="118"/>
      <c r="B11" s="339" t="str">
        <f>_xlfn.XLOOKUP(clientCompanyId,customers_table[company_id],customers_table[Merged])</f>
        <v>Wichita, KS, 67217</v>
      </c>
      <c r="J11" s="106"/>
      <c r="K11" s="344" t="s">
        <v>826</v>
      </c>
      <c r="L11" s="684" t="str">
        <f>TolSource</f>
        <v>SPECIFICATION</v>
      </c>
      <c r="M11" s="684"/>
      <c r="N11" s="684"/>
      <c r="O11" s="684"/>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777</v>
      </c>
      <c r="B14" s="346" t="str">
        <f>Item</f>
        <v>OVEN NO. 10</v>
      </c>
      <c r="C14" s="347"/>
      <c r="D14" s="347"/>
      <c r="E14" s="347"/>
      <c r="F14" s="321"/>
      <c r="G14" s="335" t="s">
        <v>782</v>
      </c>
      <c r="H14" s="346" t="str">
        <f>Range</f>
        <v>100°F/180°F</v>
      </c>
      <c r="I14" s="321"/>
      <c r="J14" s="321"/>
      <c r="K14" s="321"/>
      <c r="L14" s="321"/>
      <c r="M14" s="335" t="s">
        <v>787</v>
      </c>
      <c r="N14" s="346">
        <f>Main!D7</f>
        <v>0</v>
      </c>
      <c r="O14" s="322"/>
    </row>
    <row r="15" spans="1:18" ht="18" customHeight="1" x14ac:dyDescent="0.25">
      <c r="A15" s="350" t="s">
        <v>778</v>
      </c>
      <c r="B15" s="348" t="str">
        <f>ModelNumber</f>
        <v>DESPATCH RS4HD</v>
      </c>
      <c r="C15" s="339"/>
      <c r="D15" s="339"/>
      <c r="E15" s="339"/>
      <c r="G15" s="344" t="s">
        <v>783</v>
      </c>
      <c r="H15" s="348" t="str">
        <f>Tolerance</f>
        <v>±10.0°F</v>
      </c>
      <c r="M15" s="344" t="s">
        <v>788</v>
      </c>
      <c r="N15" s="352">
        <f>Main!D3</f>
        <v>0</v>
      </c>
      <c r="O15" s="323"/>
    </row>
    <row r="16" spans="1:18" ht="18" customHeight="1" x14ac:dyDescent="0.25">
      <c r="A16" s="350" t="s">
        <v>779</v>
      </c>
      <c r="B16" s="605">
        <f>SerialNumber</f>
        <v>70773</v>
      </c>
      <c r="C16" s="605"/>
      <c r="D16" s="605"/>
      <c r="E16" s="605"/>
      <c r="G16" s="344" t="s">
        <v>784</v>
      </c>
      <c r="H16" s="348" t="str">
        <f>HeatingMethod</f>
        <v>GAS PROPORTIONAL</v>
      </c>
      <c r="M16" s="344" t="s">
        <v>789</v>
      </c>
      <c r="N16" s="352">
        <f>IF(CalInterval="N/A", "N/A", EDATE(N15, CHOOSE(MATCH(CalInterval, {"M","2 Mo","Q","4 Mo","6 Mo","A","2Yr","3Yr"}, 0), 1, 2, 3, 4, 6, 12, 24, 36)))</f>
        <v>31</v>
      </c>
      <c r="O16" s="323"/>
    </row>
    <row r="17" spans="1:19" ht="18" customHeight="1" x14ac:dyDescent="0.25">
      <c r="A17" s="350" t="s">
        <v>780</v>
      </c>
      <c r="B17" s="399" t="str">
        <f>UnitNumber</f>
        <v>W-CPI-3049</v>
      </c>
      <c r="C17" s="339"/>
      <c r="D17" s="339"/>
      <c r="E17" s="339"/>
      <c r="G17" s="344" t="s">
        <v>785</v>
      </c>
      <c r="H17" s="348" t="str">
        <f>WorkingZoneSize</f>
        <v>48" X 66" X 66"</v>
      </c>
      <c r="M17" s="344" t="str">
        <f>IF(Main!K13="","","PO:")</f>
        <v/>
      </c>
      <c r="N17" s="348" t="str">
        <f>IF(Main!K13="","",Main!K13)</f>
        <v/>
      </c>
      <c r="O17" s="323"/>
    </row>
    <row r="18" spans="1:19" ht="18" customHeight="1" x14ac:dyDescent="0.25">
      <c r="A18" s="350" t="s">
        <v>781</v>
      </c>
      <c r="B18" s="594" t="str">
        <f>Class</f>
        <v>2D per AMS 2750H</v>
      </c>
      <c r="C18" s="594"/>
      <c r="D18" s="594"/>
      <c r="E18" s="594"/>
      <c r="G18" s="344" t="s">
        <v>786</v>
      </c>
      <c r="H18" s="348">
        <f>CubicFeet</f>
        <v>121</v>
      </c>
      <c r="M18" s="344" t="s">
        <v>790</v>
      </c>
      <c r="N18" s="348" t="str">
        <f>Main!G18</f>
        <v>ACCEPTED</v>
      </c>
      <c r="O18" s="323"/>
    </row>
    <row r="19" spans="1:19" ht="18" customHeight="1" x14ac:dyDescent="0.25">
      <c r="A19" s="334"/>
      <c r="B19" s="595"/>
      <c r="C19" s="595"/>
      <c r="D19" s="595"/>
      <c r="E19" s="595"/>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795</v>
      </c>
      <c r="B21" s="606" t="str">
        <f>Controller</f>
        <v>Barber-Colman 7SD</v>
      </c>
      <c r="C21" s="606"/>
      <c r="D21" s="606"/>
      <c r="E21" s="606"/>
      <c r="F21" s="335" t="s">
        <v>797</v>
      </c>
      <c r="G21" s="606">
        <f>ContSN</f>
        <v>5.25</v>
      </c>
      <c r="H21" s="606"/>
      <c r="I21" s="606"/>
      <c r="J21" s="335" t="s">
        <v>798</v>
      </c>
      <c r="K21" s="347" t="str">
        <f>ContTol</f>
        <v>±2.0°F</v>
      </c>
      <c r="L21" s="321"/>
      <c r="M21" s="335" t="s">
        <v>799</v>
      </c>
      <c r="N21" s="360" t="str">
        <f>Main!G27</f>
        <v>Cal by Customer</v>
      </c>
      <c r="O21" s="322"/>
    </row>
    <row r="22" spans="1:19" ht="18" customHeight="1" x14ac:dyDescent="0.25">
      <c r="A22" s="353" t="s">
        <v>796</v>
      </c>
      <c r="B22" s="607" t="str">
        <f>_xlnm.Recorder</f>
        <v>Eurotherm Chessel 6100A</v>
      </c>
      <c r="C22" s="607"/>
      <c r="D22" s="607"/>
      <c r="E22" s="607"/>
      <c r="F22" s="336" t="s">
        <v>797</v>
      </c>
      <c r="G22" s="607">
        <f>RecSN</f>
        <v>5256764</v>
      </c>
      <c r="H22" s="607"/>
      <c r="I22" s="607"/>
      <c r="J22" s="336" t="s">
        <v>798</v>
      </c>
      <c r="K22" s="359" t="str">
        <f>RecTol</f>
        <v>±2.0°F</v>
      </c>
      <c r="L22" s="324"/>
      <c r="M22" s="336" t="s">
        <v>799</v>
      </c>
      <c r="N22" s="361" t="str">
        <f>Main!G28</f>
        <v>Cal by Customer</v>
      </c>
      <c r="O22" s="325"/>
    </row>
    <row r="23" spans="1:19" ht="8.1" customHeight="1" x14ac:dyDescent="0.25">
      <c r="A23" s="106"/>
      <c r="B23" s="339"/>
      <c r="C23" s="339"/>
      <c r="D23" s="339"/>
      <c r="E23" s="328"/>
    </row>
    <row r="24" spans="1:19" ht="18" customHeight="1" x14ac:dyDescent="0.25">
      <c r="A24" s="349" t="s">
        <v>800</v>
      </c>
      <c r="B24" s="355">
        <f>Temperature</f>
        <v>0</v>
      </c>
      <c r="C24" s="347"/>
      <c r="D24" s="347"/>
      <c r="E24" s="329"/>
      <c r="F24" s="321"/>
      <c r="G24" s="335" t="s">
        <v>803</v>
      </c>
      <c r="H24" s="337">
        <f>Main!D26</f>
        <v>0</v>
      </c>
      <c r="I24" s="321"/>
      <c r="J24" s="321"/>
      <c r="K24" s="321"/>
      <c r="L24" s="333"/>
      <c r="M24" s="335" t="s">
        <v>807</v>
      </c>
      <c r="N24" s="347" t="str">
        <f ca="1">TEXT(Access_Data!D33,"0.0") &amp; "°F / " &amp; TEXT(Access_Data!H33,"0.0") &amp; "°F"</f>
        <v>0.0°F / 0.0°F</v>
      </c>
      <c r="O24" s="322"/>
    </row>
    <row r="25" spans="1:19" ht="18" customHeight="1" x14ac:dyDescent="0.25">
      <c r="A25" s="350" t="s">
        <v>801</v>
      </c>
      <c r="B25" s="356">
        <f>Main!D15</f>
        <v>0</v>
      </c>
      <c r="C25" s="339"/>
      <c r="D25" s="339"/>
      <c r="E25" s="328"/>
      <c r="G25" s="344" t="s">
        <v>804</v>
      </c>
      <c r="H25" s="338" t="e">
        <f>Main!E29</f>
        <v>#VALUE!</v>
      </c>
      <c r="L25" s="106"/>
      <c r="M25" s="344" t="s">
        <v>808</v>
      </c>
      <c r="N25" s="339" t="str">
        <f>IF(Main!H15=TRUE,Main!G17,"VERIFY LOAD!!!")</f>
        <v>Empty Rack</v>
      </c>
      <c r="O25" s="323"/>
      <c r="R25" s="175"/>
      <c r="S25" s="100"/>
    </row>
    <row r="26" spans="1:19" ht="18" customHeight="1" x14ac:dyDescent="0.25">
      <c r="A26" s="350" t="s">
        <v>802</v>
      </c>
      <c r="B26" s="339" t="s">
        <v>648</v>
      </c>
      <c r="C26" s="339"/>
      <c r="D26" s="339"/>
      <c r="E26" s="328"/>
      <c r="G26" s="344" t="s">
        <v>805</v>
      </c>
      <c r="H26" s="339" t="str">
        <f>Main!I19</f>
        <v>N/A</v>
      </c>
      <c r="L26" s="106"/>
      <c r="M26" s="344" t="s">
        <v>806</v>
      </c>
      <c r="N26" s="339" t="e">
        <f ca="1">TEXT(Access_Data!K33,"0.0") &amp; "°F"</f>
        <v>#VALUE!</v>
      </c>
      <c r="O26" s="323"/>
    </row>
    <row r="27" spans="1:19" ht="18" customHeight="1" x14ac:dyDescent="0.2">
      <c r="A27" s="354"/>
      <c r="B27" s="324"/>
      <c r="C27" s="604" t="s">
        <v>809</v>
      </c>
      <c r="D27" s="604"/>
      <c r="E27" s="604"/>
      <c r="F27" s="604"/>
      <c r="G27" s="604"/>
      <c r="H27" s="604"/>
      <c r="I27" s="604"/>
      <c r="J27" s="604"/>
      <c r="K27" s="604"/>
      <c r="L27" s="604"/>
      <c r="M27" s="604"/>
      <c r="N27" s="324"/>
      <c r="O27" s="325"/>
    </row>
    <row r="28" spans="1:19" ht="8.1" customHeight="1" x14ac:dyDescent="0.2"/>
    <row r="29" spans="1:19" ht="18" customHeight="1" x14ac:dyDescent="0.2">
      <c r="A29" s="600" t="s">
        <v>760</v>
      </c>
      <c r="B29" s="601"/>
      <c r="C29" s="602"/>
      <c r="D29" s="600" t="s">
        <v>810</v>
      </c>
      <c r="E29" s="601"/>
      <c r="F29" s="601"/>
      <c r="G29" s="602"/>
      <c r="H29" s="600" t="s">
        <v>761</v>
      </c>
      <c r="I29" s="601"/>
      <c r="J29" s="601"/>
      <c r="K29" s="602"/>
      <c r="L29" s="600" t="s">
        <v>583</v>
      </c>
      <c r="M29" s="601"/>
      <c r="N29" s="601"/>
      <c r="O29" s="602"/>
    </row>
    <row r="30" spans="1:19" ht="18" customHeight="1" x14ac:dyDescent="0.2">
      <c r="A30" s="340"/>
      <c r="B30" s="330" t="str">
        <f>TestLocation</f>
        <v>On-Site</v>
      </c>
      <c r="C30" s="341"/>
      <c r="D30" s="597" t="str">
        <f>CONCATENATE(Main!D22,"°F"," / ",Main!D23,"% RH")</f>
        <v>°F / % RH</v>
      </c>
      <c r="E30" s="598"/>
      <c r="F30" s="598"/>
      <c r="G30" s="599"/>
      <c r="H30" s="597" t="str">
        <f>OvenLocation</f>
        <v>PRODUCTION - Tested on Site</v>
      </c>
      <c r="I30" s="598"/>
      <c r="J30" s="598"/>
      <c r="K30" s="599"/>
      <c r="L30" s="597" t="str">
        <f>Condition</f>
        <v>Used</v>
      </c>
      <c r="M30" s="598"/>
      <c r="N30" s="598"/>
      <c r="O30" s="599"/>
    </row>
    <row r="31" spans="1:19" ht="18" customHeight="1" x14ac:dyDescent="0.2"/>
    <row r="32" spans="1:19" ht="18" customHeight="1" x14ac:dyDescent="0.25">
      <c r="A32" s="363" t="s">
        <v>811</v>
      </c>
      <c r="B32" s="589" t="s">
        <v>812</v>
      </c>
      <c r="C32" s="589"/>
      <c r="D32" s="363" t="s">
        <v>752</v>
      </c>
      <c r="E32" s="363" t="s">
        <v>751</v>
      </c>
      <c r="F32" s="363" t="s">
        <v>813</v>
      </c>
      <c r="G32" s="106"/>
      <c r="H32" s="106"/>
      <c r="I32" s="363" t="s">
        <v>811</v>
      </c>
      <c r="J32" s="589" t="s">
        <v>812</v>
      </c>
      <c r="K32" s="589"/>
      <c r="L32" s="363" t="s">
        <v>752</v>
      </c>
      <c r="M32" s="363" t="s">
        <v>751</v>
      </c>
      <c r="N32" s="363" t="s">
        <v>813</v>
      </c>
    </row>
    <row r="33" spans="1:14" ht="18" customHeight="1" x14ac:dyDescent="0.2">
      <c r="A33" s="364" t="str">
        <f>IF(B33="","",1)</f>
        <v/>
      </c>
      <c r="B33" s="587" t="str">
        <f>IF(Main!O5="","",Main!O5)</f>
        <v/>
      </c>
      <c r="C33" s="587"/>
      <c r="D33" s="365" t="str">
        <f ca="1">IF(Access_Data!B27="","",Access_Data!B27)</f>
        <v/>
      </c>
      <c r="E33" s="365" t="str">
        <f ca="1">IF(Access_Data!B29="","",Access_Data!B29)</f>
        <v/>
      </c>
      <c r="F33" s="365" t="str">
        <f ca="1">IF(Access_Data!B31="","",Access_Data!B31)</f>
        <v/>
      </c>
      <c r="G33" s="106"/>
      <c r="H33" s="106"/>
      <c r="I33" s="364" t="str">
        <f>IF(J33="","",21)</f>
        <v/>
      </c>
      <c r="J33" s="587" t="str">
        <f>IF(Main!O25="","",Main!O25)</f>
        <v/>
      </c>
      <c r="K33" s="587"/>
      <c r="L33" s="365" t="str">
        <f ca="1">IF(Access_Data!AB27="","",Access_Data!AB27)</f>
        <v/>
      </c>
      <c r="M33" s="365" t="str">
        <f ca="1">IF(Access_Data!AB29="","",Access_Data!AB29)</f>
        <v/>
      </c>
      <c r="N33" s="365" t="str">
        <f ca="1">IF(Access_Data!AB31="","",Access_Data!AB31)</f>
        <v/>
      </c>
    </row>
    <row r="34" spans="1:14" ht="18" customHeight="1" x14ac:dyDescent="0.2">
      <c r="A34" s="364" t="str">
        <f>IF(B34="","",2)</f>
        <v/>
      </c>
      <c r="B34" s="587" t="str">
        <f>IF(Main!O6="","",Main!O6)</f>
        <v/>
      </c>
      <c r="C34" s="587"/>
      <c r="D34" s="365" t="str">
        <f ca="1">IF(Access_Data!C27="","",Access_Data!C27)</f>
        <v/>
      </c>
      <c r="E34" s="365" t="str">
        <f ca="1">IF(Access_Data!C29="","",Access_Data!C29)</f>
        <v/>
      </c>
      <c r="F34" s="365" t="str">
        <f ca="1">IF(Access_Data!C31="","",Access_Data!C31)</f>
        <v/>
      </c>
      <c r="G34" s="106"/>
      <c r="H34" s="106"/>
      <c r="I34" s="364" t="str">
        <f>IF(J34="","",22)</f>
        <v/>
      </c>
      <c r="J34" s="587" t="str">
        <f>IF(Main!O26="","",Main!O26)</f>
        <v/>
      </c>
      <c r="K34" s="587"/>
      <c r="L34" s="365" t="str">
        <f ca="1">IF(Access_Data!AC27="","",Access_Data!AC27)</f>
        <v/>
      </c>
      <c r="M34" s="365" t="str">
        <f ca="1">IF(Access_Data!AC29="","",Access_Data!AC29)</f>
        <v/>
      </c>
      <c r="N34" s="365" t="str">
        <f ca="1">IF(Access_Data!AC31="","",Access_Data!AC31)</f>
        <v/>
      </c>
    </row>
    <row r="35" spans="1:14" ht="18" customHeight="1" x14ac:dyDescent="0.2">
      <c r="A35" s="364" t="str">
        <f>IF(B35="","",3)</f>
        <v/>
      </c>
      <c r="B35" s="587" t="str">
        <f>IF(Main!O7="","",Main!O7)</f>
        <v/>
      </c>
      <c r="C35" s="587"/>
      <c r="D35" s="365" t="str">
        <f ca="1">IF(Access_Data!D27="","",Access_Data!D27)</f>
        <v/>
      </c>
      <c r="E35" s="365" t="str">
        <f ca="1">IF(Access_Data!D29="","",Access_Data!D29)</f>
        <v/>
      </c>
      <c r="F35" s="365" t="str">
        <f ca="1">IF(Access_Data!D31="","",Access_Data!D31)</f>
        <v/>
      </c>
      <c r="G35" s="106"/>
      <c r="H35" s="106"/>
      <c r="I35" s="364" t="str">
        <f>IF(J35="","",23)</f>
        <v/>
      </c>
      <c r="J35" s="587" t="str">
        <f>IF(Main!O27="","",Main!O27)</f>
        <v/>
      </c>
      <c r="K35" s="587"/>
      <c r="L35" s="365" t="str">
        <f ca="1">IF(Access_Data!AD27="","",Access_Data!AD27)</f>
        <v/>
      </c>
      <c r="M35" s="365" t="str">
        <f ca="1">IF(Access_Data!AD29="","",Access_Data!AD29)</f>
        <v/>
      </c>
      <c r="N35" s="365" t="str">
        <f ca="1">IF(Access_Data!AD31="","",Access_Data!AD31)</f>
        <v/>
      </c>
    </row>
    <row r="36" spans="1:14" ht="18" customHeight="1" x14ac:dyDescent="0.2">
      <c r="A36" s="364" t="str">
        <f>IF(B36="","",4)</f>
        <v/>
      </c>
      <c r="B36" s="587" t="str">
        <f>IF(Main!O8="","",Main!O8)</f>
        <v/>
      </c>
      <c r="C36" s="587"/>
      <c r="D36" s="365" t="str">
        <f ca="1">IF(Access_Data!E27="","",Access_Data!E27)</f>
        <v/>
      </c>
      <c r="E36" s="365" t="str">
        <f ca="1">IF(Access_Data!E29="","",Access_Data!E29)</f>
        <v/>
      </c>
      <c r="F36" s="365" t="str">
        <f ca="1">IF(Access_Data!E31="","",Access_Data!E31)</f>
        <v/>
      </c>
      <c r="G36" s="106"/>
      <c r="H36" s="106"/>
      <c r="I36" s="364" t="str">
        <f>IF(J36="","",24)</f>
        <v/>
      </c>
      <c r="J36" s="587" t="str">
        <f>IF(Main!O28="","",Main!O28)</f>
        <v/>
      </c>
      <c r="K36" s="587"/>
      <c r="L36" s="365" t="str">
        <f ca="1">IF(Access_Data!AE27="","",Access_Data!AE27)</f>
        <v/>
      </c>
      <c r="M36" s="365" t="str">
        <f ca="1">IF(Access_Data!AE29="","",Access_Data!AE29)</f>
        <v/>
      </c>
      <c r="N36" s="365" t="str">
        <f ca="1">IF(Access_Data!AE31="","",Access_Data!AE31)</f>
        <v/>
      </c>
    </row>
    <row r="37" spans="1:14" ht="18" customHeight="1" x14ac:dyDescent="0.2">
      <c r="A37" s="364" t="str">
        <f>IF(B37="","",5)</f>
        <v/>
      </c>
      <c r="B37" s="587" t="str">
        <f>IF(Main!O9="","",Main!O9)</f>
        <v/>
      </c>
      <c r="C37" s="587"/>
      <c r="D37" s="365" t="str">
        <f ca="1">IF(Access_Data!F27="","",Access_Data!F27)</f>
        <v/>
      </c>
      <c r="E37" s="365" t="str">
        <f ca="1">IF(Access_Data!F29="","",Access_Data!F29)</f>
        <v/>
      </c>
      <c r="F37" s="365" t="str">
        <f ca="1">IF(Access_Data!F31="","",Access_Data!F31)</f>
        <v/>
      </c>
      <c r="G37" s="106"/>
      <c r="H37" s="106"/>
      <c r="I37" s="364" t="str">
        <f>IF(J37="","",25)</f>
        <v/>
      </c>
      <c r="J37" s="587" t="str">
        <f>IF(Main!O29="","",Main!O29)</f>
        <v/>
      </c>
      <c r="K37" s="587"/>
      <c r="L37" s="365" t="str">
        <f ca="1">IF(Access_Data!AF27="","",Access_Data!AF27)</f>
        <v/>
      </c>
      <c r="M37" s="365" t="str">
        <f ca="1">IF(Access_Data!AF29="","",Access_Data!AF29)</f>
        <v/>
      </c>
      <c r="N37" s="365" t="str">
        <f ca="1">IF(Access_Data!AF31="","",Access_Data!AF31)</f>
        <v/>
      </c>
    </row>
    <row r="38" spans="1:14" ht="18" customHeight="1" x14ac:dyDescent="0.2">
      <c r="A38" s="364" t="str">
        <f>IF(B38="","",6)</f>
        <v/>
      </c>
      <c r="B38" s="587" t="str">
        <f>IF(Main!O10="","",Main!O10)</f>
        <v/>
      </c>
      <c r="C38" s="587"/>
      <c r="D38" s="365" t="str">
        <f ca="1">IF(Access_Data!G27="","",Access_Data!G27)</f>
        <v/>
      </c>
      <c r="E38" s="365" t="str">
        <f ca="1">IF(Access_Data!G29="","",Access_Data!G29)</f>
        <v/>
      </c>
      <c r="F38" s="365" t="str">
        <f ca="1">IF(Access_Data!G31="","",Access_Data!G31)</f>
        <v/>
      </c>
      <c r="G38" s="106"/>
      <c r="H38" s="106"/>
      <c r="I38" s="364" t="str">
        <f>IF(J38="","",26)</f>
        <v/>
      </c>
      <c r="J38" s="587" t="str">
        <f>IF(Main!O30="","",Main!O30)</f>
        <v/>
      </c>
      <c r="K38" s="587"/>
      <c r="L38" s="365" t="str">
        <f ca="1">IF(Access_Data!AG27="","",Access_Data!AG27)</f>
        <v/>
      </c>
      <c r="M38" s="365" t="str">
        <f ca="1">IF(Access_Data!AG29="","",Access_Data!AG29)</f>
        <v/>
      </c>
      <c r="N38" s="365" t="str">
        <f ca="1">IF(Access_Data!AG31="","",Access_Data!AG31)</f>
        <v/>
      </c>
    </row>
    <row r="39" spans="1:14" ht="18" customHeight="1" x14ac:dyDescent="0.2">
      <c r="A39" s="364" t="str">
        <f>IF(B39="","",7)</f>
        <v/>
      </c>
      <c r="B39" s="587" t="str">
        <f>IF(Main!O11="","",Main!O11)</f>
        <v/>
      </c>
      <c r="C39" s="587"/>
      <c r="D39" s="365" t="str">
        <f ca="1">IF(Access_Data!H27="","",Access_Data!H27)</f>
        <v/>
      </c>
      <c r="E39" s="365" t="str">
        <f ca="1">IF(Access_Data!H29="","",Access_Data!H29)</f>
        <v/>
      </c>
      <c r="F39" s="365" t="str">
        <f ca="1">IF(Access_Data!H31="","",Access_Data!H31)</f>
        <v/>
      </c>
      <c r="G39" s="106"/>
      <c r="H39" s="106"/>
      <c r="I39" s="364" t="str">
        <f>IF(J39="","",27)</f>
        <v/>
      </c>
      <c r="J39" s="587" t="str">
        <f>IF(Main!O31="","",Main!O31)</f>
        <v/>
      </c>
      <c r="K39" s="587"/>
      <c r="L39" s="365" t="str">
        <f ca="1">IF(Access_Data!AH27="","",Access_Data!AH27)</f>
        <v/>
      </c>
      <c r="M39" s="365" t="str">
        <f ca="1">IF(Access_Data!AH29="","",Access_Data!AH29)</f>
        <v/>
      </c>
      <c r="N39" s="365" t="str">
        <f ca="1">IF(Access_Data!AH31="","",Access_Data!AH31)</f>
        <v/>
      </c>
    </row>
    <row r="40" spans="1:14" ht="18" customHeight="1" x14ac:dyDescent="0.2">
      <c r="A40" s="364" t="str">
        <f>IF(B40="","",8)</f>
        <v/>
      </c>
      <c r="B40" s="587" t="str">
        <f>IF(Main!O12="","",Main!O12)</f>
        <v/>
      </c>
      <c r="C40" s="587"/>
      <c r="D40" s="365" t="str">
        <f ca="1">IF(Access_Data!I27="","",Access_Data!I27)</f>
        <v/>
      </c>
      <c r="E40" s="365" t="str">
        <f ca="1">IF(Access_Data!I29="","",Access_Data!I29)</f>
        <v/>
      </c>
      <c r="F40" s="365" t="str">
        <f ca="1">IF(Access_Data!I31="","",Access_Data!I31)</f>
        <v/>
      </c>
      <c r="G40" s="106"/>
      <c r="H40" s="106"/>
      <c r="I40" s="364" t="str">
        <f>IF(J40="","",28)</f>
        <v/>
      </c>
      <c r="J40" s="587" t="str">
        <f>IF(Main!O32="","",Main!O32)</f>
        <v/>
      </c>
      <c r="K40" s="587"/>
      <c r="L40" s="365" t="str">
        <f ca="1">IF(Access_Data!AI27="","",Access_Data!AI27)</f>
        <v/>
      </c>
      <c r="M40" s="365" t="str">
        <f ca="1">IF(Access_Data!AI29="","",Access_Data!AI29)</f>
        <v/>
      </c>
      <c r="N40" s="365" t="str">
        <f ca="1">IF(Access_Data!AI31="","",Access_Data!AI31)</f>
        <v/>
      </c>
    </row>
    <row r="41" spans="1:14" ht="18" customHeight="1" x14ac:dyDescent="0.2">
      <c r="A41" s="364" t="str">
        <f>IF(B41="","",9)</f>
        <v/>
      </c>
      <c r="B41" s="587" t="str">
        <f>IF(Main!O13="","",Main!O13)</f>
        <v/>
      </c>
      <c r="C41" s="587"/>
      <c r="D41" s="365" t="str">
        <f ca="1">IF(Access_Data!J27="","",Access_Data!J27)</f>
        <v/>
      </c>
      <c r="E41" s="365" t="str">
        <f ca="1">IF(Access_Data!J29="","",Access_Data!J29)</f>
        <v/>
      </c>
      <c r="F41" s="365" t="str">
        <f ca="1">IF(Access_Data!J31="","",Access_Data!J31)</f>
        <v/>
      </c>
      <c r="G41" s="106"/>
      <c r="H41" s="106"/>
      <c r="I41" s="364" t="str">
        <f>IF(J41="","",29)</f>
        <v/>
      </c>
      <c r="J41" s="587" t="str">
        <f>IF(Main!O33="","",Main!O33)</f>
        <v/>
      </c>
      <c r="K41" s="587"/>
      <c r="L41" s="365" t="str">
        <f ca="1">IF(Access_Data!AP27="","",Access_Data!AP27)</f>
        <v/>
      </c>
      <c r="M41" s="365" t="str">
        <f ca="1">IF(Access_Data!AP29="","",Access_Data!AP29)</f>
        <v/>
      </c>
      <c r="N41" s="365" t="str">
        <f ca="1">IF(Access_Data!AP31="","",Access_Data!AP31)</f>
        <v/>
      </c>
    </row>
    <row r="42" spans="1:14" ht="18" customHeight="1" x14ac:dyDescent="0.2">
      <c r="A42" s="364" t="str">
        <f>IF(B42="","",10)</f>
        <v/>
      </c>
      <c r="B42" s="587" t="str">
        <f>IF(Main!O14="","",Main!O14)</f>
        <v/>
      </c>
      <c r="C42" s="587"/>
      <c r="D42" s="365" t="str">
        <f ca="1">IF(Access_Data!K27="","",Access_Data!K27)</f>
        <v/>
      </c>
      <c r="E42" s="365" t="str">
        <f ca="1">IF(Access_Data!K29="","",Access_Data!K29)</f>
        <v/>
      </c>
      <c r="F42" s="365" t="str">
        <f ca="1">IF(Access_Data!K31="","",Access_Data!K31)</f>
        <v/>
      </c>
      <c r="G42" s="106"/>
      <c r="H42" s="106"/>
      <c r="I42" s="364" t="str">
        <f>IF(J42="","",30)</f>
        <v/>
      </c>
      <c r="J42" s="587" t="str">
        <f>IF(Main!O34="","",Main!O34)</f>
        <v/>
      </c>
      <c r="K42" s="587"/>
      <c r="L42" s="365" t="str">
        <f ca="1">IF(Access_Data!AQ27="","",Access_Data!AQ27)</f>
        <v/>
      </c>
      <c r="M42" s="365" t="str">
        <f ca="1">IF(Access_Data!AQ29="","",Access_Data!AQ29)</f>
        <v/>
      </c>
      <c r="N42" s="365">
        <f ca="1">IF(Access_Data!AQ31="","",Access_Data!AQ31)</f>
        <v>0</v>
      </c>
    </row>
    <row r="43" spans="1:14" ht="18" customHeight="1" x14ac:dyDescent="0.2">
      <c r="A43" s="364" t="str">
        <f>IF(B43="","",11)</f>
        <v/>
      </c>
      <c r="B43" s="587" t="str">
        <f>IF(Main!O15="","",Main!O15)</f>
        <v/>
      </c>
      <c r="C43" s="587"/>
      <c r="D43" s="365" t="str">
        <f ca="1">IF(Access_Data!L27="","",Access_Data!L27)</f>
        <v/>
      </c>
      <c r="E43" s="365" t="str">
        <f ca="1">IF(Access_Data!L29="","",Access_Data!L29)</f>
        <v/>
      </c>
      <c r="F43" s="365" t="str">
        <f ca="1">IF(Access_Data!L31="","",Access_Data!L31)</f>
        <v/>
      </c>
      <c r="G43" s="106"/>
      <c r="H43" s="106"/>
      <c r="I43" s="364" t="str">
        <f>IF(J43="","",31)</f>
        <v/>
      </c>
      <c r="J43" s="587" t="str">
        <f>IF(Main!O35="","",Main!O35)</f>
        <v/>
      </c>
      <c r="K43" s="587"/>
      <c r="L43" s="365" t="str">
        <f ca="1">IF(Access_Data!AR27="","",Access_Data!AR27)</f>
        <v/>
      </c>
      <c r="M43" s="365" t="str">
        <f ca="1">IF(Access_Data!AR29="","",Access_Data!AR29)</f>
        <v/>
      </c>
      <c r="N43" s="365">
        <f ca="1">IF(Access_Data!AR31="","",Access_Data!AR31)</f>
        <v>0</v>
      </c>
    </row>
    <row r="44" spans="1:14" ht="18" customHeight="1" x14ac:dyDescent="0.2">
      <c r="A44" s="364" t="str">
        <f>IF(B44="","",12)</f>
        <v/>
      </c>
      <c r="B44" s="587" t="str">
        <f>IF(Main!O16="","",Main!O16)</f>
        <v/>
      </c>
      <c r="C44" s="587"/>
      <c r="D44" s="365" t="str">
        <f ca="1">IF(Access_Data!M27="","",Access_Data!M27)</f>
        <v/>
      </c>
      <c r="E44" s="365" t="str">
        <f ca="1">IF(Access_Data!M29="","",Access_Data!M29)</f>
        <v/>
      </c>
      <c r="F44" s="365" t="str">
        <f ca="1">IF(Access_Data!M31="","",Access_Data!M31)</f>
        <v/>
      </c>
      <c r="G44" s="106"/>
      <c r="H44" s="106"/>
      <c r="I44" s="364" t="str">
        <f>IF(J44="","",32)</f>
        <v/>
      </c>
      <c r="J44" s="587" t="str">
        <f>IF(Main!O36="","",Main!O36)</f>
        <v/>
      </c>
      <c r="K44" s="587"/>
      <c r="L44" s="365" t="str">
        <f ca="1">IF(Access_Data!AS27="","",Access_Data!AS27)</f>
        <v/>
      </c>
      <c r="M44" s="365" t="str">
        <f ca="1">IF(Access_Data!AS29="","",Access_Data!AS29)</f>
        <v/>
      </c>
      <c r="N44" s="365">
        <f ca="1">IF(Access_Data!AS31="","",Access_Data!AS31)</f>
        <v>0</v>
      </c>
    </row>
    <row r="45" spans="1:14" ht="18" customHeight="1" x14ac:dyDescent="0.2">
      <c r="A45" s="364" t="str">
        <f>IF(B45="","",13)</f>
        <v/>
      </c>
      <c r="B45" s="587" t="str">
        <f>IF(Main!O17="","",Main!O17)</f>
        <v/>
      </c>
      <c r="C45" s="587"/>
      <c r="D45" s="365" t="str">
        <f ca="1">IF(Access_Data!N27="","",Access_Data!N27)</f>
        <v/>
      </c>
      <c r="E45" s="365" t="str">
        <f ca="1">IF(Access_Data!N29="","",Access_Data!N29)</f>
        <v/>
      </c>
      <c r="F45" s="365" t="str">
        <f ca="1">IF(Access_Data!N31="","",Access_Data!N31)</f>
        <v/>
      </c>
      <c r="G45" s="106"/>
      <c r="H45" s="106"/>
      <c r="I45" s="364" t="str">
        <f>IF(J45="","",33)</f>
        <v/>
      </c>
      <c r="J45" s="587" t="str">
        <f>IF(Main!O37="","",Main!O37)</f>
        <v/>
      </c>
      <c r="K45" s="587"/>
      <c r="L45" s="365" t="str">
        <f ca="1">IF(Access_Data!AT27="","",Access_Data!AT27)</f>
        <v/>
      </c>
      <c r="M45" s="365" t="str">
        <f ca="1">IF(Access_Data!AT29="","",Access_Data!AT29)</f>
        <v/>
      </c>
      <c r="N45" s="365">
        <f ca="1">IF(Access_Data!AT31="","",Access_Data!AT31)</f>
        <v>0</v>
      </c>
    </row>
    <row r="46" spans="1:14" ht="18" customHeight="1" x14ac:dyDescent="0.2">
      <c r="A46" s="364" t="str">
        <f>IF(B46="","",14)</f>
        <v/>
      </c>
      <c r="B46" s="587" t="str">
        <f>IF(Main!O18="","",Main!O18)</f>
        <v/>
      </c>
      <c r="C46" s="587"/>
      <c r="D46" s="365" t="str">
        <f ca="1">IF(Access_Data!O27="","",Access_Data!O27)</f>
        <v/>
      </c>
      <c r="E46" s="365" t="str">
        <f ca="1">IF(Access_Data!O29="","",Access_Data!O29)</f>
        <v/>
      </c>
      <c r="F46" s="365" t="str">
        <f ca="1">IF(Access_Data!O31="","",Access_Data!O31)</f>
        <v/>
      </c>
      <c r="G46" s="106"/>
      <c r="H46" s="106"/>
      <c r="I46" s="364" t="str">
        <f>IF(J46="","",34)</f>
        <v/>
      </c>
      <c r="J46" s="587" t="str">
        <f>IF(Main!O38="","",Main!O38)</f>
        <v/>
      </c>
      <c r="K46" s="587"/>
      <c r="L46" s="365" t="str">
        <f ca="1">IF(Access_Data!AU27="","",Access_Data!AU27)</f>
        <v/>
      </c>
      <c r="M46" s="365" t="str">
        <f ca="1">IF(Access_Data!AU29="","",Access_Data!AU29)</f>
        <v/>
      </c>
      <c r="N46" s="365">
        <f ca="1">IF(Access_Data!AU31="","",Access_Data!AU31)</f>
        <v>0</v>
      </c>
    </row>
    <row r="47" spans="1:14" ht="18" customHeight="1" x14ac:dyDescent="0.2">
      <c r="A47" s="364" t="str">
        <f>IF(B47="","",15)</f>
        <v/>
      </c>
      <c r="B47" s="587" t="str">
        <f>IF(Main!O19="","",Main!O19)</f>
        <v/>
      </c>
      <c r="C47" s="587"/>
      <c r="D47" s="365" t="str">
        <f ca="1">IF(Access_Data!V27="","",Access_Data!V27)</f>
        <v/>
      </c>
      <c r="E47" s="365" t="str">
        <f ca="1">IF(Access_Data!V29="","",Access_Data!V29)</f>
        <v/>
      </c>
      <c r="F47" s="365" t="str">
        <f ca="1">IF(Access_Data!V31="","",Access_Data!V31)</f>
        <v/>
      </c>
      <c r="G47" s="106"/>
      <c r="H47" s="106"/>
      <c r="I47" s="364" t="str">
        <f>IF(J47="","",35)</f>
        <v/>
      </c>
      <c r="J47" s="587" t="str">
        <f>IF(Main!O39="","",Main!O39)</f>
        <v/>
      </c>
      <c r="K47" s="587"/>
      <c r="L47" s="365" t="str">
        <f ca="1">IF(Access_Data!AV27="","",Access_Data!AV27)</f>
        <v/>
      </c>
      <c r="M47" s="365" t="str">
        <f ca="1">IF(Access_Data!AV29="","",Access_Data!AV29)</f>
        <v/>
      </c>
      <c r="N47" s="365">
        <f ca="1">IF(Access_Data!AV31="","",Access_Data!AV31)</f>
        <v>0</v>
      </c>
    </row>
    <row r="48" spans="1:14" ht="18" customHeight="1" x14ac:dyDescent="0.2">
      <c r="A48" s="364" t="str">
        <f>IF(B48="","",16)</f>
        <v/>
      </c>
      <c r="B48" s="587" t="str">
        <f>IF(Main!O20="","",Main!O20)</f>
        <v/>
      </c>
      <c r="C48" s="587"/>
      <c r="D48" s="365" t="str">
        <f ca="1">IF(Access_Data!W27="","",Access_Data!W27)</f>
        <v/>
      </c>
      <c r="E48" s="365" t="str">
        <f ca="1">IF(Access_Data!W29="","",Access_Data!W29)</f>
        <v/>
      </c>
      <c r="F48" s="365" t="str">
        <f ca="1">IF(Access_Data!W31="","",Access_Data!W31)</f>
        <v/>
      </c>
      <c r="G48" s="106"/>
      <c r="H48" s="106"/>
      <c r="I48" s="364" t="str">
        <f>IF(J48="","",36)</f>
        <v/>
      </c>
      <c r="J48" s="587" t="str">
        <f>IF(Main!O40="","",Main!O40)</f>
        <v/>
      </c>
      <c r="K48" s="587"/>
      <c r="L48" s="365" t="str">
        <f ca="1">IF(Access_Data!AW27="","",Access_Data!AW27)</f>
        <v/>
      </c>
      <c r="M48" s="365" t="str">
        <f ca="1">IF(Access_Data!AW29="","",Access_Data!AW29)</f>
        <v/>
      </c>
      <c r="N48" s="365">
        <f ca="1">IF(Access_Data!AW31="","",Access_Data!AW31)</f>
        <v>0</v>
      </c>
    </row>
    <row r="49" spans="1:20" ht="18" customHeight="1" x14ac:dyDescent="0.2">
      <c r="A49" s="364" t="str">
        <f>IF(B49="","",17)</f>
        <v/>
      </c>
      <c r="B49" s="587" t="str">
        <f>IF(Main!O21="","",Main!O21)</f>
        <v/>
      </c>
      <c r="C49" s="587"/>
      <c r="D49" s="365" t="str">
        <f ca="1">IF(Access_Data!X27="","",Access_Data!X27)</f>
        <v/>
      </c>
      <c r="E49" s="365" t="str">
        <f ca="1">IF(Access_Data!X29="","",Access_Data!X29)</f>
        <v/>
      </c>
      <c r="F49" s="365" t="str">
        <f ca="1">IF(Access_Data!X31="","",Access_Data!X31)</f>
        <v/>
      </c>
      <c r="G49" s="106"/>
      <c r="H49" s="106"/>
      <c r="I49" s="364" t="str">
        <f>IF(J49="","",37)</f>
        <v/>
      </c>
      <c r="J49" s="587" t="str">
        <f>IF(Main!O41="","",Main!O41)</f>
        <v/>
      </c>
      <c r="K49" s="587"/>
      <c r="L49" s="365" t="str">
        <f ca="1">IF(Access_Data!AX27="","",Access_Data!AX27)</f>
        <v/>
      </c>
      <c r="M49" s="365" t="str">
        <f ca="1">IF(Access_Data!AX29="","",Access_Data!AX29)</f>
        <v/>
      </c>
      <c r="N49" s="365">
        <f ca="1">IF(Access_Data!AX31="","",Access_Data!AX31)</f>
        <v>0</v>
      </c>
    </row>
    <row r="50" spans="1:20" ht="18" customHeight="1" x14ac:dyDescent="0.2">
      <c r="A50" s="364" t="str">
        <f>IF(B50="","",18)</f>
        <v/>
      </c>
      <c r="B50" s="587" t="str">
        <f>IF(Main!O22="","",Main!O22)</f>
        <v/>
      </c>
      <c r="C50" s="587"/>
      <c r="D50" s="365" t="str">
        <f ca="1">IF(Access_Data!Y27="","",Access_Data!Y27)</f>
        <v/>
      </c>
      <c r="E50" s="365" t="str">
        <f ca="1">IF(Access_Data!Y29="","",Access_Data!Y29)</f>
        <v/>
      </c>
      <c r="F50" s="365" t="str">
        <f ca="1">IF(Access_Data!Y31="","",Access_Data!Y31)</f>
        <v/>
      </c>
      <c r="G50" s="106"/>
      <c r="H50" s="106"/>
      <c r="I50" s="364" t="str">
        <f>IF(J50="","",38)</f>
        <v/>
      </c>
      <c r="J50" s="587" t="str">
        <f>IF(Main!O42="","",Main!O42)</f>
        <v/>
      </c>
      <c r="K50" s="587"/>
      <c r="L50" s="365" t="str">
        <f ca="1">IF(Access_Data!AY27="","",Access_Data!AY27)</f>
        <v/>
      </c>
      <c r="M50" s="365" t="str">
        <f ca="1">IF(Access_Data!AY29="","",Access_Data!AY29)</f>
        <v/>
      </c>
      <c r="N50" s="365">
        <f ca="1">IF(Access_Data!AY31="","",Access_Data!AY31)</f>
        <v>0</v>
      </c>
    </row>
    <row r="51" spans="1:20" ht="18" customHeight="1" x14ac:dyDescent="0.2">
      <c r="A51" s="364" t="str">
        <f>IF(B51="","",19)</f>
        <v/>
      </c>
      <c r="B51" s="587" t="str">
        <f>IF(Main!O23="","",Main!O23)</f>
        <v/>
      </c>
      <c r="C51" s="587"/>
      <c r="D51" s="365" t="str">
        <f ca="1">IF(Access_Data!Z27="","",Access_Data!X27)</f>
        <v/>
      </c>
      <c r="E51" s="365" t="str">
        <f ca="1">IF(Access_Data!Z29="","",Access_Data!Z29)</f>
        <v/>
      </c>
      <c r="F51" s="365" t="str">
        <f ca="1">IF(Access_Data!Z31="","",Access_Data!Z31)</f>
        <v/>
      </c>
      <c r="G51" s="106"/>
      <c r="H51" s="106"/>
      <c r="I51" s="364" t="str">
        <f>IF(J51="","",39)</f>
        <v/>
      </c>
      <c r="J51" s="587" t="str">
        <f>IF(Main!O43="","",Main!O43)</f>
        <v/>
      </c>
      <c r="K51" s="587"/>
      <c r="L51" s="365" t="str">
        <f ca="1">IF(Access_Data!AZ27="","",Access_Data!AZ27)</f>
        <v/>
      </c>
      <c r="M51" s="365" t="str">
        <f ca="1">IF(Access_Data!AZ29="","",Access_Data!AZ29)</f>
        <v/>
      </c>
      <c r="N51" s="365">
        <f ca="1">IF(Access_Data!AZ31="","",Access_Data!AZ31)</f>
        <v>0</v>
      </c>
    </row>
    <row r="52" spans="1:20" ht="18" customHeight="1" x14ac:dyDescent="0.2">
      <c r="A52" s="364" t="str">
        <f>IF(B52="","",20)</f>
        <v/>
      </c>
      <c r="B52" s="587" t="str">
        <f>IF(Main!O24="","",Main!O24)</f>
        <v/>
      </c>
      <c r="C52" s="587"/>
      <c r="D52" s="365" t="str">
        <f ca="1">IF(Access_Data!AA27="","",Access_Data!AA27)</f>
        <v/>
      </c>
      <c r="E52" s="365" t="str">
        <f ca="1">IF(Access_Data!AA29="","",Access_Data!AA29)</f>
        <v/>
      </c>
      <c r="F52" s="365" t="str">
        <f ca="1">IF(Access_Data!AA31="","",Access_Data!AA31)</f>
        <v/>
      </c>
      <c r="G52" s="106"/>
      <c r="H52" s="106"/>
      <c r="I52" s="364" t="str">
        <f>IF(J52="","",40)</f>
        <v/>
      </c>
      <c r="J52" s="587" t="str">
        <f>IF(Main!O44="","",Main!O44)</f>
        <v/>
      </c>
      <c r="K52" s="587"/>
      <c r="L52" s="365" t="str">
        <f ca="1">IF(Access_Data!BA27="","",Access_Data!BA27)</f>
        <v/>
      </c>
      <c r="M52" s="365" t="str">
        <f ca="1">IF(Access_Data!BA29="","",Access_Data!BA29)</f>
        <v/>
      </c>
      <c r="N52" s="365">
        <f ca="1">IF(Access_Data!BA31="","",Access_Data!BA31)</f>
        <v>0</v>
      </c>
    </row>
    <row r="53" spans="1:20" ht="18" customHeight="1" x14ac:dyDescent="0.2">
      <c r="B53" s="593" t="s">
        <v>814</v>
      </c>
      <c r="C53" s="593"/>
      <c r="D53" s="593"/>
      <c r="E53" s="593"/>
      <c r="F53" s="593"/>
      <c r="G53" s="593"/>
      <c r="H53" s="593"/>
      <c r="I53" s="593"/>
      <c r="J53" s="593"/>
      <c r="K53" s="593"/>
      <c r="L53" s="593"/>
      <c r="M53" s="593"/>
      <c r="N53" s="593"/>
    </row>
    <row r="54" spans="1:20" ht="18" customHeight="1" x14ac:dyDescent="0.25">
      <c r="A54" s="366" t="s">
        <v>815</v>
      </c>
      <c r="B54" s="588" t="str">
        <f>CONCATENATE(Main!G23,"  ",FurnaceSpecificComments,Main!U25)</f>
        <v xml:space="preserve">Found in tolerance.  No adjustment required.  </v>
      </c>
      <c r="C54" s="588"/>
      <c r="D54" s="588"/>
      <c r="E54" s="588"/>
      <c r="F54" s="588"/>
      <c r="G54" s="588"/>
      <c r="H54" s="588"/>
      <c r="I54" s="588"/>
      <c r="J54" s="588"/>
      <c r="K54" s="588"/>
      <c r="L54" s="588"/>
      <c r="M54" s="588"/>
      <c r="N54" s="588"/>
      <c r="O54" s="588"/>
    </row>
    <row r="55" spans="1:20" ht="18" customHeight="1" x14ac:dyDescent="0.25">
      <c r="A55" s="103"/>
      <c r="B55" s="588"/>
      <c r="C55" s="588"/>
      <c r="D55" s="588"/>
      <c r="E55" s="588"/>
      <c r="F55" s="588"/>
      <c r="G55" s="588"/>
      <c r="H55" s="588"/>
      <c r="I55" s="588"/>
      <c r="J55" s="588"/>
      <c r="K55" s="588"/>
      <c r="L55" s="588"/>
      <c r="M55" s="588"/>
      <c r="N55" s="588"/>
      <c r="O55" s="588"/>
    </row>
    <row r="56" spans="1:20" ht="18" customHeight="1" x14ac:dyDescent="0.25">
      <c r="A56" s="103"/>
      <c r="B56" s="588"/>
      <c r="C56" s="588"/>
      <c r="D56" s="588"/>
      <c r="E56" s="588"/>
      <c r="F56" s="588"/>
      <c r="G56" s="588"/>
      <c r="H56" s="588"/>
      <c r="I56" s="588"/>
      <c r="J56" s="588"/>
      <c r="K56" s="588"/>
      <c r="L56" s="588"/>
      <c r="M56" s="588"/>
      <c r="N56" s="588"/>
      <c r="O56" s="588"/>
    </row>
    <row r="57" spans="1:20" ht="18" customHeight="1" x14ac:dyDescent="0.25">
      <c r="A57" s="103"/>
      <c r="B57" s="588"/>
      <c r="C57" s="588"/>
      <c r="D57" s="588"/>
      <c r="E57" s="588"/>
      <c r="F57" s="588"/>
      <c r="G57" s="588"/>
      <c r="H57" s="588"/>
      <c r="I57" s="588"/>
      <c r="J57" s="588"/>
      <c r="K57" s="588"/>
      <c r="L57" s="588"/>
      <c r="M57" s="588"/>
      <c r="N57" s="588"/>
      <c r="O57" s="588"/>
    </row>
    <row r="58" spans="1:20" ht="18" customHeight="1" x14ac:dyDescent="0.25">
      <c r="A58" s="103"/>
      <c r="B58" s="588"/>
      <c r="C58" s="588"/>
      <c r="D58" s="588"/>
      <c r="E58" s="588"/>
      <c r="F58" s="588"/>
      <c r="G58" s="588"/>
      <c r="H58" s="588"/>
      <c r="I58" s="588"/>
      <c r="J58" s="588"/>
      <c r="K58" s="588"/>
      <c r="L58" s="588"/>
      <c r="M58" s="588"/>
      <c r="N58" s="588"/>
      <c r="O58" s="588"/>
    </row>
    <row r="59" spans="1:20" ht="18" customHeight="1" x14ac:dyDescent="0.25">
      <c r="A59" s="103"/>
      <c r="B59" s="588"/>
      <c r="C59" s="588"/>
      <c r="D59" s="588"/>
      <c r="E59" s="588"/>
      <c r="F59" s="588"/>
      <c r="G59" s="588"/>
      <c r="H59" s="588"/>
      <c r="I59" s="588"/>
      <c r="J59" s="588"/>
      <c r="K59" s="588"/>
      <c r="L59" s="588"/>
      <c r="M59" s="588"/>
      <c r="N59" s="588"/>
      <c r="O59" s="588"/>
    </row>
    <row r="60" spans="1:20" ht="18" customHeight="1" x14ac:dyDescent="0.2">
      <c r="A60" s="592" t="s">
        <v>823</v>
      </c>
      <c r="B60" s="592"/>
      <c r="C60" s="592"/>
      <c r="D60" s="592"/>
      <c r="E60" s="592"/>
      <c r="F60" s="592"/>
      <c r="G60" s="592"/>
      <c r="H60" s="592"/>
      <c r="I60" s="592"/>
      <c r="J60" s="592"/>
      <c r="K60" s="592"/>
      <c r="L60" s="592"/>
      <c r="M60" s="592"/>
      <c r="N60" s="592"/>
      <c r="O60" s="592"/>
    </row>
    <row r="61" spans="1:20" ht="18" customHeight="1" x14ac:dyDescent="0.2">
      <c r="A61" s="596" t="s">
        <v>816</v>
      </c>
      <c r="B61" s="596"/>
      <c r="C61" s="596"/>
      <c r="D61" s="596"/>
      <c r="E61" s="596"/>
      <c r="F61" s="586" t="s">
        <v>817</v>
      </c>
      <c r="G61" s="586"/>
      <c r="H61" s="586"/>
      <c r="I61" s="586" t="s">
        <v>818</v>
      </c>
      <c r="J61" s="586"/>
      <c r="K61" s="586" t="s">
        <v>819</v>
      </c>
      <c r="L61" s="586"/>
      <c r="M61" s="586" t="s">
        <v>820</v>
      </c>
      <c r="N61" s="586"/>
      <c r="O61" s="586"/>
      <c r="R61" s="44" t="s">
        <v>11072</v>
      </c>
      <c r="T61" s="44" t="s">
        <v>11073</v>
      </c>
    </row>
    <row r="62" spans="1:20" ht="18" customHeight="1" x14ac:dyDescent="0.2">
      <c r="A62" s="576" t="str">
        <f>IF(F62="","",CONCATENATE(T62," - ",R62))</f>
        <v/>
      </c>
      <c r="B62" s="577"/>
      <c r="C62" s="577"/>
      <c r="D62" s="577"/>
      <c r="E62" s="578"/>
      <c r="F62" s="576" t="str" cm="1">
        <f t="array" ref="F62">IFERROR(
  _xlfn.XLOOKUP(
    Main!D9,
    _xlfn._xlws.FILTER(AssetPool[asset_tag], AssetPool[root_category_name]="DAQ Modules"),
    _xlfn._xlws.FILTER(AssetPool[serial_number], AssetPool[root_category_name]="DAQ Modules")
  ),
  ""
)</f>
        <v/>
      </c>
      <c r="G62" s="577"/>
      <c r="H62" s="578"/>
      <c r="I62" s="582" t="str">
        <f>IF(F62="","",Main!D12)</f>
        <v/>
      </c>
      <c r="J62" s="583"/>
      <c r="K62" s="582" t="str">
        <f>IF(F62="","",Main!D13)</f>
        <v/>
      </c>
      <c r="L62" s="583"/>
      <c r="M62" s="610" t="str">
        <f>IF(F62="","",REPLACE(Main!D14,3,1,""))</f>
        <v/>
      </c>
      <c r="N62" s="611"/>
      <c r="O62" s="612"/>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79" t="str">
        <f t="shared" ref="A63:A68" si="0">IF(Q63="","",CONCATENATE(T63," - ",R63))</f>
        <v/>
      </c>
      <c r="B63" s="580"/>
      <c r="C63" s="580"/>
      <c r="D63" s="580"/>
      <c r="E63" s="581"/>
      <c r="F63" s="579" t="str">
        <f>IF(Main!D48="","",Main!D48)</f>
        <v/>
      </c>
      <c r="G63" s="580"/>
      <c r="H63" s="581"/>
      <c r="I63" s="584" t="str">
        <f>IF(Q63="","",Main!D49)</f>
        <v/>
      </c>
      <c r="J63" s="585"/>
      <c r="K63" s="584" t="str">
        <f>IF(Q63="","",Main!D50)</f>
        <v/>
      </c>
      <c r="L63" s="585"/>
      <c r="M63" s="579" t="str">
        <f>IF(Q63="","",Main!D54)</f>
        <v/>
      </c>
      <c r="N63" s="580"/>
      <c r="O63" s="581"/>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79" t="str">
        <f t="shared" si="0"/>
        <v/>
      </c>
      <c r="B64" s="580"/>
      <c r="C64" s="580"/>
      <c r="D64" s="580"/>
      <c r="E64" s="581"/>
      <c r="F64" s="579" t="str">
        <f>IF(Main!E48="","",Main!E48)</f>
        <v/>
      </c>
      <c r="G64" s="580"/>
      <c r="H64" s="581"/>
      <c r="I64" s="584" t="str">
        <f>IF(Q64="","",Main!E49)</f>
        <v/>
      </c>
      <c r="J64" s="585"/>
      <c r="K64" s="584" t="str">
        <f>IF(Q64="","",Main!E50)</f>
        <v/>
      </c>
      <c r="L64" s="585"/>
      <c r="M64" s="579" t="str">
        <f>IF(Q64="","",Main!E54)</f>
        <v/>
      </c>
      <c r="N64" s="580"/>
      <c r="O64" s="581"/>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79" t="str">
        <f t="shared" si="0"/>
        <v/>
      </c>
      <c r="B65" s="580"/>
      <c r="C65" s="580"/>
      <c r="D65" s="580"/>
      <c r="E65" s="581"/>
      <c r="F65" s="579" t="str">
        <f>IF(Main!F48="","",Main!F48)</f>
        <v/>
      </c>
      <c r="G65" s="580"/>
      <c r="H65" s="581"/>
      <c r="I65" s="584" t="str">
        <f>IF(Q65="","",Main!F49)</f>
        <v/>
      </c>
      <c r="J65" s="585"/>
      <c r="K65" s="584" t="str">
        <f>IF(Q65="","",Main!F50)</f>
        <v/>
      </c>
      <c r="L65" s="585"/>
      <c r="M65" s="579" t="str">
        <f>IF(Q65="","",Main!F54)</f>
        <v/>
      </c>
      <c r="N65" s="580"/>
      <c r="O65" s="581"/>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79" t="str">
        <f t="shared" si="0"/>
        <v/>
      </c>
      <c r="B66" s="580"/>
      <c r="C66" s="580"/>
      <c r="D66" s="580"/>
      <c r="E66" s="581"/>
      <c r="F66" s="579" t="str">
        <f>IF(Main!G48="","",Main!G48)</f>
        <v/>
      </c>
      <c r="G66" s="580"/>
      <c r="H66" s="581"/>
      <c r="I66" s="584" t="str">
        <f>IF(Q66="","",Main!G49)</f>
        <v/>
      </c>
      <c r="J66" s="585"/>
      <c r="K66" s="584" t="str">
        <f>IF(Q66="","",Main!G50)</f>
        <v/>
      </c>
      <c r="L66" s="585"/>
      <c r="M66" s="579" t="str">
        <f>IF(Q66="","",Main!G54)</f>
        <v/>
      </c>
      <c r="N66" s="580"/>
      <c r="O66" s="581"/>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79" t="str">
        <f t="shared" si="0"/>
        <v/>
      </c>
      <c r="B67" s="580"/>
      <c r="C67" s="580"/>
      <c r="D67" s="580"/>
      <c r="E67" s="581"/>
      <c r="F67" s="579" t="str">
        <f>IF(Main!H48="","",Main!H48)</f>
        <v/>
      </c>
      <c r="G67" s="580"/>
      <c r="H67" s="581"/>
      <c r="I67" s="584" t="str">
        <f>IF(Q67="","",Main!H49)</f>
        <v/>
      </c>
      <c r="J67" s="585"/>
      <c r="K67" s="584" t="str">
        <f>IF(Q67="","",Main!H50)</f>
        <v/>
      </c>
      <c r="L67" s="585"/>
      <c r="M67" s="579" t="str">
        <f>IF(Q67="","",Main!H54)</f>
        <v/>
      </c>
      <c r="N67" s="580"/>
      <c r="O67" s="581"/>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79" t="str">
        <f t="shared" si="0"/>
        <v/>
      </c>
      <c r="B68" s="580"/>
      <c r="C68" s="580"/>
      <c r="D68" s="580"/>
      <c r="E68" s="581"/>
      <c r="F68" s="579" t="str">
        <f>IF(Main!I48="","",Main!I48)</f>
        <v/>
      </c>
      <c r="G68" s="580"/>
      <c r="H68" s="581"/>
      <c r="I68" s="584" t="str">
        <f>IF(Q68="","",Main!I49)</f>
        <v/>
      </c>
      <c r="J68" s="585"/>
      <c r="K68" s="584" t="str">
        <f>IF(Q68="","",Main!I50)</f>
        <v/>
      </c>
      <c r="L68" s="585"/>
      <c r="M68" s="579" t="str">
        <f>IF(Q68="","",Main!I54)</f>
        <v/>
      </c>
      <c r="N68" s="580"/>
      <c r="O68" s="581"/>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7" t="str">
        <f>IF(T69="","",CONCATENATE(T69," - ",R69))</f>
        <v/>
      </c>
      <c r="B69" s="598"/>
      <c r="C69" s="598"/>
      <c r="D69" s="598"/>
      <c r="E69" s="599"/>
      <c r="F69" s="613" t="str">
        <f>IF(W69="","",W69)</f>
        <v/>
      </c>
      <c r="G69" s="614"/>
      <c r="H69" s="615"/>
      <c r="I69" s="616"/>
      <c r="J69" s="617"/>
      <c r="K69" s="616"/>
      <c r="L69" s="617"/>
      <c r="M69" s="597"/>
      <c r="N69" s="598"/>
      <c r="O69" s="599"/>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09" t="s">
        <v>3157</v>
      </c>
      <c r="B71" s="609"/>
      <c r="C71" s="609"/>
      <c r="D71" s="609"/>
      <c r="E71" s="609"/>
      <c r="F71" s="609"/>
      <c r="G71" s="609"/>
      <c r="H71" s="609"/>
      <c r="I71" s="609"/>
      <c r="J71" s="609"/>
      <c r="K71" s="609"/>
      <c r="L71" s="609"/>
      <c r="M71" s="609"/>
      <c r="N71" s="609"/>
      <c r="O71" s="609"/>
    </row>
    <row r="72" spans="1:20" ht="18" customHeight="1" x14ac:dyDescent="0.2">
      <c r="A72" s="609"/>
      <c r="B72" s="609"/>
      <c r="C72" s="609"/>
      <c r="D72" s="609"/>
      <c r="E72" s="609"/>
      <c r="F72" s="609"/>
      <c r="G72" s="609"/>
      <c r="H72" s="609"/>
      <c r="I72" s="609"/>
      <c r="J72" s="609"/>
      <c r="K72" s="609"/>
      <c r="L72" s="609"/>
      <c r="M72" s="609"/>
      <c r="N72" s="609"/>
      <c r="O72" s="609"/>
    </row>
    <row r="73" spans="1:20" ht="18" customHeight="1" x14ac:dyDescent="0.2">
      <c r="A73" s="609"/>
      <c r="B73" s="609"/>
      <c r="C73" s="609"/>
      <c r="D73" s="609"/>
      <c r="E73" s="609"/>
      <c r="F73" s="609"/>
      <c r="G73" s="609"/>
      <c r="H73" s="609"/>
      <c r="I73" s="609"/>
      <c r="J73" s="609"/>
      <c r="K73" s="609"/>
      <c r="L73" s="609"/>
      <c r="M73" s="609"/>
      <c r="N73" s="609"/>
      <c r="O73" s="609"/>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821</v>
      </c>
      <c r="N80" s="362" t="s">
        <v>822</v>
      </c>
    </row>
    <row r="81" ht="15" customHeight="1" x14ac:dyDescent="0.2"/>
    <row r="82" ht="15" customHeight="1" x14ac:dyDescent="0.2"/>
  </sheetData>
  <sheetProtection algorithmName="SHA-512" hashValue="zv56NIRu5Ld3UykCE4BpvvGpkungwCzks07FJSoCHx1qdH6apEbp83zKj2FmNej+oYlkFSp3iIVK8QPyKZN1bQ==" saltValue="QvlYAlGI0++YIcz8DtIs7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t="s">
        <v>5296</v>
      </c>
      <c r="B1" t="s">
        <v>6023</v>
      </c>
      <c r="C1" t="s">
        <v>548</v>
      </c>
      <c r="D1" t="s">
        <v>6024</v>
      </c>
      <c r="E1" t="s">
        <v>6025</v>
      </c>
      <c r="F1" t="s">
        <v>6026</v>
      </c>
      <c r="G1" t="s">
        <v>6027</v>
      </c>
      <c r="H1" t="s">
        <v>6028</v>
      </c>
      <c r="I1" t="s">
        <v>6029</v>
      </c>
      <c r="J1" t="s">
        <v>754</v>
      </c>
      <c r="K1" t="s">
        <v>6030</v>
      </c>
      <c r="L1" t="s">
        <v>3728</v>
      </c>
      <c r="M1" t="s">
        <v>6031</v>
      </c>
      <c r="N1" t="s">
        <v>182</v>
      </c>
      <c r="O1" t="s">
        <v>755</v>
      </c>
      <c r="P1" t="s">
        <v>756</v>
      </c>
      <c r="Q1" t="s">
        <v>6032</v>
      </c>
      <c r="R1" t="s">
        <v>6033</v>
      </c>
      <c r="S1" t="s">
        <v>6034</v>
      </c>
      <c r="T1" t="s">
        <v>6035</v>
      </c>
      <c r="U1" t="s">
        <v>6036</v>
      </c>
      <c r="V1" t="s">
        <v>749</v>
      </c>
      <c r="W1" t="s">
        <v>6037</v>
      </c>
      <c r="X1" t="s">
        <v>6038</v>
      </c>
      <c r="Y1" t="s">
        <v>6039</v>
      </c>
      <c r="Z1" t="s">
        <v>750</v>
      </c>
      <c r="AA1" t="s">
        <v>6040</v>
      </c>
      <c r="AB1" t="s">
        <v>6041</v>
      </c>
      <c r="AC1" t="s">
        <v>6042</v>
      </c>
      <c r="AD1" t="s">
        <v>6043</v>
      </c>
      <c r="AE1" t="s">
        <v>6044</v>
      </c>
      <c r="AF1" t="s">
        <v>583</v>
      </c>
      <c r="AG1" t="s">
        <v>2337</v>
      </c>
      <c r="AH1" t="s">
        <v>2438</v>
      </c>
      <c r="AI1" t="s">
        <v>839</v>
      </c>
      <c r="AJ1" t="s">
        <v>6045</v>
      </c>
      <c r="AK1" t="s">
        <v>2439</v>
      </c>
      <c r="AL1" t="s">
        <v>6046</v>
      </c>
      <c r="AM1" t="s">
        <v>2860</v>
      </c>
      <c r="AN1" t="s">
        <v>6047</v>
      </c>
      <c r="AO1" t="s">
        <v>6048</v>
      </c>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v>1270890</v>
      </c>
      <c r="B2">
        <v>58225</v>
      </c>
      <c r="C2" t="s">
        <v>519</v>
      </c>
      <c r="D2" t="s">
        <v>744</v>
      </c>
      <c r="E2" t="s">
        <v>702</v>
      </c>
      <c r="F2" t="s">
        <v>34</v>
      </c>
      <c r="G2" t="s">
        <v>772</v>
      </c>
      <c r="H2" t="s">
        <v>3569</v>
      </c>
      <c r="I2" t="s">
        <v>586</v>
      </c>
      <c r="J2" t="s">
        <v>480</v>
      </c>
      <c r="K2" t="s">
        <v>2168</v>
      </c>
      <c r="L2">
        <v>400005</v>
      </c>
      <c r="M2" t="s">
        <v>519</v>
      </c>
      <c r="N2" t="s">
        <v>983</v>
      </c>
      <c r="O2" t="s">
        <v>910</v>
      </c>
      <c r="P2" t="s">
        <v>770</v>
      </c>
      <c r="Q2" t="s">
        <v>828</v>
      </c>
      <c r="R2" t="s">
        <v>2169</v>
      </c>
      <c r="S2">
        <v>30</v>
      </c>
      <c r="T2" t="s">
        <v>794</v>
      </c>
      <c r="U2" t="s">
        <v>34</v>
      </c>
      <c r="V2" t="s">
        <v>34</v>
      </c>
      <c r="W2">
        <v>84945014029</v>
      </c>
      <c r="X2" t="s">
        <v>766</v>
      </c>
      <c r="Y2" t="s">
        <v>34</v>
      </c>
      <c r="Z2" t="s">
        <v>3165</v>
      </c>
      <c r="AA2" t="s">
        <v>2170</v>
      </c>
      <c r="AB2" t="s">
        <v>766</v>
      </c>
      <c r="AC2" t="s">
        <v>34</v>
      </c>
      <c r="AD2" t="s">
        <v>767</v>
      </c>
      <c r="AE2" t="s">
        <v>768</v>
      </c>
      <c r="AF2" t="s">
        <v>585</v>
      </c>
      <c r="AG2">
        <v>1</v>
      </c>
      <c r="AJ2" t="s">
        <v>2431</v>
      </c>
      <c r="AK2" t="s">
        <v>2432</v>
      </c>
      <c r="AL2" t="s">
        <v>34</v>
      </c>
      <c r="AM2" t="s">
        <v>2861</v>
      </c>
      <c r="AQ2" cm="1">
        <f t="array" ref="AQ2:CE2">_xlfn.XLOOKUP(AssetId,HeaderInfo[AssetId],HeaderInfo[])</f>
        <v>1276494</v>
      </c>
      <c r="AR2">
        <v>57283</v>
      </c>
      <c r="AS2" t="str">
        <v>W-CPI-3049 (Oven 10)</v>
      </c>
      <c r="AT2" t="str">
        <v>3939 W 29TH ST S.</v>
      </c>
      <c r="AU2" t="str">
        <v>WICHITA, KS 67217-0364</v>
      </c>
      <c r="AV2" t="str">
        <v/>
      </c>
      <c r="AW2" t="str">
        <v>40100 Revision C 12-26-19</v>
      </c>
      <c r="AX2" t="str">
        <v>JGI WP4100, AMS 2750H</v>
      </c>
      <c r="AY2" t="str">
        <v>SPECIFICATION</v>
      </c>
      <c r="AZ2" t="str">
        <v>OVEN NO. 10</v>
      </c>
      <c r="BA2" t="str">
        <v>DESPATCH RS4HD</v>
      </c>
      <c r="BB2">
        <v>70773</v>
      </c>
      <c r="BC2" t="str">
        <v>W-CPI-3049</v>
      </c>
      <c r="BD2" t="str">
        <v>2D per AMS 2750H</v>
      </c>
      <c r="BE2" t="str">
        <v>100°F/180°F</v>
      </c>
      <c r="BF2" t="str">
        <v>±10.0°F</v>
      </c>
      <c r="BG2" t="str">
        <v>GAS PROPORTIONAL</v>
      </c>
      <c r="BH2" t="str">
        <v>48" X 66" X 66"</v>
      </c>
      <c r="BI2">
        <v>121</v>
      </c>
      <c r="BJ2" t="str">
        <v>M</v>
      </c>
      <c r="BK2" t="str">
        <v/>
      </c>
      <c r="BL2" t="str">
        <v>Barber-Colman 7SD</v>
      </c>
      <c r="BM2">
        <v>5.25</v>
      </c>
      <c r="BN2" t="str">
        <v>±2.0°F</v>
      </c>
      <c r="BO2" t="str">
        <v/>
      </c>
      <c r="BP2" t="str">
        <v>Eurotherm Chessel 6100A</v>
      </c>
      <c r="BQ2">
        <v>5256764</v>
      </c>
      <c r="BR2" t="str">
        <v>±2.0°F</v>
      </c>
      <c r="BS2" t="str">
        <v/>
      </c>
      <c r="BT2" t="str">
        <v>On-Site</v>
      </c>
      <c r="BU2" t="str">
        <v>PRODUCTION - Tested on Site</v>
      </c>
      <c r="BV2" t="str">
        <v>Used</v>
      </c>
      <c r="BW2" t="str">
        <v>Unavailable</v>
      </c>
      <c r="BX2" t="str">
        <v/>
      </c>
      <c r="BY2" t="str">
        <v/>
      </c>
      <c r="BZ2" t="str">
        <v/>
      </c>
      <c r="CA2" t="str">
        <v/>
      </c>
      <c r="CB2" t="str">
        <v>y</v>
      </c>
      <c r="CC2" t="str">
        <v>Empty Rack</v>
      </c>
      <c r="CD2">
        <v>0</v>
      </c>
      <c r="CE2">
        <v>0</v>
      </c>
    </row>
    <row r="3" spans="1:83" x14ac:dyDescent="0.2">
      <c r="A3">
        <v>1299549</v>
      </c>
      <c r="B3">
        <v>58225</v>
      </c>
      <c r="C3" t="s">
        <v>2757</v>
      </c>
      <c r="D3" t="s">
        <v>744</v>
      </c>
      <c r="E3" t="s">
        <v>702</v>
      </c>
      <c r="F3" t="s">
        <v>34</v>
      </c>
      <c r="G3" t="s">
        <v>772</v>
      </c>
      <c r="H3" t="s">
        <v>3569</v>
      </c>
      <c r="I3" t="s">
        <v>586</v>
      </c>
      <c r="J3" t="s">
        <v>2148</v>
      </c>
      <c r="K3" t="s">
        <v>2149</v>
      </c>
      <c r="L3">
        <v>995539</v>
      </c>
      <c r="M3" t="s">
        <v>2757</v>
      </c>
      <c r="N3" t="s">
        <v>983</v>
      </c>
      <c r="O3" t="s">
        <v>1041</v>
      </c>
      <c r="P3" t="s">
        <v>770</v>
      </c>
      <c r="Q3" t="s">
        <v>903</v>
      </c>
      <c r="R3" t="s">
        <v>2150</v>
      </c>
      <c r="S3">
        <v>108</v>
      </c>
      <c r="T3" t="s">
        <v>794</v>
      </c>
      <c r="U3">
        <v>1270147</v>
      </c>
      <c r="V3" t="s">
        <v>2151</v>
      </c>
      <c r="W3" t="s">
        <v>2152</v>
      </c>
      <c r="X3" t="s">
        <v>766</v>
      </c>
      <c r="Y3" t="s">
        <v>34</v>
      </c>
      <c r="Z3" t="s">
        <v>1206</v>
      </c>
      <c r="AA3" t="s">
        <v>2153</v>
      </c>
      <c r="AB3" t="s">
        <v>766</v>
      </c>
      <c r="AC3" t="s">
        <v>34</v>
      </c>
      <c r="AD3" t="s">
        <v>767</v>
      </c>
      <c r="AE3" t="s">
        <v>768</v>
      </c>
      <c r="AF3" t="s">
        <v>585</v>
      </c>
      <c r="AG3">
        <v>2</v>
      </c>
      <c r="AH3">
        <v>0.05</v>
      </c>
      <c r="AI3">
        <v>1</v>
      </c>
      <c r="AJ3" t="s">
        <v>2429</v>
      </c>
      <c r="AK3" t="s">
        <v>34</v>
      </c>
      <c r="AL3" t="s">
        <v>34</v>
      </c>
      <c r="AM3" t="s">
        <v>2861</v>
      </c>
    </row>
    <row r="4" spans="1:83" x14ac:dyDescent="0.2">
      <c r="A4">
        <v>1270883</v>
      </c>
      <c r="B4">
        <v>58225</v>
      </c>
      <c r="C4" t="s">
        <v>525</v>
      </c>
      <c r="D4" t="s">
        <v>744</v>
      </c>
      <c r="E4" t="s">
        <v>702</v>
      </c>
      <c r="F4" t="s">
        <v>34</v>
      </c>
      <c r="G4" t="s">
        <v>772</v>
      </c>
      <c r="H4" t="s">
        <v>3569</v>
      </c>
      <c r="I4" t="s">
        <v>586</v>
      </c>
      <c r="J4" t="s">
        <v>2134</v>
      </c>
      <c r="K4" t="s">
        <v>2135</v>
      </c>
      <c r="L4">
        <v>311244</v>
      </c>
      <c r="M4" t="s">
        <v>525</v>
      </c>
      <c r="N4" t="s">
        <v>983</v>
      </c>
      <c r="O4" t="s">
        <v>2073</v>
      </c>
      <c r="P4" t="s">
        <v>847</v>
      </c>
      <c r="Q4" t="s">
        <v>765</v>
      </c>
      <c r="R4" t="s">
        <v>2136</v>
      </c>
      <c r="S4">
        <v>20.7</v>
      </c>
      <c r="T4" t="s">
        <v>794</v>
      </c>
      <c r="U4">
        <v>1270160</v>
      </c>
      <c r="V4" t="s">
        <v>2137</v>
      </c>
      <c r="W4" t="s">
        <v>2138</v>
      </c>
      <c r="X4" t="s">
        <v>766</v>
      </c>
      <c r="Y4" t="s">
        <v>34</v>
      </c>
      <c r="Z4" t="s">
        <v>1206</v>
      </c>
      <c r="AA4" t="s">
        <v>2139</v>
      </c>
      <c r="AB4" t="s">
        <v>766</v>
      </c>
      <c r="AC4" t="s">
        <v>34</v>
      </c>
      <c r="AD4" t="s">
        <v>767</v>
      </c>
      <c r="AE4" t="s">
        <v>768</v>
      </c>
      <c r="AF4" t="s">
        <v>585</v>
      </c>
      <c r="AG4">
        <v>1</v>
      </c>
      <c r="AH4">
        <v>1.1100000000000001</v>
      </c>
      <c r="AI4">
        <v>0.1</v>
      </c>
      <c r="AJ4" t="s">
        <v>2425</v>
      </c>
      <c r="AK4" t="s">
        <v>34</v>
      </c>
      <c r="AL4" t="s">
        <v>34</v>
      </c>
      <c r="AM4" t="s">
        <v>2861</v>
      </c>
    </row>
    <row r="5" spans="1:83" x14ac:dyDescent="0.2">
      <c r="A5">
        <v>1270886</v>
      </c>
      <c r="B5">
        <v>58225</v>
      </c>
      <c r="C5" t="s">
        <v>522</v>
      </c>
      <c r="D5" t="s">
        <v>744</v>
      </c>
      <c r="E5" t="s">
        <v>702</v>
      </c>
      <c r="F5" t="s">
        <v>34</v>
      </c>
      <c r="G5" t="s">
        <v>772</v>
      </c>
      <c r="H5" t="s">
        <v>3569</v>
      </c>
      <c r="I5" t="s">
        <v>586</v>
      </c>
      <c r="J5" t="s">
        <v>480</v>
      </c>
      <c r="K5" t="s">
        <v>2171</v>
      </c>
      <c r="L5" t="s">
        <v>2172</v>
      </c>
      <c r="M5" t="s">
        <v>522</v>
      </c>
      <c r="N5" t="s">
        <v>983</v>
      </c>
      <c r="O5" t="s">
        <v>2173</v>
      </c>
      <c r="P5" t="s">
        <v>770</v>
      </c>
      <c r="Q5" t="s">
        <v>828</v>
      </c>
      <c r="R5" t="s">
        <v>2174</v>
      </c>
      <c r="S5">
        <v>3.1</v>
      </c>
      <c r="T5" t="s">
        <v>794</v>
      </c>
      <c r="U5" t="s">
        <v>34</v>
      </c>
      <c r="V5" t="s">
        <v>1313</v>
      </c>
      <c r="W5">
        <v>5684</v>
      </c>
      <c r="X5" t="s">
        <v>766</v>
      </c>
      <c r="Y5" t="s">
        <v>34</v>
      </c>
      <c r="Z5" t="s">
        <v>1206</v>
      </c>
      <c r="AA5" t="s">
        <v>2175</v>
      </c>
      <c r="AB5" t="s">
        <v>766</v>
      </c>
      <c r="AC5" t="s">
        <v>34</v>
      </c>
      <c r="AD5" t="s">
        <v>767</v>
      </c>
      <c r="AE5" t="s">
        <v>768</v>
      </c>
      <c r="AF5" t="s">
        <v>585</v>
      </c>
      <c r="AG5">
        <v>40</v>
      </c>
      <c r="AH5">
        <v>450</v>
      </c>
      <c r="AI5">
        <v>1</v>
      </c>
      <c r="AJ5" t="s">
        <v>34</v>
      </c>
      <c r="AK5" t="s">
        <v>34</v>
      </c>
      <c r="AL5" t="s">
        <v>34</v>
      </c>
      <c r="AM5" t="s">
        <v>2861</v>
      </c>
    </row>
    <row r="6" spans="1:83" x14ac:dyDescent="0.2">
      <c r="A6">
        <v>1270882</v>
      </c>
      <c r="B6">
        <v>58225</v>
      </c>
      <c r="C6" t="s">
        <v>524</v>
      </c>
      <c r="D6" t="s">
        <v>744</v>
      </c>
      <c r="E6" t="s">
        <v>702</v>
      </c>
      <c r="F6" t="s">
        <v>34</v>
      </c>
      <c r="G6" t="s">
        <v>772</v>
      </c>
      <c r="H6" t="s">
        <v>3569</v>
      </c>
      <c r="I6" t="s">
        <v>586</v>
      </c>
      <c r="J6" t="s">
        <v>409</v>
      </c>
      <c r="K6" t="s">
        <v>2132</v>
      </c>
      <c r="L6">
        <v>116010</v>
      </c>
      <c r="M6" t="s">
        <v>524</v>
      </c>
      <c r="N6" t="s">
        <v>983</v>
      </c>
      <c r="O6" t="s">
        <v>829</v>
      </c>
      <c r="P6" t="s">
        <v>770</v>
      </c>
      <c r="Q6" t="s">
        <v>765</v>
      </c>
      <c r="R6" t="s">
        <v>3093</v>
      </c>
      <c r="S6">
        <v>45.3</v>
      </c>
      <c r="T6" t="s">
        <v>794</v>
      </c>
      <c r="U6" t="s">
        <v>34</v>
      </c>
      <c r="V6" t="s">
        <v>1417</v>
      </c>
      <c r="W6">
        <v>11.2</v>
      </c>
      <c r="X6" t="s">
        <v>766</v>
      </c>
      <c r="AC6" t="s">
        <v>34</v>
      </c>
      <c r="AD6" t="s">
        <v>767</v>
      </c>
      <c r="AE6" t="s">
        <v>768</v>
      </c>
      <c r="AF6" t="s">
        <v>585</v>
      </c>
      <c r="AG6">
        <v>3.2</v>
      </c>
      <c r="AH6">
        <v>0.25</v>
      </c>
      <c r="AI6">
        <v>1.4</v>
      </c>
      <c r="AJ6" t="s">
        <v>2423</v>
      </c>
      <c r="AK6" t="s">
        <v>2424</v>
      </c>
      <c r="AL6" t="s">
        <v>34</v>
      </c>
      <c r="AM6" t="s">
        <v>2861</v>
      </c>
    </row>
    <row r="7" spans="1:83" x14ac:dyDescent="0.2">
      <c r="A7">
        <v>1270893</v>
      </c>
      <c r="B7">
        <v>58225</v>
      </c>
      <c r="C7" t="s">
        <v>517</v>
      </c>
      <c r="D7" t="s">
        <v>744</v>
      </c>
      <c r="E7" t="s">
        <v>702</v>
      </c>
      <c r="F7" t="s">
        <v>34</v>
      </c>
      <c r="G7" t="s">
        <v>772</v>
      </c>
      <c r="H7" t="s">
        <v>3569</v>
      </c>
      <c r="I7" t="s">
        <v>586</v>
      </c>
      <c r="J7" t="s">
        <v>775</v>
      </c>
      <c r="K7" t="s">
        <v>2158</v>
      </c>
      <c r="L7">
        <v>450931</v>
      </c>
      <c r="M7" t="s">
        <v>517</v>
      </c>
      <c r="N7" t="s">
        <v>983</v>
      </c>
      <c r="O7" t="s">
        <v>1666</v>
      </c>
      <c r="P7" t="s">
        <v>847</v>
      </c>
      <c r="Q7" t="s">
        <v>862</v>
      </c>
      <c r="R7" t="s">
        <v>2159</v>
      </c>
      <c r="S7">
        <v>5.2</v>
      </c>
      <c r="T7" t="s">
        <v>794</v>
      </c>
      <c r="U7" t="s">
        <v>34</v>
      </c>
      <c r="V7" t="s">
        <v>2160</v>
      </c>
      <c r="W7" t="s">
        <v>2161</v>
      </c>
      <c r="X7" t="s">
        <v>1291</v>
      </c>
      <c r="Y7" t="s">
        <v>34</v>
      </c>
      <c r="Z7" t="s">
        <v>1206</v>
      </c>
      <c r="AA7" t="s">
        <v>2162</v>
      </c>
      <c r="AB7" t="s">
        <v>766</v>
      </c>
      <c r="AC7" t="s">
        <v>3647</v>
      </c>
      <c r="AD7" t="s">
        <v>767</v>
      </c>
      <c r="AE7" t="s">
        <v>768</v>
      </c>
      <c r="AF7" t="s">
        <v>585</v>
      </c>
      <c r="AG7" t="s">
        <v>1889</v>
      </c>
      <c r="AH7" t="s">
        <v>34</v>
      </c>
      <c r="AI7" t="s">
        <v>34</v>
      </c>
      <c r="AJ7" t="s">
        <v>34</v>
      </c>
      <c r="AK7" t="s">
        <v>34</v>
      </c>
      <c r="AL7" t="s">
        <v>34</v>
      </c>
      <c r="AM7" t="s">
        <v>2861</v>
      </c>
    </row>
    <row r="8" spans="1:83" x14ac:dyDescent="0.2">
      <c r="A8">
        <v>1270884</v>
      </c>
      <c r="B8">
        <v>58225</v>
      </c>
      <c r="C8" t="s">
        <v>2761</v>
      </c>
      <c r="D8" t="s">
        <v>744</v>
      </c>
      <c r="E8" t="s">
        <v>702</v>
      </c>
      <c r="F8" t="s">
        <v>34</v>
      </c>
      <c r="G8" t="s">
        <v>772</v>
      </c>
      <c r="H8" t="s">
        <v>3569</v>
      </c>
      <c r="I8" t="s">
        <v>762</v>
      </c>
      <c r="J8" t="s">
        <v>887</v>
      </c>
      <c r="K8" t="s">
        <v>2140</v>
      </c>
      <c r="L8" t="s">
        <v>2762</v>
      </c>
      <c r="M8" t="s">
        <v>2763</v>
      </c>
      <c r="N8" t="s">
        <v>310</v>
      </c>
      <c r="O8" t="s">
        <v>2025</v>
      </c>
      <c r="P8" t="s">
        <v>770</v>
      </c>
      <c r="Q8" t="s">
        <v>765</v>
      </c>
      <c r="R8" t="s">
        <v>2141</v>
      </c>
      <c r="S8">
        <v>118</v>
      </c>
      <c r="T8" t="s">
        <v>794</v>
      </c>
      <c r="U8">
        <v>1270148</v>
      </c>
      <c r="V8" t="s">
        <v>1070</v>
      </c>
      <c r="W8" t="s">
        <v>2142</v>
      </c>
      <c r="X8" t="s">
        <v>766</v>
      </c>
      <c r="Y8" t="s">
        <v>34</v>
      </c>
      <c r="Z8" t="s">
        <v>1206</v>
      </c>
      <c r="AA8" t="s">
        <v>2764</v>
      </c>
      <c r="AB8" t="s">
        <v>766</v>
      </c>
      <c r="AC8" t="s">
        <v>34</v>
      </c>
      <c r="AD8" t="s">
        <v>767</v>
      </c>
      <c r="AE8" t="s">
        <v>768</v>
      </c>
      <c r="AF8" t="s">
        <v>585</v>
      </c>
      <c r="AG8">
        <v>22</v>
      </c>
      <c r="AH8">
        <v>34</v>
      </c>
      <c r="AI8">
        <v>137</v>
      </c>
      <c r="AJ8" t="s">
        <v>2426</v>
      </c>
      <c r="AK8" t="s">
        <v>34</v>
      </c>
      <c r="AL8" t="s">
        <v>34</v>
      </c>
      <c r="AM8" t="s">
        <v>2861</v>
      </c>
    </row>
    <row r="9" spans="1:83" x14ac:dyDescent="0.2">
      <c r="A9">
        <v>1270885</v>
      </c>
      <c r="B9">
        <v>58225</v>
      </c>
      <c r="C9" t="s">
        <v>523</v>
      </c>
      <c r="D9" t="s">
        <v>744</v>
      </c>
      <c r="E9" t="s">
        <v>702</v>
      </c>
      <c r="F9" t="s">
        <v>34</v>
      </c>
      <c r="G9" t="s">
        <v>772</v>
      </c>
      <c r="H9" t="s">
        <v>3569</v>
      </c>
      <c r="I9" t="s">
        <v>586</v>
      </c>
      <c r="J9" t="s">
        <v>2143</v>
      </c>
      <c r="K9" t="s">
        <v>2144</v>
      </c>
      <c r="L9">
        <v>390366</v>
      </c>
      <c r="M9" t="s">
        <v>523</v>
      </c>
      <c r="N9" t="s">
        <v>983</v>
      </c>
      <c r="O9" t="s">
        <v>2145</v>
      </c>
      <c r="P9" t="s">
        <v>764</v>
      </c>
      <c r="Q9" t="s">
        <v>765</v>
      </c>
      <c r="R9" t="s">
        <v>2146</v>
      </c>
      <c r="S9">
        <v>36</v>
      </c>
      <c r="T9" t="s">
        <v>794</v>
      </c>
      <c r="U9" t="s">
        <v>34</v>
      </c>
      <c r="V9" t="s">
        <v>3436</v>
      </c>
      <c r="W9" t="s">
        <v>3437</v>
      </c>
      <c r="X9" t="s">
        <v>766</v>
      </c>
      <c r="Y9" t="s">
        <v>34</v>
      </c>
      <c r="Z9" t="s">
        <v>1206</v>
      </c>
      <c r="AA9" t="s">
        <v>2147</v>
      </c>
      <c r="AB9" t="s">
        <v>766</v>
      </c>
      <c r="AC9" t="s">
        <v>34</v>
      </c>
      <c r="AD9" t="s">
        <v>767</v>
      </c>
      <c r="AE9" t="s">
        <v>768</v>
      </c>
      <c r="AF9" t="s">
        <v>585</v>
      </c>
      <c r="AG9">
        <v>2.5</v>
      </c>
      <c r="AH9">
        <v>10</v>
      </c>
      <c r="AJ9" t="s">
        <v>2427</v>
      </c>
      <c r="AK9" t="s">
        <v>2428</v>
      </c>
      <c r="AL9" t="s">
        <v>34</v>
      </c>
      <c r="AM9" t="s">
        <v>2861</v>
      </c>
    </row>
    <row r="10" spans="1:83" x14ac:dyDescent="0.2">
      <c r="A10">
        <v>1270892</v>
      </c>
      <c r="B10">
        <v>58225</v>
      </c>
      <c r="C10" t="s">
        <v>518</v>
      </c>
      <c r="D10" t="s">
        <v>744</v>
      </c>
      <c r="E10" t="s">
        <v>702</v>
      </c>
      <c r="F10" t="s">
        <v>34</v>
      </c>
      <c r="G10" t="s">
        <v>772</v>
      </c>
      <c r="H10" t="s">
        <v>3569</v>
      </c>
      <c r="I10" t="s">
        <v>586</v>
      </c>
      <c r="J10" t="s">
        <v>775</v>
      </c>
      <c r="K10" t="s">
        <v>2163</v>
      </c>
      <c r="L10">
        <v>633775</v>
      </c>
      <c r="M10" t="s">
        <v>518</v>
      </c>
      <c r="N10" t="s">
        <v>983</v>
      </c>
      <c r="O10" t="s">
        <v>3438</v>
      </c>
      <c r="P10" t="s">
        <v>764</v>
      </c>
      <c r="Q10" t="s">
        <v>862</v>
      </c>
      <c r="R10" t="s">
        <v>2164</v>
      </c>
      <c r="S10">
        <v>0.99</v>
      </c>
      <c r="T10" t="s">
        <v>794</v>
      </c>
      <c r="U10" t="s">
        <v>34</v>
      </c>
      <c r="V10" t="s">
        <v>2165</v>
      </c>
      <c r="X10" t="s">
        <v>1291</v>
      </c>
      <c r="Y10" t="s">
        <v>34</v>
      </c>
      <c r="Z10" t="s">
        <v>1206</v>
      </c>
      <c r="AA10" t="s">
        <v>2166</v>
      </c>
      <c r="AB10" t="s">
        <v>766</v>
      </c>
      <c r="AC10" t="s">
        <v>2167</v>
      </c>
      <c r="AD10" t="s">
        <v>767</v>
      </c>
      <c r="AE10" t="s">
        <v>768</v>
      </c>
      <c r="AF10" t="s">
        <v>585</v>
      </c>
      <c r="AG10" t="s">
        <v>1889</v>
      </c>
      <c r="AH10" t="s">
        <v>34</v>
      </c>
      <c r="AI10" t="s">
        <v>34</v>
      </c>
      <c r="AJ10" t="s">
        <v>34</v>
      </c>
      <c r="AK10" t="s">
        <v>34</v>
      </c>
      <c r="AL10" t="s">
        <v>34</v>
      </c>
      <c r="AM10" t="s">
        <v>2861</v>
      </c>
    </row>
    <row r="11" spans="1:83" x14ac:dyDescent="0.2">
      <c r="A11">
        <v>1270880</v>
      </c>
      <c r="B11">
        <v>58225</v>
      </c>
      <c r="C11" t="s">
        <v>618</v>
      </c>
      <c r="D11" t="s">
        <v>744</v>
      </c>
      <c r="E11" t="s">
        <v>702</v>
      </c>
      <c r="F11" t="s">
        <v>34</v>
      </c>
      <c r="G11" t="s">
        <v>772</v>
      </c>
      <c r="H11" t="s">
        <v>3569</v>
      </c>
      <c r="I11" t="s">
        <v>586</v>
      </c>
      <c r="J11" t="s">
        <v>1867</v>
      </c>
      <c r="K11" t="s">
        <v>2124</v>
      </c>
      <c r="L11">
        <v>330692</v>
      </c>
      <c r="M11" t="s">
        <v>618</v>
      </c>
      <c r="N11" t="s">
        <v>983</v>
      </c>
      <c r="O11" t="s">
        <v>2145</v>
      </c>
      <c r="P11" t="s">
        <v>764</v>
      </c>
      <c r="Q11" t="s">
        <v>862</v>
      </c>
      <c r="R11" t="s">
        <v>1339</v>
      </c>
      <c r="S11">
        <v>8</v>
      </c>
      <c r="T11" t="s">
        <v>794</v>
      </c>
      <c r="U11">
        <v>1270156</v>
      </c>
      <c r="V11" t="s">
        <v>2125</v>
      </c>
      <c r="W11" t="s">
        <v>2126</v>
      </c>
      <c r="X11" t="s">
        <v>766</v>
      </c>
      <c r="Y11" t="s">
        <v>34</v>
      </c>
      <c r="Z11" t="s">
        <v>1347</v>
      </c>
      <c r="AA11" t="s">
        <v>3062</v>
      </c>
      <c r="AB11" t="s">
        <v>766</v>
      </c>
      <c r="AC11" t="s">
        <v>2127</v>
      </c>
      <c r="AD11" t="s">
        <v>767</v>
      </c>
      <c r="AE11" t="s">
        <v>768</v>
      </c>
      <c r="AF11" t="s">
        <v>585</v>
      </c>
      <c r="AG11">
        <v>100</v>
      </c>
      <c r="AI11">
        <v>0.1</v>
      </c>
      <c r="AJ11" t="s">
        <v>2422</v>
      </c>
      <c r="AK11" t="s">
        <v>34</v>
      </c>
      <c r="AL11" t="s">
        <v>34</v>
      </c>
      <c r="AM11" t="s">
        <v>2861</v>
      </c>
    </row>
    <row r="12" spans="1:83" x14ac:dyDescent="0.2">
      <c r="A12">
        <v>1270881</v>
      </c>
      <c r="B12">
        <v>58225</v>
      </c>
      <c r="C12" t="s">
        <v>670</v>
      </c>
      <c r="D12" t="s">
        <v>744</v>
      </c>
      <c r="E12" t="s">
        <v>702</v>
      </c>
      <c r="F12" t="s">
        <v>34</v>
      </c>
      <c r="G12" t="s">
        <v>772</v>
      </c>
      <c r="H12" t="s">
        <v>3569</v>
      </c>
      <c r="I12" t="s">
        <v>586</v>
      </c>
      <c r="J12" t="s">
        <v>409</v>
      </c>
      <c r="K12" t="s">
        <v>2128</v>
      </c>
      <c r="L12">
        <v>166006</v>
      </c>
      <c r="M12" t="s">
        <v>670</v>
      </c>
      <c r="N12" t="s">
        <v>983</v>
      </c>
      <c r="O12" t="s">
        <v>829</v>
      </c>
      <c r="P12" t="s">
        <v>770</v>
      </c>
      <c r="Q12" t="s">
        <v>828</v>
      </c>
      <c r="R12" t="s">
        <v>2129</v>
      </c>
      <c r="S12">
        <v>45.3</v>
      </c>
      <c r="T12" t="s">
        <v>794</v>
      </c>
      <c r="U12" t="s">
        <v>34</v>
      </c>
      <c r="V12" t="s">
        <v>2130</v>
      </c>
      <c r="W12" t="s">
        <v>2131</v>
      </c>
      <c r="X12" t="s">
        <v>766</v>
      </c>
      <c r="AC12" t="s">
        <v>34</v>
      </c>
      <c r="AD12" t="s">
        <v>767</v>
      </c>
      <c r="AE12" t="s">
        <v>768</v>
      </c>
      <c r="AF12" t="s">
        <v>585</v>
      </c>
      <c r="AG12" t="s">
        <v>1889</v>
      </c>
      <c r="AH12" t="s">
        <v>34</v>
      </c>
      <c r="AI12" t="s">
        <v>34</v>
      </c>
      <c r="AJ12" t="s">
        <v>34</v>
      </c>
      <c r="AK12" t="s">
        <v>34</v>
      </c>
      <c r="AL12" t="s">
        <v>34</v>
      </c>
      <c r="AM12" t="s">
        <v>2861</v>
      </c>
    </row>
    <row r="13" spans="1:83" x14ac:dyDescent="0.2">
      <c r="A13">
        <v>1270878</v>
      </c>
      <c r="B13">
        <v>58225</v>
      </c>
      <c r="C13" t="s">
        <v>2584</v>
      </c>
      <c r="D13" t="s">
        <v>744</v>
      </c>
      <c r="E13" t="s">
        <v>702</v>
      </c>
      <c r="F13" t="s">
        <v>34</v>
      </c>
      <c r="G13" t="s">
        <v>772</v>
      </c>
      <c r="H13" t="s">
        <v>3068</v>
      </c>
      <c r="I13" t="s">
        <v>586</v>
      </c>
      <c r="J13" t="s">
        <v>2584</v>
      </c>
      <c r="K13" t="s">
        <v>2585</v>
      </c>
      <c r="L13" t="s">
        <v>2586</v>
      </c>
      <c r="M13" t="s">
        <v>2584</v>
      </c>
      <c r="N13" t="s">
        <v>983</v>
      </c>
      <c r="O13" t="s">
        <v>1099</v>
      </c>
      <c r="P13" t="s">
        <v>2587</v>
      </c>
      <c r="Q13" t="s">
        <v>828</v>
      </c>
      <c r="R13" t="s">
        <v>2588</v>
      </c>
      <c r="S13">
        <v>83.3</v>
      </c>
      <c r="T13" t="s">
        <v>794</v>
      </c>
      <c r="U13" t="s">
        <v>34</v>
      </c>
      <c r="V13" t="s">
        <v>1313</v>
      </c>
      <c r="W13" t="s">
        <v>2589</v>
      </c>
      <c r="X13" t="s">
        <v>766</v>
      </c>
      <c r="Y13" t="s">
        <v>34</v>
      </c>
      <c r="Z13" t="s">
        <v>1206</v>
      </c>
      <c r="AA13" t="s">
        <v>2590</v>
      </c>
      <c r="AB13" t="s">
        <v>766</v>
      </c>
      <c r="AC13" t="s">
        <v>34</v>
      </c>
      <c r="AD13" t="s">
        <v>767</v>
      </c>
      <c r="AE13" t="s">
        <v>768</v>
      </c>
      <c r="AF13" t="s">
        <v>585</v>
      </c>
      <c r="AG13">
        <v>10</v>
      </c>
      <c r="AH13">
        <v>5</v>
      </c>
      <c r="AI13">
        <v>235</v>
      </c>
      <c r="AJ13" t="s">
        <v>34</v>
      </c>
      <c r="AK13" t="s">
        <v>34</v>
      </c>
      <c r="AL13" t="s">
        <v>34</v>
      </c>
      <c r="AM13" t="s">
        <v>2861</v>
      </c>
    </row>
    <row r="14" spans="1:83" x14ac:dyDescent="0.2">
      <c r="A14">
        <v>1583459</v>
      </c>
      <c r="B14">
        <v>58225</v>
      </c>
      <c r="C14" t="s">
        <v>2758</v>
      </c>
      <c r="D14" t="s">
        <v>744</v>
      </c>
      <c r="E14" t="s">
        <v>702</v>
      </c>
      <c r="F14" t="s">
        <v>34</v>
      </c>
      <c r="G14" t="s">
        <v>772</v>
      </c>
      <c r="H14" t="s">
        <v>3569</v>
      </c>
      <c r="I14" t="s">
        <v>586</v>
      </c>
      <c r="J14" t="s">
        <v>409</v>
      </c>
      <c r="K14" t="s">
        <v>1889</v>
      </c>
      <c r="L14" t="s">
        <v>2758</v>
      </c>
      <c r="M14" t="s">
        <v>2758</v>
      </c>
      <c r="N14" t="s">
        <v>983</v>
      </c>
      <c r="O14" t="s">
        <v>829</v>
      </c>
      <c r="P14" t="s">
        <v>770</v>
      </c>
      <c r="Q14" t="s">
        <v>765</v>
      </c>
      <c r="R14" t="s">
        <v>2133</v>
      </c>
      <c r="S14">
        <v>27</v>
      </c>
      <c r="T14" t="s">
        <v>794</v>
      </c>
      <c r="U14">
        <v>1509987</v>
      </c>
      <c r="V14" t="s">
        <v>2759</v>
      </c>
      <c r="W14" t="s">
        <v>2760</v>
      </c>
      <c r="X14" t="s">
        <v>766</v>
      </c>
      <c r="AC14" t="s">
        <v>34</v>
      </c>
      <c r="AD14" t="s">
        <v>767</v>
      </c>
      <c r="AE14" t="s">
        <v>768</v>
      </c>
      <c r="AF14" t="s">
        <v>585</v>
      </c>
      <c r="AG14" t="s">
        <v>1889</v>
      </c>
      <c r="AH14" t="s">
        <v>34</v>
      </c>
      <c r="AI14" t="s">
        <v>34</v>
      </c>
      <c r="AJ14" t="s">
        <v>34</v>
      </c>
      <c r="AK14" t="s">
        <v>34</v>
      </c>
      <c r="AL14" t="s">
        <v>34</v>
      </c>
      <c r="AM14" t="s">
        <v>2861</v>
      </c>
    </row>
    <row r="15" spans="1:83" x14ac:dyDescent="0.2">
      <c r="A15">
        <v>1866984</v>
      </c>
      <c r="B15">
        <v>58225</v>
      </c>
      <c r="C15" t="s">
        <v>520</v>
      </c>
      <c r="D15" t="s">
        <v>744</v>
      </c>
      <c r="E15" t="s">
        <v>702</v>
      </c>
      <c r="F15" t="s">
        <v>34</v>
      </c>
      <c r="G15" t="s">
        <v>772</v>
      </c>
      <c r="H15" t="s">
        <v>3569</v>
      </c>
      <c r="I15" t="s">
        <v>586</v>
      </c>
      <c r="J15" t="s">
        <v>480</v>
      </c>
      <c r="K15" t="s">
        <v>2154</v>
      </c>
      <c r="L15">
        <v>313256</v>
      </c>
      <c r="M15" t="s">
        <v>520</v>
      </c>
      <c r="N15" t="s">
        <v>983</v>
      </c>
      <c r="O15" t="s">
        <v>1341</v>
      </c>
      <c r="P15" t="s">
        <v>847</v>
      </c>
      <c r="Q15" t="s">
        <v>765</v>
      </c>
      <c r="R15" t="s">
        <v>2133</v>
      </c>
      <c r="S15">
        <v>27</v>
      </c>
      <c r="T15" t="s">
        <v>794</v>
      </c>
      <c r="U15">
        <v>1866992</v>
      </c>
      <c r="V15" t="s">
        <v>2157</v>
      </c>
      <c r="W15">
        <v>7142003043</v>
      </c>
      <c r="X15" t="s">
        <v>766</v>
      </c>
      <c r="Y15" t="s">
        <v>34</v>
      </c>
      <c r="Z15" t="s">
        <v>1206</v>
      </c>
      <c r="AA15" t="s">
        <v>3027</v>
      </c>
      <c r="AB15" t="s">
        <v>766</v>
      </c>
      <c r="AC15" t="s">
        <v>34</v>
      </c>
      <c r="AD15" t="s">
        <v>767</v>
      </c>
      <c r="AE15" t="s">
        <v>768</v>
      </c>
      <c r="AF15" t="s">
        <v>585</v>
      </c>
      <c r="AG15">
        <v>3</v>
      </c>
      <c r="AH15">
        <v>2</v>
      </c>
      <c r="AI15">
        <v>0.43</v>
      </c>
      <c r="AJ15" t="s">
        <v>3028</v>
      </c>
      <c r="AK15" t="s">
        <v>2430</v>
      </c>
      <c r="AL15" t="s">
        <v>34</v>
      </c>
      <c r="AM15" t="s">
        <v>2861</v>
      </c>
    </row>
    <row r="16" spans="1:83" x14ac:dyDescent="0.2">
      <c r="A16">
        <v>1270888</v>
      </c>
      <c r="B16">
        <v>58225</v>
      </c>
      <c r="C16" t="s">
        <v>521</v>
      </c>
      <c r="D16" t="s">
        <v>744</v>
      </c>
      <c r="E16" t="s">
        <v>702</v>
      </c>
      <c r="F16" t="s">
        <v>34</v>
      </c>
      <c r="G16" t="s">
        <v>772</v>
      </c>
      <c r="H16" t="s">
        <v>3569</v>
      </c>
      <c r="I16" t="s">
        <v>586</v>
      </c>
      <c r="J16" t="s">
        <v>480</v>
      </c>
      <c r="K16" t="s">
        <v>2154</v>
      </c>
      <c r="L16">
        <v>313459</v>
      </c>
      <c r="M16" t="s">
        <v>521</v>
      </c>
      <c r="N16" t="s">
        <v>983</v>
      </c>
      <c r="O16" t="s">
        <v>1099</v>
      </c>
      <c r="P16" t="s">
        <v>764</v>
      </c>
      <c r="Q16" t="s">
        <v>765</v>
      </c>
      <c r="R16" t="s">
        <v>2133</v>
      </c>
      <c r="S16">
        <v>27</v>
      </c>
      <c r="T16" t="s">
        <v>794</v>
      </c>
      <c r="U16">
        <v>1270161</v>
      </c>
      <c r="V16" t="s">
        <v>2155</v>
      </c>
      <c r="W16" t="s">
        <v>2156</v>
      </c>
      <c r="X16" t="s">
        <v>766</v>
      </c>
      <c r="AC16" t="s">
        <v>34</v>
      </c>
      <c r="AD16" t="s">
        <v>767</v>
      </c>
      <c r="AE16" t="s">
        <v>768</v>
      </c>
      <c r="AF16" t="s">
        <v>585</v>
      </c>
      <c r="AG16">
        <v>1</v>
      </c>
      <c r="AH16">
        <v>1.1100000000000001</v>
      </c>
      <c r="AI16">
        <v>0.1</v>
      </c>
      <c r="AJ16" t="s">
        <v>2422</v>
      </c>
      <c r="AK16" t="s">
        <v>34</v>
      </c>
      <c r="AL16" t="s">
        <v>34</v>
      </c>
      <c r="AM16" t="s">
        <v>2861</v>
      </c>
    </row>
    <row r="17" spans="1:40" x14ac:dyDescent="0.2">
      <c r="A17">
        <v>1270241</v>
      </c>
      <c r="B17">
        <v>57137</v>
      </c>
      <c r="C17" t="s">
        <v>613</v>
      </c>
      <c r="D17" t="s">
        <v>672</v>
      </c>
      <c r="E17" t="s">
        <v>671</v>
      </c>
      <c r="F17" t="s">
        <v>34</v>
      </c>
      <c r="G17" t="s">
        <v>772</v>
      </c>
      <c r="H17" t="s">
        <v>3068</v>
      </c>
      <c r="I17" t="s">
        <v>762</v>
      </c>
      <c r="J17" t="s">
        <v>775</v>
      </c>
      <c r="K17" t="s">
        <v>836</v>
      </c>
      <c r="L17">
        <v>8418.1111000000001</v>
      </c>
      <c r="M17" t="s">
        <v>613</v>
      </c>
      <c r="N17" t="s">
        <v>310</v>
      </c>
      <c r="O17" t="s">
        <v>837</v>
      </c>
      <c r="P17" t="s">
        <v>2914</v>
      </c>
      <c r="Q17" t="s">
        <v>765</v>
      </c>
      <c r="R17" t="s">
        <v>838</v>
      </c>
      <c r="S17">
        <v>2.4</v>
      </c>
      <c r="T17" t="s">
        <v>794</v>
      </c>
      <c r="U17" t="s">
        <v>34</v>
      </c>
      <c r="V17" t="s">
        <v>839</v>
      </c>
      <c r="W17">
        <v>8418.1111000000001</v>
      </c>
      <c r="X17" t="s">
        <v>2915</v>
      </c>
      <c r="Y17" t="s">
        <v>34</v>
      </c>
      <c r="Z17" t="s">
        <v>839</v>
      </c>
      <c r="AA17">
        <v>8418.1111000000001</v>
      </c>
      <c r="AB17" t="s">
        <v>2915</v>
      </c>
      <c r="AC17" t="s">
        <v>835</v>
      </c>
      <c r="AD17" t="s">
        <v>767</v>
      </c>
      <c r="AE17" t="s">
        <v>768</v>
      </c>
      <c r="AF17" t="s">
        <v>585</v>
      </c>
      <c r="AG17" t="s">
        <v>1889</v>
      </c>
      <c r="AH17" t="s">
        <v>34</v>
      </c>
      <c r="AI17" t="s">
        <v>34</v>
      </c>
      <c r="AJ17" t="s">
        <v>34</v>
      </c>
      <c r="AK17" t="s">
        <v>34</v>
      </c>
      <c r="AL17" t="s">
        <v>34</v>
      </c>
      <c r="AM17" t="s">
        <v>2861</v>
      </c>
    </row>
    <row r="18" spans="1:40" x14ac:dyDescent="0.2">
      <c r="A18">
        <v>1270237</v>
      </c>
      <c r="B18">
        <v>57146</v>
      </c>
      <c r="C18" t="s">
        <v>293</v>
      </c>
      <c r="D18" t="s">
        <v>673</v>
      </c>
      <c r="E18" t="s">
        <v>671</v>
      </c>
      <c r="F18" t="s">
        <v>34</v>
      </c>
      <c r="G18" t="s">
        <v>772</v>
      </c>
      <c r="H18" t="s">
        <v>3569</v>
      </c>
      <c r="I18" t="s">
        <v>586</v>
      </c>
      <c r="J18" t="s">
        <v>350</v>
      </c>
      <c r="K18" t="s">
        <v>840</v>
      </c>
      <c r="M18" t="s">
        <v>293</v>
      </c>
      <c r="N18" t="s">
        <v>310</v>
      </c>
      <c r="O18" t="s">
        <v>841</v>
      </c>
      <c r="P18" t="s">
        <v>2914</v>
      </c>
      <c r="Q18" t="s">
        <v>765</v>
      </c>
      <c r="R18" t="s">
        <v>842</v>
      </c>
      <c r="S18">
        <v>14.6</v>
      </c>
      <c r="T18" t="s">
        <v>649</v>
      </c>
      <c r="U18" t="s">
        <v>34</v>
      </c>
      <c r="V18" t="s">
        <v>843</v>
      </c>
      <c r="X18" t="s">
        <v>2915</v>
      </c>
      <c r="AC18" t="s">
        <v>2508</v>
      </c>
      <c r="AD18" t="s">
        <v>767</v>
      </c>
      <c r="AE18" t="s">
        <v>768</v>
      </c>
      <c r="AF18" t="s">
        <v>585</v>
      </c>
      <c r="AG18" t="s">
        <v>1889</v>
      </c>
      <c r="AH18" t="s">
        <v>34</v>
      </c>
      <c r="AI18" t="s">
        <v>34</v>
      </c>
      <c r="AJ18" t="s">
        <v>34</v>
      </c>
      <c r="AK18" t="s">
        <v>34</v>
      </c>
      <c r="AL18" t="s">
        <v>34</v>
      </c>
      <c r="AM18" t="s">
        <v>2861</v>
      </c>
    </row>
    <row r="19" spans="1:40" x14ac:dyDescent="0.2">
      <c r="A19">
        <v>1271450</v>
      </c>
      <c r="B19">
        <v>57146</v>
      </c>
      <c r="C19" t="s">
        <v>279</v>
      </c>
      <c r="D19" t="s">
        <v>673</v>
      </c>
      <c r="E19" t="s">
        <v>671</v>
      </c>
      <c r="F19" t="s">
        <v>34</v>
      </c>
      <c r="G19" t="s">
        <v>772</v>
      </c>
      <c r="H19" t="s">
        <v>3569</v>
      </c>
      <c r="I19" t="s">
        <v>762</v>
      </c>
      <c r="J19" t="s">
        <v>350</v>
      </c>
      <c r="K19" t="s">
        <v>845</v>
      </c>
      <c r="L19">
        <v>78863</v>
      </c>
      <c r="M19" t="s">
        <v>279</v>
      </c>
      <c r="N19" t="s">
        <v>3570</v>
      </c>
      <c r="O19" t="s">
        <v>846</v>
      </c>
      <c r="P19" t="s">
        <v>2916</v>
      </c>
      <c r="Q19" t="s">
        <v>765</v>
      </c>
      <c r="R19" t="s">
        <v>848</v>
      </c>
      <c r="S19">
        <v>63.9</v>
      </c>
      <c r="T19" t="s">
        <v>793</v>
      </c>
      <c r="U19">
        <v>1269616</v>
      </c>
      <c r="V19" t="s">
        <v>849</v>
      </c>
      <c r="W19" t="s">
        <v>850</v>
      </c>
      <c r="X19" t="s">
        <v>2917</v>
      </c>
      <c r="Y19" t="s">
        <v>34</v>
      </c>
      <c r="Z19" t="s">
        <v>851</v>
      </c>
      <c r="AA19" t="s">
        <v>852</v>
      </c>
      <c r="AB19" t="s">
        <v>2917</v>
      </c>
      <c r="AC19" t="s">
        <v>34</v>
      </c>
      <c r="AD19" t="s">
        <v>767</v>
      </c>
      <c r="AE19" t="s">
        <v>768</v>
      </c>
      <c r="AF19" t="s">
        <v>585</v>
      </c>
      <c r="AG19">
        <v>3.4</v>
      </c>
      <c r="AH19" t="s">
        <v>3209</v>
      </c>
      <c r="AI19">
        <v>67</v>
      </c>
      <c r="AJ19" t="s">
        <v>34</v>
      </c>
      <c r="AK19" t="s">
        <v>34</v>
      </c>
      <c r="AL19" t="s">
        <v>34</v>
      </c>
      <c r="AM19" t="s">
        <v>2861</v>
      </c>
      <c r="AN19">
        <v>1.4583333333333332E-2</v>
      </c>
    </row>
    <row r="20" spans="1:40" x14ac:dyDescent="0.2">
      <c r="A20">
        <v>1270232</v>
      </c>
      <c r="B20">
        <v>57163</v>
      </c>
      <c r="C20" t="s">
        <v>650</v>
      </c>
      <c r="D20" t="s">
        <v>674</v>
      </c>
      <c r="E20" t="s">
        <v>671</v>
      </c>
      <c r="F20" t="s">
        <v>34</v>
      </c>
      <c r="G20" t="s">
        <v>772</v>
      </c>
      <c r="H20" t="s">
        <v>3571</v>
      </c>
      <c r="I20" t="s">
        <v>586</v>
      </c>
      <c r="J20" t="s">
        <v>366</v>
      </c>
      <c r="K20" t="s">
        <v>853</v>
      </c>
      <c r="L20" t="s">
        <v>2525</v>
      </c>
      <c r="M20" t="s">
        <v>650</v>
      </c>
      <c r="N20" t="s">
        <v>310</v>
      </c>
      <c r="O20" t="s">
        <v>854</v>
      </c>
      <c r="P20" t="s">
        <v>2918</v>
      </c>
      <c r="Q20" t="s">
        <v>765</v>
      </c>
      <c r="R20" t="s">
        <v>855</v>
      </c>
      <c r="S20">
        <v>2.5</v>
      </c>
      <c r="T20" t="s">
        <v>649</v>
      </c>
      <c r="U20">
        <v>1270232</v>
      </c>
      <c r="V20" t="s">
        <v>856</v>
      </c>
      <c r="W20">
        <v>41641754</v>
      </c>
      <c r="X20" t="s">
        <v>2919</v>
      </c>
      <c r="AC20" t="s">
        <v>835</v>
      </c>
      <c r="AD20" t="s">
        <v>767</v>
      </c>
      <c r="AE20" t="s">
        <v>768</v>
      </c>
      <c r="AF20" t="s">
        <v>585</v>
      </c>
      <c r="AG20" t="s">
        <v>1889</v>
      </c>
      <c r="AH20" t="s">
        <v>34</v>
      </c>
      <c r="AI20" t="s">
        <v>34</v>
      </c>
      <c r="AJ20" t="s">
        <v>34</v>
      </c>
      <c r="AK20" t="s">
        <v>34</v>
      </c>
      <c r="AL20" t="s">
        <v>34</v>
      </c>
      <c r="AM20" t="s">
        <v>2861</v>
      </c>
    </row>
    <row r="21" spans="1:40" x14ac:dyDescent="0.2">
      <c r="A21">
        <v>1270233</v>
      </c>
      <c r="B21">
        <v>57163</v>
      </c>
      <c r="C21" t="s">
        <v>651</v>
      </c>
      <c r="D21" t="s">
        <v>674</v>
      </c>
      <c r="E21" t="s">
        <v>671</v>
      </c>
      <c r="F21" t="s">
        <v>34</v>
      </c>
      <c r="G21" t="s">
        <v>772</v>
      </c>
      <c r="H21" t="s">
        <v>3569</v>
      </c>
      <c r="I21" t="s">
        <v>586</v>
      </c>
      <c r="J21" t="s">
        <v>366</v>
      </c>
      <c r="K21" t="s">
        <v>853</v>
      </c>
      <c r="L21" t="s">
        <v>2526</v>
      </c>
      <c r="M21" t="s">
        <v>651</v>
      </c>
      <c r="N21" t="s">
        <v>310</v>
      </c>
      <c r="O21" t="s">
        <v>854</v>
      </c>
      <c r="P21" t="s">
        <v>2918</v>
      </c>
      <c r="Q21" t="s">
        <v>765</v>
      </c>
      <c r="R21" t="s">
        <v>855</v>
      </c>
      <c r="S21">
        <v>2.5</v>
      </c>
      <c r="T21" t="s">
        <v>649</v>
      </c>
      <c r="U21">
        <v>1270233</v>
      </c>
      <c r="V21" t="s">
        <v>856</v>
      </c>
      <c r="W21">
        <v>41641755</v>
      </c>
      <c r="X21" t="s">
        <v>2919</v>
      </c>
      <c r="AC21" t="s">
        <v>835</v>
      </c>
      <c r="AD21" t="s">
        <v>767</v>
      </c>
      <c r="AE21" t="s">
        <v>768</v>
      </c>
      <c r="AF21" t="s">
        <v>585</v>
      </c>
      <c r="AG21" t="s">
        <v>1889</v>
      </c>
      <c r="AH21" t="s">
        <v>34</v>
      </c>
      <c r="AI21" t="s">
        <v>34</v>
      </c>
      <c r="AJ21" t="s">
        <v>34</v>
      </c>
      <c r="AK21" t="s">
        <v>34</v>
      </c>
      <c r="AL21" t="s">
        <v>34</v>
      </c>
      <c r="AM21" t="s">
        <v>2861</v>
      </c>
    </row>
    <row r="22" spans="1:40" x14ac:dyDescent="0.2">
      <c r="A22">
        <v>1270236</v>
      </c>
      <c r="B22">
        <v>57163</v>
      </c>
      <c r="C22" t="s">
        <v>295</v>
      </c>
      <c r="D22" t="s">
        <v>674</v>
      </c>
      <c r="E22" t="s">
        <v>671</v>
      </c>
      <c r="F22" t="s">
        <v>34</v>
      </c>
      <c r="G22" t="s">
        <v>772</v>
      </c>
      <c r="H22" t="s">
        <v>3569</v>
      </c>
      <c r="I22" t="s">
        <v>586</v>
      </c>
      <c r="J22" t="s">
        <v>857</v>
      </c>
      <c r="K22" t="s">
        <v>863</v>
      </c>
      <c r="L22" t="s">
        <v>295</v>
      </c>
      <c r="M22" t="s">
        <v>295</v>
      </c>
      <c r="N22" t="s">
        <v>310</v>
      </c>
      <c r="O22" t="s">
        <v>864</v>
      </c>
      <c r="P22" t="s">
        <v>2916</v>
      </c>
      <c r="Q22" t="s">
        <v>862</v>
      </c>
      <c r="R22" t="s">
        <v>865</v>
      </c>
      <c r="S22">
        <v>2</v>
      </c>
      <c r="T22" t="s">
        <v>649</v>
      </c>
      <c r="U22">
        <v>1270236</v>
      </c>
      <c r="V22" t="s">
        <v>866</v>
      </c>
      <c r="W22" t="s">
        <v>295</v>
      </c>
      <c r="X22" t="s">
        <v>2920</v>
      </c>
      <c r="AC22" t="s">
        <v>868</v>
      </c>
      <c r="AD22" t="s">
        <v>767</v>
      </c>
      <c r="AE22" t="s">
        <v>768</v>
      </c>
      <c r="AF22" t="s">
        <v>585</v>
      </c>
      <c r="AG22" t="s">
        <v>1889</v>
      </c>
      <c r="AH22" t="s">
        <v>34</v>
      </c>
      <c r="AI22" t="s">
        <v>34</v>
      </c>
      <c r="AJ22" t="s">
        <v>34</v>
      </c>
      <c r="AK22" t="s">
        <v>34</v>
      </c>
      <c r="AL22" t="s">
        <v>34</v>
      </c>
      <c r="AM22" t="s">
        <v>2861</v>
      </c>
    </row>
    <row r="23" spans="1:40" x14ac:dyDescent="0.2">
      <c r="A23">
        <v>1270234</v>
      </c>
      <c r="B23">
        <v>57163</v>
      </c>
      <c r="C23" t="s">
        <v>652</v>
      </c>
      <c r="D23" t="s">
        <v>674</v>
      </c>
      <c r="E23" t="s">
        <v>671</v>
      </c>
      <c r="F23" t="s">
        <v>34</v>
      </c>
      <c r="G23" t="s">
        <v>772</v>
      </c>
      <c r="H23" t="s">
        <v>3068</v>
      </c>
      <c r="I23" t="s">
        <v>586</v>
      </c>
      <c r="J23" t="s">
        <v>857</v>
      </c>
      <c r="K23" t="s">
        <v>858</v>
      </c>
      <c r="L23">
        <v>113316</v>
      </c>
      <c r="M23" t="s">
        <v>652</v>
      </c>
      <c r="N23" t="s">
        <v>310</v>
      </c>
      <c r="O23" t="s">
        <v>3163</v>
      </c>
      <c r="P23" t="s">
        <v>1851</v>
      </c>
      <c r="Q23" t="s">
        <v>765</v>
      </c>
      <c r="R23" t="s">
        <v>859</v>
      </c>
      <c r="S23">
        <v>4.5</v>
      </c>
      <c r="T23" t="s">
        <v>649</v>
      </c>
      <c r="U23">
        <v>1270234</v>
      </c>
      <c r="V23" t="s">
        <v>860</v>
      </c>
      <c r="W23">
        <v>113316</v>
      </c>
      <c r="X23" t="s">
        <v>2470</v>
      </c>
      <c r="Y23" t="s">
        <v>34</v>
      </c>
      <c r="Z23" t="s">
        <v>860</v>
      </c>
      <c r="AA23">
        <v>113316</v>
      </c>
      <c r="AB23" t="s">
        <v>2470</v>
      </c>
      <c r="AC23" t="s">
        <v>861</v>
      </c>
      <c r="AD23" t="s">
        <v>767</v>
      </c>
      <c r="AE23" t="s">
        <v>768</v>
      </c>
      <c r="AF23" t="s">
        <v>585</v>
      </c>
      <c r="AG23" t="s">
        <v>1889</v>
      </c>
      <c r="AH23" t="s">
        <v>34</v>
      </c>
      <c r="AI23" t="s">
        <v>34</v>
      </c>
      <c r="AJ23" t="s">
        <v>34</v>
      </c>
      <c r="AK23" t="s">
        <v>34</v>
      </c>
      <c r="AL23" t="s">
        <v>34</v>
      </c>
      <c r="AM23" t="s">
        <v>2861</v>
      </c>
    </row>
    <row r="24" spans="1:40" x14ac:dyDescent="0.2">
      <c r="A24">
        <v>1746192</v>
      </c>
      <c r="B24">
        <v>57163</v>
      </c>
      <c r="C24" t="s">
        <v>2698</v>
      </c>
      <c r="D24" t="s">
        <v>674</v>
      </c>
      <c r="E24" t="s">
        <v>671</v>
      </c>
      <c r="F24" t="s">
        <v>34</v>
      </c>
      <c r="G24" t="s">
        <v>772</v>
      </c>
      <c r="H24" t="s">
        <v>3569</v>
      </c>
      <c r="I24" t="s">
        <v>586</v>
      </c>
      <c r="J24" t="s">
        <v>2699</v>
      </c>
      <c r="K24" t="s">
        <v>2700</v>
      </c>
      <c r="L24">
        <v>2019080326</v>
      </c>
      <c r="M24" t="s">
        <v>2698</v>
      </c>
      <c r="N24" t="s">
        <v>310</v>
      </c>
      <c r="O24" t="s">
        <v>2701</v>
      </c>
      <c r="P24" t="s">
        <v>2916</v>
      </c>
      <c r="Q24" t="s">
        <v>765</v>
      </c>
      <c r="R24" t="s">
        <v>2999</v>
      </c>
      <c r="S24">
        <v>0.52</v>
      </c>
      <c r="T24" t="s">
        <v>649</v>
      </c>
      <c r="U24" t="s">
        <v>34</v>
      </c>
      <c r="V24" t="s">
        <v>860</v>
      </c>
      <c r="W24" t="s">
        <v>2702</v>
      </c>
      <c r="X24" t="s">
        <v>2920</v>
      </c>
      <c r="AC24" t="s">
        <v>2254</v>
      </c>
      <c r="AD24" t="s">
        <v>767</v>
      </c>
      <c r="AE24" t="s">
        <v>768</v>
      </c>
      <c r="AF24" t="s">
        <v>585</v>
      </c>
      <c r="AG24" t="s">
        <v>1889</v>
      </c>
      <c r="AH24" t="s">
        <v>34</v>
      </c>
      <c r="AI24" t="s">
        <v>34</v>
      </c>
      <c r="AJ24" t="s">
        <v>34</v>
      </c>
      <c r="AK24" t="s">
        <v>34</v>
      </c>
      <c r="AL24" t="s">
        <v>34</v>
      </c>
      <c r="AM24" t="s">
        <v>2861</v>
      </c>
    </row>
    <row r="25" spans="1:40" x14ac:dyDescent="0.2">
      <c r="A25">
        <v>1270231</v>
      </c>
      <c r="B25">
        <v>57155</v>
      </c>
      <c r="C25" t="s">
        <v>297</v>
      </c>
      <c r="D25" t="s">
        <v>869</v>
      </c>
      <c r="E25" t="s">
        <v>675</v>
      </c>
      <c r="F25" t="s">
        <v>34</v>
      </c>
      <c r="G25" t="s">
        <v>772</v>
      </c>
      <c r="H25" t="s">
        <v>3569</v>
      </c>
      <c r="I25" t="s">
        <v>586</v>
      </c>
      <c r="J25" t="s">
        <v>870</v>
      </c>
      <c r="K25" t="s">
        <v>871</v>
      </c>
      <c r="L25" t="s">
        <v>878</v>
      </c>
      <c r="M25" t="s">
        <v>297</v>
      </c>
      <c r="N25" t="s">
        <v>310</v>
      </c>
      <c r="O25" t="s">
        <v>873</v>
      </c>
      <c r="P25" t="s">
        <v>2918</v>
      </c>
      <c r="Q25" t="s">
        <v>874</v>
      </c>
      <c r="R25" t="s">
        <v>875</v>
      </c>
      <c r="S25">
        <v>800</v>
      </c>
      <c r="T25" t="s">
        <v>649</v>
      </c>
      <c r="U25" t="s">
        <v>34</v>
      </c>
      <c r="V25" t="s">
        <v>876</v>
      </c>
      <c r="W25" t="s">
        <v>879</v>
      </c>
      <c r="X25" t="s">
        <v>2917</v>
      </c>
      <c r="AC25" t="s">
        <v>835</v>
      </c>
      <c r="AD25" t="s">
        <v>767</v>
      </c>
      <c r="AE25" t="s">
        <v>768</v>
      </c>
      <c r="AF25" t="s">
        <v>585</v>
      </c>
      <c r="AG25" t="s">
        <v>1889</v>
      </c>
      <c r="AH25" t="s">
        <v>34</v>
      </c>
      <c r="AI25" t="s">
        <v>34</v>
      </c>
      <c r="AJ25" t="s">
        <v>34</v>
      </c>
      <c r="AK25" t="s">
        <v>34</v>
      </c>
      <c r="AL25" t="s">
        <v>34</v>
      </c>
      <c r="AM25" t="s">
        <v>2861</v>
      </c>
    </row>
    <row r="26" spans="1:40" x14ac:dyDescent="0.2">
      <c r="A26">
        <v>1270229</v>
      </c>
      <c r="B26">
        <v>57155</v>
      </c>
      <c r="C26" t="s">
        <v>617</v>
      </c>
      <c r="D26" t="s">
        <v>869</v>
      </c>
      <c r="E26" t="s">
        <v>675</v>
      </c>
      <c r="F26" t="s">
        <v>34</v>
      </c>
      <c r="G26" t="s">
        <v>772</v>
      </c>
      <c r="H26" t="s">
        <v>3569</v>
      </c>
      <c r="I26" t="s">
        <v>586</v>
      </c>
      <c r="J26" t="s">
        <v>870</v>
      </c>
      <c r="K26" t="s">
        <v>871</v>
      </c>
      <c r="L26" t="s">
        <v>872</v>
      </c>
      <c r="M26" t="s">
        <v>617</v>
      </c>
      <c r="N26" t="s">
        <v>310</v>
      </c>
      <c r="O26" t="s">
        <v>873</v>
      </c>
      <c r="P26" t="s">
        <v>2918</v>
      </c>
      <c r="Q26" t="s">
        <v>874</v>
      </c>
      <c r="R26" t="s">
        <v>875</v>
      </c>
      <c r="S26">
        <v>800</v>
      </c>
      <c r="T26" t="s">
        <v>649</v>
      </c>
      <c r="U26" t="s">
        <v>34</v>
      </c>
      <c r="V26" t="s">
        <v>876</v>
      </c>
      <c r="W26" t="s">
        <v>877</v>
      </c>
      <c r="X26" t="s">
        <v>2917</v>
      </c>
      <c r="AC26" t="s">
        <v>835</v>
      </c>
      <c r="AD26" t="s">
        <v>767</v>
      </c>
      <c r="AE26" t="s">
        <v>768</v>
      </c>
      <c r="AF26" t="s">
        <v>585</v>
      </c>
      <c r="AG26" t="s">
        <v>1889</v>
      </c>
      <c r="AH26" t="s">
        <v>34</v>
      </c>
      <c r="AI26" t="s">
        <v>34</v>
      </c>
      <c r="AJ26" t="s">
        <v>34</v>
      </c>
      <c r="AK26" t="s">
        <v>34</v>
      </c>
      <c r="AL26" t="s">
        <v>34</v>
      </c>
      <c r="AM26" t="s">
        <v>2861</v>
      </c>
    </row>
    <row r="27" spans="1:40" x14ac:dyDescent="0.2">
      <c r="A27">
        <v>1270230</v>
      </c>
      <c r="B27">
        <v>57155</v>
      </c>
      <c r="C27" t="s">
        <v>2721</v>
      </c>
      <c r="D27" t="s">
        <v>869</v>
      </c>
      <c r="E27" t="s">
        <v>675</v>
      </c>
      <c r="F27" t="s">
        <v>34</v>
      </c>
      <c r="G27" t="s">
        <v>772</v>
      </c>
      <c r="H27" t="s">
        <v>3569</v>
      </c>
      <c r="I27" t="s">
        <v>586</v>
      </c>
      <c r="J27" t="s">
        <v>870</v>
      </c>
      <c r="K27" t="s">
        <v>871</v>
      </c>
      <c r="L27" t="s">
        <v>2722</v>
      </c>
      <c r="M27" t="s">
        <v>2721</v>
      </c>
      <c r="N27" t="s">
        <v>310</v>
      </c>
      <c r="O27" t="s">
        <v>873</v>
      </c>
      <c r="P27" t="s">
        <v>2918</v>
      </c>
      <c r="Q27" t="s">
        <v>874</v>
      </c>
      <c r="R27" t="s">
        <v>2723</v>
      </c>
      <c r="S27">
        <v>1152</v>
      </c>
      <c r="T27" t="s">
        <v>649</v>
      </c>
      <c r="U27" t="s">
        <v>34</v>
      </c>
      <c r="V27" t="s">
        <v>1806</v>
      </c>
      <c r="W27" t="s">
        <v>2724</v>
      </c>
      <c r="X27" t="s">
        <v>1291</v>
      </c>
      <c r="AC27" t="s">
        <v>3617</v>
      </c>
      <c r="AD27" t="s">
        <v>767</v>
      </c>
      <c r="AE27" t="s">
        <v>768</v>
      </c>
      <c r="AF27" t="s">
        <v>585</v>
      </c>
      <c r="AG27" t="s">
        <v>1889</v>
      </c>
      <c r="AH27" t="s">
        <v>34</v>
      </c>
      <c r="AI27" t="s">
        <v>34</v>
      </c>
      <c r="AJ27" t="s">
        <v>34</v>
      </c>
      <c r="AK27" t="s">
        <v>34</v>
      </c>
      <c r="AL27" t="s">
        <v>34</v>
      </c>
      <c r="AM27" t="s">
        <v>2861</v>
      </c>
    </row>
    <row r="28" spans="1:40" x14ac:dyDescent="0.2">
      <c r="A28">
        <v>1698188</v>
      </c>
      <c r="B28">
        <v>57154</v>
      </c>
      <c r="C28" t="s">
        <v>299</v>
      </c>
      <c r="D28" t="s">
        <v>676</v>
      </c>
      <c r="E28" t="s">
        <v>677</v>
      </c>
      <c r="F28" t="s">
        <v>34</v>
      </c>
      <c r="G28" t="s">
        <v>772</v>
      </c>
      <c r="H28" t="s">
        <v>3569</v>
      </c>
      <c r="I28" t="s">
        <v>586</v>
      </c>
      <c r="J28" t="s">
        <v>409</v>
      </c>
      <c r="K28" t="s">
        <v>880</v>
      </c>
      <c r="L28" t="s">
        <v>881</v>
      </c>
      <c r="M28" t="s">
        <v>299</v>
      </c>
      <c r="N28" t="s">
        <v>310</v>
      </c>
      <c r="O28" t="s">
        <v>882</v>
      </c>
      <c r="P28" t="s">
        <v>883</v>
      </c>
      <c r="Q28" t="s">
        <v>765</v>
      </c>
      <c r="R28" t="s">
        <v>884</v>
      </c>
      <c r="S28">
        <v>42.3</v>
      </c>
      <c r="T28" t="s">
        <v>649</v>
      </c>
      <c r="U28" t="s">
        <v>34</v>
      </c>
      <c r="V28" t="s">
        <v>885</v>
      </c>
      <c r="W28" t="s">
        <v>886</v>
      </c>
      <c r="X28" t="s">
        <v>2917</v>
      </c>
      <c r="AC28" t="s">
        <v>34</v>
      </c>
      <c r="AD28" t="s">
        <v>767</v>
      </c>
      <c r="AE28" t="s">
        <v>768</v>
      </c>
      <c r="AF28" t="s">
        <v>585</v>
      </c>
      <c r="AG28">
        <v>3.2</v>
      </c>
      <c r="AH28">
        <v>0.25</v>
      </c>
      <c r="AI28">
        <v>1.4</v>
      </c>
      <c r="AJ28" t="s">
        <v>2363</v>
      </c>
      <c r="AK28" t="s">
        <v>34</v>
      </c>
      <c r="AL28" t="s">
        <v>34</v>
      </c>
      <c r="AM28" t="s">
        <v>2861</v>
      </c>
    </row>
    <row r="29" spans="1:40" x14ac:dyDescent="0.2">
      <c r="A29">
        <v>1270227</v>
      </c>
      <c r="B29">
        <v>57149</v>
      </c>
      <c r="C29" t="s">
        <v>2571</v>
      </c>
      <c r="D29" t="s">
        <v>693</v>
      </c>
      <c r="E29" t="s">
        <v>2572</v>
      </c>
      <c r="F29" t="s">
        <v>34</v>
      </c>
      <c r="G29" t="s">
        <v>772</v>
      </c>
      <c r="H29" t="s">
        <v>3068</v>
      </c>
      <c r="I29" t="s">
        <v>586</v>
      </c>
      <c r="J29" t="s">
        <v>887</v>
      </c>
      <c r="K29" t="s">
        <v>2571</v>
      </c>
      <c r="L29" t="s">
        <v>2573</v>
      </c>
      <c r="M29" t="s">
        <v>887</v>
      </c>
      <c r="N29" t="s">
        <v>310</v>
      </c>
      <c r="O29" t="s">
        <v>2574</v>
      </c>
      <c r="P29" t="s">
        <v>2921</v>
      </c>
      <c r="Q29" t="s">
        <v>765</v>
      </c>
      <c r="R29" t="s">
        <v>2575</v>
      </c>
      <c r="S29">
        <v>4.0999999999999996</v>
      </c>
      <c r="T29" t="s">
        <v>649</v>
      </c>
      <c r="U29">
        <v>1270227</v>
      </c>
      <c r="V29" t="s">
        <v>2016</v>
      </c>
      <c r="W29" t="s">
        <v>2573</v>
      </c>
      <c r="X29" t="s">
        <v>888</v>
      </c>
      <c r="Y29" t="s">
        <v>34</v>
      </c>
      <c r="Z29" t="s">
        <v>2576</v>
      </c>
      <c r="AA29">
        <v>14905990004</v>
      </c>
      <c r="AB29" t="s">
        <v>2922</v>
      </c>
      <c r="AC29" t="s">
        <v>835</v>
      </c>
      <c r="AD29" t="s">
        <v>767</v>
      </c>
      <c r="AE29" t="s">
        <v>768</v>
      </c>
      <c r="AF29" t="s">
        <v>585</v>
      </c>
      <c r="AG29" t="s">
        <v>1889</v>
      </c>
      <c r="AH29" t="s">
        <v>34</v>
      </c>
      <c r="AI29" t="s">
        <v>34</v>
      </c>
      <c r="AJ29" t="s">
        <v>34</v>
      </c>
      <c r="AK29" t="s">
        <v>34</v>
      </c>
      <c r="AL29" t="s">
        <v>34</v>
      </c>
      <c r="AM29" t="s">
        <v>2862</v>
      </c>
    </row>
    <row r="30" spans="1:40" x14ac:dyDescent="0.2">
      <c r="A30">
        <v>1270266</v>
      </c>
      <c r="B30">
        <v>57114</v>
      </c>
      <c r="C30" t="s">
        <v>303</v>
      </c>
      <c r="D30" t="s">
        <v>678</v>
      </c>
      <c r="E30" t="s">
        <v>679</v>
      </c>
      <c r="F30" t="s">
        <v>34</v>
      </c>
      <c r="G30" t="s">
        <v>772</v>
      </c>
      <c r="H30" t="s">
        <v>3569</v>
      </c>
      <c r="I30" t="s">
        <v>586</v>
      </c>
      <c r="J30" t="s">
        <v>912</v>
      </c>
      <c r="K30" t="s">
        <v>2440</v>
      </c>
      <c r="L30">
        <v>1020</v>
      </c>
      <c r="M30" t="s">
        <v>303</v>
      </c>
      <c r="N30" t="s">
        <v>310</v>
      </c>
      <c r="O30" t="s">
        <v>915</v>
      </c>
      <c r="P30" t="s">
        <v>2916</v>
      </c>
      <c r="Q30" t="s">
        <v>765</v>
      </c>
      <c r="R30" t="s">
        <v>2441</v>
      </c>
      <c r="S30">
        <v>57.7</v>
      </c>
      <c r="T30" t="s">
        <v>793</v>
      </c>
      <c r="U30" t="s">
        <v>34</v>
      </c>
      <c r="V30" t="s">
        <v>2442</v>
      </c>
      <c r="W30">
        <v>95040103</v>
      </c>
      <c r="X30" t="s">
        <v>2917</v>
      </c>
      <c r="Y30" t="s">
        <v>34</v>
      </c>
      <c r="Z30" t="s">
        <v>911</v>
      </c>
      <c r="AA30" t="s">
        <v>2443</v>
      </c>
      <c r="AB30" t="s">
        <v>2917</v>
      </c>
      <c r="AC30" t="s">
        <v>34</v>
      </c>
      <c r="AD30" t="s">
        <v>767</v>
      </c>
      <c r="AE30" t="s">
        <v>768</v>
      </c>
      <c r="AF30" t="s">
        <v>585</v>
      </c>
      <c r="AG30" t="s">
        <v>1889</v>
      </c>
      <c r="AH30" t="s">
        <v>34</v>
      </c>
      <c r="AI30" t="s">
        <v>34</v>
      </c>
      <c r="AJ30" t="s">
        <v>34</v>
      </c>
      <c r="AK30" t="s">
        <v>34</v>
      </c>
      <c r="AL30" t="s">
        <v>34</v>
      </c>
      <c r="AM30" t="s">
        <v>2864</v>
      </c>
    </row>
    <row r="31" spans="1:40" x14ac:dyDescent="0.2">
      <c r="A31">
        <v>1270265</v>
      </c>
      <c r="B31">
        <v>57114</v>
      </c>
      <c r="C31" t="s">
        <v>302</v>
      </c>
      <c r="D31" t="s">
        <v>678</v>
      </c>
      <c r="E31" t="s">
        <v>679</v>
      </c>
      <c r="F31" t="s">
        <v>34</v>
      </c>
      <c r="G31" t="s">
        <v>772</v>
      </c>
      <c r="H31" t="s">
        <v>3569</v>
      </c>
      <c r="I31" t="s">
        <v>586</v>
      </c>
      <c r="J31" t="s">
        <v>912</v>
      </c>
      <c r="K31" t="s">
        <v>914</v>
      </c>
      <c r="L31">
        <v>5514</v>
      </c>
      <c r="M31" t="s">
        <v>302</v>
      </c>
      <c r="N31" t="s">
        <v>310</v>
      </c>
      <c r="O31" t="s">
        <v>3175</v>
      </c>
      <c r="P31" t="s">
        <v>2916</v>
      </c>
      <c r="Q31" t="s">
        <v>765</v>
      </c>
      <c r="R31" t="s">
        <v>916</v>
      </c>
      <c r="S31">
        <v>1005.1</v>
      </c>
      <c r="T31" t="s">
        <v>793</v>
      </c>
      <c r="U31" t="s">
        <v>34</v>
      </c>
      <c r="V31" t="s">
        <v>917</v>
      </c>
      <c r="W31" t="s">
        <v>918</v>
      </c>
      <c r="X31" t="s">
        <v>2917</v>
      </c>
      <c r="Y31" t="s">
        <v>34</v>
      </c>
      <c r="Z31" t="s">
        <v>917</v>
      </c>
      <c r="AA31" t="s">
        <v>918</v>
      </c>
      <c r="AB31" t="s">
        <v>2917</v>
      </c>
      <c r="AC31" t="s">
        <v>919</v>
      </c>
      <c r="AD31" t="s">
        <v>767</v>
      </c>
      <c r="AE31" t="s">
        <v>768</v>
      </c>
      <c r="AF31" t="s">
        <v>585</v>
      </c>
      <c r="AG31" t="s">
        <v>1889</v>
      </c>
      <c r="AH31" t="s">
        <v>34</v>
      </c>
      <c r="AI31" t="s">
        <v>34</v>
      </c>
      <c r="AJ31" t="s">
        <v>34</v>
      </c>
      <c r="AK31" t="s">
        <v>34</v>
      </c>
      <c r="AL31" t="s">
        <v>34</v>
      </c>
      <c r="AM31" t="s">
        <v>2861</v>
      </c>
    </row>
    <row r="32" spans="1:40" x14ac:dyDescent="0.2">
      <c r="A32">
        <v>1270263</v>
      </c>
      <c r="B32">
        <v>57114</v>
      </c>
      <c r="C32" t="s">
        <v>2725</v>
      </c>
      <c r="D32" t="s">
        <v>678</v>
      </c>
      <c r="E32" t="s">
        <v>679</v>
      </c>
      <c r="F32" t="s">
        <v>34</v>
      </c>
      <c r="G32" t="s">
        <v>2726</v>
      </c>
      <c r="H32" t="s">
        <v>3569</v>
      </c>
      <c r="I32" t="s">
        <v>762</v>
      </c>
      <c r="J32" t="s">
        <v>632</v>
      </c>
      <c r="K32" t="s">
        <v>2727</v>
      </c>
      <c r="L32" t="s">
        <v>2728</v>
      </c>
      <c r="M32" t="s">
        <v>2725</v>
      </c>
      <c r="N32" t="s">
        <v>983</v>
      </c>
      <c r="O32" t="s">
        <v>2729</v>
      </c>
      <c r="P32" t="s">
        <v>2918</v>
      </c>
      <c r="Q32" t="s">
        <v>862</v>
      </c>
      <c r="R32" t="s">
        <v>1115</v>
      </c>
      <c r="S32">
        <v>116</v>
      </c>
      <c r="T32" t="s">
        <v>794</v>
      </c>
      <c r="U32">
        <v>1269610</v>
      </c>
      <c r="V32" t="s">
        <v>2730</v>
      </c>
      <c r="W32">
        <v>8270792</v>
      </c>
      <c r="X32" t="s">
        <v>2917</v>
      </c>
      <c r="Y32" t="s">
        <v>34</v>
      </c>
      <c r="Z32" t="s">
        <v>2731</v>
      </c>
      <c r="AA32" t="s">
        <v>907</v>
      </c>
      <c r="AB32" t="s">
        <v>2917</v>
      </c>
      <c r="AC32" t="s">
        <v>34</v>
      </c>
      <c r="AD32" t="s">
        <v>767</v>
      </c>
      <c r="AE32" t="s">
        <v>768</v>
      </c>
      <c r="AF32" t="s">
        <v>585</v>
      </c>
      <c r="AG32" t="s">
        <v>1889</v>
      </c>
      <c r="AH32" t="s">
        <v>1889</v>
      </c>
      <c r="AI32" t="s">
        <v>1889</v>
      </c>
      <c r="AJ32" t="s">
        <v>1889</v>
      </c>
      <c r="AK32" t="s">
        <v>1889</v>
      </c>
      <c r="AL32" t="s">
        <v>34</v>
      </c>
      <c r="AM32" t="s">
        <v>2861</v>
      </c>
    </row>
    <row r="33" spans="1:41" x14ac:dyDescent="0.2">
      <c r="A33">
        <v>1270261</v>
      </c>
      <c r="B33">
        <v>57114</v>
      </c>
      <c r="C33" t="s">
        <v>285</v>
      </c>
      <c r="D33" t="s">
        <v>678</v>
      </c>
      <c r="E33" t="s">
        <v>679</v>
      </c>
      <c r="F33" t="s">
        <v>34</v>
      </c>
      <c r="G33" t="s">
        <v>772</v>
      </c>
      <c r="H33" t="s">
        <v>3569</v>
      </c>
      <c r="I33" t="s">
        <v>762</v>
      </c>
      <c r="J33" t="s">
        <v>900</v>
      </c>
      <c r="K33" t="s">
        <v>890</v>
      </c>
      <c r="L33" t="s">
        <v>901</v>
      </c>
      <c r="M33" t="s">
        <v>901</v>
      </c>
      <c r="N33" t="s">
        <v>3570</v>
      </c>
      <c r="O33" t="s">
        <v>902</v>
      </c>
      <c r="P33" t="s">
        <v>2916</v>
      </c>
      <c r="Q33" t="s">
        <v>903</v>
      </c>
      <c r="R33" t="s">
        <v>904</v>
      </c>
      <c r="S33">
        <v>509.8</v>
      </c>
      <c r="T33" t="s">
        <v>793</v>
      </c>
      <c r="U33" t="s">
        <v>34</v>
      </c>
      <c r="V33" t="s">
        <v>905</v>
      </c>
      <c r="W33">
        <v>8310260</v>
      </c>
      <c r="X33" t="s">
        <v>2917</v>
      </c>
      <c r="Y33" t="s">
        <v>34</v>
      </c>
      <c r="Z33" t="s">
        <v>906</v>
      </c>
      <c r="AA33" t="s">
        <v>907</v>
      </c>
      <c r="AB33" t="s">
        <v>2917</v>
      </c>
      <c r="AC33" t="s">
        <v>908</v>
      </c>
      <c r="AD33" t="s">
        <v>767</v>
      </c>
      <c r="AE33" t="s">
        <v>768</v>
      </c>
      <c r="AF33" t="s">
        <v>585</v>
      </c>
      <c r="AG33">
        <v>25.5</v>
      </c>
      <c r="AH33">
        <v>32.4</v>
      </c>
      <c r="AI33">
        <v>135</v>
      </c>
      <c r="AJ33" t="s">
        <v>34</v>
      </c>
      <c r="AK33" t="s">
        <v>34</v>
      </c>
      <c r="AL33" t="s">
        <v>34</v>
      </c>
      <c r="AM33" t="s">
        <v>2861</v>
      </c>
    </row>
    <row r="34" spans="1:41" x14ac:dyDescent="0.2">
      <c r="A34">
        <v>1270258</v>
      </c>
      <c r="B34">
        <v>57113</v>
      </c>
      <c r="C34" t="s">
        <v>306</v>
      </c>
      <c r="D34" t="s">
        <v>680</v>
      </c>
      <c r="E34" t="s">
        <v>681</v>
      </c>
      <c r="F34" t="s">
        <v>34</v>
      </c>
      <c r="G34" t="s">
        <v>772</v>
      </c>
      <c r="H34" t="s">
        <v>3569</v>
      </c>
      <c r="I34" t="s">
        <v>762</v>
      </c>
      <c r="J34" t="s">
        <v>467</v>
      </c>
      <c r="K34" t="s">
        <v>930</v>
      </c>
      <c r="L34">
        <v>3199</v>
      </c>
      <c r="M34" t="s">
        <v>306</v>
      </c>
      <c r="N34" t="s">
        <v>3572</v>
      </c>
      <c r="O34" t="s">
        <v>931</v>
      </c>
      <c r="P34" t="s">
        <v>2918</v>
      </c>
      <c r="Q34" t="s">
        <v>765</v>
      </c>
      <c r="R34" t="s">
        <v>932</v>
      </c>
      <c r="S34">
        <v>258.89999999999998</v>
      </c>
      <c r="T34" t="s">
        <v>791</v>
      </c>
      <c r="U34">
        <v>1269606</v>
      </c>
      <c r="V34" t="s">
        <v>849</v>
      </c>
      <c r="W34" t="s">
        <v>933</v>
      </c>
      <c r="X34" t="s">
        <v>2917</v>
      </c>
      <c r="Y34" t="s">
        <v>34</v>
      </c>
      <c r="Z34" t="s">
        <v>927</v>
      </c>
      <c r="AA34" t="s">
        <v>928</v>
      </c>
      <c r="AB34" t="s">
        <v>2917</v>
      </c>
      <c r="AC34" t="s">
        <v>34</v>
      </c>
      <c r="AD34" t="s">
        <v>767</v>
      </c>
      <c r="AE34" t="s">
        <v>768</v>
      </c>
      <c r="AF34" t="s">
        <v>585</v>
      </c>
      <c r="AG34">
        <v>6.7</v>
      </c>
      <c r="AH34">
        <v>16</v>
      </c>
      <c r="AI34">
        <v>99</v>
      </c>
      <c r="AJ34" t="s">
        <v>34</v>
      </c>
      <c r="AK34" t="s">
        <v>34</v>
      </c>
      <c r="AL34" t="s">
        <v>34</v>
      </c>
      <c r="AM34" t="s">
        <v>2864</v>
      </c>
      <c r="AN34">
        <v>1.4583333333333332E-2</v>
      </c>
    </row>
    <row r="35" spans="1:41" x14ac:dyDescent="0.2">
      <c r="A35">
        <v>1270257</v>
      </c>
      <c r="B35">
        <v>57113</v>
      </c>
      <c r="C35" t="s">
        <v>587</v>
      </c>
      <c r="D35" t="s">
        <v>680</v>
      </c>
      <c r="E35" t="s">
        <v>681</v>
      </c>
      <c r="F35" t="s">
        <v>34</v>
      </c>
      <c r="G35" t="s">
        <v>772</v>
      </c>
      <c r="H35" t="s">
        <v>3569</v>
      </c>
      <c r="I35" t="s">
        <v>762</v>
      </c>
      <c r="J35" t="s">
        <v>934</v>
      </c>
      <c r="K35" t="s">
        <v>890</v>
      </c>
      <c r="L35" t="s">
        <v>587</v>
      </c>
      <c r="M35" t="s">
        <v>587</v>
      </c>
      <c r="N35" t="s">
        <v>3570</v>
      </c>
      <c r="O35" t="s">
        <v>935</v>
      </c>
      <c r="P35" t="s">
        <v>2916</v>
      </c>
      <c r="Q35" t="s">
        <v>903</v>
      </c>
      <c r="R35" t="s">
        <v>936</v>
      </c>
      <c r="S35">
        <v>385</v>
      </c>
      <c r="T35" t="s">
        <v>791</v>
      </c>
      <c r="U35">
        <v>1269541</v>
      </c>
      <c r="V35" t="s">
        <v>937</v>
      </c>
      <c r="W35" t="s">
        <v>938</v>
      </c>
      <c r="X35" t="s">
        <v>2917</v>
      </c>
      <c r="Y35" t="s">
        <v>34</v>
      </c>
      <c r="Z35" t="s">
        <v>939</v>
      </c>
      <c r="AA35">
        <v>27289</v>
      </c>
      <c r="AB35" t="s">
        <v>2917</v>
      </c>
      <c r="AC35" t="s">
        <v>34</v>
      </c>
      <c r="AD35" t="s">
        <v>767</v>
      </c>
      <c r="AE35" t="s">
        <v>768</v>
      </c>
      <c r="AF35" t="s">
        <v>585</v>
      </c>
      <c r="AG35">
        <v>3.2</v>
      </c>
      <c r="AH35">
        <v>58</v>
      </c>
      <c r="AI35">
        <v>349</v>
      </c>
      <c r="AJ35" t="s">
        <v>34</v>
      </c>
      <c r="AK35" t="s">
        <v>34</v>
      </c>
      <c r="AL35" t="s">
        <v>34</v>
      </c>
      <c r="AM35" t="s">
        <v>2861</v>
      </c>
      <c r="AN35">
        <v>1.4583333333333332E-2</v>
      </c>
      <c r="AO35">
        <v>2.1527777777777781E-2</v>
      </c>
    </row>
    <row r="36" spans="1:41" x14ac:dyDescent="0.2">
      <c r="A36">
        <v>1270252</v>
      </c>
      <c r="B36">
        <v>57113</v>
      </c>
      <c r="C36" t="s">
        <v>588</v>
      </c>
      <c r="D36" t="s">
        <v>680</v>
      </c>
      <c r="E36" t="s">
        <v>681</v>
      </c>
      <c r="F36" t="s">
        <v>34</v>
      </c>
      <c r="G36" t="s">
        <v>772</v>
      </c>
      <c r="H36" t="s">
        <v>3569</v>
      </c>
      <c r="I36" t="s">
        <v>762</v>
      </c>
      <c r="J36" t="s">
        <v>409</v>
      </c>
      <c r="K36" t="s">
        <v>763</v>
      </c>
      <c r="L36" t="s">
        <v>588</v>
      </c>
      <c r="M36" t="s">
        <v>588</v>
      </c>
      <c r="N36" t="s">
        <v>310</v>
      </c>
      <c r="O36" t="s">
        <v>947</v>
      </c>
      <c r="P36" t="s">
        <v>2928</v>
      </c>
      <c r="Q36" t="s">
        <v>862</v>
      </c>
      <c r="R36" t="s">
        <v>948</v>
      </c>
      <c r="S36">
        <v>48.6</v>
      </c>
      <c r="T36" t="s">
        <v>793</v>
      </c>
      <c r="U36" t="s">
        <v>34</v>
      </c>
      <c r="V36" t="s">
        <v>949</v>
      </c>
      <c r="W36" t="s">
        <v>950</v>
      </c>
      <c r="X36" t="s">
        <v>2917</v>
      </c>
      <c r="AC36" t="s">
        <v>34</v>
      </c>
      <c r="AD36" t="s">
        <v>767</v>
      </c>
      <c r="AE36" t="s">
        <v>768</v>
      </c>
      <c r="AF36" t="s">
        <v>585</v>
      </c>
      <c r="AH36" t="s">
        <v>2892</v>
      </c>
      <c r="AI36" t="s">
        <v>2891</v>
      </c>
      <c r="AJ36" t="s">
        <v>2893</v>
      </c>
      <c r="AK36" t="s">
        <v>34</v>
      </c>
      <c r="AL36" t="s">
        <v>34</v>
      </c>
      <c r="AM36" t="s">
        <v>2861</v>
      </c>
    </row>
    <row r="37" spans="1:41" x14ac:dyDescent="0.2">
      <c r="A37">
        <v>1270253</v>
      </c>
      <c r="B37">
        <v>57113</v>
      </c>
      <c r="C37" t="s">
        <v>308</v>
      </c>
      <c r="D37" t="s">
        <v>680</v>
      </c>
      <c r="E37" t="s">
        <v>681</v>
      </c>
      <c r="F37" t="s">
        <v>34</v>
      </c>
      <c r="G37" t="s">
        <v>772</v>
      </c>
      <c r="H37" t="s">
        <v>3569</v>
      </c>
      <c r="I37" t="s">
        <v>586</v>
      </c>
      <c r="J37" t="s">
        <v>367</v>
      </c>
      <c r="K37" t="s">
        <v>880</v>
      </c>
      <c r="L37" t="s">
        <v>308</v>
      </c>
      <c r="M37" t="s">
        <v>308</v>
      </c>
      <c r="N37" t="s">
        <v>310</v>
      </c>
      <c r="O37" t="s">
        <v>943</v>
      </c>
      <c r="P37" t="s">
        <v>2914</v>
      </c>
      <c r="Q37" t="s">
        <v>828</v>
      </c>
      <c r="R37" t="s">
        <v>944</v>
      </c>
      <c r="S37">
        <v>540</v>
      </c>
      <c r="T37" t="s">
        <v>794</v>
      </c>
      <c r="U37" t="s">
        <v>34</v>
      </c>
      <c r="V37" t="s">
        <v>945</v>
      </c>
      <c r="W37" t="s">
        <v>946</v>
      </c>
      <c r="X37" t="s">
        <v>2917</v>
      </c>
      <c r="AC37" t="s">
        <v>34</v>
      </c>
      <c r="AD37" t="s">
        <v>767</v>
      </c>
      <c r="AE37" t="s">
        <v>768</v>
      </c>
      <c r="AF37" t="s">
        <v>585</v>
      </c>
      <c r="AG37" t="s">
        <v>1889</v>
      </c>
      <c r="AH37" t="s">
        <v>34</v>
      </c>
      <c r="AI37" t="s">
        <v>34</v>
      </c>
      <c r="AJ37" t="s">
        <v>34</v>
      </c>
      <c r="AK37" t="s">
        <v>34</v>
      </c>
      <c r="AL37" t="s">
        <v>34</v>
      </c>
      <c r="AM37" t="s">
        <v>2861</v>
      </c>
    </row>
    <row r="38" spans="1:41" x14ac:dyDescent="0.2">
      <c r="A38">
        <v>1270254</v>
      </c>
      <c r="B38">
        <v>57113</v>
      </c>
      <c r="C38" t="s">
        <v>307</v>
      </c>
      <c r="D38" t="s">
        <v>680</v>
      </c>
      <c r="E38" t="s">
        <v>681</v>
      </c>
      <c r="F38" t="s">
        <v>34</v>
      </c>
      <c r="G38" t="s">
        <v>772</v>
      </c>
      <c r="H38" t="s">
        <v>3569</v>
      </c>
      <c r="I38" t="s">
        <v>586</v>
      </c>
      <c r="J38" t="s">
        <v>480</v>
      </c>
      <c r="K38" t="s">
        <v>940</v>
      </c>
      <c r="L38">
        <v>79175</v>
      </c>
      <c r="M38" t="s">
        <v>307</v>
      </c>
      <c r="N38" t="s">
        <v>3573</v>
      </c>
      <c r="O38" t="s">
        <v>941</v>
      </c>
      <c r="P38" t="s">
        <v>2916</v>
      </c>
      <c r="Q38" t="s">
        <v>862</v>
      </c>
      <c r="R38" t="s">
        <v>942</v>
      </c>
      <c r="S38">
        <v>172.5</v>
      </c>
      <c r="T38" t="s">
        <v>791</v>
      </c>
      <c r="U38">
        <v>1870284</v>
      </c>
      <c r="V38" t="s">
        <v>1118</v>
      </c>
      <c r="W38" t="s">
        <v>3029</v>
      </c>
      <c r="X38" t="s">
        <v>2917</v>
      </c>
      <c r="Y38" t="s">
        <v>34</v>
      </c>
      <c r="Z38" t="s">
        <v>927</v>
      </c>
      <c r="AA38" t="s">
        <v>928</v>
      </c>
      <c r="AB38" t="s">
        <v>2917</v>
      </c>
      <c r="AC38" t="s">
        <v>34</v>
      </c>
      <c r="AD38" t="s">
        <v>767</v>
      </c>
      <c r="AE38" t="s">
        <v>768</v>
      </c>
      <c r="AF38" t="s">
        <v>585</v>
      </c>
      <c r="AG38" t="s">
        <v>1889</v>
      </c>
      <c r="AH38" t="s">
        <v>34</v>
      </c>
      <c r="AI38" t="s">
        <v>34</v>
      </c>
      <c r="AJ38" t="s">
        <v>34</v>
      </c>
      <c r="AK38" t="s">
        <v>34</v>
      </c>
      <c r="AL38" t="s">
        <v>34</v>
      </c>
      <c r="AM38" t="s">
        <v>2861</v>
      </c>
    </row>
    <row r="39" spans="1:41" x14ac:dyDescent="0.2">
      <c r="A39">
        <v>1270260</v>
      </c>
      <c r="B39">
        <v>57113</v>
      </c>
      <c r="C39" t="s">
        <v>305</v>
      </c>
      <c r="D39" t="s">
        <v>680</v>
      </c>
      <c r="E39" t="s">
        <v>681</v>
      </c>
      <c r="F39" t="s">
        <v>34</v>
      </c>
      <c r="G39" t="s">
        <v>772</v>
      </c>
      <c r="H39" t="s">
        <v>3569</v>
      </c>
      <c r="I39" t="s">
        <v>762</v>
      </c>
      <c r="J39" t="s">
        <v>920</v>
      </c>
      <c r="K39" t="s">
        <v>921</v>
      </c>
      <c r="L39" t="s">
        <v>922</v>
      </c>
      <c r="M39" t="s">
        <v>305</v>
      </c>
      <c r="N39" t="s">
        <v>3574</v>
      </c>
      <c r="O39" t="s">
        <v>923</v>
      </c>
      <c r="P39" t="s">
        <v>2940</v>
      </c>
      <c r="Q39" t="s">
        <v>765</v>
      </c>
      <c r="R39" t="s">
        <v>924</v>
      </c>
      <c r="S39">
        <v>182.2</v>
      </c>
      <c r="T39" t="s">
        <v>791</v>
      </c>
      <c r="U39">
        <v>1269545</v>
      </c>
      <c r="V39" t="s">
        <v>925</v>
      </c>
      <c r="W39" t="s">
        <v>926</v>
      </c>
      <c r="X39" t="s">
        <v>2917</v>
      </c>
      <c r="Y39" t="s">
        <v>34</v>
      </c>
      <c r="Z39" t="s">
        <v>927</v>
      </c>
      <c r="AA39" t="s">
        <v>928</v>
      </c>
      <c r="AB39" t="s">
        <v>2917</v>
      </c>
      <c r="AC39" t="s">
        <v>929</v>
      </c>
      <c r="AD39" t="s">
        <v>767</v>
      </c>
      <c r="AE39" t="s">
        <v>768</v>
      </c>
      <c r="AF39" t="s">
        <v>585</v>
      </c>
      <c r="AG39">
        <v>3</v>
      </c>
      <c r="AH39">
        <v>1</v>
      </c>
      <c r="AI39">
        <v>1.5</v>
      </c>
      <c r="AJ39" t="s">
        <v>2364</v>
      </c>
      <c r="AK39" t="s">
        <v>2365</v>
      </c>
      <c r="AL39" t="s">
        <v>34</v>
      </c>
      <c r="AM39" t="s">
        <v>2864</v>
      </c>
      <c r="AN39">
        <v>1.3888888888888888E-2</v>
      </c>
    </row>
    <row r="40" spans="1:41" x14ac:dyDescent="0.2">
      <c r="A40">
        <v>1712279</v>
      </c>
      <c r="B40">
        <v>57113</v>
      </c>
      <c r="C40" t="s">
        <v>2975</v>
      </c>
      <c r="D40" t="s">
        <v>680</v>
      </c>
      <c r="E40" t="s">
        <v>681</v>
      </c>
      <c r="F40" t="s">
        <v>34</v>
      </c>
      <c r="G40" t="s">
        <v>772</v>
      </c>
      <c r="H40" t="s">
        <v>3569</v>
      </c>
      <c r="I40" t="s">
        <v>762</v>
      </c>
      <c r="J40" t="s">
        <v>2976</v>
      </c>
      <c r="K40" t="s">
        <v>2977</v>
      </c>
      <c r="L40" t="s">
        <v>2978</v>
      </c>
      <c r="M40" t="s">
        <v>2975</v>
      </c>
      <c r="N40" t="s">
        <v>3575</v>
      </c>
      <c r="O40" t="s">
        <v>2979</v>
      </c>
      <c r="P40" t="s">
        <v>2914</v>
      </c>
      <c r="Q40" t="s">
        <v>2502</v>
      </c>
      <c r="R40" t="s">
        <v>2980</v>
      </c>
      <c r="S40">
        <v>70</v>
      </c>
      <c r="T40" t="s">
        <v>793</v>
      </c>
      <c r="U40" t="s">
        <v>34</v>
      </c>
      <c r="V40" t="s">
        <v>2935</v>
      </c>
      <c r="W40">
        <v>26304</v>
      </c>
      <c r="X40" t="s">
        <v>3017</v>
      </c>
      <c r="Y40" t="s">
        <v>34</v>
      </c>
      <c r="Z40" t="s">
        <v>939</v>
      </c>
      <c r="AA40" t="s">
        <v>928</v>
      </c>
      <c r="AB40" t="s">
        <v>3017</v>
      </c>
      <c r="AC40" t="s">
        <v>34</v>
      </c>
      <c r="AD40" t="s">
        <v>767</v>
      </c>
      <c r="AE40" t="s">
        <v>768</v>
      </c>
      <c r="AF40" t="s">
        <v>585</v>
      </c>
      <c r="AG40">
        <v>111</v>
      </c>
      <c r="AH40">
        <v>35</v>
      </c>
      <c r="AI40">
        <v>208</v>
      </c>
      <c r="AJ40" t="s">
        <v>2981</v>
      </c>
      <c r="AK40" t="s">
        <v>34</v>
      </c>
      <c r="AL40" t="s">
        <v>34</v>
      </c>
      <c r="AM40" t="s">
        <v>2982</v>
      </c>
    </row>
    <row r="41" spans="1:41" x14ac:dyDescent="0.2">
      <c r="A41">
        <v>1274037</v>
      </c>
      <c r="B41">
        <v>57102</v>
      </c>
      <c r="C41" t="s">
        <v>312</v>
      </c>
      <c r="D41" t="s">
        <v>682</v>
      </c>
      <c r="E41" t="s">
        <v>683</v>
      </c>
      <c r="F41" t="s">
        <v>34</v>
      </c>
      <c r="G41" t="s">
        <v>772</v>
      </c>
      <c r="H41" t="s">
        <v>3569</v>
      </c>
      <c r="I41" t="s">
        <v>586</v>
      </c>
      <c r="J41" t="s">
        <v>960</v>
      </c>
      <c r="K41" t="s">
        <v>954</v>
      </c>
      <c r="L41" t="s">
        <v>961</v>
      </c>
      <c r="M41" t="s">
        <v>962</v>
      </c>
      <c r="N41" t="s">
        <v>310</v>
      </c>
      <c r="O41" t="s">
        <v>2474</v>
      </c>
      <c r="P41" t="s">
        <v>2474</v>
      </c>
      <c r="Q41" t="s">
        <v>828</v>
      </c>
      <c r="R41" t="s">
        <v>964</v>
      </c>
      <c r="S41">
        <v>180</v>
      </c>
      <c r="T41" t="s">
        <v>794</v>
      </c>
      <c r="U41">
        <v>1653279</v>
      </c>
      <c r="V41" t="s">
        <v>957</v>
      </c>
      <c r="W41" t="s">
        <v>965</v>
      </c>
      <c r="X41" t="s">
        <v>766</v>
      </c>
      <c r="AC41" t="s">
        <v>959</v>
      </c>
      <c r="AD41" t="s">
        <v>767</v>
      </c>
      <c r="AE41" t="s">
        <v>768</v>
      </c>
      <c r="AF41" t="s">
        <v>585</v>
      </c>
      <c r="AG41" t="s">
        <v>1889</v>
      </c>
      <c r="AH41" t="s">
        <v>34</v>
      </c>
      <c r="AI41" t="s">
        <v>34</v>
      </c>
      <c r="AJ41" t="s">
        <v>34</v>
      </c>
      <c r="AK41" t="s">
        <v>34</v>
      </c>
      <c r="AL41" t="s">
        <v>34</v>
      </c>
      <c r="AM41" t="s">
        <v>2865</v>
      </c>
    </row>
    <row r="42" spans="1:41" x14ac:dyDescent="0.2">
      <c r="A42">
        <v>1274036</v>
      </c>
      <c r="B42">
        <v>57102</v>
      </c>
      <c r="C42" t="s">
        <v>313</v>
      </c>
      <c r="D42" t="s">
        <v>682</v>
      </c>
      <c r="E42" t="s">
        <v>683</v>
      </c>
      <c r="F42" t="s">
        <v>34</v>
      </c>
      <c r="G42" t="s">
        <v>772</v>
      </c>
      <c r="H42" t="s">
        <v>3569</v>
      </c>
      <c r="I42" t="s">
        <v>586</v>
      </c>
      <c r="J42" t="s">
        <v>913</v>
      </c>
      <c r="K42" t="s">
        <v>954</v>
      </c>
      <c r="L42" t="s">
        <v>313</v>
      </c>
      <c r="M42" t="s">
        <v>313</v>
      </c>
      <c r="N42" t="s">
        <v>310</v>
      </c>
      <c r="O42" t="s">
        <v>955</v>
      </c>
      <c r="P42" t="s">
        <v>955</v>
      </c>
      <c r="Q42" t="s">
        <v>828</v>
      </c>
      <c r="R42" t="s">
        <v>956</v>
      </c>
      <c r="S42">
        <v>882</v>
      </c>
      <c r="T42" t="s">
        <v>794</v>
      </c>
      <c r="U42">
        <v>1653274</v>
      </c>
      <c r="V42" t="s">
        <v>957</v>
      </c>
      <c r="W42" t="s">
        <v>958</v>
      </c>
      <c r="X42" t="s">
        <v>766</v>
      </c>
      <c r="AC42" t="s">
        <v>959</v>
      </c>
      <c r="AD42" t="s">
        <v>767</v>
      </c>
      <c r="AE42" t="s">
        <v>768</v>
      </c>
      <c r="AF42" t="s">
        <v>585</v>
      </c>
      <c r="AG42" t="s">
        <v>1889</v>
      </c>
      <c r="AH42" t="s">
        <v>34</v>
      </c>
      <c r="AI42" t="s">
        <v>34</v>
      </c>
      <c r="AJ42" t="s">
        <v>34</v>
      </c>
      <c r="AK42" t="s">
        <v>34</v>
      </c>
      <c r="AL42" t="s">
        <v>34</v>
      </c>
      <c r="AM42" t="s">
        <v>2865</v>
      </c>
    </row>
    <row r="43" spans="1:41" x14ac:dyDescent="0.2">
      <c r="A43">
        <v>2270441</v>
      </c>
      <c r="B43">
        <v>57248</v>
      </c>
      <c r="C43" t="s">
        <v>3280</v>
      </c>
      <c r="D43" t="s">
        <v>684</v>
      </c>
      <c r="E43" t="s">
        <v>671</v>
      </c>
      <c r="F43" t="s">
        <v>34</v>
      </c>
      <c r="G43" t="s">
        <v>772</v>
      </c>
      <c r="H43" t="s">
        <v>3569</v>
      </c>
      <c r="I43" t="s">
        <v>762</v>
      </c>
      <c r="J43" t="s">
        <v>3281</v>
      </c>
      <c r="K43" t="s">
        <v>3282</v>
      </c>
      <c r="L43" t="s">
        <v>3280</v>
      </c>
      <c r="M43" t="s">
        <v>3280</v>
      </c>
      <c r="N43" t="s">
        <v>3576</v>
      </c>
      <c r="O43" t="s">
        <v>3283</v>
      </c>
      <c r="P43" t="s">
        <v>3284</v>
      </c>
      <c r="Q43" t="s">
        <v>765</v>
      </c>
      <c r="R43" t="s">
        <v>3285</v>
      </c>
      <c r="S43">
        <v>24.89</v>
      </c>
      <c r="T43" t="s">
        <v>3286</v>
      </c>
      <c r="U43">
        <v>2270448</v>
      </c>
      <c r="V43" t="s">
        <v>3287</v>
      </c>
      <c r="W43">
        <v>162408210</v>
      </c>
      <c r="X43" t="s">
        <v>766</v>
      </c>
      <c r="Y43" t="s">
        <v>34</v>
      </c>
      <c r="Z43" t="s">
        <v>3288</v>
      </c>
      <c r="AA43" t="s">
        <v>3289</v>
      </c>
      <c r="AB43" t="s">
        <v>766</v>
      </c>
      <c r="AC43" t="s">
        <v>3290</v>
      </c>
      <c r="AD43" t="s">
        <v>767</v>
      </c>
      <c r="AE43" t="s">
        <v>768</v>
      </c>
      <c r="AF43" t="s">
        <v>585</v>
      </c>
      <c r="AG43" t="s">
        <v>1889</v>
      </c>
      <c r="AH43" t="s">
        <v>34</v>
      </c>
      <c r="AI43" t="s">
        <v>34</v>
      </c>
      <c r="AJ43" t="s">
        <v>34</v>
      </c>
      <c r="AK43" t="s">
        <v>34</v>
      </c>
      <c r="AL43" t="s">
        <v>34</v>
      </c>
      <c r="AM43" t="s">
        <v>2866</v>
      </c>
    </row>
    <row r="44" spans="1:41" x14ac:dyDescent="0.2">
      <c r="A44">
        <v>2563808</v>
      </c>
      <c r="B44">
        <v>57193</v>
      </c>
      <c r="C44" t="s">
        <v>3504</v>
      </c>
      <c r="D44" t="s">
        <v>685</v>
      </c>
      <c r="E44" t="s">
        <v>677</v>
      </c>
      <c r="F44" t="s">
        <v>34</v>
      </c>
      <c r="G44" t="s">
        <v>772</v>
      </c>
      <c r="H44" t="s">
        <v>3569</v>
      </c>
      <c r="I44" t="s">
        <v>762</v>
      </c>
      <c r="J44" t="s">
        <v>3505</v>
      </c>
      <c r="K44" t="s">
        <v>3506</v>
      </c>
      <c r="L44">
        <v>49518</v>
      </c>
      <c r="M44" t="s">
        <v>3507</v>
      </c>
      <c r="N44" t="s">
        <v>3508</v>
      </c>
      <c r="O44" t="s">
        <v>3509</v>
      </c>
      <c r="P44" t="s">
        <v>764</v>
      </c>
      <c r="Q44" t="s">
        <v>3510</v>
      </c>
      <c r="R44" t="s">
        <v>3511</v>
      </c>
      <c r="S44">
        <v>468.02</v>
      </c>
      <c r="T44" t="s">
        <v>791</v>
      </c>
      <c r="U44" t="s">
        <v>34</v>
      </c>
      <c r="V44" t="s">
        <v>1346</v>
      </c>
      <c r="W44">
        <v>4.25</v>
      </c>
      <c r="X44" t="s">
        <v>766</v>
      </c>
      <c r="AC44" t="s">
        <v>34</v>
      </c>
      <c r="AD44" t="s">
        <v>767</v>
      </c>
      <c r="AE44" t="s">
        <v>3512</v>
      </c>
      <c r="AF44" t="s">
        <v>585</v>
      </c>
      <c r="AG44">
        <v>2.5</v>
      </c>
      <c r="AH44">
        <v>5.0000000000000001E-3</v>
      </c>
      <c r="AI44">
        <v>0.15</v>
      </c>
      <c r="AJ44" t="s">
        <v>3513</v>
      </c>
      <c r="AK44" t="s">
        <v>34</v>
      </c>
      <c r="AL44" t="s">
        <v>34</v>
      </c>
      <c r="AM44" t="s">
        <v>2861</v>
      </c>
    </row>
    <row r="45" spans="1:41" x14ac:dyDescent="0.2">
      <c r="A45">
        <v>1270399</v>
      </c>
      <c r="B45">
        <v>57193</v>
      </c>
      <c r="C45" t="s">
        <v>620</v>
      </c>
      <c r="D45" t="s">
        <v>685</v>
      </c>
      <c r="E45" t="s">
        <v>677</v>
      </c>
      <c r="F45" t="s">
        <v>34</v>
      </c>
      <c r="G45" t="s">
        <v>772</v>
      </c>
      <c r="H45" t="s">
        <v>3569</v>
      </c>
      <c r="I45" t="s">
        <v>586</v>
      </c>
      <c r="J45" t="s">
        <v>966</v>
      </c>
      <c r="K45" t="s">
        <v>967</v>
      </c>
      <c r="L45" t="s">
        <v>968</v>
      </c>
      <c r="M45" t="s">
        <v>620</v>
      </c>
      <c r="N45" t="s">
        <v>310</v>
      </c>
      <c r="O45" t="s">
        <v>969</v>
      </c>
      <c r="P45" t="s">
        <v>970</v>
      </c>
      <c r="Q45" t="s">
        <v>765</v>
      </c>
      <c r="R45" t="s">
        <v>971</v>
      </c>
      <c r="S45">
        <v>5.8</v>
      </c>
      <c r="T45" t="s">
        <v>794</v>
      </c>
      <c r="U45">
        <v>1270399</v>
      </c>
      <c r="V45" t="s">
        <v>972</v>
      </c>
      <c r="W45" t="s">
        <v>968</v>
      </c>
      <c r="X45" t="s">
        <v>774</v>
      </c>
      <c r="AC45" t="s">
        <v>973</v>
      </c>
      <c r="AD45" t="s">
        <v>767</v>
      </c>
      <c r="AE45" t="s">
        <v>768</v>
      </c>
      <c r="AF45" t="s">
        <v>585</v>
      </c>
      <c r="AG45" t="s">
        <v>34</v>
      </c>
      <c r="AH45" t="s">
        <v>34</v>
      </c>
      <c r="AI45" t="s">
        <v>34</v>
      </c>
      <c r="AJ45" t="s">
        <v>34</v>
      </c>
      <c r="AK45" t="s">
        <v>34</v>
      </c>
      <c r="AL45" t="s">
        <v>34</v>
      </c>
      <c r="AM45" t="s">
        <v>2866</v>
      </c>
    </row>
    <row r="46" spans="1:41" x14ac:dyDescent="0.2">
      <c r="A46">
        <v>1270338</v>
      </c>
      <c r="B46">
        <v>57218</v>
      </c>
      <c r="C46" t="s">
        <v>633</v>
      </c>
      <c r="D46" t="s">
        <v>686</v>
      </c>
      <c r="E46" t="s">
        <v>687</v>
      </c>
      <c r="F46" t="s">
        <v>34</v>
      </c>
      <c r="G46" t="s">
        <v>772</v>
      </c>
      <c r="H46" t="s">
        <v>3577</v>
      </c>
      <c r="I46" t="s">
        <v>1602</v>
      </c>
      <c r="J46" t="s">
        <v>1832</v>
      </c>
      <c r="K46" t="s">
        <v>2837</v>
      </c>
      <c r="L46">
        <v>1947</v>
      </c>
      <c r="M46" t="s">
        <v>2838</v>
      </c>
      <c r="N46" t="s">
        <v>1602</v>
      </c>
      <c r="O46" t="s">
        <v>984</v>
      </c>
      <c r="P46" t="s">
        <v>847</v>
      </c>
      <c r="Q46" t="s">
        <v>2839</v>
      </c>
      <c r="R46" t="s">
        <v>2840</v>
      </c>
      <c r="S46">
        <v>100.48</v>
      </c>
      <c r="T46" t="s">
        <v>649</v>
      </c>
      <c r="U46" t="s">
        <v>34</v>
      </c>
      <c r="V46" t="s">
        <v>849</v>
      </c>
      <c r="W46" t="s">
        <v>2841</v>
      </c>
      <c r="X46" t="s">
        <v>766</v>
      </c>
      <c r="Y46" t="s">
        <v>34</v>
      </c>
      <c r="Z46" t="s">
        <v>927</v>
      </c>
      <c r="AA46" t="s">
        <v>988</v>
      </c>
      <c r="AB46" t="s">
        <v>766</v>
      </c>
      <c r="AC46" t="s">
        <v>3329</v>
      </c>
      <c r="AD46" t="s">
        <v>767</v>
      </c>
      <c r="AE46" t="s">
        <v>768</v>
      </c>
      <c r="AF46" t="s">
        <v>585</v>
      </c>
      <c r="AG46">
        <v>2</v>
      </c>
      <c r="AH46">
        <v>1</v>
      </c>
      <c r="AI46">
        <v>2.5</v>
      </c>
      <c r="AJ46" t="s">
        <v>34</v>
      </c>
      <c r="AK46" t="s">
        <v>34</v>
      </c>
      <c r="AL46" t="s">
        <v>34</v>
      </c>
      <c r="AM46" t="s">
        <v>2867</v>
      </c>
    </row>
    <row r="47" spans="1:41" x14ac:dyDescent="0.2">
      <c r="A47">
        <v>1496238</v>
      </c>
      <c r="B47">
        <v>57218</v>
      </c>
      <c r="C47" t="s">
        <v>2667</v>
      </c>
      <c r="D47" t="s">
        <v>686</v>
      </c>
      <c r="E47" t="s">
        <v>687</v>
      </c>
      <c r="F47" t="s">
        <v>34</v>
      </c>
      <c r="G47" t="s">
        <v>772</v>
      </c>
      <c r="H47" t="s">
        <v>3577</v>
      </c>
      <c r="I47" t="s">
        <v>1602</v>
      </c>
      <c r="J47" t="s">
        <v>2667</v>
      </c>
      <c r="K47" t="s">
        <v>2668</v>
      </c>
      <c r="L47">
        <v>7893</v>
      </c>
      <c r="M47" t="s">
        <v>2667</v>
      </c>
      <c r="N47" t="s">
        <v>310</v>
      </c>
      <c r="O47" t="s">
        <v>2669</v>
      </c>
      <c r="P47" t="s">
        <v>2670</v>
      </c>
      <c r="Q47" t="s">
        <v>2671</v>
      </c>
      <c r="R47" t="s">
        <v>2672</v>
      </c>
      <c r="S47">
        <v>882.1</v>
      </c>
      <c r="T47" t="s">
        <v>649</v>
      </c>
      <c r="U47" t="s">
        <v>34</v>
      </c>
      <c r="V47" t="s">
        <v>2673</v>
      </c>
      <c r="W47" t="s">
        <v>2674</v>
      </c>
      <c r="X47" t="s">
        <v>766</v>
      </c>
      <c r="Y47" t="s">
        <v>34</v>
      </c>
      <c r="Z47" t="s">
        <v>927</v>
      </c>
      <c r="AA47" t="s">
        <v>2675</v>
      </c>
      <c r="AB47" t="s">
        <v>766</v>
      </c>
      <c r="AC47" t="s">
        <v>2676</v>
      </c>
      <c r="AD47" t="s">
        <v>767</v>
      </c>
      <c r="AE47" t="s">
        <v>768</v>
      </c>
      <c r="AF47" t="s">
        <v>585</v>
      </c>
      <c r="AG47" t="s">
        <v>2677</v>
      </c>
      <c r="AH47" t="s">
        <v>34</v>
      </c>
      <c r="AI47" t="s">
        <v>34</v>
      </c>
      <c r="AJ47" t="s">
        <v>34</v>
      </c>
      <c r="AK47" t="s">
        <v>34</v>
      </c>
      <c r="AL47" t="s">
        <v>34</v>
      </c>
      <c r="AM47" t="s">
        <v>2867</v>
      </c>
    </row>
    <row r="48" spans="1:41" x14ac:dyDescent="0.2">
      <c r="A48">
        <v>1270371</v>
      </c>
      <c r="B48">
        <v>57218</v>
      </c>
      <c r="C48" t="s">
        <v>327</v>
      </c>
      <c r="D48" t="s">
        <v>686</v>
      </c>
      <c r="E48" t="s">
        <v>687</v>
      </c>
      <c r="F48" t="s">
        <v>34</v>
      </c>
      <c r="G48" t="s">
        <v>772</v>
      </c>
      <c r="H48" t="s">
        <v>3569</v>
      </c>
      <c r="I48" t="s">
        <v>586</v>
      </c>
      <c r="J48" t="s">
        <v>775</v>
      </c>
      <c r="K48" t="s">
        <v>974</v>
      </c>
      <c r="L48" t="s">
        <v>975</v>
      </c>
      <c r="M48" t="s">
        <v>327</v>
      </c>
      <c r="N48" t="s">
        <v>310</v>
      </c>
      <c r="O48" t="s">
        <v>976</v>
      </c>
      <c r="P48" t="s">
        <v>847</v>
      </c>
      <c r="Q48" t="s">
        <v>903</v>
      </c>
      <c r="R48" t="s">
        <v>977</v>
      </c>
      <c r="S48">
        <v>544</v>
      </c>
      <c r="T48" t="s">
        <v>649</v>
      </c>
      <c r="U48" t="s">
        <v>34</v>
      </c>
      <c r="V48" t="s">
        <v>849</v>
      </c>
      <c r="W48" t="s">
        <v>978</v>
      </c>
      <c r="X48" t="s">
        <v>766</v>
      </c>
      <c r="Y48" t="s">
        <v>34</v>
      </c>
      <c r="Z48" t="s">
        <v>927</v>
      </c>
      <c r="AA48" t="s">
        <v>979</v>
      </c>
      <c r="AB48" t="s">
        <v>766</v>
      </c>
      <c r="AC48" t="s">
        <v>34</v>
      </c>
      <c r="AD48" t="s">
        <v>767</v>
      </c>
      <c r="AE48" t="s">
        <v>768</v>
      </c>
      <c r="AF48" t="s">
        <v>585</v>
      </c>
      <c r="AG48">
        <v>65</v>
      </c>
      <c r="AH48">
        <v>10</v>
      </c>
      <c r="AI48">
        <v>154</v>
      </c>
      <c r="AJ48" t="s">
        <v>34</v>
      </c>
      <c r="AK48" t="s">
        <v>34</v>
      </c>
      <c r="AL48" t="s">
        <v>2261</v>
      </c>
      <c r="AM48" t="s">
        <v>2861</v>
      </c>
    </row>
    <row r="49" spans="1:41" x14ac:dyDescent="0.2">
      <c r="A49">
        <v>1275276</v>
      </c>
      <c r="B49">
        <v>57218</v>
      </c>
      <c r="C49" t="s">
        <v>640</v>
      </c>
      <c r="D49" t="s">
        <v>686</v>
      </c>
      <c r="E49" t="s">
        <v>687</v>
      </c>
      <c r="F49" t="s">
        <v>34</v>
      </c>
      <c r="G49" t="s">
        <v>772</v>
      </c>
      <c r="H49" t="s">
        <v>3577</v>
      </c>
      <c r="I49" t="s">
        <v>1602</v>
      </c>
      <c r="J49" t="s">
        <v>775</v>
      </c>
      <c r="K49" t="s">
        <v>981</v>
      </c>
      <c r="L49" t="s">
        <v>982</v>
      </c>
      <c r="M49" t="s">
        <v>640</v>
      </c>
      <c r="N49" t="s">
        <v>983</v>
      </c>
      <c r="O49" t="s">
        <v>984</v>
      </c>
      <c r="P49" t="s">
        <v>985</v>
      </c>
      <c r="Q49" t="s">
        <v>765</v>
      </c>
      <c r="R49" t="s">
        <v>986</v>
      </c>
      <c r="S49">
        <v>73.5</v>
      </c>
      <c r="T49" t="s">
        <v>649</v>
      </c>
      <c r="U49" t="s">
        <v>34</v>
      </c>
      <c r="V49" t="s">
        <v>987</v>
      </c>
      <c r="W49">
        <v>5856</v>
      </c>
      <c r="X49" t="s">
        <v>766</v>
      </c>
      <c r="Y49" t="s">
        <v>34</v>
      </c>
      <c r="Z49" t="s">
        <v>927</v>
      </c>
      <c r="AA49" t="s">
        <v>988</v>
      </c>
      <c r="AB49" t="s">
        <v>766</v>
      </c>
      <c r="AC49" t="s">
        <v>2475</v>
      </c>
      <c r="AD49" t="s">
        <v>767</v>
      </c>
      <c r="AE49" t="s">
        <v>768</v>
      </c>
      <c r="AF49" t="s">
        <v>585</v>
      </c>
      <c r="AG49">
        <v>5</v>
      </c>
      <c r="AH49">
        <v>0.32</v>
      </c>
      <c r="AI49">
        <v>0.08</v>
      </c>
      <c r="AJ49" t="s">
        <v>34</v>
      </c>
      <c r="AK49" t="s">
        <v>34</v>
      </c>
      <c r="AL49" t="s">
        <v>2261</v>
      </c>
      <c r="AM49" t="s">
        <v>2867</v>
      </c>
    </row>
    <row r="50" spans="1:41" x14ac:dyDescent="0.2">
      <c r="A50">
        <v>1270343</v>
      </c>
      <c r="B50">
        <v>57218</v>
      </c>
      <c r="C50" t="s">
        <v>289</v>
      </c>
      <c r="D50" t="s">
        <v>686</v>
      </c>
      <c r="E50" t="s">
        <v>687</v>
      </c>
      <c r="F50" t="s">
        <v>34</v>
      </c>
      <c r="G50" t="s">
        <v>772</v>
      </c>
      <c r="H50" t="s">
        <v>3577</v>
      </c>
      <c r="I50" t="s">
        <v>586</v>
      </c>
      <c r="J50" t="s">
        <v>480</v>
      </c>
      <c r="K50" t="s">
        <v>989</v>
      </c>
      <c r="L50" t="s">
        <v>990</v>
      </c>
      <c r="M50" t="s">
        <v>289</v>
      </c>
      <c r="N50" t="s">
        <v>310</v>
      </c>
      <c r="O50" t="s">
        <v>984</v>
      </c>
      <c r="P50" t="s">
        <v>847</v>
      </c>
      <c r="Q50" t="s">
        <v>765</v>
      </c>
      <c r="R50" t="s">
        <v>991</v>
      </c>
      <c r="S50">
        <v>19.8</v>
      </c>
      <c r="T50" t="s">
        <v>649</v>
      </c>
      <c r="U50">
        <v>1269523</v>
      </c>
      <c r="V50" t="s">
        <v>992</v>
      </c>
      <c r="W50" t="s">
        <v>993</v>
      </c>
      <c r="X50" t="s">
        <v>766</v>
      </c>
      <c r="Y50" t="s">
        <v>34</v>
      </c>
      <c r="Z50" t="s">
        <v>927</v>
      </c>
      <c r="AA50" t="s">
        <v>988</v>
      </c>
      <c r="AB50" t="s">
        <v>766</v>
      </c>
      <c r="AC50" t="s">
        <v>2476</v>
      </c>
      <c r="AD50" t="s">
        <v>767</v>
      </c>
      <c r="AE50" t="s">
        <v>768</v>
      </c>
      <c r="AF50" t="s">
        <v>585</v>
      </c>
      <c r="AG50">
        <v>1.1000000000000001</v>
      </c>
      <c r="AH50">
        <v>0.13</v>
      </c>
      <c r="AI50">
        <v>0.5</v>
      </c>
      <c r="AJ50" t="s">
        <v>2368</v>
      </c>
      <c r="AK50" t="s">
        <v>2369</v>
      </c>
      <c r="AL50" t="s">
        <v>2261</v>
      </c>
      <c r="AM50" t="s">
        <v>2861</v>
      </c>
    </row>
    <row r="51" spans="1:41" x14ac:dyDescent="0.2">
      <c r="A51">
        <v>1270342</v>
      </c>
      <c r="B51">
        <v>57218</v>
      </c>
      <c r="C51" t="s">
        <v>283</v>
      </c>
      <c r="D51" t="s">
        <v>686</v>
      </c>
      <c r="E51" t="s">
        <v>687</v>
      </c>
      <c r="F51" t="s">
        <v>34</v>
      </c>
      <c r="G51" t="s">
        <v>772</v>
      </c>
      <c r="H51" t="s">
        <v>3569</v>
      </c>
      <c r="I51" t="s">
        <v>586</v>
      </c>
      <c r="J51" t="s">
        <v>480</v>
      </c>
      <c r="K51" t="s">
        <v>989</v>
      </c>
      <c r="L51" t="s">
        <v>2614</v>
      </c>
      <c r="M51" t="s">
        <v>2615</v>
      </c>
      <c r="N51" t="s">
        <v>310</v>
      </c>
      <c r="O51" t="s">
        <v>2073</v>
      </c>
      <c r="P51" t="s">
        <v>764</v>
      </c>
      <c r="Q51" t="s">
        <v>765</v>
      </c>
      <c r="R51" t="s">
        <v>2616</v>
      </c>
      <c r="S51">
        <v>13.6</v>
      </c>
      <c r="T51" t="s">
        <v>2617</v>
      </c>
      <c r="U51">
        <v>2141570</v>
      </c>
      <c r="V51" t="s">
        <v>992</v>
      </c>
      <c r="W51" t="s">
        <v>2618</v>
      </c>
      <c r="X51" t="s">
        <v>766</v>
      </c>
      <c r="Y51" t="s">
        <v>34</v>
      </c>
      <c r="Z51" t="s">
        <v>927</v>
      </c>
      <c r="AA51" t="s">
        <v>988</v>
      </c>
      <c r="AB51" t="s">
        <v>766</v>
      </c>
      <c r="AC51" t="s">
        <v>2619</v>
      </c>
      <c r="AD51" t="s">
        <v>767</v>
      </c>
      <c r="AE51" t="s">
        <v>768</v>
      </c>
      <c r="AF51" t="s">
        <v>585</v>
      </c>
      <c r="AG51">
        <v>3.1</v>
      </c>
      <c r="AH51">
        <v>0.3</v>
      </c>
      <c r="AI51">
        <v>2</v>
      </c>
      <c r="AJ51" t="s">
        <v>2620</v>
      </c>
      <c r="AK51" t="s">
        <v>34</v>
      </c>
      <c r="AL51" t="s">
        <v>2261</v>
      </c>
      <c r="AM51" t="s">
        <v>2861</v>
      </c>
    </row>
    <row r="52" spans="1:41" x14ac:dyDescent="0.2">
      <c r="A52">
        <v>1270345</v>
      </c>
      <c r="B52">
        <v>57218</v>
      </c>
      <c r="C52" t="s">
        <v>282</v>
      </c>
      <c r="D52" t="s">
        <v>686</v>
      </c>
      <c r="E52" t="s">
        <v>687</v>
      </c>
      <c r="F52" t="s">
        <v>34</v>
      </c>
      <c r="G52" t="s">
        <v>772</v>
      </c>
      <c r="H52" t="s">
        <v>3569</v>
      </c>
      <c r="I52" t="s">
        <v>586</v>
      </c>
      <c r="J52" t="s">
        <v>775</v>
      </c>
      <c r="K52" t="s">
        <v>994</v>
      </c>
      <c r="L52">
        <v>27676</v>
      </c>
      <c r="M52" t="s">
        <v>282</v>
      </c>
      <c r="N52" t="s">
        <v>310</v>
      </c>
      <c r="O52" t="s">
        <v>2119</v>
      </c>
      <c r="P52" t="s">
        <v>847</v>
      </c>
      <c r="Q52" t="s">
        <v>903</v>
      </c>
      <c r="R52" t="s">
        <v>3439</v>
      </c>
      <c r="S52">
        <v>275</v>
      </c>
      <c r="T52" t="s">
        <v>649</v>
      </c>
      <c r="U52" t="s">
        <v>34</v>
      </c>
      <c r="V52" t="s">
        <v>987</v>
      </c>
      <c r="W52">
        <v>2489</v>
      </c>
      <c r="X52" t="s">
        <v>766</v>
      </c>
      <c r="Y52" t="s">
        <v>34</v>
      </c>
      <c r="Z52" t="s">
        <v>927</v>
      </c>
      <c r="AA52" t="s">
        <v>995</v>
      </c>
      <c r="AB52" t="s">
        <v>766</v>
      </c>
      <c r="AC52" t="s">
        <v>34</v>
      </c>
      <c r="AD52" t="s">
        <v>767</v>
      </c>
      <c r="AE52" t="s">
        <v>768</v>
      </c>
      <c r="AF52" t="s">
        <v>585</v>
      </c>
      <c r="AG52">
        <v>10</v>
      </c>
      <c r="AH52">
        <v>0.02</v>
      </c>
      <c r="AI52">
        <v>0.05</v>
      </c>
      <c r="AJ52" t="s">
        <v>34</v>
      </c>
      <c r="AK52" t="s">
        <v>34</v>
      </c>
      <c r="AL52" t="s">
        <v>2261</v>
      </c>
      <c r="AM52" t="s">
        <v>2861</v>
      </c>
    </row>
    <row r="53" spans="1:41" x14ac:dyDescent="0.2">
      <c r="A53">
        <v>1270336</v>
      </c>
      <c r="B53">
        <v>57206</v>
      </c>
      <c r="C53" t="s">
        <v>334</v>
      </c>
      <c r="D53" t="s">
        <v>688</v>
      </c>
      <c r="E53" t="s">
        <v>671</v>
      </c>
      <c r="F53" t="s">
        <v>34</v>
      </c>
      <c r="G53" t="s">
        <v>772</v>
      </c>
      <c r="H53" t="s">
        <v>3578</v>
      </c>
      <c r="I53" t="s">
        <v>980</v>
      </c>
      <c r="J53" t="s">
        <v>350</v>
      </c>
      <c r="K53" t="s">
        <v>1003</v>
      </c>
      <c r="L53" t="s">
        <v>1004</v>
      </c>
      <c r="M53" t="s">
        <v>334</v>
      </c>
      <c r="N53" t="s">
        <v>3579</v>
      </c>
      <c r="O53" t="s">
        <v>1005</v>
      </c>
      <c r="P53" t="s">
        <v>2918</v>
      </c>
      <c r="Q53" t="s">
        <v>765</v>
      </c>
      <c r="R53" t="s">
        <v>1006</v>
      </c>
      <c r="S53">
        <v>288</v>
      </c>
      <c r="T53" t="s">
        <v>793</v>
      </c>
      <c r="U53">
        <v>1269564</v>
      </c>
      <c r="V53" t="s">
        <v>1007</v>
      </c>
      <c r="W53" t="s">
        <v>1008</v>
      </c>
      <c r="X53" t="s">
        <v>2917</v>
      </c>
      <c r="Y53" t="s">
        <v>34</v>
      </c>
      <c r="Z53" t="s">
        <v>1001</v>
      </c>
      <c r="AA53" t="s">
        <v>1002</v>
      </c>
      <c r="AB53" t="s">
        <v>2917</v>
      </c>
      <c r="AC53" t="s">
        <v>3618</v>
      </c>
      <c r="AD53" t="s">
        <v>767</v>
      </c>
      <c r="AE53" t="s">
        <v>768</v>
      </c>
      <c r="AF53" t="s">
        <v>585</v>
      </c>
      <c r="AG53">
        <v>8</v>
      </c>
      <c r="AH53">
        <v>43</v>
      </c>
      <c r="AI53">
        <v>251</v>
      </c>
      <c r="AJ53" t="s">
        <v>2371</v>
      </c>
      <c r="AK53" t="s">
        <v>2372</v>
      </c>
      <c r="AL53" t="s">
        <v>2261</v>
      </c>
      <c r="AM53" t="s">
        <v>2864</v>
      </c>
      <c r="AN53">
        <v>1.4583333333333332E-2</v>
      </c>
    </row>
    <row r="54" spans="1:41" x14ac:dyDescent="0.2">
      <c r="A54">
        <v>1270331</v>
      </c>
      <c r="B54">
        <v>57206</v>
      </c>
      <c r="C54" t="s">
        <v>335</v>
      </c>
      <c r="D54" t="s">
        <v>688</v>
      </c>
      <c r="E54" t="s">
        <v>671</v>
      </c>
      <c r="F54" t="s">
        <v>34</v>
      </c>
      <c r="G54" t="s">
        <v>772</v>
      </c>
      <c r="H54" t="s">
        <v>3578</v>
      </c>
      <c r="I54" t="s">
        <v>980</v>
      </c>
      <c r="J54" t="s">
        <v>1019</v>
      </c>
      <c r="K54" t="s">
        <v>1020</v>
      </c>
      <c r="L54" t="s">
        <v>1024</v>
      </c>
      <c r="M54" t="s">
        <v>335</v>
      </c>
      <c r="N54" t="s">
        <v>3579</v>
      </c>
      <c r="O54" t="s">
        <v>1005</v>
      </c>
      <c r="P54" t="s">
        <v>2918</v>
      </c>
      <c r="Q54" t="s">
        <v>765</v>
      </c>
      <c r="R54" t="s">
        <v>1022</v>
      </c>
      <c r="S54">
        <v>24.8</v>
      </c>
      <c r="T54" t="s">
        <v>793</v>
      </c>
      <c r="U54">
        <v>1269562</v>
      </c>
      <c r="V54" t="s">
        <v>1007</v>
      </c>
      <c r="W54" t="s">
        <v>1023</v>
      </c>
      <c r="X54" t="s">
        <v>2917</v>
      </c>
      <c r="Y54" t="s">
        <v>34</v>
      </c>
      <c r="Z54" t="s">
        <v>1001</v>
      </c>
      <c r="AA54" t="s">
        <v>1002</v>
      </c>
      <c r="AB54" t="s">
        <v>2917</v>
      </c>
      <c r="AC54" t="s">
        <v>3618</v>
      </c>
      <c r="AD54" t="s">
        <v>767</v>
      </c>
      <c r="AE54" t="s">
        <v>768</v>
      </c>
      <c r="AF54" t="s">
        <v>585</v>
      </c>
      <c r="AG54">
        <v>4</v>
      </c>
      <c r="AH54">
        <v>13</v>
      </c>
      <c r="AI54" t="s">
        <v>2339</v>
      </c>
      <c r="AJ54" t="s">
        <v>2375</v>
      </c>
      <c r="AK54" t="s">
        <v>34</v>
      </c>
      <c r="AL54" t="s">
        <v>2261</v>
      </c>
      <c r="AM54" t="s">
        <v>2862</v>
      </c>
      <c r="AN54">
        <v>1.4583333333333332E-2</v>
      </c>
    </row>
    <row r="55" spans="1:41" x14ac:dyDescent="0.2">
      <c r="A55">
        <v>1270330</v>
      </c>
      <c r="B55">
        <v>57206</v>
      </c>
      <c r="C55" t="s">
        <v>333</v>
      </c>
      <c r="D55" t="s">
        <v>688</v>
      </c>
      <c r="E55" t="s">
        <v>671</v>
      </c>
      <c r="F55" t="s">
        <v>34</v>
      </c>
      <c r="G55" t="s">
        <v>772</v>
      </c>
      <c r="H55" t="s">
        <v>3578</v>
      </c>
      <c r="I55" t="s">
        <v>980</v>
      </c>
      <c r="J55" t="s">
        <v>1019</v>
      </c>
      <c r="K55" t="s">
        <v>1020</v>
      </c>
      <c r="L55" t="s">
        <v>1021</v>
      </c>
      <c r="M55" t="s">
        <v>333</v>
      </c>
      <c r="N55" t="s">
        <v>3579</v>
      </c>
      <c r="O55" t="s">
        <v>1005</v>
      </c>
      <c r="P55" t="s">
        <v>2918</v>
      </c>
      <c r="Q55" t="s">
        <v>765</v>
      </c>
      <c r="R55" t="s">
        <v>1022</v>
      </c>
      <c r="S55">
        <v>24.8</v>
      </c>
      <c r="T55" t="s">
        <v>793</v>
      </c>
      <c r="U55">
        <v>1269559</v>
      </c>
      <c r="V55" t="s">
        <v>1007</v>
      </c>
      <c r="W55" t="s">
        <v>3367</v>
      </c>
      <c r="X55" t="s">
        <v>2917</v>
      </c>
      <c r="Y55" t="s">
        <v>34</v>
      </c>
      <c r="Z55" t="s">
        <v>1001</v>
      </c>
      <c r="AA55" t="s">
        <v>1002</v>
      </c>
      <c r="AB55" t="s">
        <v>2917</v>
      </c>
      <c r="AC55" t="s">
        <v>3618</v>
      </c>
      <c r="AD55" t="s">
        <v>767</v>
      </c>
      <c r="AE55" t="s">
        <v>768</v>
      </c>
      <c r="AF55" t="s">
        <v>585</v>
      </c>
      <c r="AG55">
        <v>8</v>
      </c>
      <c r="AH55">
        <v>20</v>
      </c>
      <c r="AI55">
        <v>140</v>
      </c>
      <c r="AJ55" t="s">
        <v>2373</v>
      </c>
      <c r="AK55" t="s">
        <v>2374</v>
      </c>
      <c r="AL55" t="s">
        <v>2261</v>
      </c>
      <c r="AM55" t="s">
        <v>2862</v>
      </c>
      <c r="AN55">
        <v>1.4583333333333332E-2</v>
      </c>
    </row>
    <row r="56" spans="1:41" x14ac:dyDescent="0.2">
      <c r="A56">
        <v>1270335</v>
      </c>
      <c r="B56">
        <v>57206</v>
      </c>
      <c r="C56" t="s">
        <v>212</v>
      </c>
      <c r="D56" t="s">
        <v>688</v>
      </c>
      <c r="E56" t="s">
        <v>671</v>
      </c>
      <c r="G56" t="s">
        <v>772</v>
      </c>
      <c r="H56" t="s">
        <v>3578</v>
      </c>
      <c r="I56" t="s">
        <v>980</v>
      </c>
      <c r="J56" t="s">
        <v>350</v>
      </c>
      <c r="K56" t="s">
        <v>996</v>
      </c>
      <c r="L56">
        <v>11108</v>
      </c>
      <c r="M56" t="s">
        <v>212</v>
      </c>
      <c r="N56" t="s">
        <v>3580</v>
      </c>
      <c r="O56" t="s">
        <v>997</v>
      </c>
      <c r="P56" t="s">
        <v>2941</v>
      </c>
      <c r="Q56" t="s">
        <v>765</v>
      </c>
      <c r="R56" t="s">
        <v>998</v>
      </c>
      <c r="S56">
        <v>1394.9</v>
      </c>
      <c r="T56" t="s">
        <v>793</v>
      </c>
      <c r="U56" t="s">
        <v>34</v>
      </c>
      <c r="V56" t="s">
        <v>999</v>
      </c>
      <c r="W56" t="s">
        <v>1000</v>
      </c>
      <c r="X56" t="s">
        <v>2917</v>
      </c>
      <c r="Y56" t="s">
        <v>34</v>
      </c>
      <c r="Z56" t="s">
        <v>1001</v>
      </c>
      <c r="AA56" t="s">
        <v>1002</v>
      </c>
      <c r="AB56" t="s">
        <v>2917</v>
      </c>
      <c r="AC56" t="s">
        <v>3619</v>
      </c>
      <c r="AD56" t="s">
        <v>767</v>
      </c>
      <c r="AE56" t="s">
        <v>768</v>
      </c>
      <c r="AF56" t="s">
        <v>585</v>
      </c>
      <c r="AG56">
        <v>8</v>
      </c>
      <c r="AH56">
        <v>16</v>
      </c>
      <c r="AI56">
        <v>101</v>
      </c>
      <c r="AJ56" t="s">
        <v>2370</v>
      </c>
      <c r="AL56" t="s">
        <v>2261</v>
      </c>
      <c r="AM56" t="s">
        <v>2864</v>
      </c>
      <c r="AN56">
        <v>1.4583333333333332E-2</v>
      </c>
    </row>
    <row r="57" spans="1:41" x14ac:dyDescent="0.2">
      <c r="A57">
        <v>1987145</v>
      </c>
      <c r="B57">
        <v>57206</v>
      </c>
      <c r="C57" t="s">
        <v>545</v>
      </c>
      <c r="D57" t="s">
        <v>688</v>
      </c>
      <c r="E57" t="s">
        <v>671</v>
      </c>
      <c r="F57" t="s">
        <v>34</v>
      </c>
      <c r="G57" t="s">
        <v>772</v>
      </c>
      <c r="H57" t="s">
        <v>3578</v>
      </c>
      <c r="I57" t="s">
        <v>980</v>
      </c>
      <c r="J57" t="s">
        <v>350</v>
      </c>
      <c r="K57" t="s">
        <v>3094</v>
      </c>
      <c r="L57" t="s">
        <v>3095</v>
      </c>
      <c r="M57" t="s">
        <v>545</v>
      </c>
      <c r="N57" t="s">
        <v>3579</v>
      </c>
      <c r="O57" t="s">
        <v>1005</v>
      </c>
      <c r="P57" t="s">
        <v>2918</v>
      </c>
      <c r="Q57" t="s">
        <v>3096</v>
      </c>
      <c r="R57" t="s">
        <v>3097</v>
      </c>
      <c r="S57">
        <v>495</v>
      </c>
      <c r="T57" t="s">
        <v>793</v>
      </c>
      <c r="U57">
        <v>1987148</v>
      </c>
      <c r="V57" t="s">
        <v>1118</v>
      </c>
      <c r="W57" t="s">
        <v>3098</v>
      </c>
      <c r="X57" t="s">
        <v>2917</v>
      </c>
      <c r="Y57" t="s">
        <v>34</v>
      </c>
      <c r="Z57" t="s">
        <v>1001</v>
      </c>
      <c r="AA57" t="s">
        <v>1002</v>
      </c>
      <c r="AB57" t="s">
        <v>2917</v>
      </c>
      <c r="AC57" t="s">
        <v>3620</v>
      </c>
      <c r="AD57" t="s">
        <v>767</v>
      </c>
      <c r="AE57" t="s">
        <v>768</v>
      </c>
      <c r="AF57" t="s">
        <v>585</v>
      </c>
      <c r="AG57">
        <v>10.199999999999999</v>
      </c>
      <c r="AH57">
        <v>22</v>
      </c>
      <c r="AI57">
        <v>131</v>
      </c>
      <c r="AJ57">
        <v>22</v>
      </c>
      <c r="AK57">
        <v>16.399999999999999</v>
      </c>
      <c r="AL57" t="s">
        <v>2261</v>
      </c>
      <c r="AM57" t="s">
        <v>2864</v>
      </c>
    </row>
    <row r="58" spans="1:41" x14ac:dyDescent="0.2">
      <c r="A58">
        <v>1270328</v>
      </c>
      <c r="B58">
        <v>57206</v>
      </c>
      <c r="C58" t="s">
        <v>331</v>
      </c>
      <c r="D58" t="s">
        <v>688</v>
      </c>
      <c r="E58" t="s">
        <v>671</v>
      </c>
      <c r="F58" t="s">
        <v>34</v>
      </c>
      <c r="G58" t="s">
        <v>772</v>
      </c>
      <c r="H58" t="s">
        <v>3578</v>
      </c>
      <c r="I58" t="s">
        <v>980</v>
      </c>
      <c r="J58" t="s">
        <v>351</v>
      </c>
      <c r="K58" t="s">
        <v>1017</v>
      </c>
      <c r="L58">
        <v>146046</v>
      </c>
      <c r="M58" t="s">
        <v>331</v>
      </c>
      <c r="N58" t="s">
        <v>3581</v>
      </c>
      <c r="O58" t="s">
        <v>2715</v>
      </c>
      <c r="P58" t="s">
        <v>2916</v>
      </c>
      <c r="Q58" t="s">
        <v>765</v>
      </c>
      <c r="R58" t="s">
        <v>1018</v>
      </c>
      <c r="S58">
        <v>1185.7</v>
      </c>
      <c r="T58" t="s">
        <v>793</v>
      </c>
      <c r="U58" t="s">
        <v>34</v>
      </c>
      <c r="V58" t="s">
        <v>3319</v>
      </c>
      <c r="W58" t="s">
        <v>3320</v>
      </c>
      <c r="X58" t="s">
        <v>2917</v>
      </c>
      <c r="Y58" t="s">
        <v>34</v>
      </c>
      <c r="Z58" t="s">
        <v>1001</v>
      </c>
      <c r="AA58" t="s">
        <v>1002</v>
      </c>
      <c r="AB58" t="s">
        <v>2917</v>
      </c>
      <c r="AC58" t="s">
        <v>34</v>
      </c>
      <c r="AD58" t="s">
        <v>767</v>
      </c>
      <c r="AE58" t="s">
        <v>768</v>
      </c>
      <c r="AF58" t="s">
        <v>585</v>
      </c>
      <c r="AG58">
        <v>32000</v>
      </c>
      <c r="AH58">
        <v>12000</v>
      </c>
      <c r="AI58">
        <v>3000</v>
      </c>
      <c r="AJ58" t="s">
        <v>34</v>
      </c>
      <c r="AK58" t="s">
        <v>34</v>
      </c>
      <c r="AL58" t="s">
        <v>2261</v>
      </c>
      <c r="AM58" t="s">
        <v>2868</v>
      </c>
      <c r="AN58">
        <v>1.4583333333333332E-2</v>
      </c>
      <c r="AO58">
        <v>2.1527777777777781E-2</v>
      </c>
    </row>
    <row r="59" spans="1:41" x14ac:dyDescent="0.2">
      <c r="A59">
        <v>1270337</v>
      </c>
      <c r="B59">
        <v>57206</v>
      </c>
      <c r="C59" t="s">
        <v>2296</v>
      </c>
      <c r="D59" t="s">
        <v>688</v>
      </c>
      <c r="E59" t="s">
        <v>671</v>
      </c>
      <c r="F59" t="s">
        <v>34</v>
      </c>
      <c r="G59" t="s">
        <v>772</v>
      </c>
      <c r="H59" t="s">
        <v>3578</v>
      </c>
      <c r="I59" t="s">
        <v>980</v>
      </c>
      <c r="J59" t="s">
        <v>1009</v>
      </c>
      <c r="K59" t="s">
        <v>1010</v>
      </c>
      <c r="L59">
        <v>146905</v>
      </c>
      <c r="M59" t="s">
        <v>1011</v>
      </c>
      <c r="N59" t="s">
        <v>3581</v>
      </c>
      <c r="O59" t="s">
        <v>1012</v>
      </c>
      <c r="P59" t="s">
        <v>2916</v>
      </c>
      <c r="Q59" t="s">
        <v>765</v>
      </c>
      <c r="R59" t="s">
        <v>1013</v>
      </c>
      <c r="S59">
        <v>737.5</v>
      </c>
      <c r="T59" t="s">
        <v>793</v>
      </c>
      <c r="U59" t="s">
        <v>34</v>
      </c>
      <c r="V59" t="s">
        <v>1014</v>
      </c>
      <c r="W59" t="s">
        <v>1015</v>
      </c>
      <c r="X59" t="s">
        <v>2917</v>
      </c>
      <c r="Y59" t="s">
        <v>34</v>
      </c>
      <c r="Z59" t="s">
        <v>1001</v>
      </c>
      <c r="AA59" t="s">
        <v>1002</v>
      </c>
      <c r="AB59" t="s">
        <v>2917</v>
      </c>
      <c r="AC59" t="s">
        <v>34</v>
      </c>
      <c r="AD59" t="s">
        <v>767</v>
      </c>
      <c r="AE59" t="s">
        <v>768</v>
      </c>
      <c r="AF59" t="s">
        <v>585</v>
      </c>
      <c r="AG59" t="s">
        <v>2338</v>
      </c>
      <c r="AI59">
        <v>9</v>
      </c>
      <c r="AJ59" t="s">
        <v>34</v>
      </c>
      <c r="AK59" t="s">
        <v>34</v>
      </c>
      <c r="AL59" t="s">
        <v>2261</v>
      </c>
      <c r="AM59" t="s">
        <v>2864</v>
      </c>
      <c r="AN59">
        <v>1.4583333333333332E-2</v>
      </c>
      <c r="AO59">
        <v>2.1527777777777781E-2</v>
      </c>
    </row>
    <row r="60" spans="1:41" x14ac:dyDescent="0.2">
      <c r="A60">
        <v>1270362</v>
      </c>
      <c r="B60">
        <v>57205</v>
      </c>
      <c r="C60" t="s">
        <v>345</v>
      </c>
      <c r="D60" t="s">
        <v>689</v>
      </c>
      <c r="E60" t="s">
        <v>671</v>
      </c>
      <c r="F60" t="s">
        <v>34</v>
      </c>
      <c r="G60" t="s">
        <v>772</v>
      </c>
      <c r="H60" t="s">
        <v>3569</v>
      </c>
      <c r="I60" t="s">
        <v>980</v>
      </c>
      <c r="J60" t="s">
        <v>398</v>
      </c>
      <c r="K60" t="s">
        <v>1025</v>
      </c>
      <c r="L60" t="s">
        <v>1026</v>
      </c>
      <c r="M60" t="s">
        <v>345</v>
      </c>
      <c r="N60" t="s">
        <v>2955</v>
      </c>
      <c r="O60" t="s">
        <v>1027</v>
      </c>
      <c r="P60" t="s">
        <v>2928</v>
      </c>
      <c r="Q60" t="s">
        <v>828</v>
      </c>
      <c r="R60" t="s">
        <v>1028</v>
      </c>
      <c r="S60">
        <v>80</v>
      </c>
      <c r="T60" t="s">
        <v>793</v>
      </c>
      <c r="U60">
        <v>1269569</v>
      </c>
      <c r="V60" t="s">
        <v>1029</v>
      </c>
      <c r="W60" t="s">
        <v>3010</v>
      </c>
      <c r="X60" t="s">
        <v>2917</v>
      </c>
      <c r="Y60" t="s">
        <v>34</v>
      </c>
      <c r="Z60" t="s">
        <v>1030</v>
      </c>
      <c r="AA60" t="s">
        <v>1031</v>
      </c>
      <c r="AB60" t="s">
        <v>2917</v>
      </c>
      <c r="AC60" t="s">
        <v>34</v>
      </c>
      <c r="AD60" t="s">
        <v>767</v>
      </c>
      <c r="AE60" t="s">
        <v>768</v>
      </c>
      <c r="AF60" t="s">
        <v>585</v>
      </c>
      <c r="AG60" t="s">
        <v>1889</v>
      </c>
      <c r="AH60" t="s">
        <v>34</v>
      </c>
      <c r="AI60" t="s">
        <v>34</v>
      </c>
      <c r="AJ60" t="s">
        <v>34</v>
      </c>
      <c r="AK60" t="s">
        <v>34</v>
      </c>
      <c r="AL60" t="s">
        <v>34</v>
      </c>
      <c r="AM60" t="s">
        <v>2864</v>
      </c>
    </row>
    <row r="61" spans="1:41" x14ac:dyDescent="0.2">
      <c r="A61">
        <v>1270363</v>
      </c>
      <c r="B61">
        <v>57205</v>
      </c>
      <c r="C61" t="s">
        <v>337</v>
      </c>
      <c r="D61" t="s">
        <v>689</v>
      </c>
      <c r="E61" t="s">
        <v>671</v>
      </c>
      <c r="F61" t="s">
        <v>34</v>
      </c>
      <c r="G61" t="s">
        <v>772</v>
      </c>
      <c r="H61" t="s">
        <v>3569</v>
      </c>
      <c r="I61" t="s">
        <v>980</v>
      </c>
      <c r="J61" t="s">
        <v>1037</v>
      </c>
      <c r="K61" t="s">
        <v>1025</v>
      </c>
      <c r="L61" t="s">
        <v>1038</v>
      </c>
      <c r="M61" t="s">
        <v>337</v>
      </c>
      <c r="N61" t="s">
        <v>3573</v>
      </c>
      <c r="O61" t="s">
        <v>1033</v>
      </c>
      <c r="P61" t="s">
        <v>2916</v>
      </c>
      <c r="Q61" t="s">
        <v>828</v>
      </c>
      <c r="R61" t="s">
        <v>1039</v>
      </c>
      <c r="S61">
        <v>1725</v>
      </c>
      <c r="T61" t="s">
        <v>792</v>
      </c>
      <c r="U61" t="s">
        <v>34</v>
      </c>
      <c r="V61" t="s">
        <v>1029</v>
      </c>
      <c r="W61">
        <v>9.06</v>
      </c>
      <c r="X61" t="s">
        <v>2917</v>
      </c>
      <c r="Y61" t="s">
        <v>34</v>
      </c>
      <c r="Z61" t="s">
        <v>1030</v>
      </c>
      <c r="AA61" t="s">
        <v>1031</v>
      </c>
      <c r="AB61" t="s">
        <v>2917</v>
      </c>
      <c r="AC61" t="s">
        <v>34</v>
      </c>
      <c r="AD61" t="s">
        <v>767</v>
      </c>
      <c r="AE61" t="s">
        <v>768</v>
      </c>
      <c r="AF61" t="s">
        <v>585</v>
      </c>
      <c r="AG61">
        <v>15.7</v>
      </c>
      <c r="AH61">
        <v>0.38</v>
      </c>
      <c r="AI61">
        <v>2.31</v>
      </c>
      <c r="AJ61" t="s">
        <v>2368</v>
      </c>
      <c r="AK61" t="s">
        <v>34</v>
      </c>
      <c r="AL61" t="s">
        <v>34</v>
      </c>
      <c r="AM61" t="s">
        <v>2863</v>
      </c>
    </row>
    <row r="62" spans="1:41" x14ac:dyDescent="0.2">
      <c r="A62">
        <v>1270364</v>
      </c>
      <c r="B62">
        <v>57205</v>
      </c>
      <c r="C62" t="s">
        <v>338</v>
      </c>
      <c r="D62" t="s">
        <v>689</v>
      </c>
      <c r="E62" t="s">
        <v>671</v>
      </c>
      <c r="F62" t="s">
        <v>34</v>
      </c>
      <c r="G62" t="s">
        <v>772</v>
      </c>
      <c r="H62" t="s">
        <v>3569</v>
      </c>
      <c r="I62" t="s">
        <v>980</v>
      </c>
      <c r="J62" t="s">
        <v>367</v>
      </c>
      <c r="K62" t="s">
        <v>1032</v>
      </c>
      <c r="L62">
        <v>389</v>
      </c>
      <c r="M62" t="s">
        <v>338</v>
      </c>
      <c r="N62" t="s">
        <v>3573</v>
      </c>
      <c r="O62" t="s">
        <v>1033</v>
      </c>
      <c r="P62" t="s">
        <v>2916</v>
      </c>
      <c r="Q62" t="s">
        <v>898</v>
      </c>
      <c r="R62" t="s">
        <v>1034</v>
      </c>
      <c r="S62">
        <v>588</v>
      </c>
      <c r="T62" t="s">
        <v>792</v>
      </c>
      <c r="U62" t="s">
        <v>34</v>
      </c>
      <c r="V62" t="s">
        <v>1035</v>
      </c>
      <c r="W62" t="s">
        <v>1036</v>
      </c>
      <c r="X62" t="s">
        <v>2917</v>
      </c>
      <c r="Y62" t="s">
        <v>34</v>
      </c>
      <c r="Z62" t="s">
        <v>1001</v>
      </c>
      <c r="AA62" t="s">
        <v>1031</v>
      </c>
      <c r="AB62" t="s">
        <v>2917</v>
      </c>
      <c r="AC62" t="s">
        <v>34</v>
      </c>
      <c r="AD62" t="s">
        <v>767</v>
      </c>
      <c r="AE62" t="s">
        <v>768</v>
      </c>
      <c r="AF62" t="s">
        <v>585</v>
      </c>
      <c r="AG62">
        <v>0.6</v>
      </c>
      <c r="AH62">
        <v>1</v>
      </c>
      <c r="AI62">
        <v>127</v>
      </c>
      <c r="AJ62" t="s">
        <v>34</v>
      </c>
      <c r="AK62" t="s">
        <v>34</v>
      </c>
      <c r="AL62" t="s">
        <v>34</v>
      </c>
      <c r="AM62" t="s">
        <v>2861</v>
      </c>
    </row>
    <row r="63" spans="1:41" x14ac:dyDescent="0.2">
      <c r="A63">
        <v>1275406</v>
      </c>
      <c r="B63">
        <v>57205</v>
      </c>
      <c r="C63" t="s">
        <v>332</v>
      </c>
      <c r="D63" t="s">
        <v>689</v>
      </c>
      <c r="E63" t="s">
        <v>671</v>
      </c>
      <c r="F63" t="s">
        <v>34</v>
      </c>
      <c r="G63" t="s">
        <v>772</v>
      </c>
      <c r="H63" t="s">
        <v>3582</v>
      </c>
      <c r="I63" t="s">
        <v>980</v>
      </c>
      <c r="J63" t="s">
        <v>2262</v>
      </c>
      <c r="K63" t="s">
        <v>880</v>
      </c>
      <c r="L63" t="s">
        <v>332</v>
      </c>
      <c r="M63" t="s">
        <v>332</v>
      </c>
      <c r="N63" t="s">
        <v>2263</v>
      </c>
      <c r="O63" t="s">
        <v>1706</v>
      </c>
      <c r="P63" t="s">
        <v>844</v>
      </c>
      <c r="Q63" t="s">
        <v>765</v>
      </c>
      <c r="R63" t="s">
        <v>1016</v>
      </c>
      <c r="S63">
        <v>536.29999999999995</v>
      </c>
      <c r="T63" t="s">
        <v>649</v>
      </c>
      <c r="U63" t="s">
        <v>34</v>
      </c>
      <c r="V63" t="s">
        <v>2265</v>
      </c>
      <c r="W63" t="s">
        <v>2269</v>
      </c>
      <c r="X63" t="s">
        <v>766</v>
      </c>
      <c r="Y63" t="s">
        <v>34</v>
      </c>
      <c r="Z63" t="s">
        <v>1134</v>
      </c>
      <c r="AA63" t="s">
        <v>1031</v>
      </c>
      <c r="AB63" t="s">
        <v>766</v>
      </c>
      <c r="AC63" t="s">
        <v>34</v>
      </c>
      <c r="AD63" t="s">
        <v>767</v>
      </c>
      <c r="AE63" t="s">
        <v>768</v>
      </c>
      <c r="AF63" t="s">
        <v>585</v>
      </c>
      <c r="AG63" t="s">
        <v>1889</v>
      </c>
      <c r="AH63" t="s">
        <v>34</v>
      </c>
      <c r="AI63" t="s">
        <v>34</v>
      </c>
      <c r="AJ63" t="s">
        <v>34</v>
      </c>
      <c r="AK63" t="s">
        <v>34</v>
      </c>
      <c r="AL63" t="s">
        <v>2261</v>
      </c>
      <c r="AM63" t="s">
        <v>2861</v>
      </c>
    </row>
    <row r="64" spans="1:41" x14ac:dyDescent="0.2">
      <c r="A64">
        <v>1270366</v>
      </c>
      <c r="B64">
        <v>57205</v>
      </c>
      <c r="C64" t="s">
        <v>340</v>
      </c>
      <c r="D64" t="s">
        <v>689</v>
      </c>
      <c r="E64" t="s">
        <v>671</v>
      </c>
      <c r="F64" t="s">
        <v>34</v>
      </c>
      <c r="G64" t="s">
        <v>772</v>
      </c>
      <c r="H64" t="s">
        <v>3582</v>
      </c>
      <c r="I64" t="s">
        <v>980</v>
      </c>
      <c r="J64" t="s">
        <v>2270</v>
      </c>
      <c r="K64" t="s">
        <v>880</v>
      </c>
      <c r="L64" t="s">
        <v>340</v>
      </c>
      <c r="M64" t="s">
        <v>340</v>
      </c>
      <c r="N64" t="s">
        <v>2263</v>
      </c>
      <c r="O64" t="s">
        <v>2273</v>
      </c>
      <c r="P64" t="s">
        <v>844</v>
      </c>
      <c r="Q64" t="s">
        <v>765</v>
      </c>
      <c r="R64" t="s">
        <v>1016</v>
      </c>
      <c r="S64">
        <v>536.29999999999995</v>
      </c>
      <c r="T64" t="s">
        <v>649</v>
      </c>
      <c r="U64" t="s">
        <v>34</v>
      </c>
      <c r="V64" t="s">
        <v>2265</v>
      </c>
      <c r="W64" t="s">
        <v>2274</v>
      </c>
      <c r="X64" t="s">
        <v>766</v>
      </c>
      <c r="Y64" t="s">
        <v>34</v>
      </c>
      <c r="Z64" t="s">
        <v>1001</v>
      </c>
      <c r="AA64" t="s">
        <v>1031</v>
      </c>
      <c r="AB64" t="s">
        <v>766</v>
      </c>
      <c r="AC64" t="s">
        <v>34</v>
      </c>
      <c r="AD64" t="s">
        <v>767</v>
      </c>
      <c r="AE64" t="s">
        <v>768</v>
      </c>
      <c r="AF64" t="s">
        <v>585</v>
      </c>
      <c r="AG64" t="s">
        <v>1889</v>
      </c>
      <c r="AH64" t="s">
        <v>34</v>
      </c>
      <c r="AI64" t="s">
        <v>34</v>
      </c>
      <c r="AJ64" t="s">
        <v>34</v>
      </c>
      <c r="AK64" t="s">
        <v>34</v>
      </c>
      <c r="AL64" t="s">
        <v>2261</v>
      </c>
      <c r="AM64" t="s">
        <v>2861</v>
      </c>
    </row>
    <row r="65" spans="1:40" x14ac:dyDescent="0.2">
      <c r="A65">
        <v>1275405</v>
      </c>
      <c r="B65">
        <v>57205</v>
      </c>
      <c r="C65" t="s">
        <v>330</v>
      </c>
      <c r="D65" t="s">
        <v>689</v>
      </c>
      <c r="E65" t="s">
        <v>671</v>
      </c>
      <c r="F65" t="s">
        <v>34</v>
      </c>
      <c r="G65" t="s">
        <v>772</v>
      </c>
      <c r="H65" t="s">
        <v>3582</v>
      </c>
      <c r="I65" t="s">
        <v>980</v>
      </c>
      <c r="J65" t="s">
        <v>1328</v>
      </c>
      <c r="K65" t="s">
        <v>880</v>
      </c>
      <c r="L65" t="s">
        <v>330</v>
      </c>
      <c r="M65" t="s">
        <v>330</v>
      </c>
      <c r="N65" t="s">
        <v>2263</v>
      </c>
      <c r="O65" t="s">
        <v>2266</v>
      </c>
      <c r="P65" t="s">
        <v>844</v>
      </c>
      <c r="Q65" t="s">
        <v>765</v>
      </c>
      <c r="R65" t="s">
        <v>1016</v>
      </c>
      <c r="S65">
        <v>536.29999999999995</v>
      </c>
      <c r="T65" t="s">
        <v>649</v>
      </c>
      <c r="U65" t="s">
        <v>34</v>
      </c>
      <c r="V65" t="s">
        <v>2265</v>
      </c>
      <c r="W65" t="s">
        <v>2268</v>
      </c>
      <c r="X65" t="s">
        <v>766</v>
      </c>
      <c r="Y65" t="s">
        <v>34</v>
      </c>
      <c r="Z65" t="s">
        <v>1134</v>
      </c>
      <c r="AA65" t="s">
        <v>1031</v>
      </c>
      <c r="AB65" t="s">
        <v>766</v>
      </c>
      <c r="AC65" t="s">
        <v>34</v>
      </c>
      <c r="AD65" t="s">
        <v>767</v>
      </c>
      <c r="AE65" t="s">
        <v>768</v>
      </c>
      <c r="AF65" t="s">
        <v>585</v>
      </c>
      <c r="AG65" t="s">
        <v>1889</v>
      </c>
      <c r="AH65" t="s">
        <v>34</v>
      </c>
      <c r="AI65" t="s">
        <v>34</v>
      </c>
      <c r="AJ65" t="s">
        <v>34</v>
      </c>
      <c r="AK65" t="s">
        <v>34</v>
      </c>
      <c r="AL65" t="s">
        <v>2261</v>
      </c>
      <c r="AM65" t="s">
        <v>2861</v>
      </c>
    </row>
    <row r="66" spans="1:40" x14ac:dyDescent="0.2">
      <c r="A66">
        <v>1275404</v>
      </c>
      <c r="B66">
        <v>57205</v>
      </c>
      <c r="C66" t="s">
        <v>329</v>
      </c>
      <c r="D66" t="s">
        <v>689</v>
      </c>
      <c r="E66" t="s">
        <v>671</v>
      </c>
      <c r="F66" t="s">
        <v>34</v>
      </c>
      <c r="G66" t="s">
        <v>772</v>
      </c>
      <c r="H66" t="s">
        <v>3582</v>
      </c>
      <c r="I66" t="s">
        <v>980</v>
      </c>
      <c r="J66" t="s">
        <v>1326</v>
      </c>
      <c r="K66" t="s">
        <v>880</v>
      </c>
      <c r="L66" t="s">
        <v>329</v>
      </c>
      <c r="M66" t="s">
        <v>329</v>
      </c>
      <c r="N66" t="s">
        <v>2263</v>
      </c>
      <c r="O66" t="s">
        <v>2264</v>
      </c>
      <c r="P66" t="s">
        <v>844</v>
      </c>
      <c r="Q66" t="s">
        <v>765</v>
      </c>
      <c r="R66" t="s">
        <v>1016</v>
      </c>
      <c r="S66">
        <v>536.29999999999995</v>
      </c>
      <c r="T66" t="s">
        <v>649</v>
      </c>
      <c r="U66" t="s">
        <v>34</v>
      </c>
      <c r="V66" t="s">
        <v>2265</v>
      </c>
      <c r="W66" t="s">
        <v>2267</v>
      </c>
      <c r="X66" t="s">
        <v>766</v>
      </c>
      <c r="Y66" t="s">
        <v>34</v>
      </c>
      <c r="Z66" t="s">
        <v>1134</v>
      </c>
      <c r="AA66" t="s">
        <v>1031</v>
      </c>
      <c r="AB66" t="s">
        <v>766</v>
      </c>
      <c r="AC66" t="s">
        <v>34</v>
      </c>
      <c r="AD66" t="s">
        <v>767</v>
      </c>
      <c r="AE66" t="s">
        <v>768</v>
      </c>
      <c r="AF66" t="s">
        <v>585</v>
      </c>
      <c r="AG66" t="s">
        <v>1889</v>
      </c>
      <c r="AH66" t="s">
        <v>34</v>
      </c>
      <c r="AI66" t="s">
        <v>34</v>
      </c>
      <c r="AJ66" t="s">
        <v>34</v>
      </c>
      <c r="AK66" t="s">
        <v>34</v>
      </c>
      <c r="AL66" t="s">
        <v>2261</v>
      </c>
      <c r="AM66" t="s">
        <v>2861</v>
      </c>
    </row>
    <row r="67" spans="1:40" x14ac:dyDescent="0.2">
      <c r="A67">
        <v>1270369</v>
      </c>
      <c r="B67">
        <v>57205</v>
      </c>
      <c r="C67" t="s">
        <v>344</v>
      </c>
      <c r="D67" t="s">
        <v>689</v>
      </c>
      <c r="E67" t="s">
        <v>671</v>
      </c>
      <c r="F67" t="s">
        <v>34</v>
      </c>
      <c r="G67" t="s">
        <v>772</v>
      </c>
      <c r="H67" t="s">
        <v>3582</v>
      </c>
      <c r="I67" t="s">
        <v>980</v>
      </c>
      <c r="J67" t="s">
        <v>2282</v>
      </c>
      <c r="K67" t="s">
        <v>880</v>
      </c>
      <c r="L67" t="s">
        <v>344</v>
      </c>
      <c r="M67" t="s">
        <v>344</v>
      </c>
      <c r="N67" t="s">
        <v>2263</v>
      </c>
      <c r="O67" t="s">
        <v>2283</v>
      </c>
      <c r="P67" t="s">
        <v>844</v>
      </c>
      <c r="Q67" t="s">
        <v>765</v>
      </c>
      <c r="R67" t="s">
        <v>1016</v>
      </c>
      <c r="S67">
        <v>536.29999999999995</v>
      </c>
      <c r="T67" t="s">
        <v>649</v>
      </c>
      <c r="U67" t="s">
        <v>34</v>
      </c>
      <c r="V67" t="s">
        <v>2265</v>
      </c>
      <c r="W67" t="s">
        <v>2284</v>
      </c>
      <c r="X67" t="s">
        <v>766</v>
      </c>
      <c r="Y67" t="s">
        <v>34</v>
      </c>
      <c r="Z67" t="s">
        <v>1001</v>
      </c>
      <c r="AA67" t="s">
        <v>1031</v>
      </c>
      <c r="AB67" t="s">
        <v>766</v>
      </c>
      <c r="AC67" t="s">
        <v>34</v>
      </c>
      <c r="AD67" t="s">
        <v>767</v>
      </c>
      <c r="AE67" t="s">
        <v>768</v>
      </c>
      <c r="AF67" t="s">
        <v>585</v>
      </c>
      <c r="AG67" t="s">
        <v>1889</v>
      </c>
      <c r="AH67" t="s">
        <v>34</v>
      </c>
      <c r="AI67" t="s">
        <v>34</v>
      </c>
      <c r="AJ67" t="s">
        <v>34</v>
      </c>
      <c r="AK67" t="s">
        <v>34</v>
      </c>
      <c r="AL67" t="s">
        <v>2261</v>
      </c>
      <c r="AM67" t="s">
        <v>2861</v>
      </c>
    </row>
    <row r="68" spans="1:40" x14ac:dyDescent="0.2">
      <c r="A68">
        <v>1275402</v>
      </c>
      <c r="B68">
        <v>57205</v>
      </c>
      <c r="C68" t="s">
        <v>343</v>
      </c>
      <c r="D68" t="s">
        <v>689</v>
      </c>
      <c r="E68" t="s">
        <v>671</v>
      </c>
      <c r="F68" t="s">
        <v>34</v>
      </c>
      <c r="G68" t="s">
        <v>772</v>
      </c>
      <c r="H68" t="s">
        <v>3582</v>
      </c>
      <c r="I68" t="s">
        <v>980</v>
      </c>
      <c r="J68" t="s">
        <v>2279</v>
      </c>
      <c r="K68" t="s">
        <v>880</v>
      </c>
      <c r="L68" t="s">
        <v>343</v>
      </c>
      <c r="M68" t="s">
        <v>343</v>
      </c>
      <c r="N68" t="s">
        <v>2263</v>
      </c>
      <c r="O68" t="s">
        <v>2280</v>
      </c>
      <c r="P68" t="s">
        <v>844</v>
      </c>
      <c r="Q68" t="s">
        <v>765</v>
      </c>
      <c r="R68" t="s">
        <v>1016</v>
      </c>
      <c r="S68">
        <v>536.29999999999995</v>
      </c>
      <c r="T68" t="s">
        <v>649</v>
      </c>
      <c r="U68" t="s">
        <v>34</v>
      </c>
      <c r="V68" t="s">
        <v>2265</v>
      </c>
      <c r="W68" t="s">
        <v>2281</v>
      </c>
      <c r="X68" t="s">
        <v>766</v>
      </c>
      <c r="Y68" t="s">
        <v>34</v>
      </c>
      <c r="Z68" t="s">
        <v>1001</v>
      </c>
      <c r="AA68" t="s">
        <v>1031</v>
      </c>
      <c r="AB68" t="s">
        <v>766</v>
      </c>
      <c r="AC68" t="s">
        <v>34</v>
      </c>
      <c r="AD68" t="s">
        <v>767</v>
      </c>
      <c r="AE68" t="s">
        <v>768</v>
      </c>
      <c r="AF68" t="s">
        <v>585</v>
      </c>
      <c r="AG68" t="s">
        <v>1889</v>
      </c>
      <c r="AH68" t="s">
        <v>34</v>
      </c>
      <c r="AI68" t="s">
        <v>34</v>
      </c>
      <c r="AJ68" t="s">
        <v>34</v>
      </c>
      <c r="AK68" t="s">
        <v>34</v>
      </c>
      <c r="AL68" t="s">
        <v>2261</v>
      </c>
      <c r="AM68" t="s">
        <v>2861</v>
      </c>
    </row>
    <row r="69" spans="1:40" x14ac:dyDescent="0.2">
      <c r="A69">
        <v>1270367</v>
      </c>
      <c r="B69">
        <v>57205</v>
      </c>
      <c r="C69" t="s">
        <v>341</v>
      </c>
      <c r="D69" t="s">
        <v>689</v>
      </c>
      <c r="E69" t="s">
        <v>671</v>
      </c>
      <c r="F69" t="s">
        <v>34</v>
      </c>
      <c r="G69" t="s">
        <v>772</v>
      </c>
      <c r="H69" t="s">
        <v>3582</v>
      </c>
      <c r="I69" t="s">
        <v>980</v>
      </c>
      <c r="J69" t="s">
        <v>2275</v>
      </c>
      <c r="K69" t="s">
        <v>880</v>
      </c>
      <c r="L69" t="s">
        <v>341</v>
      </c>
      <c r="M69" t="s">
        <v>341</v>
      </c>
      <c r="N69" t="s">
        <v>2263</v>
      </c>
      <c r="O69" t="s">
        <v>2276</v>
      </c>
      <c r="P69" t="s">
        <v>844</v>
      </c>
      <c r="Q69" t="s">
        <v>765</v>
      </c>
      <c r="R69" t="s">
        <v>1016</v>
      </c>
      <c r="S69">
        <v>536.29999999999995</v>
      </c>
      <c r="T69" t="s">
        <v>649</v>
      </c>
      <c r="U69" t="s">
        <v>34</v>
      </c>
      <c r="V69" t="s">
        <v>2265</v>
      </c>
      <c r="W69" t="s">
        <v>2277</v>
      </c>
      <c r="X69" t="s">
        <v>766</v>
      </c>
      <c r="Y69" t="s">
        <v>34</v>
      </c>
      <c r="Z69" t="s">
        <v>1001</v>
      </c>
      <c r="AA69" t="s">
        <v>1031</v>
      </c>
      <c r="AB69" t="s">
        <v>766</v>
      </c>
      <c r="AC69" t="s">
        <v>34</v>
      </c>
      <c r="AD69" t="s">
        <v>767</v>
      </c>
      <c r="AE69" t="s">
        <v>768</v>
      </c>
      <c r="AF69" t="s">
        <v>585</v>
      </c>
      <c r="AG69" t="s">
        <v>1889</v>
      </c>
      <c r="AH69" t="s">
        <v>34</v>
      </c>
      <c r="AI69" t="s">
        <v>34</v>
      </c>
      <c r="AJ69" t="s">
        <v>34</v>
      </c>
      <c r="AK69" t="s">
        <v>34</v>
      </c>
      <c r="AL69" t="s">
        <v>2261</v>
      </c>
      <c r="AM69" t="s">
        <v>2861</v>
      </c>
    </row>
    <row r="70" spans="1:40" x14ac:dyDescent="0.2">
      <c r="A70">
        <v>1270365</v>
      </c>
      <c r="B70">
        <v>57205</v>
      </c>
      <c r="C70" t="s">
        <v>339</v>
      </c>
      <c r="D70" t="s">
        <v>689</v>
      </c>
      <c r="E70" t="s">
        <v>671</v>
      </c>
      <c r="F70" t="s">
        <v>34</v>
      </c>
      <c r="G70" t="s">
        <v>772</v>
      </c>
      <c r="H70" t="s">
        <v>3582</v>
      </c>
      <c r="I70" t="s">
        <v>980</v>
      </c>
      <c r="J70" t="s">
        <v>2270</v>
      </c>
      <c r="K70" t="s">
        <v>880</v>
      </c>
      <c r="L70" t="s">
        <v>339</v>
      </c>
      <c r="M70" t="s">
        <v>339</v>
      </c>
      <c r="N70" t="s">
        <v>2263</v>
      </c>
      <c r="O70" t="s">
        <v>2271</v>
      </c>
      <c r="P70" t="s">
        <v>844</v>
      </c>
      <c r="Q70" t="s">
        <v>862</v>
      </c>
      <c r="R70" t="s">
        <v>1016</v>
      </c>
      <c r="S70">
        <v>536.29999999999995</v>
      </c>
      <c r="T70" t="s">
        <v>649</v>
      </c>
      <c r="U70" t="s">
        <v>34</v>
      </c>
      <c r="V70" t="s">
        <v>2265</v>
      </c>
      <c r="W70" t="s">
        <v>2272</v>
      </c>
      <c r="X70" t="s">
        <v>766</v>
      </c>
      <c r="Y70" t="s">
        <v>34</v>
      </c>
      <c r="Z70" t="s">
        <v>1001</v>
      </c>
      <c r="AA70" t="s">
        <v>1031</v>
      </c>
      <c r="AB70" t="s">
        <v>766</v>
      </c>
      <c r="AC70" t="s">
        <v>34</v>
      </c>
      <c r="AD70" t="s">
        <v>767</v>
      </c>
      <c r="AE70" t="s">
        <v>768</v>
      </c>
      <c r="AF70" t="s">
        <v>585</v>
      </c>
      <c r="AG70" t="s">
        <v>1889</v>
      </c>
      <c r="AH70" t="s">
        <v>34</v>
      </c>
      <c r="AI70" t="s">
        <v>34</v>
      </c>
      <c r="AJ70" t="s">
        <v>34</v>
      </c>
      <c r="AK70" t="s">
        <v>34</v>
      </c>
      <c r="AL70" t="s">
        <v>2261</v>
      </c>
      <c r="AM70" t="s">
        <v>2861</v>
      </c>
    </row>
    <row r="71" spans="1:40" x14ac:dyDescent="0.2">
      <c r="A71">
        <v>1270368</v>
      </c>
      <c r="B71">
        <v>57205</v>
      </c>
      <c r="C71" t="s">
        <v>342</v>
      </c>
      <c r="D71" t="s">
        <v>689</v>
      </c>
      <c r="E71" t="s">
        <v>671</v>
      </c>
      <c r="F71" t="s">
        <v>34</v>
      </c>
      <c r="G71" t="s">
        <v>772</v>
      </c>
      <c r="H71" t="s">
        <v>3582</v>
      </c>
      <c r="I71" t="s">
        <v>980</v>
      </c>
      <c r="J71" t="s">
        <v>3180</v>
      </c>
      <c r="K71" t="s">
        <v>880</v>
      </c>
      <c r="L71" t="s">
        <v>342</v>
      </c>
      <c r="M71" t="s">
        <v>342</v>
      </c>
      <c r="N71" t="s">
        <v>2263</v>
      </c>
      <c r="O71" t="s">
        <v>1324</v>
      </c>
      <c r="P71" t="s">
        <v>844</v>
      </c>
      <c r="Q71" t="s">
        <v>862</v>
      </c>
      <c r="R71" t="s">
        <v>2278</v>
      </c>
      <c r="S71">
        <v>25</v>
      </c>
      <c r="T71" t="s">
        <v>649</v>
      </c>
      <c r="U71" t="s">
        <v>34</v>
      </c>
      <c r="V71" t="s">
        <v>2265</v>
      </c>
      <c r="W71" t="s">
        <v>2272</v>
      </c>
      <c r="X71" t="s">
        <v>766</v>
      </c>
      <c r="AC71" t="s">
        <v>34</v>
      </c>
      <c r="AD71" t="s">
        <v>767</v>
      </c>
      <c r="AE71" t="s">
        <v>768</v>
      </c>
      <c r="AF71" t="s">
        <v>585</v>
      </c>
      <c r="AG71" t="s">
        <v>1889</v>
      </c>
      <c r="AH71" t="s">
        <v>34</v>
      </c>
      <c r="AI71" t="s">
        <v>34</v>
      </c>
      <c r="AJ71" t="s">
        <v>34</v>
      </c>
      <c r="AK71" t="s">
        <v>34</v>
      </c>
      <c r="AL71" t="s">
        <v>2261</v>
      </c>
      <c r="AM71" t="s">
        <v>2861</v>
      </c>
    </row>
    <row r="72" spans="1:40" x14ac:dyDescent="0.2">
      <c r="A72">
        <v>1270360</v>
      </c>
      <c r="B72">
        <v>57329</v>
      </c>
      <c r="C72" t="s">
        <v>279</v>
      </c>
      <c r="D72" t="s">
        <v>690</v>
      </c>
      <c r="E72" t="s">
        <v>691</v>
      </c>
      <c r="F72" t="s">
        <v>34</v>
      </c>
      <c r="G72" t="s">
        <v>772</v>
      </c>
      <c r="H72" t="s">
        <v>3569</v>
      </c>
      <c r="I72" t="s">
        <v>980</v>
      </c>
      <c r="J72" t="s">
        <v>366</v>
      </c>
      <c r="K72" t="s">
        <v>1040</v>
      </c>
      <c r="L72">
        <v>1</v>
      </c>
      <c r="M72" t="s">
        <v>279</v>
      </c>
      <c r="N72" t="s">
        <v>3583</v>
      </c>
      <c r="O72" t="s">
        <v>1041</v>
      </c>
      <c r="P72" t="s">
        <v>2914</v>
      </c>
      <c r="Q72" t="s">
        <v>828</v>
      </c>
      <c r="R72" t="s">
        <v>1042</v>
      </c>
      <c r="S72">
        <v>3</v>
      </c>
      <c r="T72" t="s">
        <v>794</v>
      </c>
      <c r="U72">
        <v>1269550</v>
      </c>
      <c r="V72" t="s">
        <v>1043</v>
      </c>
      <c r="W72">
        <v>1704112167</v>
      </c>
      <c r="X72" t="s">
        <v>2917</v>
      </c>
      <c r="Y72" t="s">
        <v>34</v>
      </c>
      <c r="Z72" t="s">
        <v>1043</v>
      </c>
      <c r="AA72">
        <v>1704112167</v>
      </c>
      <c r="AB72" t="s">
        <v>2917</v>
      </c>
      <c r="AC72" t="s">
        <v>34</v>
      </c>
      <c r="AD72" t="s">
        <v>767</v>
      </c>
      <c r="AE72" t="s">
        <v>768</v>
      </c>
      <c r="AF72" t="s">
        <v>585</v>
      </c>
      <c r="AG72" t="s">
        <v>1889</v>
      </c>
      <c r="AH72" t="s">
        <v>34</v>
      </c>
      <c r="AI72" t="s">
        <v>34</v>
      </c>
      <c r="AJ72" t="s">
        <v>34</v>
      </c>
      <c r="AK72" t="s">
        <v>34</v>
      </c>
      <c r="AL72" t="s">
        <v>34</v>
      </c>
      <c r="AM72" t="s">
        <v>2861</v>
      </c>
    </row>
    <row r="73" spans="1:40" x14ac:dyDescent="0.2">
      <c r="A73">
        <v>1276047</v>
      </c>
      <c r="B73">
        <v>57327</v>
      </c>
      <c r="C73" t="s">
        <v>348</v>
      </c>
      <c r="D73" t="s">
        <v>1044</v>
      </c>
      <c r="E73" t="s">
        <v>692</v>
      </c>
      <c r="F73" t="s">
        <v>34</v>
      </c>
      <c r="G73" t="s">
        <v>772</v>
      </c>
      <c r="H73" t="s">
        <v>3569</v>
      </c>
      <c r="I73" t="s">
        <v>980</v>
      </c>
      <c r="J73" t="s">
        <v>350</v>
      </c>
      <c r="K73" t="s">
        <v>1052</v>
      </c>
      <c r="L73">
        <v>411110</v>
      </c>
      <c r="M73" t="s">
        <v>348</v>
      </c>
      <c r="N73" t="s">
        <v>3573</v>
      </c>
      <c r="O73" t="s">
        <v>1045</v>
      </c>
      <c r="P73" t="s">
        <v>2916</v>
      </c>
      <c r="Q73" t="s">
        <v>898</v>
      </c>
      <c r="R73" t="s">
        <v>1046</v>
      </c>
      <c r="S73">
        <v>225</v>
      </c>
      <c r="T73" t="s">
        <v>792</v>
      </c>
      <c r="U73">
        <v>1269549</v>
      </c>
      <c r="V73" t="s">
        <v>937</v>
      </c>
      <c r="W73" t="s">
        <v>1053</v>
      </c>
      <c r="X73" t="s">
        <v>2917</v>
      </c>
      <c r="Y73" t="s">
        <v>34</v>
      </c>
      <c r="Z73" t="s">
        <v>1054</v>
      </c>
      <c r="AA73" t="s">
        <v>1055</v>
      </c>
      <c r="AB73" t="s">
        <v>2917</v>
      </c>
      <c r="AC73" t="s">
        <v>34</v>
      </c>
      <c r="AD73" t="s">
        <v>767</v>
      </c>
      <c r="AE73" t="s">
        <v>768</v>
      </c>
      <c r="AF73" t="s">
        <v>585</v>
      </c>
      <c r="AG73">
        <v>2</v>
      </c>
      <c r="AH73">
        <v>0.05</v>
      </c>
      <c r="AI73">
        <v>0.5</v>
      </c>
      <c r="AJ73" t="s">
        <v>2377</v>
      </c>
      <c r="AK73" t="s">
        <v>34</v>
      </c>
      <c r="AL73" t="s">
        <v>34</v>
      </c>
      <c r="AM73" t="s">
        <v>2861</v>
      </c>
      <c r="AN73">
        <v>1.4583333333333332E-2</v>
      </c>
    </row>
    <row r="74" spans="1:40" x14ac:dyDescent="0.2">
      <c r="A74">
        <v>1276030</v>
      </c>
      <c r="B74">
        <v>57327</v>
      </c>
      <c r="C74" t="s">
        <v>349</v>
      </c>
      <c r="D74" t="s">
        <v>1044</v>
      </c>
      <c r="E74" t="s">
        <v>692</v>
      </c>
      <c r="F74" t="s">
        <v>34</v>
      </c>
      <c r="G74" t="s">
        <v>772</v>
      </c>
      <c r="H74" t="s">
        <v>3569</v>
      </c>
      <c r="I74" t="s">
        <v>980</v>
      </c>
      <c r="J74" t="s">
        <v>350</v>
      </c>
      <c r="K74">
        <v>501</v>
      </c>
      <c r="L74">
        <v>212</v>
      </c>
      <c r="M74" t="s">
        <v>349</v>
      </c>
      <c r="N74" t="s">
        <v>3573</v>
      </c>
      <c r="O74" t="s">
        <v>1045</v>
      </c>
      <c r="P74" t="s">
        <v>2916</v>
      </c>
      <c r="Q74" t="s">
        <v>898</v>
      </c>
      <c r="R74" t="s">
        <v>1046</v>
      </c>
      <c r="S74">
        <v>225</v>
      </c>
      <c r="T74" t="s">
        <v>792</v>
      </c>
      <c r="U74">
        <v>1269621</v>
      </c>
      <c r="V74" t="s">
        <v>1047</v>
      </c>
      <c r="W74" t="s">
        <v>1048</v>
      </c>
      <c r="X74" t="s">
        <v>2917</v>
      </c>
      <c r="Y74" t="s">
        <v>34</v>
      </c>
      <c r="Z74" t="s">
        <v>1049</v>
      </c>
      <c r="AA74" t="s">
        <v>1050</v>
      </c>
      <c r="AB74" t="s">
        <v>2917</v>
      </c>
      <c r="AC74" t="s">
        <v>34</v>
      </c>
      <c r="AD74" t="s">
        <v>767</v>
      </c>
      <c r="AE74" t="s">
        <v>768</v>
      </c>
      <c r="AF74" t="s">
        <v>585</v>
      </c>
      <c r="AG74">
        <v>2.5</v>
      </c>
      <c r="AI74">
        <v>0.9</v>
      </c>
      <c r="AJ74" t="s">
        <v>2376</v>
      </c>
      <c r="AK74" t="s">
        <v>34</v>
      </c>
      <c r="AL74" t="s">
        <v>34</v>
      </c>
      <c r="AM74" t="s">
        <v>2861</v>
      </c>
      <c r="AN74">
        <v>1.4583333333333332E-2</v>
      </c>
    </row>
    <row r="75" spans="1:40" x14ac:dyDescent="0.2">
      <c r="A75">
        <v>2255030</v>
      </c>
      <c r="B75">
        <v>57327</v>
      </c>
      <c r="C75" t="s">
        <v>3228</v>
      </c>
      <c r="D75" t="s">
        <v>1044</v>
      </c>
      <c r="E75" t="s">
        <v>692</v>
      </c>
      <c r="F75" t="s">
        <v>34</v>
      </c>
      <c r="G75" t="s">
        <v>772</v>
      </c>
      <c r="H75" t="s">
        <v>3569</v>
      </c>
      <c r="I75" t="s">
        <v>980</v>
      </c>
      <c r="J75" t="s">
        <v>3229</v>
      </c>
      <c r="K75" t="s">
        <v>3230</v>
      </c>
      <c r="L75" t="s">
        <v>3231</v>
      </c>
      <c r="M75" t="s">
        <v>3228</v>
      </c>
      <c r="N75" t="s">
        <v>3584</v>
      </c>
      <c r="O75" t="s">
        <v>3232</v>
      </c>
      <c r="P75" t="s">
        <v>2916</v>
      </c>
      <c r="Q75" t="s">
        <v>903</v>
      </c>
      <c r="R75" t="s">
        <v>3233</v>
      </c>
      <c r="S75">
        <v>39.6</v>
      </c>
      <c r="T75" t="s">
        <v>3621</v>
      </c>
      <c r="U75">
        <v>2255031</v>
      </c>
      <c r="V75" t="s">
        <v>1882</v>
      </c>
      <c r="W75" t="s">
        <v>3234</v>
      </c>
      <c r="X75" t="s">
        <v>2917</v>
      </c>
      <c r="Y75" t="s">
        <v>34</v>
      </c>
      <c r="Z75" t="s">
        <v>3235</v>
      </c>
      <c r="AA75" t="s">
        <v>3236</v>
      </c>
      <c r="AB75" t="s">
        <v>2917</v>
      </c>
      <c r="AC75" t="s">
        <v>34</v>
      </c>
      <c r="AD75" t="s">
        <v>767</v>
      </c>
      <c r="AE75" t="s">
        <v>768</v>
      </c>
      <c r="AF75" t="s">
        <v>585</v>
      </c>
      <c r="AG75">
        <v>40</v>
      </c>
      <c r="AH75">
        <v>15</v>
      </c>
      <c r="AI75">
        <v>200</v>
      </c>
      <c r="AJ75" t="s">
        <v>3368</v>
      </c>
      <c r="AK75" t="s">
        <v>3369</v>
      </c>
      <c r="AL75" t="s">
        <v>34</v>
      </c>
      <c r="AM75" t="s">
        <v>2861</v>
      </c>
    </row>
    <row r="76" spans="1:40" x14ac:dyDescent="0.2">
      <c r="A76">
        <v>1270355</v>
      </c>
      <c r="B76">
        <v>57290</v>
      </c>
      <c r="C76" t="s">
        <v>353</v>
      </c>
      <c r="D76" t="s">
        <v>694</v>
      </c>
      <c r="E76" t="s">
        <v>695</v>
      </c>
      <c r="F76" t="s">
        <v>34</v>
      </c>
      <c r="G76" t="s">
        <v>772</v>
      </c>
      <c r="H76" t="s">
        <v>3582</v>
      </c>
      <c r="I76" t="s">
        <v>980</v>
      </c>
      <c r="J76" t="s">
        <v>333</v>
      </c>
      <c r="K76" t="s">
        <v>1060</v>
      </c>
      <c r="L76" t="s">
        <v>353</v>
      </c>
      <c r="M76" t="s">
        <v>353</v>
      </c>
      <c r="N76" t="s">
        <v>3585</v>
      </c>
      <c r="O76" t="s">
        <v>1005</v>
      </c>
      <c r="P76" t="s">
        <v>2916</v>
      </c>
      <c r="Q76" t="s">
        <v>903</v>
      </c>
      <c r="R76" t="s">
        <v>1061</v>
      </c>
      <c r="S76">
        <v>618.79999999999995</v>
      </c>
      <c r="T76" t="s">
        <v>791</v>
      </c>
      <c r="U76" t="s">
        <v>34</v>
      </c>
      <c r="V76" t="s">
        <v>987</v>
      </c>
      <c r="W76">
        <v>53128</v>
      </c>
      <c r="X76" t="s">
        <v>2917</v>
      </c>
      <c r="Y76" t="s">
        <v>34</v>
      </c>
      <c r="Z76" t="s">
        <v>927</v>
      </c>
      <c r="AA76" t="s">
        <v>1058</v>
      </c>
      <c r="AB76" t="s">
        <v>2917</v>
      </c>
      <c r="AC76" t="s">
        <v>1059</v>
      </c>
      <c r="AD76" t="s">
        <v>767</v>
      </c>
      <c r="AE76" t="s">
        <v>768</v>
      </c>
      <c r="AF76" t="s">
        <v>585</v>
      </c>
      <c r="AG76">
        <v>17</v>
      </c>
      <c r="AH76">
        <v>0.15</v>
      </c>
      <c r="AI76">
        <v>0.17</v>
      </c>
      <c r="AJ76" t="s">
        <v>34</v>
      </c>
      <c r="AK76" t="s">
        <v>34</v>
      </c>
      <c r="AL76" t="s">
        <v>34</v>
      </c>
      <c r="AM76" t="s">
        <v>2861</v>
      </c>
      <c r="AN76">
        <v>1.4583333333333332E-2</v>
      </c>
    </row>
    <row r="77" spans="1:40" x14ac:dyDescent="0.2">
      <c r="A77">
        <v>1270356</v>
      </c>
      <c r="B77">
        <v>57290</v>
      </c>
      <c r="C77">
        <v>411623</v>
      </c>
      <c r="D77" t="s">
        <v>694</v>
      </c>
      <c r="E77" t="s">
        <v>695</v>
      </c>
      <c r="F77" t="s">
        <v>34</v>
      </c>
      <c r="G77" t="s">
        <v>772</v>
      </c>
      <c r="H77" t="s">
        <v>3582</v>
      </c>
      <c r="I77" t="s">
        <v>980</v>
      </c>
      <c r="J77" t="s">
        <v>350</v>
      </c>
      <c r="K77" t="s">
        <v>1056</v>
      </c>
      <c r="L77">
        <v>411623</v>
      </c>
      <c r="M77">
        <v>411623</v>
      </c>
      <c r="N77" t="s">
        <v>3585</v>
      </c>
      <c r="O77" t="s">
        <v>1005</v>
      </c>
      <c r="P77" t="s">
        <v>2916</v>
      </c>
      <c r="Q77" t="s">
        <v>765</v>
      </c>
      <c r="R77" t="s">
        <v>1057</v>
      </c>
      <c r="S77">
        <v>348.5</v>
      </c>
      <c r="T77" t="s">
        <v>791</v>
      </c>
      <c r="U77" t="s">
        <v>34</v>
      </c>
      <c r="V77" t="s">
        <v>987</v>
      </c>
      <c r="W77">
        <v>47092</v>
      </c>
      <c r="X77" t="s">
        <v>2917</v>
      </c>
      <c r="Y77" t="s">
        <v>34</v>
      </c>
      <c r="Z77" t="s">
        <v>927</v>
      </c>
      <c r="AA77" t="s">
        <v>1058</v>
      </c>
      <c r="AB77" t="s">
        <v>2917</v>
      </c>
      <c r="AC77" t="s">
        <v>1059</v>
      </c>
      <c r="AD77" t="s">
        <v>767</v>
      </c>
      <c r="AE77" t="s">
        <v>768</v>
      </c>
      <c r="AF77" t="s">
        <v>585</v>
      </c>
      <c r="AG77">
        <v>16</v>
      </c>
      <c r="AH77">
        <v>0.55000000000000004</v>
      </c>
      <c r="AI77">
        <v>14.35</v>
      </c>
      <c r="AJ77" t="s">
        <v>2378</v>
      </c>
      <c r="AK77" t="s">
        <v>34</v>
      </c>
      <c r="AL77" t="s">
        <v>34</v>
      </c>
      <c r="AM77" t="s">
        <v>2861</v>
      </c>
      <c r="AN77">
        <v>1.4583333333333332E-2</v>
      </c>
    </row>
    <row r="78" spans="1:40" x14ac:dyDescent="0.2">
      <c r="A78">
        <v>1529808</v>
      </c>
      <c r="B78">
        <v>57283</v>
      </c>
      <c r="C78" t="s">
        <v>279</v>
      </c>
      <c r="D78" t="s">
        <v>1062</v>
      </c>
      <c r="E78" t="s">
        <v>692</v>
      </c>
      <c r="F78" t="s">
        <v>34</v>
      </c>
      <c r="G78" t="s">
        <v>772</v>
      </c>
      <c r="H78" t="s">
        <v>3569</v>
      </c>
      <c r="I78" t="s">
        <v>980</v>
      </c>
      <c r="J78" t="s">
        <v>367</v>
      </c>
      <c r="K78" t="s">
        <v>1063</v>
      </c>
      <c r="L78" t="s">
        <v>1064</v>
      </c>
      <c r="M78" t="s">
        <v>279</v>
      </c>
      <c r="N78" t="s">
        <v>3586</v>
      </c>
      <c r="O78" t="s">
        <v>909</v>
      </c>
      <c r="P78" t="s">
        <v>2914</v>
      </c>
      <c r="Q78" t="s">
        <v>765</v>
      </c>
      <c r="R78" t="s">
        <v>1065</v>
      </c>
      <c r="S78">
        <v>539</v>
      </c>
      <c r="T78" t="s">
        <v>793</v>
      </c>
      <c r="U78">
        <v>1269672</v>
      </c>
      <c r="V78" t="s">
        <v>1066</v>
      </c>
      <c r="W78">
        <v>675626</v>
      </c>
      <c r="X78" t="s">
        <v>2917</v>
      </c>
      <c r="Y78" t="s">
        <v>34</v>
      </c>
      <c r="Z78" t="s">
        <v>851</v>
      </c>
      <c r="AA78" t="s">
        <v>1067</v>
      </c>
      <c r="AB78" t="s">
        <v>2917</v>
      </c>
      <c r="AC78" t="s">
        <v>34</v>
      </c>
      <c r="AD78" t="s">
        <v>767</v>
      </c>
      <c r="AE78" t="s">
        <v>768</v>
      </c>
      <c r="AF78" t="s">
        <v>585</v>
      </c>
      <c r="AG78" t="s">
        <v>1889</v>
      </c>
      <c r="AH78" t="s">
        <v>34</v>
      </c>
      <c r="AI78" t="s">
        <v>34</v>
      </c>
      <c r="AJ78" t="s">
        <v>34</v>
      </c>
      <c r="AK78" t="s">
        <v>34</v>
      </c>
      <c r="AL78" t="s">
        <v>2954</v>
      </c>
      <c r="AM78" t="s">
        <v>2861</v>
      </c>
    </row>
    <row r="79" spans="1:40" x14ac:dyDescent="0.2">
      <c r="A79">
        <v>1270488</v>
      </c>
      <c r="B79">
        <v>57283</v>
      </c>
      <c r="C79" t="s">
        <v>288</v>
      </c>
      <c r="D79" t="s">
        <v>1062</v>
      </c>
      <c r="E79" t="s">
        <v>692</v>
      </c>
      <c r="F79" t="s">
        <v>34</v>
      </c>
      <c r="G79" t="s">
        <v>772</v>
      </c>
      <c r="H79" t="s">
        <v>2894</v>
      </c>
      <c r="I79" t="s">
        <v>980</v>
      </c>
      <c r="J79" t="s">
        <v>1125</v>
      </c>
      <c r="K79" t="s">
        <v>1126</v>
      </c>
      <c r="L79" t="s">
        <v>1127</v>
      </c>
      <c r="M79" t="s">
        <v>288</v>
      </c>
      <c r="N79" t="s">
        <v>2895</v>
      </c>
      <c r="O79" t="s">
        <v>1128</v>
      </c>
      <c r="P79" t="s">
        <v>2928</v>
      </c>
      <c r="Q79" t="s">
        <v>765</v>
      </c>
      <c r="R79" t="s">
        <v>1129</v>
      </c>
      <c r="S79">
        <v>525</v>
      </c>
      <c r="T79" t="s">
        <v>793</v>
      </c>
      <c r="U79">
        <v>1269638</v>
      </c>
      <c r="V79" t="s">
        <v>1066</v>
      </c>
      <c r="W79">
        <v>675624</v>
      </c>
      <c r="X79" t="s">
        <v>2917</v>
      </c>
      <c r="AC79" t="s">
        <v>34</v>
      </c>
      <c r="AD79" t="s">
        <v>767</v>
      </c>
      <c r="AE79" t="s">
        <v>768</v>
      </c>
      <c r="AF79" t="s">
        <v>585</v>
      </c>
      <c r="AG79" t="s">
        <v>1889</v>
      </c>
      <c r="AH79" t="s">
        <v>34</v>
      </c>
      <c r="AI79" t="s">
        <v>34</v>
      </c>
      <c r="AJ79" t="s">
        <v>34</v>
      </c>
      <c r="AK79" t="s">
        <v>34</v>
      </c>
      <c r="AL79" t="s">
        <v>2954</v>
      </c>
      <c r="AM79" t="s">
        <v>2861</v>
      </c>
    </row>
    <row r="80" spans="1:40" x14ac:dyDescent="0.2">
      <c r="A80">
        <v>1270484</v>
      </c>
      <c r="B80">
        <v>57283</v>
      </c>
      <c r="C80" t="s">
        <v>289</v>
      </c>
      <c r="D80" t="s">
        <v>1062</v>
      </c>
      <c r="E80" t="s">
        <v>692</v>
      </c>
      <c r="F80" t="s">
        <v>34</v>
      </c>
      <c r="G80" t="s">
        <v>772</v>
      </c>
      <c r="H80" t="s">
        <v>3569</v>
      </c>
      <c r="I80" t="s">
        <v>980</v>
      </c>
      <c r="J80" t="s">
        <v>1096</v>
      </c>
      <c r="K80" t="s">
        <v>1097</v>
      </c>
      <c r="L80" t="s">
        <v>1098</v>
      </c>
      <c r="M80" t="s">
        <v>289</v>
      </c>
      <c r="N80" t="s">
        <v>3586</v>
      </c>
      <c r="O80" t="s">
        <v>1099</v>
      </c>
      <c r="P80" t="s">
        <v>2914</v>
      </c>
      <c r="Q80" t="s">
        <v>765</v>
      </c>
      <c r="R80" t="s">
        <v>1100</v>
      </c>
      <c r="S80">
        <v>188.1</v>
      </c>
      <c r="T80" t="s">
        <v>793</v>
      </c>
      <c r="U80">
        <v>1269636</v>
      </c>
      <c r="V80" t="s">
        <v>1101</v>
      </c>
      <c r="W80" t="s">
        <v>1102</v>
      </c>
      <c r="X80" t="s">
        <v>2917</v>
      </c>
      <c r="Y80" t="s">
        <v>34</v>
      </c>
      <c r="Z80" t="s">
        <v>1076</v>
      </c>
      <c r="AA80">
        <v>5256764</v>
      </c>
      <c r="AB80" t="s">
        <v>2917</v>
      </c>
      <c r="AC80" t="s">
        <v>34</v>
      </c>
      <c r="AD80" t="s">
        <v>767</v>
      </c>
      <c r="AE80" t="s">
        <v>768</v>
      </c>
      <c r="AF80" t="s">
        <v>585</v>
      </c>
      <c r="AG80" t="s">
        <v>1889</v>
      </c>
      <c r="AH80" t="s">
        <v>34</v>
      </c>
      <c r="AI80" t="s">
        <v>34</v>
      </c>
      <c r="AJ80" t="s">
        <v>34</v>
      </c>
      <c r="AK80" t="s">
        <v>34</v>
      </c>
      <c r="AL80" t="s">
        <v>2954</v>
      </c>
      <c r="AM80" t="s">
        <v>2864</v>
      </c>
    </row>
    <row r="81" spans="1:40" x14ac:dyDescent="0.2">
      <c r="A81">
        <v>1270491</v>
      </c>
      <c r="B81">
        <v>57283</v>
      </c>
      <c r="C81" t="s">
        <v>283</v>
      </c>
      <c r="D81" t="s">
        <v>1062</v>
      </c>
      <c r="E81" t="s">
        <v>692</v>
      </c>
      <c r="F81" t="s">
        <v>34</v>
      </c>
      <c r="G81" t="s">
        <v>772</v>
      </c>
      <c r="H81" t="s">
        <v>3569</v>
      </c>
      <c r="I81" t="s">
        <v>980</v>
      </c>
      <c r="J81" t="s">
        <v>367</v>
      </c>
      <c r="K81" t="s">
        <v>1063</v>
      </c>
      <c r="L81" t="s">
        <v>1103</v>
      </c>
      <c r="M81" t="s">
        <v>283</v>
      </c>
      <c r="N81" t="s">
        <v>3587</v>
      </c>
      <c r="O81" t="s">
        <v>1104</v>
      </c>
      <c r="P81" t="s">
        <v>2928</v>
      </c>
      <c r="Q81" t="s">
        <v>765</v>
      </c>
      <c r="R81" t="s">
        <v>1105</v>
      </c>
      <c r="S81">
        <v>577.5</v>
      </c>
      <c r="T81" t="s">
        <v>793</v>
      </c>
      <c r="U81">
        <v>1269635</v>
      </c>
      <c r="V81" t="s">
        <v>1106</v>
      </c>
      <c r="W81" t="s">
        <v>1107</v>
      </c>
      <c r="X81" t="s">
        <v>2917</v>
      </c>
      <c r="Y81" t="s">
        <v>34</v>
      </c>
      <c r="Z81" t="s">
        <v>949</v>
      </c>
      <c r="AA81" t="s">
        <v>1067</v>
      </c>
      <c r="AB81" t="s">
        <v>2917</v>
      </c>
      <c r="AC81" t="s">
        <v>34</v>
      </c>
      <c r="AD81" t="s">
        <v>767</v>
      </c>
      <c r="AE81" t="s">
        <v>768</v>
      </c>
      <c r="AF81" t="s">
        <v>585</v>
      </c>
      <c r="AG81" t="s">
        <v>1889</v>
      </c>
      <c r="AH81" t="s">
        <v>34</v>
      </c>
      <c r="AI81" t="s">
        <v>34</v>
      </c>
      <c r="AJ81" t="s">
        <v>34</v>
      </c>
      <c r="AK81" t="s">
        <v>34</v>
      </c>
      <c r="AL81" t="s">
        <v>2954</v>
      </c>
      <c r="AM81" t="s">
        <v>2861</v>
      </c>
    </row>
    <row r="82" spans="1:40" x14ac:dyDescent="0.2">
      <c r="A82">
        <v>1270353</v>
      </c>
      <c r="B82">
        <v>57283</v>
      </c>
      <c r="C82" t="s">
        <v>358</v>
      </c>
      <c r="D82" t="s">
        <v>1062</v>
      </c>
      <c r="E82" t="s">
        <v>692</v>
      </c>
      <c r="F82" t="s">
        <v>34</v>
      </c>
      <c r="G82" t="s">
        <v>772</v>
      </c>
      <c r="H82" t="s">
        <v>3569</v>
      </c>
      <c r="I82" t="s">
        <v>980</v>
      </c>
      <c r="J82" t="s">
        <v>366</v>
      </c>
      <c r="K82" t="s">
        <v>1090</v>
      </c>
      <c r="L82" t="s">
        <v>1091</v>
      </c>
      <c r="M82" t="s">
        <v>358</v>
      </c>
      <c r="N82" t="s">
        <v>3573</v>
      </c>
      <c r="O82" t="s">
        <v>1092</v>
      </c>
      <c r="P82" t="s">
        <v>2916</v>
      </c>
      <c r="Q82" t="s">
        <v>765</v>
      </c>
      <c r="R82" t="s">
        <v>1093</v>
      </c>
      <c r="S82">
        <v>7.9</v>
      </c>
      <c r="T82" t="s">
        <v>791</v>
      </c>
      <c r="U82">
        <v>1269634</v>
      </c>
      <c r="V82" t="s">
        <v>1094</v>
      </c>
      <c r="W82" t="s">
        <v>1095</v>
      </c>
      <c r="X82" t="s">
        <v>2917</v>
      </c>
      <c r="Y82" t="s">
        <v>34</v>
      </c>
      <c r="Z82" t="s">
        <v>1076</v>
      </c>
      <c r="AA82" t="s">
        <v>1089</v>
      </c>
      <c r="AB82" t="s">
        <v>2917</v>
      </c>
      <c r="AC82" t="s">
        <v>34</v>
      </c>
      <c r="AD82" t="s">
        <v>767</v>
      </c>
      <c r="AE82" t="s">
        <v>768</v>
      </c>
      <c r="AF82" t="s">
        <v>585</v>
      </c>
      <c r="AG82" t="s">
        <v>3117</v>
      </c>
      <c r="AH82" t="s">
        <v>34</v>
      </c>
      <c r="AI82" t="s">
        <v>34</v>
      </c>
      <c r="AJ82" t="s">
        <v>34</v>
      </c>
      <c r="AK82" t="s">
        <v>34</v>
      </c>
      <c r="AL82" t="s">
        <v>2954</v>
      </c>
      <c r="AM82" t="s">
        <v>2861</v>
      </c>
    </row>
    <row r="83" spans="1:40" x14ac:dyDescent="0.2">
      <c r="A83">
        <v>1270485</v>
      </c>
      <c r="B83">
        <v>57283</v>
      </c>
      <c r="C83" t="s">
        <v>282</v>
      </c>
      <c r="D83" t="s">
        <v>1062</v>
      </c>
      <c r="E83" t="s">
        <v>692</v>
      </c>
      <c r="F83" t="s">
        <v>34</v>
      </c>
      <c r="G83" t="s">
        <v>772</v>
      </c>
      <c r="H83" t="s">
        <v>3569</v>
      </c>
      <c r="I83" t="s">
        <v>980</v>
      </c>
      <c r="J83" t="s">
        <v>951</v>
      </c>
      <c r="K83">
        <v>80573</v>
      </c>
      <c r="L83" t="s">
        <v>1116</v>
      </c>
      <c r="M83" t="s">
        <v>282</v>
      </c>
      <c r="N83" t="s">
        <v>3588</v>
      </c>
      <c r="O83" t="s">
        <v>2983</v>
      </c>
      <c r="P83" t="s">
        <v>2942</v>
      </c>
      <c r="Q83" t="s">
        <v>765</v>
      </c>
      <c r="R83" t="s">
        <v>1117</v>
      </c>
      <c r="S83">
        <v>19.399999999999999</v>
      </c>
      <c r="T83" t="s">
        <v>793</v>
      </c>
      <c r="U83" t="s">
        <v>34</v>
      </c>
      <c r="V83" t="s">
        <v>1118</v>
      </c>
      <c r="W83" t="s">
        <v>1119</v>
      </c>
      <c r="X83" t="s">
        <v>2917</v>
      </c>
      <c r="Y83" t="s">
        <v>34</v>
      </c>
      <c r="Z83" t="s">
        <v>851</v>
      </c>
      <c r="AA83">
        <v>5256764</v>
      </c>
      <c r="AB83" t="s">
        <v>2917</v>
      </c>
      <c r="AC83" t="s">
        <v>34</v>
      </c>
      <c r="AD83" t="s">
        <v>767</v>
      </c>
      <c r="AE83" t="s">
        <v>768</v>
      </c>
      <c r="AF83" t="s">
        <v>585</v>
      </c>
      <c r="AG83" t="s">
        <v>1889</v>
      </c>
      <c r="AH83" t="s">
        <v>34</v>
      </c>
      <c r="AI83" t="s">
        <v>34</v>
      </c>
      <c r="AJ83" t="s">
        <v>34</v>
      </c>
      <c r="AK83" t="s">
        <v>34</v>
      </c>
      <c r="AL83" t="s">
        <v>2954</v>
      </c>
      <c r="AM83" t="s">
        <v>2861</v>
      </c>
    </row>
    <row r="84" spans="1:40" x14ac:dyDescent="0.2">
      <c r="A84">
        <v>1270487</v>
      </c>
      <c r="B84">
        <v>57283</v>
      </c>
      <c r="C84" t="s">
        <v>290</v>
      </c>
      <c r="D84" t="s">
        <v>1062</v>
      </c>
      <c r="E84" t="s">
        <v>692</v>
      </c>
      <c r="F84" t="s">
        <v>34</v>
      </c>
      <c r="G84" t="s">
        <v>772</v>
      </c>
      <c r="H84" t="s">
        <v>3569</v>
      </c>
      <c r="I84" t="s">
        <v>980</v>
      </c>
      <c r="J84" t="s">
        <v>1120</v>
      </c>
      <c r="K84" t="s">
        <v>1121</v>
      </c>
      <c r="L84" t="s">
        <v>1122</v>
      </c>
      <c r="M84" t="s">
        <v>290</v>
      </c>
      <c r="N84" t="s">
        <v>3587</v>
      </c>
      <c r="O84" t="s">
        <v>3330</v>
      </c>
      <c r="P84" t="s">
        <v>2928</v>
      </c>
      <c r="Q84" t="s">
        <v>828</v>
      </c>
      <c r="R84" t="s">
        <v>3331</v>
      </c>
      <c r="S84">
        <v>12</v>
      </c>
      <c r="T84" t="s">
        <v>793</v>
      </c>
      <c r="U84" t="s">
        <v>34</v>
      </c>
      <c r="V84" t="s">
        <v>3332</v>
      </c>
      <c r="W84" t="s">
        <v>3333</v>
      </c>
      <c r="X84" t="s">
        <v>2917</v>
      </c>
      <c r="Y84" t="s">
        <v>34</v>
      </c>
      <c r="Z84" t="s">
        <v>851</v>
      </c>
      <c r="AA84" t="s">
        <v>1124</v>
      </c>
      <c r="AB84" t="s">
        <v>2917</v>
      </c>
      <c r="AC84" t="s">
        <v>34</v>
      </c>
      <c r="AD84" t="s">
        <v>767</v>
      </c>
      <c r="AE84" t="s">
        <v>768</v>
      </c>
      <c r="AF84" t="s">
        <v>585</v>
      </c>
      <c r="AG84" t="s">
        <v>1889</v>
      </c>
      <c r="AH84" t="s">
        <v>34</v>
      </c>
      <c r="AI84" t="s">
        <v>34</v>
      </c>
      <c r="AJ84" t="s">
        <v>34</v>
      </c>
      <c r="AK84" t="s">
        <v>34</v>
      </c>
      <c r="AL84" t="s">
        <v>2954</v>
      </c>
      <c r="AM84" t="s">
        <v>2862</v>
      </c>
    </row>
    <row r="85" spans="1:40" x14ac:dyDescent="0.2">
      <c r="A85">
        <v>1270421</v>
      </c>
      <c r="B85">
        <v>57283</v>
      </c>
      <c r="C85" t="s">
        <v>582</v>
      </c>
      <c r="D85" t="s">
        <v>1062</v>
      </c>
      <c r="E85" t="s">
        <v>692</v>
      </c>
      <c r="F85" t="s">
        <v>34</v>
      </c>
      <c r="G85" t="s">
        <v>772</v>
      </c>
      <c r="H85" t="s">
        <v>3569</v>
      </c>
      <c r="I85" t="s">
        <v>980</v>
      </c>
      <c r="J85" t="s">
        <v>286</v>
      </c>
      <c r="K85" t="s">
        <v>1071</v>
      </c>
      <c r="L85" t="s">
        <v>1072</v>
      </c>
      <c r="M85" t="s">
        <v>582</v>
      </c>
      <c r="N85" t="s">
        <v>3586</v>
      </c>
      <c r="O85" t="s">
        <v>1073</v>
      </c>
      <c r="P85" t="s">
        <v>2914</v>
      </c>
      <c r="Q85" t="s">
        <v>765</v>
      </c>
      <c r="R85" t="s">
        <v>1074</v>
      </c>
      <c r="S85">
        <v>17.3</v>
      </c>
      <c r="T85" t="s">
        <v>793</v>
      </c>
      <c r="U85" t="s">
        <v>34</v>
      </c>
      <c r="V85" t="s">
        <v>1075</v>
      </c>
      <c r="W85" t="s">
        <v>1075</v>
      </c>
      <c r="X85" t="s">
        <v>2917</v>
      </c>
      <c r="Y85" t="s">
        <v>34</v>
      </c>
      <c r="Z85" t="s">
        <v>1076</v>
      </c>
      <c r="AA85">
        <v>5256764</v>
      </c>
      <c r="AB85" t="s">
        <v>2917</v>
      </c>
      <c r="AC85" t="s">
        <v>34</v>
      </c>
      <c r="AD85" t="s">
        <v>767</v>
      </c>
      <c r="AE85" t="s">
        <v>768</v>
      </c>
      <c r="AF85" t="s">
        <v>585</v>
      </c>
      <c r="AG85" t="s">
        <v>1889</v>
      </c>
      <c r="AH85" t="s">
        <v>34</v>
      </c>
      <c r="AI85" t="s">
        <v>34</v>
      </c>
      <c r="AJ85" t="s">
        <v>34</v>
      </c>
      <c r="AK85" t="s">
        <v>34</v>
      </c>
      <c r="AL85" t="s">
        <v>2954</v>
      </c>
      <c r="AM85" t="s">
        <v>2861</v>
      </c>
    </row>
    <row r="86" spans="1:40" x14ac:dyDescent="0.2">
      <c r="A86">
        <v>1270493</v>
      </c>
      <c r="B86">
        <v>57283</v>
      </c>
      <c r="C86" t="s">
        <v>653</v>
      </c>
      <c r="D86" t="s">
        <v>1062</v>
      </c>
      <c r="E86" t="s">
        <v>692</v>
      </c>
      <c r="F86" t="s">
        <v>34</v>
      </c>
      <c r="G86" t="s">
        <v>772</v>
      </c>
      <c r="H86" t="s">
        <v>3569</v>
      </c>
      <c r="I86" t="s">
        <v>980</v>
      </c>
      <c r="J86" t="s">
        <v>287</v>
      </c>
      <c r="K86" t="s">
        <v>1068</v>
      </c>
      <c r="L86">
        <v>1280</v>
      </c>
      <c r="M86" t="s">
        <v>653</v>
      </c>
      <c r="N86" t="s">
        <v>3573</v>
      </c>
      <c r="O86" t="s">
        <v>1157</v>
      </c>
      <c r="P86" t="s">
        <v>2916</v>
      </c>
      <c r="Q86" t="s">
        <v>765</v>
      </c>
      <c r="R86" t="s">
        <v>1069</v>
      </c>
      <c r="S86">
        <v>480</v>
      </c>
      <c r="T86" t="s">
        <v>791</v>
      </c>
      <c r="U86">
        <v>1526242</v>
      </c>
      <c r="V86" t="s">
        <v>2678</v>
      </c>
      <c r="W86">
        <v>22973</v>
      </c>
      <c r="X86" t="s">
        <v>2917</v>
      </c>
      <c r="Y86" t="s">
        <v>34</v>
      </c>
      <c r="Z86" t="s">
        <v>851</v>
      </c>
      <c r="AA86" t="s">
        <v>1067</v>
      </c>
      <c r="AB86" t="s">
        <v>2917</v>
      </c>
      <c r="AC86" t="s">
        <v>34</v>
      </c>
      <c r="AD86" t="s">
        <v>767</v>
      </c>
      <c r="AE86" t="s">
        <v>768</v>
      </c>
      <c r="AF86" t="s">
        <v>585</v>
      </c>
      <c r="AG86" t="s">
        <v>1889</v>
      </c>
      <c r="AH86" t="s">
        <v>34</v>
      </c>
      <c r="AI86" t="s">
        <v>34</v>
      </c>
      <c r="AJ86" t="s">
        <v>34</v>
      </c>
      <c r="AK86" t="s">
        <v>34</v>
      </c>
      <c r="AL86" t="s">
        <v>2954</v>
      </c>
      <c r="AM86" t="s">
        <v>2861</v>
      </c>
    </row>
    <row r="87" spans="1:40" x14ac:dyDescent="0.2">
      <c r="A87">
        <v>1270348</v>
      </c>
      <c r="B87">
        <v>57283</v>
      </c>
      <c r="C87" t="s">
        <v>629</v>
      </c>
      <c r="D87" t="s">
        <v>1062</v>
      </c>
      <c r="E87" t="s">
        <v>692</v>
      </c>
      <c r="F87" t="s">
        <v>34</v>
      </c>
      <c r="G87" t="s">
        <v>772</v>
      </c>
      <c r="H87" t="s">
        <v>3569</v>
      </c>
      <c r="I87" t="s">
        <v>980</v>
      </c>
      <c r="J87" t="s">
        <v>1080</v>
      </c>
      <c r="K87" t="s">
        <v>1081</v>
      </c>
      <c r="L87">
        <v>54087</v>
      </c>
      <c r="M87" t="s">
        <v>629</v>
      </c>
      <c r="N87" t="s">
        <v>3587</v>
      </c>
      <c r="O87" t="s">
        <v>1073</v>
      </c>
      <c r="P87" t="s">
        <v>2928</v>
      </c>
      <c r="Q87" t="s">
        <v>828</v>
      </c>
      <c r="R87" t="s">
        <v>1082</v>
      </c>
      <c r="S87">
        <v>60.5</v>
      </c>
      <c r="T87" t="s">
        <v>793</v>
      </c>
      <c r="U87">
        <v>1269699</v>
      </c>
      <c r="V87" t="s">
        <v>1083</v>
      </c>
      <c r="W87" t="s">
        <v>1084</v>
      </c>
      <c r="X87" t="s">
        <v>2917</v>
      </c>
      <c r="Y87" t="s">
        <v>34</v>
      </c>
      <c r="Z87" t="s">
        <v>1076</v>
      </c>
      <c r="AA87">
        <v>5256764</v>
      </c>
      <c r="AB87" t="s">
        <v>2917</v>
      </c>
      <c r="AC87" t="s">
        <v>34</v>
      </c>
      <c r="AD87" t="s">
        <v>767</v>
      </c>
      <c r="AE87" t="s">
        <v>768</v>
      </c>
      <c r="AF87" t="s">
        <v>585</v>
      </c>
      <c r="AG87" t="s">
        <v>1889</v>
      </c>
      <c r="AH87" t="s">
        <v>34</v>
      </c>
      <c r="AI87" t="s">
        <v>34</v>
      </c>
      <c r="AJ87" t="s">
        <v>34</v>
      </c>
      <c r="AK87" t="s">
        <v>34</v>
      </c>
      <c r="AL87" t="s">
        <v>2954</v>
      </c>
      <c r="AM87" t="s">
        <v>2862</v>
      </c>
    </row>
    <row r="88" spans="1:40" x14ac:dyDescent="0.2">
      <c r="A88">
        <v>1270350</v>
      </c>
      <c r="B88">
        <v>57283</v>
      </c>
      <c r="C88" t="s">
        <v>589</v>
      </c>
      <c r="D88" t="s">
        <v>1062</v>
      </c>
      <c r="E88" t="s">
        <v>692</v>
      </c>
      <c r="F88" t="s">
        <v>34</v>
      </c>
      <c r="G88" t="s">
        <v>772</v>
      </c>
      <c r="H88" t="s">
        <v>3569</v>
      </c>
      <c r="I88" t="s">
        <v>980</v>
      </c>
      <c r="J88" t="s">
        <v>281</v>
      </c>
      <c r="K88" t="s">
        <v>1085</v>
      </c>
      <c r="L88">
        <v>370334</v>
      </c>
      <c r="M88" t="s">
        <v>589</v>
      </c>
      <c r="N88" t="s">
        <v>3573</v>
      </c>
      <c r="O88" t="s">
        <v>1492</v>
      </c>
      <c r="P88" t="s">
        <v>2916</v>
      </c>
      <c r="Q88" t="s">
        <v>765</v>
      </c>
      <c r="R88" t="s">
        <v>1086</v>
      </c>
      <c r="S88">
        <v>12</v>
      </c>
      <c r="T88" t="s">
        <v>792</v>
      </c>
      <c r="U88">
        <v>1269630</v>
      </c>
      <c r="V88" t="s">
        <v>1087</v>
      </c>
      <c r="W88" t="s">
        <v>1088</v>
      </c>
      <c r="X88" t="s">
        <v>2917</v>
      </c>
      <c r="Y88" t="s">
        <v>34</v>
      </c>
      <c r="Z88" t="s">
        <v>1076</v>
      </c>
      <c r="AA88" t="s">
        <v>1089</v>
      </c>
      <c r="AB88" t="s">
        <v>2917</v>
      </c>
      <c r="AC88" t="s">
        <v>34</v>
      </c>
      <c r="AD88" t="s">
        <v>767</v>
      </c>
      <c r="AE88" t="s">
        <v>768</v>
      </c>
      <c r="AF88" t="s">
        <v>585</v>
      </c>
      <c r="AG88" t="s">
        <v>1889</v>
      </c>
      <c r="AH88" t="s">
        <v>34</v>
      </c>
      <c r="AI88" t="s">
        <v>34</v>
      </c>
      <c r="AJ88" t="s">
        <v>34</v>
      </c>
      <c r="AK88" t="s">
        <v>34</v>
      </c>
      <c r="AL88" t="s">
        <v>2954</v>
      </c>
      <c r="AM88" t="s">
        <v>2862</v>
      </c>
    </row>
    <row r="89" spans="1:40" x14ac:dyDescent="0.2">
      <c r="A89">
        <v>1276494</v>
      </c>
      <c r="B89">
        <v>57283</v>
      </c>
      <c r="C89" t="s">
        <v>2287</v>
      </c>
      <c r="D89" t="s">
        <v>1062</v>
      </c>
      <c r="E89" t="s">
        <v>692</v>
      </c>
      <c r="F89" t="s">
        <v>34</v>
      </c>
      <c r="G89" t="s">
        <v>772</v>
      </c>
      <c r="H89" t="s">
        <v>3569</v>
      </c>
      <c r="I89" t="s">
        <v>980</v>
      </c>
      <c r="J89" t="s">
        <v>291</v>
      </c>
      <c r="K89" t="s">
        <v>1077</v>
      </c>
      <c r="L89">
        <v>70773</v>
      </c>
      <c r="M89" t="s">
        <v>357</v>
      </c>
      <c r="N89" t="s">
        <v>3573</v>
      </c>
      <c r="O89" t="s">
        <v>3589</v>
      </c>
      <c r="P89" t="s">
        <v>2916</v>
      </c>
      <c r="Q89" t="s">
        <v>903</v>
      </c>
      <c r="R89" t="s">
        <v>1078</v>
      </c>
      <c r="S89">
        <v>121</v>
      </c>
      <c r="T89" t="s">
        <v>791</v>
      </c>
      <c r="U89" t="s">
        <v>34</v>
      </c>
      <c r="V89" t="s">
        <v>1079</v>
      </c>
      <c r="W89">
        <v>5.25</v>
      </c>
      <c r="X89" t="s">
        <v>2917</v>
      </c>
      <c r="Y89" t="s">
        <v>34</v>
      </c>
      <c r="Z89" t="s">
        <v>1076</v>
      </c>
      <c r="AA89">
        <v>5256764</v>
      </c>
      <c r="AB89" t="s">
        <v>2917</v>
      </c>
      <c r="AC89" t="s">
        <v>34</v>
      </c>
      <c r="AD89" t="s">
        <v>767</v>
      </c>
      <c r="AE89" t="s">
        <v>768</v>
      </c>
      <c r="AF89" t="s">
        <v>585</v>
      </c>
      <c r="AG89" t="s">
        <v>1889</v>
      </c>
      <c r="AH89" t="s">
        <v>34</v>
      </c>
      <c r="AI89" t="s">
        <v>34</v>
      </c>
      <c r="AJ89" t="s">
        <v>34</v>
      </c>
      <c r="AK89" t="s">
        <v>34</v>
      </c>
      <c r="AL89" t="s">
        <v>2954</v>
      </c>
      <c r="AM89" t="s">
        <v>2864</v>
      </c>
    </row>
    <row r="90" spans="1:40" x14ac:dyDescent="0.2">
      <c r="A90">
        <v>1270490</v>
      </c>
      <c r="B90">
        <v>57283</v>
      </c>
      <c r="C90" t="s">
        <v>2289</v>
      </c>
      <c r="D90" t="s">
        <v>1062</v>
      </c>
      <c r="E90" t="s">
        <v>692</v>
      </c>
      <c r="F90" t="s">
        <v>34</v>
      </c>
      <c r="G90" t="s">
        <v>772</v>
      </c>
      <c r="H90" t="s">
        <v>3569</v>
      </c>
      <c r="I90" t="s">
        <v>980</v>
      </c>
      <c r="J90" t="s">
        <v>367</v>
      </c>
      <c r="K90" t="s">
        <v>1108</v>
      </c>
      <c r="L90" t="s">
        <v>1113</v>
      </c>
      <c r="M90" t="s">
        <v>356</v>
      </c>
      <c r="N90" t="s">
        <v>3587</v>
      </c>
      <c r="O90" t="s">
        <v>1114</v>
      </c>
      <c r="P90" t="s">
        <v>2928</v>
      </c>
      <c r="Q90" t="s">
        <v>903</v>
      </c>
      <c r="R90" t="s">
        <v>1115</v>
      </c>
      <c r="S90">
        <v>1298</v>
      </c>
      <c r="T90" t="s">
        <v>793</v>
      </c>
      <c r="U90" t="s">
        <v>34</v>
      </c>
      <c r="V90" t="s">
        <v>1035</v>
      </c>
      <c r="W90">
        <v>23144</v>
      </c>
      <c r="X90" t="s">
        <v>2917</v>
      </c>
      <c r="Y90" t="s">
        <v>34</v>
      </c>
      <c r="Z90" t="s">
        <v>851</v>
      </c>
      <c r="AA90" t="s">
        <v>1112</v>
      </c>
      <c r="AB90" t="s">
        <v>2917</v>
      </c>
      <c r="AC90" t="s">
        <v>34</v>
      </c>
      <c r="AD90" t="s">
        <v>767</v>
      </c>
      <c r="AE90" t="s">
        <v>768</v>
      </c>
      <c r="AF90" t="s">
        <v>585</v>
      </c>
      <c r="AG90" t="s">
        <v>1889</v>
      </c>
      <c r="AH90" t="s">
        <v>34</v>
      </c>
      <c r="AI90" t="s">
        <v>34</v>
      </c>
      <c r="AJ90" t="s">
        <v>34</v>
      </c>
      <c r="AK90" t="s">
        <v>34</v>
      </c>
      <c r="AL90" t="s">
        <v>2954</v>
      </c>
      <c r="AM90" t="s">
        <v>2861</v>
      </c>
    </row>
    <row r="91" spans="1:40" x14ac:dyDescent="0.2">
      <c r="A91">
        <v>1270489</v>
      </c>
      <c r="B91">
        <v>57283</v>
      </c>
      <c r="C91" t="s">
        <v>2288</v>
      </c>
      <c r="D91" t="s">
        <v>1062</v>
      </c>
      <c r="E91" t="s">
        <v>692</v>
      </c>
      <c r="F91" t="s">
        <v>34</v>
      </c>
      <c r="G91" t="s">
        <v>772</v>
      </c>
      <c r="H91" t="s">
        <v>3569</v>
      </c>
      <c r="I91" t="s">
        <v>980</v>
      </c>
      <c r="J91" t="s">
        <v>367</v>
      </c>
      <c r="K91" t="s">
        <v>1108</v>
      </c>
      <c r="L91" t="s">
        <v>1109</v>
      </c>
      <c r="M91" t="s">
        <v>355</v>
      </c>
      <c r="N91" t="s">
        <v>3587</v>
      </c>
      <c r="O91" t="s">
        <v>1110</v>
      </c>
      <c r="P91" t="s">
        <v>2928</v>
      </c>
      <c r="Q91" t="s">
        <v>903</v>
      </c>
      <c r="R91" t="s">
        <v>1111</v>
      </c>
      <c r="S91">
        <v>1377</v>
      </c>
      <c r="T91" t="s">
        <v>793</v>
      </c>
      <c r="U91" t="s">
        <v>34</v>
      </c>
      <c r="V91" t="s">
        <v>1035</v>
      </c>
      <c r="W91">
        <v>23144</v>
      </c>
      <c r="X91" t="s">
        <v>2917</v>
      </c>
      <c r="Y91" t="s">
        <v>34</v>
      </c>
      <c r="Z91" t="s">
        <v>851</v>
      </c>
      <c r="AA91" t="s">
        <v>1112</v>
      </c>
      <c r="AB91" t="s">
        <v>2917</v>
      </c>
      <c r="AC91" t="s">
        <v>34</v>
      </c>
      <c r="AD91" t="s">
        <v>767</v>
      </c>
      <c r="AE91" t="s">
        <v>768</v>
      </c>
      <c r="AF91" t="s">
        <v>585</v>
      </c>
      <c r="AG91" t="s">
        <v>1889</v>
      </c>
      <c r="AH91" t="s">
        <v>34</v>
      </c>
      <c r="AI91" t="s">
        <v>34</v>
      </c>
      <c r="AJ91" t="s">
        <v>34</v>
      </c>
      <c r="AK91" t="s">
        <v>34</v>
      </c>
      <c r="AL91" t="s">
        <v>2954</v>
      </c>
      <c r="AM91" t="s">
        <v>2861</v>
      </c>
    </row>
    <row r="92" spans="1:40" x14ac:dyDescent="0.2">
      <c r="A92">
        <v>1270354</v>
      </c>
      <c r="B92">
        <v>57283</v>
      </c>
      <c r="C92" t="s">
        <v>2290</v>
      </c>
      <c r="D92" t="s">
        <v>1062</v>
      </c>
      <c r="E92" t="s">
        <v>692</v>
      </c>
      <c r="F92" t="s">
        <v>34</v>
      </c>
      <c r="G92" t="s">
        <v>772</v>
      </c>
      <c r="H92" t="s">
        <v>3569</v>
      </c>
      <c r="I92" t="s">
        <v>980</v>
      </c>
      <c r="J92" t="s">
        <v>366</v>
      </c>
      <c r="K92" t="s">
        <v>880</v>
      </c>
      <c r="L92" t="s">
        <v>2291</v>
      </c>
      <c r="M92" t="s">
        <v>2292</v>
      </c>
      <c r="N92" t="s">
        <v>3590</v>
      </c>
      <c r="O92" t="s">
        <v>2988</v>
      </c>
      <c r="P92" t="s">
        <v>2918</v>
      </c>
      <c r="Q92" t="s">
        <v>765</v>
      </c>
      <c r="R92" t="s">
        <v>2293</v>
      </c>
      <c r="S92">
        <v>416</v>
      </c>
      <c r="T92" t="s">
        <v>791</v>
      </c>
      <c r="U92" t="s">
        <v>34</v>
      </c>
      <c r="V92" t="s">
        <v>1118</v>
      </c>
      <c r="W92" t="s">
        <v>2294</v>
      </c>
      <c r="X92" t="s">
        <v>2917</v>
      </c>
      <c r="Y92" t="s">
        <v>34</v>
      </c>
      <c r="Z92" t="s">
        <v>2295</v>
      </c>
      <c r="AA92" t="s">
        <v>1067</v>
      </c>
      <c r="AB92" t="s">
        <v>2917</v>
      </c>
      <c r="AC92" t="s">
        <v>34</v>
      </c>
      <c r="AD92" t="s">
        <v>767</v>
      </c>
      <c r="AE92" t="s">
        <v>768</v>
      </c>
      <c r="AF92" t="s">
        <v>585</v>
      </c>
      <c r="AG92" t="s">
        <v>1889</v>
      </c>
      <c r="AH92" t="s">
        <v>34</v>
      </c>
      <c r="AI92" t="s">
        <v>34</v>
      </c>
      <c r="AJ92" t="s">
        <v>34</v>
      </c>
      <c r="AK92" t="s">
        <v>34</v>
      </c>
      <c r="AL92" t="s">
        <v>2954</v>
      </c>
      <c r="AM92" t="s">
        <v>2863</v>
      </c>
    </row>
    <row r="93" spans="1:40" x14ac:dyDescent="0.2">
      <c r="A93">
        <v>1270483</v>
      </c>
      <c r="B93">
        <v>57283</v>
      </c>
      <c r="C93" t="s">
        <v>2591</v>
      </c>
      <c r="D93" t="s">
        <v>1062</v>
      </c>
      <c r="E93" t="s">
        <v>692</v>
      </c>
      <c r="F93" t="s">
        <v>34</v>
      </c>
      <c r="G93" t="s">
        <v>772</v>
      </c>
      <c r="H93" t="s">
        <v>3569</v>
      </c>
      <c r="I93" t="s">
        <v>980</v>
      </c>
      <c r="J93" t="s">
        <v>2592</v>
      </c>
      <c r="K93" t="s">
        <v>2593</v>
      </c>
      <c r="L93" t="s">
        <v>2594</v>
      </c>
      <c r="M93" t="s">
        <v>2591</v>
      </c>
      <c r="N93" t="s">
        <v>3587</v>
      </c>
      <c r="O93" t="s">
        <v>1099</v>
      </c>
      <c r="P93" t="s">
        <v>2928</v>
      </c>
      <c r="Q93" t="s">
        <v>765</v>
      </c>
      <c r="R93" t="s">
        <v>2595</v>
      </c>
      <c r="S93">
        <v>506.4</v>
      </c>
      <c r="T93" t="s">
        <v>793</v>
      </c>
      <c r="U93">
        <v>1588387</v>
      </c>
      <c r="V93" t="s">
        <v>2596</v>
      </c>
      <c r="W93" t="s">
        <v>2597</v>
      </c>
      <c r="X93" t="s">
        <v>2917</v>
      </c>
      <c r="Y93" t="s">
        <v>34</v>
      </c>
      <c r="Z93" t="s">
        <v>851</v>
      </c>
      <c r="AA93">
        <v>5256764</v>
      </c>
      <c r="AB93" t="s">
        <v>2917</v>
      </c>
      <c r="AC93" t="s">
        <v>34</v>
      </c>
      <c r="AD93" t="s">
        <v>767</v>
      </c>
      <c r="AE93" t="s">
        <v>768</v>
      </c>
      <c r="AF93" t="s">
        <v>585</v>
      </c>
      <c r="AG93" t="s">
        <v>1889</v>
      </c>
      <c r="AH93" t="s">
        <v>34</v>
      </c>
      <c r="AI93" t="s">
        <v>34</v>
      </c>
      <c r="AJ93" t="s">
        <v>34</v>
      </c>
      <c r="AK93" t="s">
        <v>34</v>
      </c>
      <c r="AL93" t="s">
        <v>2954</v>
      </c>
      <c r="AM93" t="s">
        <v>2861</v>
      </c>
    </row>
    <row r="94" spans="1:40" x14ac:dyDescent="0.2">
      <c r="A94">
        <v>2759269</v>
      </c>
      <c r="B94">
        <v>57283</v>
      </c>
      <c r="C94" t="s">
        <v>3667</v>
      </c>
      <c r="D94" t="s">
        <v>1062</v>
      </c>
      <c r="E94" t="s">
        <v>692</v>
      </c>
      <c r="G94" t="s">
        <v>772</v>
      </c>
      <c r="H94" t="s">
        <v>3569</v>
      </c>
      <c r="I94" t="s">
        <v>980</v>
      </c>
      <c r="J94" t="s">
        <v>775</v>
      </c>
      <c r="K94" t="s">
        <v>3637</v>
      </c>
      <c r="L94" t="s">
        <v>2694</v>
      </c>
      <c r="M94" t="s">
        <v>3668</v>
      </c>
      <c r="N94" t="s">
        <v>3587</v>
      </c>
      <c r="O94" t="s">
        <v>831</v>
      </c>
      <c r="P94" t="s">
        <v>2928</v>
      </c>
      <c r="Q94" t="s">
        <v>903</v>
      </c>
      <c r="R94" t="s">
        <v>3639</v>
      </c>
      <c r="S94">
        <v>1300</v>
      </c>
      <c r="T94" t="s">
        <v>793</v>
      </c>
      <c r="U94">
        <v>2759275</v>
      </c>
      <c r="V94" t="s">
        <v>3640</v>
      </c>
      <c r="W94" t="s">
        <v>3669</v>
      </c>
      <c r="X94" t="s">
        <v>2917</v>
      </c>
      <c r="Y94" t="s">
        <v>34</v>
      </c>
      <c r="Z94" t="s">
        <v>3642</v>
      </c>
      <c r="AA94" t="s">
        <v>3670</v>
      </c>
      <c r="AB94" t="s">
        <v>2917</v>
      </c>
      <c r="AD94" t="s">
        <v>767</v>
      </c>
      <c r="AE94" t="s">
        <v>768</v>
      </c>
      <c r="AF94" t="s">
        <v>3453</v>
      </c>
      <c r="AG94" t="s">
        <v>1889</v>
      </c>
      <c r="AM94" t="s">
        <v>3644</v>
      </c>
    </row>
    <row r="95" spans="1:40" x14ac:dyDescent="0.2">
      <c r="A95">
        <v>2705698</v>
      </c>
      <c r="B95">
        <v>57283</v>
      </c>
      <c r="C95" t="s">
        <v>3645</v>
      </c>
      <c r="D95" t="s">
        <v>1062</v>
      </c>
      <c r="E95" t="s">
        <v>692</v>
      </c>
      <c r="F95" t="s">
        <v>2808</v>
      </c>
      <c r="G95" t="s">
        <v>772</v>
      </c>
      <c r="H95" t="s">
        <v>3569</v>
      </c>
      <c r="I95" t="s">
        <v>980</v>
      </c>
      <c r="J95" t="s">
        <v>775</v>
      </c>
      <c r="K95" t="s">
        <v>3637</v>
      </c>
      <c r="L95" t="s">
        <v>2959</v>
      </c>
      <c r="M95" t="s">
        <v>3646</v>
      </c>
      <c r="N95" t="s">
        <v>3638</v>
      </c>
      <c r="O95" t="s">
        <v>831</v>
      </c>
      <c r="P95" t="s">
        <v>2928</v>
      </c>
      <c r="Q95" t="s">
        <v>903</v>
      </c>
      <c r="R95" t="s">
        <v>3639</v>
      </c>
      <c r="S95">
        <v>1300</v>
      </c>
      <c r="T95" t="s">
        <v>793</v>
      </c>
      <c r="U95">
        <v>2705702</v>
      </c>
      <c r="V95" t="s">
        <v>3640</v>
      </c>
      <c r="W95" t="s">
        <v>3641</v>
      </c>
      <c r="X95" t="s">
        <v>2917</v>
      </c>
      <c r="Y95" t="s">
        <v>34</v>
      </c>
      <c r="Z95" t="s">
        <v>3642</v>
      </c>
      <c r="AA95" t="s">
        <v>3643</v>
      </c>
      <c r="AB95" t="s">
        <v>2917</v>
      </c>
      <c r="AD95" t="s">
        <v>767</v>
      </c>
      <c r="AE95" t="s">
        <v>768</v>
      </c>
      <c r="AF95" t="s">
        <v>3453</v>
      </c>
      <c r="AG95" t="s">
        <v>1889</v>
      </c>
      <c r="AM95" t="s">
        <v>3644</v>
      </c>
    </row>
    <row r="96" spans="1:40" x14ac:dyDescent="0.2">
      <c r="A96">
        <v>1270481</v>
      </c>
      <c r="B96">
        <v>57298</v>
      </c>
      <c r="C96" t="s">
        <v>545</v>
      </c>
      <c r="D96" t="s">
        <v>697</v>
      </c>
      <c r="E96" t="s">
        <v>1130</v>
      </c>
      <c r="F96" t="s">
        <v>34</v>
      </c>
      <c r="G96" t="s">
        <v>772</v>
      </c>
      <c r="H96" t="s">
        <v>3569</v>
      </c>
      <c r="I96" t="s">
        <v>980</v>
      </c>
      <c r="J96" t="s">
        <v>350</v>
      </c>
      <c r="K96" t="s">
        <v>1135</v>
      </c>
      <c r="L96" t="s">
        <v>1136</v>
      </c>
      <c r="M96" t="s">
        <v>545</v>
      </c>
      <c r="N96" t="s">
        <v>3570</v>
      </c>
      <c r="O96" t="s">
        <v>1099</v>
      </c>
      <c r="P96" t="s">
        <v>2916</v>
      </c>
      <c r="Q96" t="s">
        <v>765</v>
      </c>
      <c r="R96" t="s">
        <v>1137</v>
      </c>
      <c r="S96">
        <v>26.1</v>
      </c>
      <c r="T96" t="s">
        <v>791</v>
      </c>
      <c r="U96" t="s">
        <v>34</v>
      </c>
      <c r="V96" t="s">
        <v>987</v>
      </c>
      <c r="W96">
        <v>52012</v>
      </c>
      <c r="X96" t="s">
        <v>2917</v>
      </c>
      <c r="Y96" t="s">
        <v>34</v>
      </c>
      <c r="Z96" t="s">
        <v>1134</v>
      </c>
      <c r="AA96" t="s">
        <v>3166</v>
      </c>
      <c r="AB96" t="s">
        <v>2917</v>
      </c>
      <c r="AC96" t="s">
        <v>34</v>
      </c>
      <c r="AD96" t="s">
        <v>767</v>
      </c>
      <c r="AE96" t="s">
        <v>768</v>
      </c>
      <c r="AF96" t="s">
        <v>585</v>
      </c>
      <c r="AG96">
        <v>12</v>
      </c>
      <c r="AH96">
        <v>0.18</v>
      </c>
      <c r="AI96">
        <v>5</v>
      </c>
      <c r="AJ96" t="s">
        <v>34</v>
      </c>
      <c r="AK96" t="s">
        <v>34</v>
      </c>
      <c r="AL96" t="s">
        <v>2261</v>
      </c>
      <c r="AM96" t="s">
        <v>2862</v>
      </c>
      <c r="AN96">
        <v>1.4583333333333332E-2</v>
      </c>
    </row>
    <row r="97" spans="1:41" x14ac:dyDescent="0.2">
      <c r="A97">
        <v>1270478</v>
      </c>
      <c r="B97">
        <v>57298</v>
      </c>
      <c r="C97" t="s">
        <v>547</v>
      </c>
      <c r="D97" t="s">
        <v>697</v>
      </c>
      <c r="E97" t="s">
        <v>1130</v>
      </c>
      <c r="F97" t="s">
        <v>34</v>
      </c>
      <c r="G97" t="s">
        <v>772</v>
      </c>
      <c r="H97" t="s">
        <v>3569</v>
      </c>
      <c r="I97" t="s">
        <v>980</v>
      </c>
      <c r="J97" t="s">
        <v>1144</v>
      </c>
      <c r="K97" t="s">
        <v>1145</v>
      </c>
      <c r="L97" t="s">
        <v>1146</v>
      </c>
      <c r="M97" t="s">
        <v>547</v>
      </c>
      <c r="N97" t="s">
        <v>3570</v>
      </c>
      <c r="O97" t="s">
        <v>1147</v>
      </c>
      <c r="P97" t="s">
        <v>2916</v>
      </c>
      <c r="Q97" t="s">
        <v>903</v>
      </c>
      <c r="R97" t="s">
        <v>1148</v>
      </c>
      <c r="S97">
        <v>61.3</v>
      </c>
      <c r="T97" t="s">
        <v>791</v>
      </c>
      <c r="U97">
        <v>1269647</v>
      </c>
      <c r="V97" t="s">
        <v>849</v>
      </c>
      <c r="W97" t="s">
        <v>1149</v>
      </c>
      <c r="X97" t="s">
        <v>2967</v>
      </c>
      <c r="Y97" t="s">
        <v>34</v>
      </c>
      <c r="Z97" t="s">
        <v>1134</v>
      </c>
      <c r="AA97" t="s">
        <v>3166</v>
      </c>
      <c r="AB97" t="s">
        <v>2967</v>
      </c>
      <c r="AC97" t="s">
        <v>34</v>
      </c>
      <c r="AD97" t="s">
        <v>767</v>
      </c>
      <c r="AE97" t="s">
        <v>768</v>
      </c>
      <c r="AF97" t="s">
        <v>585</v>
      </c>
      <c r="AG97">
        <v>8</v>
      </c>
      <c r="AH97">
        <v>5</v>
      </c>
      <c r="AI97">
        <v>50</v>
      </c>
      <c r="AJ97" t="s">
        <v>2381</v>
      </c>
      <c r="AK97" t="s">
        <v>2382</v>
      </c>
      <c r="AL97" t="s">
        <v>2261</v>
      </c>
      <c r="AM97" t="s">
        <v>2864</v>
      </c>
      <c r="AN97">
        <v>1.4583333333333332E-2</v>
      </c>
      <c r="AO97">
        <v>2.1527777777777781E-2</v>
      </c>
    </row>
    <row r="98" spans="1:41" x14ac:dyDescent="0.2">
      <c r="A98">
        <v>1270479</v>
      </c>
      <c r="B98">
        <v>57298</v>
      </c>
      <c r="C98" t="s">
        <v>289</v>
      </c>
      <c r="D98" t="s">
        <v>697</v>
      </c>
      <c r="E98" t="s">
        <v>1130</v>
      </c>
      <c r="F98" t="s">
        <v>34</v>
      </c>
      <c r="G98" t="s">
        <v>772</v>
      </c>
      <c r="H98" t="s">
        <v>3569</v>
      </c>
      <c r="I98" t="s">
        <v>980</v>
      </c>
      <c r="J98" t="s">
        <v>350</v>
      </c>
      <c r="K98" t="s">
        <v>1140</v>
      </c>
      <c r="L98" t="s">
        <v>1141</v>
      </c>
      <c r="M98" t="s">
        <v>289</v>
      </c>
      <c r="N98" t="s">
        <v>3570</v>
      </c>
      <c r="O98" t="s">
        <v>1099</v>
      </c>
      <c r="P98" t="s">
        <v>2916</v>
      </c>
      <c r="Q98" t="s">
        <v>765</v>
      </c>
      <c r="R98" t="s">
        <v>1142</v>
      </c>
      <c r="S98">
        <v>65.8</v>
      </c>
      <c r="T98" t="s">
        <v>791</v>
      </c>
      <c r="U98">
        <v>1269660</v>
      </c>
      <c r="V98" t="s">
        <v>987</v>
      </c>
      <c r="W98" t="s">
        <v>1143</v>
      </c>
      <c r="X98" t="s">
        <v>2917</v>
      </c>
      <c r="Y98" t="s">
        <v>34</v>
      </c>
      <c r="Z98" t="s">
        <v>1134</v>
      </c>
      <c r="AA98" t="s">
        <v>3166</v>
      </c>
      <c r="AB98" t="s">
        <v>2917</v>
      </c>
      <c r="AC98" t="s">
        <v>2487</v>
      </c>
      <c r="AD98" t="s">
        <v>767</v>
      </c>
      <c r="AE98" t="s">
        <v>768</v>
      </c>
      <c r="AF98" t="s">
        <v>585</v>
      </c>
      <c r="AG98">
        <v>8</v>
      </c>
      <c r="AH98" t="s">
        <v>2380</v>
      </c>
      <c r="AI98" t="s">
        <v>2340</v>
      </c>
      <c r="AJ98" t="s">
        <v>34</v>
      </c>
      <c r="AK98" t="s">
        <v>34</v>
      </c>
      <c r="AL98" t="s">
        <v>2261</v>
      </c>
      <c r="AM98" t="s">
        <v>2864</v>
      </c>
      <c r="AN98">
        <v>1.4583333333333332E-2</v>
      </c>
    </row>
    <row r="99" spans="1:41" x14ac:dyDescent="0.2">
      <c r="A99">
        <v>1270480</v>
      </c>
      <c r="B99">
        <v>57298</v>
      </c>
      <c r="C99" t="s">
        <v>546</v>
      </c>
      <c r="D99" t="s">
        <v>697</v>
      </c>
      <c r="E99" t="s">
        <v>1130</v>
      </c>
      <c r="F99" t="s">
        <v>34</v>
      </c>
      <c r="G99" t="s">
        <v>772</v>
      </c>
      <c r="H99" t="s">
        <v>3569</v>
      </c>
      <c r="I99" t="s">
        <v>980</v>
      </c>
      <c r="J99" t="s">
        <v>350</v>
      </c>
      <c r="K99" t="s">
        <v>1131</v>
      </c>
      <c r="L99" t="s">
        <v>1138</v>
      </c>
      <c r="M99" t="s">
        <v>546</v>
      </c>
      <c r="N99" t="s">
        <v>3570</v>
      </c>
      <c r="O99" t="s">
        <v>1099</v>
      </c>
      <c r="P99" t="s">
        <v>2916</v>
      </c>
      <c r="Q99" t="s">
        <v>765</v>
      </c>
      <c r="R99" t="s">
        <v>1133</v>
      </c>
      <c r="S99">
        <v>36.299999999999997</v>
      </c>
      <c r="T99" t="s">
        <v>791</v>
      </c>
      <c r="U99">
        <v>1269664</v>
      </c>
      <c r="V99" t="s">
        <v>987</v>
      </c>
      <c r="W99" t="s">
        <v>1139</v>
      </c>
      <c r="X99" t="s">
        <v>2917</v>
      </c>
      <c r="Y99" t="s">
        <v>34</v>
      </c>
      <c r="Z99" t="s">
        <v>1134</v>
      </c>
      <c r="AA99" t="s">
        <v>3166</v>
      </c>
      <c r="AB99" t="s">
        <v>2917</v>
      </c>
      <c r="AC99" t="s">
        <v>34</v>
      </c>
      <c r="AD99" t="s">
        <v>767</v>
      </c>
      <c r="AE99" t="s">
        <v>768</v>
      </c>
      <c r="AF99" t="s">
        <v>585</v>
      </c>
      <c r="AG99">
        <v>10</v>
      </c>
      <c r="AI99">
        <v>0.2</v>
      </c>
      <c r="AJ99" t="s">
        <v>2379</v>
      </c>
      <c r="AK99" t="s">
        <v>34</v>
      </c>
      <c r="AL99" t="s">
        <v>2261</v>
      </c>
      <c r="AM99" t="s">
        <v>2862</v>
      </c>
      <c r="AN99">
        <v>1.4583333333333332E-2</v>
      </c>
    </row>
    <row r="100" spans="1:41" x14ac:dyDescent="0.2">
      <c r="A100">
        <v>1270482</v>
      </c>
      <c r="B100">
        <v>57298</v>
      </c>
      <c r="C100" t="s">
        <v>544</v>
      </c>
      <c r="D100" t="s">
        <v>697</v>
      </c>
      <c r="E100" t="s">
        <v>1130</v>
      </c>
      <c r="F100" t="s">
        <v>34</v>
      </c>
      <c r="G100" t="s">
        <v>772</v>
      </c>
      <c r="H100" t="s">
        <v>3569</v>
      </c>
      <c r="I100" t="s">
        <v>980</v>
      </c>
      <c r="J100" t="s">
        <v>350</v>
      </c>
      <c r="K100" t="s">
        <v>1131</v>
      </c>
      <c r="L100" t="s">
        <v>1132</v>
      </c>
      <c r="M100" t="s">
        <v>544</v>
      </c>
      <c r="N100" t="s">
        <v>3570</v>
      </c>
      <c r="O100" t="s">
        <v>1099</v>
      </c>
      <c r="P100" t="s">
        <v>2916</v>
      </c>
      <c r="Q100" t="s">
        <v>765</v>
      </c>
      <c r="R100" t="s">
        <v>1133</v>
      </c>
      <c r="S100">
        <v>36.299999999999997</v>
      </c>
      <c r="T100" t="s">
        <v>791</v>
      </c>
      <c r="U100" t="s">
        <v>34</v>
      </c>
      <c r="V100" t="s">
        <v>987</v>
      </c>
      <c r="W100">
        <v>16293</v>
      </c>
      <c r="X100" t="s">
        <v>2917</v>
      </c>
      <c r="Y100" t="s">
        <v>34</v>
      </c>
      <c r="Z100" t="s">
        <v>1134</v>
      </c>
      <c r="AA100" t="s">
        <v>3166</v>
      </c>
      <c r="AB100" t="s">
        <v>2917</v>
      </c>
      <c r="AC100" t="s">
        <v>34</v>
      </c>
      <c r="AD100" t="s">
        <v>767</v>
      </c>
      <c r="AE100" t="s">
        <v>768</v>
      </c>
      <c r="AF100" t="s">
        <v>585</v>
      </c>
      <c r="AG100">
        <v>10</v>
      </c>
      <c r="AI100">
        <v>0.2</v>
      </c>
      <c r="AJ100" t="s">
        <v>2379</v>
      </c>
      <c r="AK100" t="s">
        <v>34</v>
      </c>
      <c r="AL100" t="s">
        <v>2261</v>
      </c>
      <c r="AM100" t="s">
        <v>2862</v>
      </c>
      <c r="AN100">
        <v>1.4583333333333332E-2</v>
      </c>
    </row>
    <row r="101" spans="1:41" x14ac:dyDescent="0.2">
      <c r="A101">
        <v>1278669</v>
      </c>
      <c r="B101">
        <v>57461</v>
      </c>
      <c r="C101" t="s">
        <v>303</v>
      </c>
      <c r="D101" t="s">
        <v>698</v>
      </c>
      <c r="E101" t="s">
        <v>699</v>
      </c>
      <c r="F101" t="s">
        <v>34</v>
      </c>
      <c r="G101" t="s">
        <v>772</v>
      </c>
      <c r="H101" t="s">
        <v>3569</v>
      </c>
      <c r="I101" t="s">
        <v>586</v>
      </c>
      <c r="J101" t="s">
        <v>912</v>
      </c>
      <c r="K101" t="s">
        <v>1170</v>
      </c>
      <c r="L101">
        <v>3217457</v>
      </c>
      <c r="M101" t="s">
        <v>303</v>
      </c>
      <c r="N101" t="s">
        <v>310</v>
      </c>
      <c r="O101" t="s">
        <v>976</v>
      </c>
      <c r="P101" t="s">
        <v>2916</v>
      </c>
      <c r="Q101" t="s">
        <v>765</v>
      </c>
      <c r="R101" t="s">
        <v>1171</v>
      </c>
      <c r="S101">
        <v>500</v>
      </c>
      <c r="T101" t="s">
        <v>649</v>
      </c>
      <c r="U101">
        <v>1301860</v>
      </c>
      <c r="V101" t="s">
        <v>1172</v>
      </c>
      <c r="W101" t="s">
        <v>1173</v>
      </c>
      <c r="X101" t="s">
        <v>2917</v>
      </c>
      <c r="Y101" t="s">
        <v>34</v>
      </c>
      <c r="Z101" t="s">
        <v>1172</v>
      </c>
      <c r="AA101" t="s">
        <v>1173</v>
      </c>
      <c r="AB101" t="s">
        <v>2917</v>
      </c>
      <c r="AC101" t="s">
        <v>1174</v>
      </c>
      <c r="AD101" t="s">
        <v>767</v>
      </c>
      <c r="AE101" t="s">
        <v>768</v>
      </c>
      <c r="AF101" t="s">
        <v>585</v>
      </c>
      <c r="AG101" t="s">
        <v>1889</v>
      </c>
      <c r="AH101" t="s">
        <v>34</v>
      </c>
      <c r="AI101" t="s">
        <v>34</v>
      </c>
      <c r="AJ101" t="s">
        <v>34</v>
      </c>
      <c r="AK101" t="s">
        <v>34</v>
      </c>
      <c r="AL101" t="s">
        <v>34</v>
      </c>
      <c r="AM101" t="s">
        <v>2861</v>
      </c>
    </row>
    <row r="102" spans="1:41" x14ac:dyDescent="0.2">
      <c r="A102">
        <v>1740079</v>
      </c>
      <c r="B102">
        <v>57461</v>
      </c>
      <c r="C102" t="s">
        <v>328</v>
      </c>
      <c r="D102" t="s">
        <v>698</v>
      </c>
      <c r="E102" t="s">
        <v>699</v>
      </c>
      <c r="F102" t="s">
        <v>34</v>
      </c>
      <c r="G102" t="s">
        <v>772</v>
      </c>
      <c r="H102" t="s">
        <v>3569</v>
      </c>
      <c r="I102" t="s">
        <v>586</v>
      </c>
      <c r="J102" t="s">
        <v>912</v>
      </c>
      <c r="K102" t="s">
        <v>1819</v>
      </c>
      <c r="L102">
        <v>11408</v>
      </c>
      <c r="M102" t="s">
        <v>2984</v>
      </c>
      <c r="N102" t="s">
        <v>586</v>
      </c>
      <c r="O102" t="s">
        <v>976</v>
      </c>
      <c r="P102" t="s">
        <v>2916</v>
      </c>
      <c r="Q102" t="s">
        <v>765</v>
      </c>
      <c r="R102" t="s">
        <v>2985</v>
      </c>
      <c r="S102">
        <v>417</v>
      </c>
      <c r="T102" t="s">
        <v>649</v>
      </c>
      <c r="U102" t="s">
        <v>34</v>
      </c>
      <c r="V102" t="s">
        <v>1819</v>
      </c>
      <c r="W102" t="s">
        <v>890</v>
      </c>
      <c r="X102" t="s">
        <v>2917</v>
      </c>
      <c r="Y102" t="s">
        <v>34</v>
      </c>
      <c r="Z102" t="s">
        <v>1819</v>
      </c>
      <c r="AA102" t="s">
        <v>890</v>
      </c>
      <c r="AB102" t="s">
        <v>2917</v>
      </c>
      <c r="AC102" t="s">
        <v>2986</v>
      </c>
      <c r="AD102" t="s">
        <v>2503</v>
      </c>
      <c r="AE102" t="s">
        <v>2987</v>
      </c>
      <c r="AF102" t="s">
        <v>585</v>
      </c>
      <c r="AG102" t="s">
        <v>1889</v>
      </c>
      <c r="AH102" t="s">
        <v>34</v>
      </c>
      <c r="AI102" t="s">
        <v>34</v>
      </c>
      <c r="AJ102" t="s">
        <v>34</v>
      </c>
      <c r="AK102" t="s">
        <v>34</v>
      </c>
      <c r="AL102" t="s">
        <v>34</v>
      </c>
      <c r="AM102" t="s">
        <v>2861</v>
      </c>
    </row>
    <row r="103" spans="1:41" x14ac:dyDescent="0.2">
      <c r="A103">
        <v>1278889</v>
      </c>
      <c r="B103">
        <v>57461</v>
      </c>
      <c r="C103" t="s">
        <v>362</v>
      </c>
      <c r="D103" t="s">
        <v>698</v>
      </c>
      <c r="E103" t="s">
        <v>699</v>
      </c>
      <c r="F103" t="s">
        <v>34</v>
      </c>
      <c r="G103" t="s">
        <v>772</v>
      </c>
      <c r="H103" t="s">
        <v>3569</v>
      </c>
      <c r="I103" t="s">
        <v>586</v>
      </c>
      <c r="J103" t="s">
        <v>1161</v>
      </c>
      <c r="K103" t="s">
        <v>1162</v>
      </c>
      <c r="L103">
        <v>446705</v>
      </c>
      <c r="M103" t="s">
        <v>362</v>
      </c>
      <c r="N103" t="s">
        <v>310</v>
      </c>
      <c r="O103" t="s">
        <v>1163</v>
      </c>
      <c r="P103" t="s">
        <v>2916</v>
      </c>
      <c r="Q103" t="s">
        <v>765</v>
      </c>
      <c r="R103" t="s">
        <v>1164</v>
      </c>
      <c r="S103">
        <v>1.53</v>
      </c>
      <c r="T103" t="s">
        <v>649</v>
      </c>
      <c r="U103" t="s">
        <v>34</v>
      </c>
      <c r="V103" t="s">
        <v>1166</v>
      </c>
      <c r="W103" t="s">
        <v>1165</v>
      </c>
      <c r="X103" t="s">
        <v>2917</v>
      </c>
      <c r="Y103" t="s">
        <v>34</v>
      </c>
      <c r="Z103" t="s">
        <v>1167</v>
      </c>
      <c r="AA103" t="s">
        <v>1168</v>
      </c>
      <c r="AB103" t="s">
        <v>2917</v>
      </c>
      <c r="AC103" t="s">
        <v>1169</v>
      </c>
      <c r="AD103" t="s">
        <v>767</v>
      </c>
      <c r="AE103" t="s">
        <v>768</v>
      </c>
      <c r="AF103" t="s">
        <v>585</v>
      </c>
      <c r="AG103">
        <v>2</v>
      </c>
      <c r="AH103">
        <v>1</v>
      </c>
      <c r="AI103">
        <v>0.02</v>
      </c>
      <c r="AJ103" t="s">
        <v>2383</v>
      </c>
      <c r="AK103" t="s">
        <v>2384</v>
      </c>
      <c r="AL103" t="s">
        <v>34</v>
      </c>
      <c r="AM103" t="s">
        <v>2861</v>
      </c>
    </row>
    <row r="104" spans="1:41" x14ac:dyDescent="0.2">
      <c r="A104">
        <v>1270496</v>
      </c>
      <c r="B104">
        <v>57461</v>
      </c>
      <c r="C104" t="s">
        <v>360</v>
      </c>
      <c r="D104" t="s">
        <v>698</v>
      </c>
      <c r="E104" t="s">
        <v>699</v>
      </c>
      <c r="F104" t="s">
        <v>34</v>
      </c>
      <c r="G104" t="s">
        <v>772</v>
      </c>
      <c r="H104" t="s">
        <v>3569</v>
      </c>
      <c r="I104" t="s">
        <v>586</v>
      </c>
      <c r="J104" t="s">
        <v>1150</v>
      </c>
      <c r="K104" t="s">
        <v>1151</v>
      </c>
      <c r="L104" t="s">
        <v>1152</v>
      </c>
      <c r="M104" t="s">
        <v>360</v>
      </c>
      <c r="N104" t="s">
        <v>310</v>
      </c>
      <c r="O104" t="s">
        <v>1128</v>
      </c>
      <c r="P104" t="s">
        <v>2916</v>
      </c>
      <c r="Q104" t="s">
        <v>862</v>
      </c>
      <c r="R104" t="s">
        <v>1153</v>
      </c>
      <c r="S104">
        <v>84.4</v>
      </c>
      <c r="T104" t="s">
        <v>794</v>
      </c>
      <c r="U104" t="s">
        <v>34</v>
      </c>
      <c r="V104" t="s">
        <v>1154</v>
      </c>
      <c r="W104" t="s">
        <v>1155</v>
      </c>
      <c r="X104" t="s">
        <v>2917</v>
      </c>
      <c r="AC104" t="s">
        <v>34</v>
      </c>
      <c r="AD104" t="s">
        <v>767</v>
      </c>
      <c r="AE104" t="s">
        <v>768</v>
      </c>
      <c r="AF104" t="s">
        <v>585</v>
      </c>
      <c r="AG104" t="s">
        <v>1889</v>
      </c>
      <c r="AH104" t="s">
        <v>34</v>
      </c>
      <c r="AI104" t="s">
        <v>34</v>
      </c>
      <c r="AJ104" t="s">
        <v>34</v>
      </c>
      <c r="AK104" t="s">
        <v>34</v>
      </c>
      <c r="AL104" t="s">
        <v>34</v>
      </c>
      <c r="AM104" t="s">
        <v>2861</v>
      </c>
    </row>
    <row r="105" spans="1:41" x14ac:dyDescent="0.2">
      <c r="A105">
        <v>2263236</v>
      </c>
      <c r="B105">
        <v>57461</v>
      </c>
      <c r="C105" t="s">
        <v>3238</v>
      </c>
      <c r="D105" t="s">
        <v>698</v>
      </c>
      <c r="E105" t="s">
        <v>699</v>
      </c>
      <c r="F105" t="s">
        <v>34</v>
      </c>
      <c r="G105" t="s">
        <v>772</v>
      </c>
      <c r="H105" t="s">
        <v>3569</v>
      </c>
      <c r="I105" t="s">
        <v>762</v>
      </c>
      <c r="J105" t="s">
        <v>350</v>
      </c>
      <c r="K105" t="s">
        <v>3239</v>
      </c>
      <c r="L105" t="s">
        <v>3612</v>
      </c>
      <c r="M105" t="s">
        <v>3612</v>
      </c>
      <c r="N105" t="s">
        <v>3570</v>
      </c>
      <c r="O105" t="s">
        <v>3240</v>
      </c>
      <c r="P105" t="s">
        <v>2916</v>
      </c>
      <c r="Q105" t="s">
        <v>3241</v>
      </c>
      <c r="R105" t="s">
        <v>3242</v>
      </c>
      <c r="S105">
        <v>1700</v>
      </c>
      <c r="T105" t="s">
        <v>791</v>
      </c>
      <c r="U105">
        <v>2263302</v>
      </c>
      <c r="V105" t="s">
        <v>3243</v>
      </c>
      <c r="W105" t="s">
        <v>3244</v>
      </c>
      <c r="X105" t="s">
        <v>2917</v>
      </c>
      <c r="Y105" t="s">
        <v>34</v>
      </c>
      <c r="Z105" t="s">
        <v>2686</v>
      </c>
      <c r="AA105" t="s">
        <v>3245</v>
      </c>
      <c r="AB105" t="s">
        <v>2917</v>
      </c>
      <c r="AC105" t="s">
        <v>3370</v>
      </c>
      <c r="AD105" t="s">
        <v>767</v>
      </c>
      <c r="AE105" t="s">
        <v>768</v>
      </c>
      <c r="AF105" t="s">
        <v>585</v>
      </c>
      <c r="AG105">
        <v>13.1</v>
      </c>
      <c r="AH105">
        <v>68</v>
      </c>
      <c r="AI105">
        <v>300</v>
      </c>
      <c r="AJ105" t="s">
        <v>34</v>
      </c>
      <c r="AK105" t="s">
        <v>34</v>
      </c>
      <c r="AL105" t="s">
        <v>34</v>
      </c>
      <c r="AM105" t="s">
        <v>2861</v>
      </c>
    </row>
    <row r="106" spans="1:41" x14ac:dyDescent="0.2">
      <c r="A106">
        <v>1278644</v>
      </c>
      <c r="B106">
        <v>57461</v>
      </c>
      <c r="C106" t="s">
        <v>361</v>
      </c>
      <c r="D106" t="s">
        <v>698</v>
      </c>
      <c r="E106" t="s">
        <v>699</v>
      </c>
      <c r="F106" t="s">
        <v>34</v>
      </c>
      <c r="G106" t="s">
        <v>772</v>
      </c>
      <c r="H106" t="s">
        <v>3569</v>
      </c>
      <c r="I106" t="s">
        <v>586</v>
      </c>
      <c r="J106" t="s">
        <v>887</v>
      </c>
      <c r="K106" t="s">
        <v>1156</v>
      </c>
      <c r="L106">
        <v>126912</v>
      </c>
      <c r="M106" t="s">
        <v>361</v>
      </c>
      <c r="N106" t="s">
        <v>310</v>
      </c>
      <c r="O106" t="s">
        <v>1157</v>
      </c>
      <c r="P106" t="s">
        <v>2916</v>
      </c>
      <c r="Q106" t="s">
        <v>862</v>
      </c>
      <c r="R106" t="s">
        <v>1158</v>
      </c>
      <c r="S106">
        <v>21.5</v>
      </c>
      <c r="T106" t="s">
        <v>649</v>
      </c>
      <c r="U106" t="s">
        <v>34</v>
      </c>
      <c r="V106" t="s">
        <v>1159</v>
      </c>
      <c r="W106" t="s">
        <v>1160</v>
      </c>
      <c r="X106" t="s">
        <v>2917</v>
      </c>
      <c r="AC106" t="s">
        <v>34</v>
      </c>
      <c r="AD106" t="s">
        <v>767</v>
      </c>
      <c r="AE106" t="s">
        <v>768</v>
      </c>
      <c r="AF106" t="s">
        <v>585</v>
      </c>
      <c r="AG106" t="s">
        <v>1889</v>
      </c>
      <c r="AH106" t="s">
        <v>34</v>
      </c>
      <c r="AI106" t="s">
        <v>34</v>
      </c>
      <c r="AJ106" t="s">
        <v>34</v>
      </c>
      <c r="AK106" t="s">
        <v>34</v>
      </c>
      <c r="AL106" t="s">
        <v>34</v>
      </c>
      <c r="AM106" t="s">
        <v>2864</v>
      </c>
    </row>
    <row r="107" spans="1:41" x14ac:dyDescent="0.2">
      <c r="A107">
        <v>1270497</v>
      </c>
      <c r="B107">
        <v>57460</v>
      </c>
      <c r="C107" t="s">
        <v>1199</v>
      </c>
      <c r="D107" t="s">
        <v>700</v>
      </c>
      <c r="E107" t="s">
        <v>701</v>
      </c>
      <c r="F107" t="s">
        <v>34</v>
      </c>
      <c r="G107" t="s">
        <v>772</v>
      </c>
      <c r="H107" t="s">
        <v>3569</v>
      </c>
      <c r="I107" t="s">
        <v>980</v>
      </c>
      <c r="J107" t="s">
        <v>1197</v>
      </c>
      <c r="K107" t="s">
        <v>1198</v>
      </c>
      <c r="L107" t="s">
        <v>350</v>
      </c>
      <c r="M107" t="s">
        <v>1199</v>
      </c>
      <c r="N107" t="s">
        <v>3572</v>
      </c>
      <c r="O107" t="s">
        <v>1005</v>
      </c>
      <c r="P107" t="s">
        <v>2918</v>
      </c>
      <c r="Q107" t="s">
        <v>765</v>
      </c>
      <c r="R107" t="s">
        <v>3210</v>
      </c>
      <c r="S107">
        <v>1040</v>
      </c>
      <c r="T107" t="s">
        <v>791</v>
      </c>
      <c r="U107">
        <v>1269708</v>
      </c>
      <c r="V107" t="s">
        <v>1870</v>
      </c>
      <c r="W107" t="s">
        <v>3211</v>
      </c>
      <c r="X107" t="s">
        <v>2917</v>
      </c>
      <c r="Y107" t="s">
        <v>34</v>
      </c>
      <c r="Z107" t="s">
        <v>1870</v>
      </c>
      <c r="AA107" t="s">
        <v>3211</v>
      </c>
      <c r="AB107" t="s">
        <v>2917</v>
      </c>
      <c r="AC107" t="s">
        <v>3371</v>
      </c>
      <c r="AD107" t="s">
        <v>767</v>
      </c>
      <c r="AE107" t="s">
        <v>768</v>
      </c>
      <c r="AF107" t="s">
        <v>585</v>
      </c>
      <c r="AG107" t="s">
        <v>3215</v>
      </c>
      <c r="AH107" t="s">
        <v>3217</v>
      </c>
      <c r="AI107" t="s">
        <v>3216</v>
      </c>
      <c r="AJ107" t="s">
        <v>34</v>
      </c>
      <c r="AK107" t="s">
        <v>34</v>
      </c>
      <c r="AL107" t="s">
        <v>2261</v>
      </c>
      <c r="AM107" t="s">
        <v>2864</v>
      </c>
      <c r="AN107">
        <v>1.4583333333333332E-2</v>
      </c>
    </row>
    <row r="108" spans="1:41" x14ac:dyDescent="0.2">
      <c r="A108">
        <v>1270519</v>
      </c>
      <c r="B108">
        <v>57460</v>
      </c>
      <c r="C108" t="s">
        <v>1183</v>
      </c>
      <c r="D108" t="s">
        <v>700</v>
      </c>
      <c r="E108" t="s">
        <v>701</v>
      </c>
      <c r="F108" t="s">
        <v>34</v>
      </c>
      <c r="G108" t="s">
        <v>772</v>
      </c>
      <c r="H108" t="s">
        <v>3569</v>
      </c>
      <c r="I108" t="s">
        <v>980</v>
      </c>
      <c r="J108" t="s">
        <v>364</v>
      </c>
      <c r="K108" t="s">
        <v>1182</v>
      </c>
      <c r="L108">
        <v>6625</v>
      </c>
      <c r="M108" t="s">
        <v>1183</v>
      </c>
      <c r="N108" t="s">
        <v>3575</v>
      </c>
      <c r="O108" t="s">
        <v>1184</v>
      </c>
      <c r="P108" t="s">
        <v>2914</v>
      </c>
      <c r="Q108" t="s">
        <v>765</v>
      </c>
      <c r="R108" t="s">
        <v>1185</v>
      </c>
      <c r="S108">
        <v>1372</v>
      </c>
      <c r="T108" t="s">
        <v>793</v>
      </c>
      <c r="U108">
        <v>1493342</v>
      </c>
      <c r="V108" t="s">
        <v>2703</v>
      </c>
      <c r="W108" t="s">
        <v>2704</v>
      </c>
      <c r="X108" t="s">
        <v>2917</v>
      </c>
      <c r="Y108" t="s">
        <v>34</v>
      </c>
      <c r="Z108" t="s">
        <v>1870</v>
      </c>
      <c r="AA108" t="s">
        <v>2704</v>
      </c>
      <c r="AB108" t="s">
        <v>2917</v>
      </c>
      <c r="AC108" t="s">
        <v>34</v>
      </c>
      <c r="AD108" t="s">
        <v>767</v>
      </c>
      <c r="AE108" t="s">
        <v>768</v>
      </c>
      <c r="AF108" t="s">
        <v>585</v>
      </c>
      <c r="AG108" t="s">
        <v>1889</v>
      </c>
      <c r="AH108" t="s">
        <v>34</v>
      </c>
      <c r="AI108" t="s">
        <v>34</v>
      </c>
      <c r="AJ108" t="s">
        <v>34</v>
      </c>
      <c r="AK108" t="s">
        <v>34</v>
      </c>
      <c r="AL108" t="s">
        <v>2261</v>
      </c>
      <c r="AM108" t="s">
        <v>2861</v>
      </c>
    </row>
    <row r="109" spans="1:41" x14ac:dyDescent="0.2">
      <c r="A109">
        <v>1503878</v>
      </c>
      <c r="B109">
        <v>57460</v>
      </c>
      <c r="C109" t="s">
        <v>1203</v>
      </c>
      <c r="D109" t="s">
        <v>700</v>
      </c>
      <c r="E109" t="s">
        <v>701</v>
      </c>
      <c r="F109" t="s">
        <v>34</v>
      </c>
      <c r="G109" t="s">
        <v>772</v>
      </c>
      <c r="H109" t="s">
        <v>3569</v>
      </c>
      <c r="I109" t="s">
        <v>980</v>
      </c>
      <c r="J109" t="s">
        <v>1200</v>
      </c>
      <c r="K109" t="s">
        <v>1201</v>
      </c>
      <c r="L109" t="s">
        <v>1202</v>
      </c>
      <c r="M109" t="s">
        <v>1203</v>
      </c>
      <c r="N109" t="s">
        <v>3570</v>
      </c>
      <c r="O109" t="s">
        <v>935</v>
      </c>
      <c r="P109" t="s">
        <v>2916</v>
      </c>
      <c r="Q109" t="s">
        <v>765</v>
      </c>
      <c r="R109" t="s">
        <v>1204</v>
      </c>
      <c r="S109">
        <v>1273.3</v>
      </c>
      <c r="T109" t="s">
        <v>793</v>
      </c>
      <c r="U109" t="s">
        <v>34</v>
      </c>
      <c r="V109" t="s">
        <v>1118</v>
      </c>
      <c r="W109" t="s">
        <v>2737</v>
      </c>
      <c r="X109" t="s">
        <v>2917</v>
      </c>
      <c r="Y109" t="s">
        <v>34</v>
      </c>
      <c r="Z109" t="s">
        <v>2686</v>
      </c>
      <c r="AA109" t="s">
        <v>2738</v>
      </c>
      <c r="AB109" t="s">
        <v>2917</v>
      </c>
      <c r="AC109" t="s">
        <v>3440</v>
      </c>
      <c r="AD109" t="s">
        <v>767</v>
      </c>
      <c r="AE109" t="s">
        <v>768</v>
      </c>
      <c r="AF109" t="s">
        <v>585</v>
      </c>
      <c r="AG109">
        <v>36</v>
      </c>
      <c r="AH109">
        <v>60</v>
      </c>
      <c r="AI109">
        <v>360</v>
      </c>
      <c r="AJ109" t="s">
        <v>34</v>
      </c>
      <c r="AK109" t="s">
        <v>34</v>
      </c>
      <c r="AL109" t="s">
        <v>2261</v>
      </c>
      <c r="AM109" t="s">
        <v>2868</v>
      </c>
      <c r="AN109">
        <v>1.4583333333333332E-2</v>
      </c>
      <c r="AO109">
        <v>2.1527777777777781E-2</v>
      </c>
    </row>
    <row r="110" spans="1:41" x14ac:dyDescent="0.2">
      <c r="A110">
        <v>1270517</v>
      </c>
      <c r="B110">
        <v>57460</v>
      </c>
      <c r="C110" t="s">
        <v>1177</v>
      </c>
      <c r="D110" t="s">
        <v>700</v>
      </c>
      <c r="E110" t="s">
        <v>701</v>
      </c>
      <c r="F110" t="s">
        <v>34</v>
      </c>
      <c r="G110" t="s">
        <v>772</v>
      </c>
      <c r="H110" t="s">
        <v>3569</v>
      </c>
      <c r="I110" t="s">
        <v>980</v>
      </c>
      <c r="J110" t="s">
        <v>1175</v>
      </c>
      <c r="K110" t="s">
        <v>1176</v>
      </c>
      <c r="L110">
        <v>2615</v>
      </c>
      <c r="M110" t="s">
        <v>1177</v>
      </c>
      <c r="N110" t="s">
        <v>3570</v>
      </c>
      <c r="O110" t="s">
        <v>1178</v>
      </c>
      <c r="P110" t="s">
        <v>2916</v>
      </c>
      <c r="Q110" t="s">
        <v>765</v>
      </c>
      <c r="R110" t="s">
        <v>1179</v>
      </c>
      <c r="S110">
        <v>400.9</v>
      </c>
      <c r="T110" t="s">
        <v>791</v>
      </c>
      <c r="U110">
        <v>1705005</v>
      </c>
      <c r="V110" t="s">
        <v>1118</v>
      </c>
      <c r="W110" t="s">
        <v>2956</v>
      </c>
      <c r="X110" t="s">
        <v>2917</v>
      </c>
      <c r="Y110" t="s">
        <v>34</v>
      </c>
      <c r="Z110" t="s">
        <v>1180</v>
      </c>
      <c r="AA110" t="s">
        <v>1181</v>
      </c>
      <c r="AB110" t="s">
        <v>2917</v>
      </c>
      <c r="AC110" t="s">
        <v>2968</v>
      </c>
      <c r="AD110" t="s">
        <v>767</v>
      </c>
      <c r="AE110" t="s">
        <v>768</v>
      </c>
      <c r="AF110" t="s">
        <v>585</v>
      </c>
      <c r="AG110">
        <v>8.4</v>
      </c>
      <c r="AH110">
        <v>18</v>
      </c>
      <c r="AI110">
        <v>105</v>
      </c>
      <c r="AJ110" t="s">
        <v>34</v>
      </c>
      <c r="AK110" t="s">
        <v>34</v>
      </c>
      <c r="AL110" t="s">
        <v>2261</v>
      </c>
      <c r="AM110" t="s">
        <v>2868</v>
      </c>
      <c r="AN110">
        <v>1.4583333333333332E-2</v>
      </c>
      <c r="AO110">
        <v>2.1527777777777781E-2</v>
      </c>
    </row>
    <row r="111" spans="1:41" x14ac:dyDescent="0.2">
      <c r="A111">
        <v>1270516</v>
      </c>
      <c r="B111">
        <v>57460</v>
      </c>
      <c r="C111" t="s">
        <v>2621</v>
      </c>
      <c r="D111" t="s">
        <v>700</v>
      </c>
      <c r="E111" t="s">
        <v>701</v>
      </c>
      <c r="F111" t="s">
        <v>34</v>
      </c>
      <c r="G111" t="s">
        <v>772</v>
      </c>
      <c r="H111" t="s">
        <v>3569</v>
      </c>
      <c r="I111" t="s">
        <v>980</v>
      </c>
      <c r="J111" t="s">
        <v>833</v>
      </c>
      <c r="K111" t="s">
        <v>1186</v>
      </c>
      <c r="L111">
        <v>207049</v>
      </c>
      <c r="M111" t="s">
        <v>1187</v>
      </c>
      <c r="N111" t="s">
        <v>3591</v>
      </c>
      <c r="O111" t="s">
        <v>2494</v>
      </c>
      <c r="P111" t="s">
        <v>2924</v>
      </c>
      <c r="Q111" t="s">
        <v>765</v>
      </c>
      <c r="R111" t="s">
        <v>1189</v>
      </c>
      <c r="S111">
        <v>156</v>
      </c>
      <c r="T111" t="s">
        <v>791</v>
      </c>
      <c r="U111" t="s">
        <v>34</v>
      </c>
      <c r="V111" t="s">
        <v>1190</v>
      </c>
      <c r="W111">
        <v>7083003</v>
      </c>
      <c r="X111" t="s">
        <v>2917</v>
      </c>
      <c r="Y111" t="s">
        <v>34</v>
      </c>
      <c r="Z111" t="s">
        <v>2684</v>
      </c>
      <c r="AA111" t="s">
        <v>2685</v>
      </c>
      <c r="AB111" t="s">
        <v>2917</v>
      </c>
      <c r="AC111" t="s">
        <v>1191</v>
      </c>
      <c r="AD111" t="s">
        <v>767</v>
      </c>
      <c r="AE111" t="s">
        <v>768</v>
      </c>
      <c r="AF111" t="s">
        <v>585</v>
      </c>
      <c r="AG111" t="s">
        <v>2341</v>
      </c>
      <c r="AH111" t="s">
        <v>2385</v>
      </c>
      <c r="AI111" t="s">
        <v>2342</v>
      </c>
      <c r="AJ111" t="s">
        <v>2464</v>
      </c>
      <c r="AK111" t="s">
        <v>34</v>
      </c>
      <c r="AL111" t="s">
        <v>2261</v>
      </c>
      <c r="AM111" t="s">
        <v>2861</v>
      </c>
    </row>
    <row r="112" spans="1:41" x14ac:dyDescent="0.2">
      <c r="A112">
        <v>1270515</v>
      </c>
      <c r="B112">
        <v>57460</v>
      </c>
      <c r="C112" t="s">
        <v>2622</v>
      </c>
      <c r="D112" t="s">
        <v>700</v>
      </c>
      <c r="E112" t="s">
        <v>701</v>
      </c>
      <c r="F112" t="s">
        <v>34</v>
      </c>
      <c r="G112" t="s">
        <v>772</v>
      </c>
      <c r="H112" t="s">
        <v>3569</v>
      </c>
      <c r="I112" t="s">
        <v>980</v>
      </c>
      <c r="J112" t="s">
        <v>833</v>
      </c>
      <c r="K112" t="s">
        <v>1186</v>
      </c>
      <c r="L112">
        <v>207049</v>
      </c>
      <c r="M112" t="s">
        <v>1187</v>
      </c>
      <c r="N112" t="s">
        <v>3591</v>
      </c>
      <c r="O112" t="s">
        <v>2494</v>
      </c>
      <c r="P112" t="s">
        <v>2924</v>
      </c>
      <c r="Q112" t="s">
        <v>765</v>
      </c>
      <c r="R112" t="s">
        <v>1189</v>
      </c>
      <c r="S112">
        <v>156</v>
      </c>
      <c r="T112" t="s">
        <v>793</v>
      </c>
      <c r="U112" t="s">
        <v>34</v>
      </c>
      <c r="V112" t="s">
        <v>1190</v>
      </c>
      <c r="W112">
        <v>7083003</v>
      </c>
      <c r="X112" t="s">
        <v>2917</v>
      </c>
      <c r="Y112" t="s">
        <v>34</v>
      </c>
      <c r="Z112" t="s">
        <v>2686</v>
      </c>
      <c r="AA112" t="s">
        <v>2685</v>
      </c>
      <c r="AB112" t="s">
        <v>2917</v>
      </c>
      <c r="AC112" t="s">
        <v>1191</v>
      </c>
      <c r="AD112" t="s">
        <v>767</v>
      </c>
      <c r="AE112" t="s">
        <v>768</v>
      </c>
      <c r="AF112" t="s">
        <v>585</v>
      </c>
      <c r="AG112" t="s">
        <v>2341</v>
      </c>
      <c r="AH112" t="s">
        <v>2385</v>
      </c>
      <c r="AI112" t="s">
        <v>2342</v>
      </c>
      <c r="AJ112" t="s">
        <v>2464</v>
      </c>
      <c r="AK112" t="s">
        <v>34</v>
      </c>
      <c r="AL112" t="s">
        <v>2261</v>
      </c>
      <c r="AM112" t="s">
        <v>2861</v>
      </c>
    </row>
    <row r="113" spans="1:39" x14ac:dyDescent="0.2">
      <c r="A113">
        <v>1536113</v>
      </c>
      <c r="B113">
        <v>57460</v>
      </c>
      <c r="C113" t="s">
        <v>2739</v>
      </c>
      <c r="D113" t="s">
        <v>700</v>
      </c>
      <c r="E113" t="s">
        <v>701</v>
      </c>
      <c r="F113" t="s">
        <v>34</v>
      </c>
      <c r="G113" t="s">
        <v>772</v>
      </c>
      <c r="H113" t="s">
        <v>3569</v>
      </c>
      <c r="I113" t="s">
        <v>980</v>
      </c>
      <c r="J113" t="s">
        <v>833</v>
      </c>
      <c r="K113" t="s">
        <v>1186</v>
      </c>
      <c r="L113">
        <v>207049</v>
      </c>
      <c r="M113" t="s">
        <v>1187</v>
      </c>
      <c r="N113" t="s">
        <v>3591</v>
      </c>
      <c r="O113" t="s">
        <v>2494</v>
      </c>
      <c r="P113" t="s">
        <v>2924</v>
      </c>
      <c r="Q113" t="s">
        <v>765</v>
      </c>
      <c r="R113" t="s">
        <v>1189</v>
      </c>
      <c r="S113">
        <v>156</v>
      </c>
      <c r="T113" t="s">
        <v>794</v>
      </c>
      <c r="U113" t="s">
        <v>34</v>
      </c>
      <c r="V113" t="s">
        <v>1190</v>
      </c>
      <c r="W113">
        <v>7083003</v>
      </c>
      <c r="X113" t="s">
        <v>2917</v>
      </c>
      <c r="Y113" t="s">
        <v>34</v>
      </c>
      <c r="Z113" t="s">
        <v>2686</v>
      </c>
      <c r="AA113" t="s">
        <v>2685</v>
      </c>
      <c r="AB113" t="s">
        <v>2917</v>
      </c>
      <c r="AC113" t="s">
        <v>1191</v>
      </c>
      <c r="AD113" t="s">
        <v>767</v>
      </c>
      <c r="AE113" t="s">
        <v>768</v>
      </c>
      <c r="AF113" t="s">
        <v>585</v>
      </c>
      <c r="AG113" t="s">
        <v>2341</v>
      </c>
      <c r="AH113" t="s">
        <v>2385</v>
      </c>
      <c r="AI113" t="s">
        <v>2342</v>
      </c>
      <c r="AJ113" t="s">
        <v>2464</v>
      </c>
      <c r="AK113" t="s">
        <v>34</v>
      </c>
      <c r="AL113" t="s">
        <v>2261</v>
      </c>
      <c r="AM113" t="s">
        <v>2861</v>
      </c>
    </row>
    <row r="114" spans="1:39" x14ac:dyDescent="0.2">
      <c r="A114">
        <v>1270512</v>
      </c>
      <c r="B114">
        <v>57460</v>
      </c>
      <c r="C114" t="s">
        <v>2297</v>
      </c>
      <c r="D114" t="s">
        <v>700</v>
      </c>
      <c r="E114" t="s">
        <v>701</v>
      </c>
      <c r="F114" t="s">
        <v>34</v>
      </c>
      <c r="G114" t="s">
        <v>772</v>
      </c>
      <c r="H114" t="s">
        <v>3569</v>
      </c>
      <c r="I114" t="s">
        <v>980</v>
      </c>
      <c r="J114" t="s">
        <v>1192</v>
      </c>
      <c r="K114" t="s">
        <v>1193</v>
      </c>
      <c r="L114" t="s">
        <v>1194</v>
      </c>
      <c r="M114" t="s">
        <v>2297</v>
      </c>
      <c r="N114" t="s">
        <v>3575</v>
      </c>
      <c r="O114" t="s">
        <v>2845</v>
      </c>
      <c r="P114" t="s">
        <v>2914</v>
      </c>
      <c r="Q114" t="s">
        <v>765</v>
      </c>
      <c r="R114" t="s">
        <v>2846</v>
      </c>
      <c r="S114">
        <v>105.59</v>
      </c>
      <c r="T114" t="s">
        <v>793</v>
      </c>
      <c r="U114">
        <v>1269774</v>
      </c>
      <c r="V114" t="s">
        <v>1195</v>
      </c>
      <c r="W114" t="s">
        <v>1196</v>
      </c>
      <c r="X114" t="s">
        <v>2917</v>
      </c>
      <c r="Y114" t="s">
        <v>34</v>
      </c>
      <c r="Z114" t="s">
        <v>1195</v>
      </c>
      <c r="AA114" t="s">
        <v>1196</v>
      </c>
      <c r="AB114" t="s">
        <v>2917</v>
      </c>
      <c r="AC114" t="s">
        <v>3613</v>
      </c>
      <c r="AD114" t="s">
        <v>767</v>
      </c>
      <c r="AE114" t="s">
        <v>768</v>
      </c>
      <c r="AF114" t="s">
        <v>585</v>
      </c>
      <c r="AG114">
        <v>1.6</v>
      </c>
      <c r="AH114" t="s">
        <v>2848</v>
      </c>
      <c r="AI114" t="s">
        <v>2847</v>
      </c>
      <c r="AJ114" t="s">
        <v>2849</v>
      </c>
      <c r="AK114" t="s">
        <v>34</v>
      </c>
      <c r="AL114" t="s">
        <v>2261</v>
      </c>
      <c r="AM114" t="s">
        <v>2868</v>
      </c>
    </row>
    <row r="115" spans="1:39" x14ac:dyDescent="0.2">
      <c r="A115">
        <v>1270443</v>
      </c>
      <c r="B115">
        <v>57452</v>
      </c>
      <c r="C115" t="s">
        <v>1240</v>
      </c>
      <c r="D115" t="s">
        <v>703</v>
      </c>
      <c r="E115" t="s">
        <v>704</v>
      </c>
      <c r="F115" t="s">
        <v>34</v>
      </c>
      <c r="G115" t="s">
        <v>772</v>
      </c>
      <c r="H115" t="s">
        <v>3569</v>
      </c>
      <c r="I115" t="s">
        <v>980</v>
      </c>
      <c r="J115" t="s">
        <v>373</v>
      </c>
      <c r="K115" t="s">
        <v>1239</v>
      </c>
      <c r="L115" t="s">
        <v>1240</v>
      </c>
      <c r="M115" t="s">
        <v>373</v>
      </c>
      <c r="N115" t="s">
        <v>3592</v>
      </c>
      <c r="O115" t="s">
        <v>1234</v>
      </c>
      <c r="P115" t="s">
        <v>2914</v>
      </c>
      <c r="Q115" t="s">
        <v>765</v>
      </c>
      <c r="R115" t="s">
        <v>1241</v>
      </c>
      <c r="S115">
        <v>80</v>
      </c>
      <c r="T115" t="s">
        <v>793</v>
      </c>
      <c r="U115" t="s">
        <v>34</v>
      </c>
      <c r="V115" t="s">
        <v>1242</v>
      </c>
      <c r="W115" t="s">
        <v>1243</v>
      </c>
      <c r="X115" t="s">
        <v>3011</v>
      </c>
      <c r="Y115" t="s">
        <v>34</v>
      </c>
      <c r="Z115" t="s">
        <v>2686</v>
      </c>
      <c r="AA115" t="s">
        <v>2685</v>
      </c>
      <c r="AB115" t="s">
        <v>3011</v>
      </c>
      <c r="AC115" t="s">
        <v>34</v>
      </c>
      <c r="AD115" t="s">
        <v>767</v>
      </c>
      <c r="AE115" t="s">
        <v>768</v>
      </c>
      <c r="AF115" t="s">
        <v>585</v>
      </c>
      <c r="AG115" t="s">
        <v>2345</v>
      </c>
      <c r="AH115" t="s">
        <v>2346</v>
      </c>
      <c r="AI115" t="s">
        <v>2346</v>
      </c>
      <c r="AJ115" t="s">
        <v>2387</v>
      </c>
      <c r="AK115" t="s">
        <v>34</v>
      </c>
      <c r="AL115" t="s">
        <v>34</v>
      </c>
      <c r="AM115" t="s">
        <v>2864</v>
      </c>
    </row>
    <row r="116" spans="1:39" x14ac:dyDescent="0.2">
      <c r="A116">
        <v>1279040</v>
      </c>
      <c r="B116">
        <v>57452</v>
      </c>
      <c r="C116" t="s">
        <v>372</v>
      </c>
      <c r="D116" t="s">
        <v>703</v>
      </c>
      <c r="E116" t="s">
        <v>704</v>
      </c>
      <c r="F116" t="s">
        <v>34</v>
      </c>
      <c r="G116" t="s">
        <v>772</v>
      </c>
      <c r="H116" t="s">
        <v>3569</v>
      </c>
      <c r="I116" t="s">
        <v>586</v>
      </c>
      <c r="J116" t="s">
        <v>1209</v>
      </c>
      <c r="K116" t="s">
        <v>2486</v>
      </c>
      <c r="L116">
        <v>145627</v>
      </c>
      <c r="M116" t="s">
        <v>372</v>
      </c>
      <c r="N116" t="s">
        <v>310</v>
      </c>
      <c r="O116" t="s">
        <v>1272</v>
      </c>
      <c r="P116" t="s">
        <v>770</v>
      </c>
      <c r="Q116" t="s">
        <v>765</v>
      </c>
      <c r="R116" t="s">
        <v>1215</v>
      </c>
      <c r="T116" t="s">
        <v>794</v>
      </c>
      <c r="U116" t="s">
        <v>34</v>
      </c>
      <c r="V116" t="s">
        <v>1216</v>
      </c>
      <c r="W116" t="s">
        <v>1217</v>
      </c>
      <c r="X116" t="s">
        <v>1218</v>
      </c>
      <c r="AC116" t="s">
        <v>34</v>
      </c>
      <c r="AD116" t="s">
        <v>767</v>
      </c>
      <c r="AE116" t="s">
        <v>768</v>
      </c>
      <c r="AF116" t="s">
        <v>585</v>
      </c>
      <c r="AG116" t="s">
        <v>1889</v>
      </c>
      <c r="AH116" t="s">
        <v>34</v>
      </c>
      <c r="AI116" t="s">
        <v>34</v>
      </c>
      <c r="AJ116" t="s">
        <v>34</v>
      </c>
      <c r="AK116" t="s">
        <v>34</v>
      </c>
      <c r="AL116" t="s">
        <v>34</v>
      </c>
      <c r="AM116" t="s">
        <v>2861</v>
      </c>
    </row>
    <row r="117" spans="1:39" x14ac:dyDescent="0.2">
      <c r="A117">
        <v>1270498</v>
      </c>
      <c r="B117">
        <v>57452</v>
      </c>
      <c r="C117" t="s">
        <v>371</v>
      </c>
      <c r="D117" t="s">
        <v>703</v>
      </c>
      <c r="E117" t="s">
        <v>704</v>
      </c>
      <c r="F117" t="s">
        <v>34</v>
      </c>
      <c r="G117" t="s">
        <v>772</v>
      </c>
      <c r="H117" t="s">
        <v>3569</v>
      </c>
      <c r="I117" t="s">
        <v>586</v>
      </c>
      <c r="J117" t="s">
        <v>1209</v>
      </c>
      <c r="K117" t="s">
        <v>1210</v>
      </c>
      <c r="L117">
        <v>31191</v>
      </c>
      <c r="M117" t="s">
        <v>371</v>
      </c>
      <c r="N117" t="s">
        <v>310</v>
      </c>
      <c r="O117" t="s">
        <v>1212</v>
      </c>
      <c r="P117" t="s">
        <v>770</v>
      </c>
      <c r="Q117" t="s">
        <v>765</v>
      </c>
      <c r="R117" t="s">
        <v>1215</v>
      </c>
      <c r="T117" t="s">
        <v>794</v>
      </c>
      <c r="U117" t="s">
        <v>34</v>
      </c>
      <c r="V117" t="s">
        <v>1216</v>
      </c>
      <c r="W117" t="s">
        <v>1217</v>
      </c>
      <c r="X117" t="s">
        <v>1218</v>
      </c>
      <c r="AC117" t="s">
        <v>34</v>
      </c>
      <c r="AD117" t="s">
        <v>767</v>
      </c>
      <c r="AE117" t="s">
        <v>768</v>
      </c>
      <c r="AF117" t="s">
        <v>585</v>
      </c>
      <c r="AG117" t="s">
        <v>1889</v>
      </c>
      <c r="AH117" t="s">
        <v>34</v>
      </c>
      <c r="AI117" t="s">
        <v>34</v>
      </c>
      <c r="AJ117" t="s">
        <v>34</v>
      </c>
      <c r="AK117" t="s">
        <v>34</v>
      </c>
      <c r="AL117" t="s">
        <v>34</v>
      </c>
      <c r="AM117" t="s">
        <v>2861</v>
      </c>
    </row>
    <row r="118" spans="1:39" x14ac:dyDescent="0.2">
      <c r="A118">
        <v>1279190</v>
      </c>
      <c r="B118">
        <v>57452</v>
      </c>
      <c r="C118" t="s">
        <v>370</v>
      </c>
      <c r="D118" t="s">
        <v>703</v>
      </c>
      <c r="E118" t="s">
        <v>704</v>
      </c>
      <c r="F118" t="s">
        <v>34</v>
      </c>
      <c r="G118" t="s">
        <v>772</v>
      </c>
      <c r="H118" t="s">
        <v>3569</v>
      </c>
      <c r="I118" t="s">
        <v>586</v>
      </c>
      <c r="J118" t="s">
        <v>1209</v>
      </c>
      <c r="K118" t="s">
        <v>1210</v>
      </c>
      <c r="L118" t="s">
        <v>1211</v>
      </c>
      <c r="M118" t="s">
        <v>370</v>
      </c>
      <c r="N118" t="s">
        <v>310</v>
      </c>
      <c r="O118" t="s">
        <v>1212</v>
      </c>
      <c r="P118" t="s">
        <v>770</v>
      </c>
      <c r="Q118" t="s">
        <v>765</v>
      </c>
      <c r="R118" t="s">
        <v>1213</v>
      </c>
      <c r="T118" t="s">
        <v>794</v>
      </c>
      <c r="U118" t="s">
        <v>34</v>
      </c>
      <c r="V118" t="s">
        <v>1214</v>
      </c>
      <c r="W118" t="s">
        <v>369</v>
      </c>
      <c r="X118" t="s">
        <v>844</v>
      </c>
      <c r="AC118" t="s">
        <v>34</v>
      </c>
      <c r="AD118" t="s">
        <v>767</v>
      </c>
      <c r="AE118" t="s">
        <v>768</v>
      </c>
      <c r="AF118" t="s">
        <v>585</v>
      </c>
      <c r="AG118" t="s">
        <v>1889</v>
      </c>
      <c r="AH118" t="s">
        <v>34</v>
      </c>
      <c r="AI118" t="s">
        <v>34</v>
      </c>
      <c r="AJ118" t="s">
        <v>34</v>
      </c>
      <c r="AK118" t="s">
        <v>34</v>
      </c>
      <c r="AL118" t="s">
        <v>34</v>
      </c>
      <c r="AM118" t="s">
        <v>2861</v>
      </c>
    </row>
    <row r="119" spans="1:39" x14ac:dyDescent="0.2">
      <c r="A119">
        <v>1270472</v>
      </c>
      <c r="B119">
        <v>57452</v>
      </c>
      <c r="C119" t="s">
        <v>378</v>
      </c>
      <c r="D119" t="s">
        <v>703</v>
      </c>
      <c r="E119" t="s">
        <v>704</v>
      </c>
      <c r="F119" t="s">
        <v>34</v>
      </c>
      <c r="G119" t="s">
        <v>772</v>
      </c>
      <c r="H119" t="s">
        <v>3569</v>
      </c>
      <c r="I119" t="s">
        <v>980</v>
      </c>
      <c r="J119" t="s">
        <v>367</v>
      </c>
      <c r="K119" t="s">
        <v>1225</v>
      </c>
      <c r="L119" t="s">
        <v>378</v>
      </c>
      <c r="M119" t="s">
        <v>378</v>
      </c>
      <c r="N119" t="s">
        <v>310</v>
      </c>
      <c r="O119" t="s">
        <v>832</v>
      </c>
      <c r="P119" t="s">
        <v>2928</v>
      </c>
      <c r="Q119" t="s">
        <v>898</v>
      </c>
      <c r="R119" t="s">
        <v>1226</v>
      </c>
      <c r="S119">
        <v>450</v>
      </c>
      <c r="T119" t="s">
        <v>794</v>
      </c>
      <c r="U119" t="s">
        <v>34</v>
      </c>
      <c r="V119" t="s">
        <v>1227</v>
      </c>
      <c r="W119" t="s">
        <v>378</v>
      </c>
      <c r="X119" t="s">
        <v>2917</v>
      </c>
      <c r="AC119" t="s">
        <v>1228</v>
      </c>
      <c r="AD119" t="s">
        <v>767</v>
      </c>
      <c r="AE119" t="s">
        <v>768</v>
      </c>
      <c r="AF119" t="s">
        <v>585</v>
      </c>
      <c r="AG119">
        <v>78</v>
      </c>
      <c r="AH119">
        <v>11</v>
      </c>
      <c r="AI119">
        <v>66</v>
      </c>
      <c r="AJ119" t="s">
        <v>34</v>
      </c>
      <c r="AK119" t="s">
        <v>34</v>
      </c>
      <c r="AL119" t="s">
        <v>34</v>
      </c>
      <c r="AM119" t="s">
        <v>2861</v>
      </c>
    </row>
    <row r="120" spans="1:39" x14ac:dyDescent="0.2">
      <c r="A120">
        <v>1270471</v>
      </c>
      <c r="B120">
        <v>57452</v>
      </c>
      <c r="C120" t="s">
        <v>377</v>
      </c>
      <c r="D120" t="s">
        <v>703</v>
      </c>
      <c r="E120" t="s">
        <v>704</v>
      </c>
      <c r="F120" t="s">
        <v>34</v>
      </c>
      <c r="G120" t="s">
        <v>772</v>
      </c>
      <c r="H120" t="s">
        <v>3569</v>
      </c>
      <c r="I120" t="s">
        <v>980</v>
      </c>
      <c r="J120" t="s">
        <v>367</v>
      </c>
      <c r="K120" t="s">
        <v>1229</v>
      </c>
      <c r="L120">
        <v>2605</v>
      </c>
      <c r="M120" t="s">
        <v>377</v>
      </c>
      <c r="N120" t="s">
        <v>3573</v>
      </c>
      <c r="O120" t="s">
        <v>1230</v>
      </c>
      <c r="P120" t="s">
        <v>2916</v>
      </c>
      <c r="Q120" t="s">
        <v>898</v>
      </c>
      <c r="R120" t="s">
        <v>1231</v>
      </c>
      <c r="S120">
        <v>693</v>
      </c>
      <c r="T120" t="s">
        <v>791</v>
      </c>
      <c r="U120">
        <v>1269820</v>
      </c>
      <c r="V120" t="s">
        <v>2884</v>
      </c>
      <c r="W120">
        <v>547274</v>
      </c>
      <c r="X120" t="s">
        <v>2917</v>
      </c>
      <c r="Y120" t="s">
        <v>34</v>
      </c>
      <c r="Z120" t="s">
        <v>3125</v>
      </c>
      <c r="AA120" t="s">
        <v>3126</v>
      </c>
      <c r="AB120" t="s">
        <v>2917</v>
      </c>
      <c r="AC120" t="s">
        <v>1232</v>
      </c>
      <c r="AD120" t="s">
        <v>767</v>
      </c>
      <c r="AE120" t="s">
        <v>768</v>
      </c>
      <c r="AF120" t="s">
        <v>585</v>
      </c>
      <c r="AG120">
        <v>26</v>
      </c>
      <c r="AH120">
        <v>25</v>
      </c>
      <c r="AI120">
        <v>152</v>
      </c>
      <c r="AJ120" t="s">
        <v>34</v>
      </c>
      <c r="AK120" t="s">
        <v>34</v>
      </c>
      <c r="AL120" t="s">
        <v>34</v>
      </c>
      <c r="AM120" t="s">
        <v>2863</v>
      </c>
    </row>
    <row r="121" spans="1:39" x14ac:dyDescent="0.2">
      <c r="B121">
        <v>57452</v>
      </c>
      <c r="C121" t="s">
        <v>369</v>
      </c>
      <c r="D121" t="s">
        <v>703</v>
      </c>
      <c r="E121" t="s">
        <v>704</v>
      </c>
      <c r="F121" t="s">
        <v>34</v>
      </c>
      <c r="G121" t="s">
        <v>772</v>
      </c>
      <c r="H121" t="s">
        <v>3569</v>
      </c>
      <c r="I121" t="s">
        <v>586</v>
      </c>
      <c r="J121" t="s">
        <v>1209</v>
      </c>
      <c r="K121" t="s">
        <v>1219</v>
      </c>
      <c r="L121">
        <v>159874</v>
      </c>
      <c r="M121" t="s">
        <v>369</v>
      </c>
      <c r="N121" t="s">
        <v>310</v>
      </c>
      <c r="O121" t="s">
        <v>1220</v>
      </c>
      <c r="P121" t="s">
        <v>770</v>
      </c>
      <c r="Q121" t="s">
        <v>828</v>
      </c>
      <c r="R121" t="s">
        <v>1115</v>
      </c>
      <c r="T121" t="s">
        <v>794</v>
      </c>
      <c r="U121">
        <v>1633315</v>
      </c>
      <c r="V121" t="s">
        <v>1221</v>
      </c>
      <c r="W121" t="s">
        <v>375</v>
      </c>
      <c r="X121" t="s">
        <v>844</v>
      </c>
      <c r="AC121" t="s">
        <v>34</v>
      </c>
      <c r="AD121" t="s">
        <v>767</v>
      </c>
      <c r="AE121" t="s">
        <v>768</v>
      </c>
      <c r="AF121" t="s">
        <v>585</v>
      </c>
      <c r="AG121" t="s">
        <v>1889</v>
      </c>
      <c r="AH121" t="s">
        <v>34</v>
      </c>
      <c r="AI121" t="s">
        <v>34</v>
      </c>
      <c r="AJ121" t="s">
        <v>34</v>
      </c>
      <c r="AK121" t="s">
        <v>34</v>
      </c>
      <c r="AL121" t="s">
        <v>34</v>
      </c>
      <c r="AM121" t="s">
        <v>2861</v>
      </c>
    </row>
    <row r="122" spans="1:39" x14ac:dyDescent="0.2">
      <c r="A122">
        <v>1279025</v>
      </c>
      <c r="B122">
        <v>57452</v>
      </c>
      <c r="C122" t="s">
        <v>654</v>
      </c>
      <c r="D122" t="s">
        <v>703</v>
      </c>
      <c r="E122" t="s">
        <v>704</v>
      </c>
      <c r="F122" t="s">
        <v>34</v>
      </c>
      <c r="G122" t="s">
        <v>772</v>
      </c>
      <c r="H122" t="s">
        <v>3164</v>
      </c>
      <c r="I122" t="s">
        <v>980</v>
      </c>
      <c r="J122" t="s">
        <v>1255</v>
      </c>
      <c r="K122" t="s">
        <v>1256</v>
      </c>
      <c r="L122" t="s">
        <v>1256</v>
      </c>
      <c r="M122" t="s">
        <v>1255</v>
      </c>
      <c r="N122" t="s">
        <v>310</v>
      </c>
      <c r="O122" t="s">
        <v>3372</v>
      </c>
      <c r="P122" t="s">
        <v>2928</v>
      </c>
      <c r="Q122" t="s">
        <v>765</v>
      </c>
      <c r="R122" t="s">
        <v>1051</v>
      </c>
      <c r="S122">
        <v>97.8</v>
      </c>
      <c r="T122" t="s">
        <v>793</v>
      </c>
      <c r="U122" t="s">
        <v>34</v>
      </c>
      <c r="V122" t="s">
        <v>1257</v>
      </c>
      <c r="X122" t="s">
        <v>847</v>
      </c>
      <c r="AC122" t="s">
        <v>2598</v>
      </c>
      <c r="AD122" t="s">
        <v>767</v>
      </c>
      <c r="AE122" t="s">
        <v>768</v>
      </c>
      <c r="AF122" t="s">
        <v>585</v>
      </c>
      <c r="AG122" t="s">
        <v>1889</v>
      </c>
      <c r="AH122" t="s">
        <v>34</v>
      </c>
      <c r="AI122" t="s">
        <v>34</v>
      </c>
      <c r="AJ122" t="s">
        <v>34</v>
      </c>
      <c r="AK122" t="s">
        <v>34</v>
      </c>
      <c r="AL122" t="s">
        <v>34</v>
      </c>
      <c r="AM122" t="s">
        <v>2861</v>
      </c>
    </row>
    <row r="123" spans="1:39" x14ac:dyDescent="0.2">
      <c r="A123">
        <v>1270445</v>
      </c>
      <c r="B123">
        <v>57452</v>
      </c>
      <c r="C123" t="s">
        <v>374</v>
      </c>
      <c r="D123" t="s">
        <v>703</v>
      </c>
      <c r="E123" t="s">
        <v>704</v>
      </c>
      <c r="F123" t="s">
        <v>34</v>
      </c>
      <c r="G123" t="s">
        <v>772</v>
      </c>
      <c r="H123" t="s">
        <v>3569</v>
      </c>
      <c r="I123" t="s">
        <v>980</v>
      </c>
      <c r="J123" t="s">
        <v>373</v>
      </c>
      <c r="K123" t="s">
        <v>1233</v>
      </c>
      <c r="L123">
        <v>609</v>
      </c>
      <c r="M123" t="s">
        <v>374</v>
      </c>
      <c r="N123" t="s">
        <v>3592</v>
      </c>
      <c r="O123" t="s">
        <v>1234</v>
      </c>
      <c r="P123" t="s">
        <v>2914</v>
      </c>
      <c r="Q123" t="s">
        <v>765</v>
      </c>
      <c r="R123" t="s">
        <v>1235</v>
      </c>
      <c r="S123">
        <v>98.6</v>
      </c>
      <c r="T123" t="s">
        <v>793</v>
      </c>
      <c r="U123">
        <v>1269807</v>
      </c>
      <c r="V123" t="s">
        <v>1236</v>
      </c>
      <c r="W123">
        <v>1796423</v>
      </c>
      <c r="X123" t="s">
        <v>3000</v>
      </c>
      <c r="Y123" t="s">
        <v>34</v>
      </c>
      <c r="Z123" t="s">
        <v>1237</v>
      </c>
      <c r="AA123" t="s">
        <v>1238</v>
      </c>
      <c r="AB123" t="s">
        <v>3000</v>
      </c>
      <c r="AC123" t="s">
        <v>34</v>
      </c>
      <c r="AD123" t="s">
        <v>767</v>
      </c>
      <c r="AE123" t="s">
        <v>768</v>
      </c>
      <c r="AF123" t="s">
        <v>585</v>
      </c>
      <c r="AG123" t="s">
        <v>2343</v>
      </c>
      <c r="AH123">
        <v>44106</v>
      </c>
      <c r="AI123" t="s">
        <v>2344</v>
      </c>
      <c r="AJ123" t="s">
        <v>34</v>
      </c>
      <c r="AK123" t="s">
        <v>34</v>
      </c>
      <c r="AL123" t="s">
        <v>34</v>
      </c>
      <c r="AM123" t="s">
        <v>2864</v>
      </c>
    </row>
    <row r="124" spans="1:39" x14ac:dyDescent="0.2">
      <c r="A124">
        <v>1647844</v>
      </c>
      <c r="B124">
        <v>57452</v>
      </c>
      <c r="C124" t="s">
        <v>2869</v>
      </c>
      <c r="D124" t="s">
        <v>703</v>
      </c>
      <c r="E124" t="s">
        <v>704</v>
      </c>
      <c r="F124" t="s">
        <v>34</v>
      </c>
      <c r="G124" t="s">
        <v>772</v>
      </c>
      <c r="H124" t="s">
        <v>3569</v>
      </c>
      <c r="I124" t="s">
        <v>586</v>
      </c>
      <c r="J124" t="s">
        <v>1209</v>
      </c>
      <c r="K124" t="s">
        <v>2870</v>
      </c>
      <c r="L124" t="s">
        <v>2871</v>
      </c>
      <c r="M124" t="s">
        <v>2869</v>
      </c>
      <c r="N124" t="s">
        <v>310</v>
      </c>
      <c r="O124" t="s">
        <v>1224</v>
      </c>
      <c r="P124" t="s">
        <v>770</v>
      </c>
      <c r="Q124" t="s">
        <v>2754</v>
      </c>
      <c r="R124" t="s">
        <v>1215</v>
      </c>
      <c r="T124" t="s">
        <v>794</v>
      </c>
      <c r="U124" t="s">
        <v>34</v>
      </c>
      <c r="V124" t="s">
        <v>2872</v>
      </c>
      <c r="W124" t="s">
        <v>1217</v>
      </c>
      <c r="X124" t="s">
        <v>1218</v>
      </c>
      <c r="AC124" t="s">
        <v>34</v>
      </c>
      <c r="AD124" t="s">
        <v>767</v>
      </c>
      <c r="AE124" t="s">
        <v>768</v>
      </c>
      <c r="AF124" t="s">
        <v>585</v>
      </c>
      <c r="AG124" t="s">
        <v>1889</v>
      </c>
      <c r="AH124" t="s">
        <v>34</v>
      </c>
      <c r="AI124" t="s">
        <v>34</v>
      </c>
      <c r="AJ124" t="s">
        <v>34</v>
      </c>
      <c r="AK124" t="s">
        <v>34</v>
      </c>
      <c r="AL124" t="s">
        <v>34</v>
      </c>
      <c r="AM124" t="s">
        <v>2861</v>
      </c>
    </row>
    <row r="125" spans="1:39" x14ac:dyDescent="0.2">
      <c r="A125">
        <v>1279039</v>
      </c>
      <c r="B125">
        <v>57452</v>
      </c>
      <c r="C125" t="s">
        <v>375</v>
      </c>
      <c r="D125" t="s">
        <v>703</v>
      </c>
      <c r="E125" t="s">
        <v>704</v>
      </c>
      <c r="F125" t="s">
        <v>34</v>
      </c>
      <c r="G125" t="s">
        <v>772</v>
      </c>
      <c r="H125" t="s">
        <v>3569</v>
      </c>
      <c r="I125" t="s">
        <v>586</v>
      </c>
      <c r="J125" t="s">
        <v>1209</v>
      </c>
      <c r="K125" t="s">
        <v>1222</v>
      </c>
      <c r="L125" t="s">
        <v>1223</v>
      </c>
      <c r="M125" t="s">
        <v>375</v>
      </c>
      <c r="N125" t="s">
        <v>310</v>
      </c>
      <c r="O125" t="s">
        <v>1224</v>
      </c>
      <c r="P125" t="s">
        <v>770</v>
      </c>
      <c r="Q125" t="s">
        <v>828</v>
      </c>
      <c r="R125" t="s">
        <v>3181</v>
      </c>
      <c r="T125" t="s">
        <v>794</v>
      </c>
      <c r="U125" t="s">
        <v>34</v>
      </c>
      <c r="V125" t="s">
        <v>3182</v>
      </c>
      <c r="W125" t="s">
        <v>1217</v>
      </c>
      <c r="X125" t="s">
        <v>1218</v>
      </c>
      <c r="AC125" t="s">
        <v>34</v>
      </c>
      <c r="AD125" t="s">
        <v>767</v>
      </c>
      <c r="AE125" t="s">
        <v>768</v>
      </c>
      <c r="AF125" t="s">
        <v>585</v>
      </c>
      <c r="AG125" t="s">
        <v>1889</v>
      </c>
      <c r="AH125" t="s">
        <v>34</v>
      </c>
      <c r="AI125" t="s">
        <v>34</v>
      </c>
      <c r="AJ125" t="s">
        <v>34</v>
      </c>
      <c r="AK125" t="s">
        <v>34</v>
      </c>
      <c r="AL125" t="s">
        <v>34</v>
      </c>
      <c r="AM125" t="s">
        <v>2861</v>
      </c>
    </row>
    <row r="126" spans="1:39" x14ac:dyDescent="0.2">
      <c r="B126">
        <v>57452</v>
      </c>
      <c r="C126" t="s">
        <v>376</v>
      </c>
      <c r="D126" t="s">
        <v>703</v>
      </c>
      <c r="E126" t="s">
        <v>704</v>
      </c>
      <c r="F126" t="s">
        <v>34</v>
      </c>
      <c r="G126" t="s">
        <v>772</v>
      </c>
      <c r="H126" t="s">
        <v>3569</v>
      </c>
      <c r="AC126" t="s">
        <v>34</v>
      </c>
      <c r="AD126" t="s">
        <v>767</v>
      </c>
      <c r="AE126" t="s">
        <v>768</v>
      </c>
      <c r="AF126" t="s">
        <v>585</v>
      </c>
      <c r="AG126">
        <v>6</v>
      </c>
      <c r="AH126">
        <v>8</v>
      </c>
      <c r="AI126">
        <v>1</v>
      </c>
      <c r="AJ126" t="s">
        <v>34</v>
      </c>
      <c r="AK126" t="s">
        <v>34</v>
      </c>
      <c r="AL126" t="s">
        <v>34</v>
      </c>
      <c r="AM126" t="s">
        <v>2861</v>
      </c>
    </row>
    <row r="127" spans="1:39" x14ac:dyDescent="0.2">
      <c r="A127">
        <v>2182354</v>
      </c>
      <c r="B127">
        <v>57452</v>
      </c>
      <c r="C127" t="s">
        <v>3291</v>
      </c>
      <c r="D127" t="s">
        <v>703</v>
      </c>
      <c r="E127" t="s">
        <v>704</v>
      </c>
      <c r="F127" t="s">
        <v>34</v>
      </c>
      <c r="G127" t="s">
        <v>772</v>
      </c>
      <c r="H127" t="s">
        <v>3569</v>
      </c>
      <c r="I127" t="s">
        <v>586</v>
      </c>
      <c r="J127" t="s">
        <v>3292</v>
      </c>
      <c r="K127" t="s">
        <v>890</v>
      </c>
      <c r="L127" t="s">
        <v>3293</v>
      </c>
      <c r="M127" t="s">
        <v>3291</v>
      </c>
      <c r="N127" t="s">
        <v>983</v>
      </c>
      <c r="O127" t="s">
        <v>3294</v>
      </c>
      <c r="P127" t="s">
        <v>2918</v>
      </c>
      <c r="Q127" t="s">
        <v>765</v>
      </c>
      <c r="R127" t="s">
        <v>3295</v>
      </c>
      <c r="S127">
        <v>176.5</v>
      </c>
      <c r="U127">
        <v>1270442</v>
      </c>
      <c r="V127" t="s">
        <v>3296</v>
      </c>
      <c r="W127">
        <v>479797</v>
      </c>
      <c r="X127" t="s">
        <v>2919</v>
      </c>
      <c r="Y127" t="s">
        <v>34</v>
      </c>
      <c r="Z127" t="s">
        <v>3297</v>
      </c>
      <c r="AA127" t="s">
        <v>3298</v>
      </c>
      <c r="AB127" t="s">
        <v>2919</v>
      </c>
      <c r="AC127" t="s">
        <v>3299</v>
      </c>
      <c r="AD127" t="s">
        <v>767</v>
      </c>
      <c r="AE127" t="s">
        <v>768</v>
      </c>
      <c r="AF127" t="s">
        <v>585</v>
      </c>
      <c r="AG127" t="s">
        <v>1889</v>
      </c>
      <c r="AH127" t="s">
        <v>34</v>
      </c>
      <c r="AI127" t="s">
        <v>34</v>
      </c>
      <c r="AJ127" t="s">
        <v>34</v>
      </c>
      <c r="AK127" t="s">
        <v>34</v>
      </c>
      <c r="AL127" t="s">
        <v>34</v>
      </c>
      <c r="AM127" t="s">
        <v>2861</v>
      </c>
    </row>
    <row r="128" spans="1:39" x14ac:dyDescent="0.2">
      <c r="A128">
        <v>1587773</v>
      </c>
      <c r="B128">
        <v>57452</v>
      </c>
      <c r="C128" t="s">
        <v>590</v>
      </c>
      <c r="D128" t="s">
        <v>703</v>
      </c>
      <c r="E128" t="s">
        <v>704</v>
      </c>
      <c r="F128" t="s">
        <v>34</v>
      </c>
      <c r="G128" t="s">
        <v>772</v>
      </c>
      <c r="H128" t="s">
        <v>3569</v>
      </c>
      <c r="I128" t="s">
        <v>980</v>
      </c>
      <c r="J128" t="s">
        <v>1249</v>
      </c>
      <c r="K128" t="s">
        <v>1250</v>
      </c>
      <c r="L128">
        <v>1705</v>
      </c>
      <c r="M128" t="s">
        <v>590</v>
      </c>
      <c r="N128" t="s">
        <v>3592</v>
      </c>
      <c r="O128" t="s">
        <v>1234</v>
      </c>
      <c r="P128" t="s">
        <v>2914</v>
      </c>
      <c r="Q128" t="s">
        <v>765</v>
      </c>
      <c r="R128" t="s">
        <v>1251</v>
      </c>
      <c r="S128">
        <v>93.8</v>
      </c>
      <c r="T128" t="s">
        <v>793</v>
      </c>
      <c r="U128">
        <v>1269802</v>
      </c>
      <c r="V128" t="s">
        <v>1252</v>
      </c>
      <c r="W128">
        <v>2467302</v>
      </c>
      <c r="X128" t="s">
        <v>3000</v>
      </c>
      <c r="Y128" t="s">
        <v>34</v>
      </c>
      <c r="Z128" t="s">
        <v>1253</v>
      </c>
      <c r="AA128" t="s">
        <v>1254</v>
      </c>
      <c r="AB128" t="s">
        <v>3000</v>
      </c>
      <c r="AC128" t="s">
        <v>34</v>
      </c>
      <c r="AD128" t="s">
        <v>767</v>
      </c>
      <c r="AE128" t="s">
        <v>768</v>
      </c>
      <c r="AF128" t="s">
        <v>585</v>
      </c>
      <c r="AG128">
        <v>1</v>
      </c>
      <c r="AH128">
        <v>8</v>
      </c>
      <c r="AI128">
        <v>390</v>
      </c>
      <c r="AJ128" t="s">
        <v>34</v>
      </c>
      <c r="AK128" t="s">
        <v>34</v>
      </c>
      <c r="AL128" t="s">
        <v>34</v>
      </c>
      <c r="AM128" t="s">
        <v>2864</v>
      </c>
    </row>
    <row r="129" spans="1:39" x14ac:dyDescent="0.2">
      <c r="A129">
        <v>1270502</v>
      </c>
      <c r="B129">
        <v>57452</v>
      </c>
      <c r="C129" t="s">
        <v>602</v>
      </c>
      <c r="D129" t="s">
        <v>703</v>
      </c>
      <c r="E129" t="s">
        <v>704</v>
      </c>
      <c r="F129" t="s">
        <v>34</v>
      </c>
      <c r="G129" t="s">
        <v>772</v>
      </c>
      <c r="H129" t="s">
        <v>3569</v>
      </c>
      <c r="I129" t="s">
        <v>586</v>
      </c>
      <c r="J129" t="s">
        <v>2882</v>
      </c>
      <c r="K129" t="s">
        <v>890</v>
      </c>
      <c r="L129">
        <v>7852</v>
      </c>
      <c r="M129" t="s">
        <v>602</v>
      </c>
      <c r="N129" t="s">
        <v>310</v>
      </c>
      <c r="O129" t="s">
        <v>2883</v>
      </c>
      <c r="P129" t="s">
        <v>844</v>
      </c>
      <c r="Q129" t="s">
        <v>828</v>
      </c>
      <c r="R129" t="s">
        <v>1115</v>
      </c>
      <c r="S129">
        <v>420</v>
      </c>
      <c r="U129" t="s">
        <v>34</v>
      </c>
      <c r="V129" t="s">
        <v>2884</v>
      </c>
      <c r="W129" t="s">
        <v>1247</v>
      </c>
      <c r="X129" t="s">
        <v>892</v>
      </c>
      <c r="AC129" t="s">
        <v>2886</v>
      </c>
      <c r="AD129" t="s">
        <v>2503</v>
      </c>
      <c r="AE129" t="s">
        <v>2885</v>
      </c>
      <c r="AF129" t="s">
        <v>584</v>
      </c>
      <c r="AG129" t="s">
        <v>1889</v>
      </c>
      <c r="AH129" t="s">
        <v>34</v>
      </c>
      <c r="AI129" t="s">
        <v>34</v>
      </c>
      <c r="AJ129" t="s">
        <v>34</v>
      </c>
      <c r="AK129" t="s">
        <v>34</v>
      </c>
      <c r="AL129" t="s">
        <v>34</v>
      </c>
      <c r="AM129" t="s">
        <v>2868</v>
      </c>
    </row>
    <row r="130" spans="1:39" x14ac:dyDescent="0.2">
      <c r="A130">
        <v>1270504</v>
      </c>
      <c r="B130">
        <v>57452</v>
      </c>
      <c r="C130" t="s">
        <v>600</v>
      </c>
      <c r="D130" t="s">
        <v>703</v>
      </c>
      <c r="E130" t="s">
        <v>704</v>
      </c>
      <c r="F130" t="s">
        <v>34</v>
      </c>
      <c r="G130" t="s">
        <v>772</v>
      </c>
      <c r="H130" t="s">
        <v>3569</v>
      </c>
      <c r="I130" t="s">
        <v>586</v>
      </c>
      <c r="J130" t="s">
        <v>1270</v>
      </c>
      <c r="K130" t="s">
        <v>880</v>
      </c>
      <c r="L130" t="s">
        <v>600</v>
      </c>
      <c r="M130" t="s">
        <v>600</v>
      </c>
      <c r="N130" t="s">
        <v>310</v>
      </c>
      <c r="O130" t="s">
        <v>1271</v>
      </c>
      <c r="P130" t="s">
        <v>844</v>
      </c>
      <c r="Q130" t="s">
        <v>828</v>
      </c>
      <c r="R130" t="s">
        <v>1260</v>
      </c>
      <c r="S130">
        <v>420</v>
      </c>
      <c r="U130" t="s">
        <v>34</v>
      </c>
      <c r="V130" t="s">
        <v>1246</v>
      </c>
      <c r="W130" t="s">
        <v>1261</v>
      </c>
      <c r="X130" t="s">
        <v>766</v>
      </c>
      <c r="Y130" t="s">
        <v>34</v>
      </c>
      <c r="Z130" t="s">
        <v>1246</v>
      </c>
      <c r="AA130" t="s">
        <v>1261</v>
      </c>
      <c r="AB130" t="s">
        <v>766</v>
      </c>
      <c r="AC130" t="s">
        <v>1262</v>
      </c>
      <c r="AD130" t="s">
        <v>767</v>
      </c>
      <c r="AE130" t="s">
        <v>768</v>
      </c>
      <c r="AF130" t="s">
        <v>585</v>
      </c>
      <c r="AG130" t="s">
        <v>34</v>
      </c>
      <c r="AH130" t="s">
        <v>34</v>
      </c>
      <c r="AI130" t="s">
        <v>34</v>
      </c>
      <c r="AJ130" t="s">
        <v>34</v>
      </c>
      <c r="AK130" t="s">
        <v>34</v>
      </c>
      <c r="AL130" t="s">
        <v>34</v>
      </c>
      <c r="AM130" t="s">
        <v>2873</v>
      </c>
    </row>
    <row r="131" spans="1:39" x14ac:dyDescent="0.2">
      <c r="A131">
        <v>1270505</v>
      </c>
      <c r="B131">
        <v>57452</v>
      </c>
      <c r="C131" t="s">
        <v>601</v>
      </c>
      <c r="D131" t="s">
        <v>703</v>
      </c>
      <c r="E131" t="s">
        <v>704</v>
      </c>
      <c r="F131" t="s">
        <v>34</v>
      </c>
      <c r="G131" t="s">
        <v>772</v>
      </c>
      <c r="H131" t="s">
        <v>3569</v>
      </c>
      <c r="I131" t="s">
        <v>586</v>
      </c>
      <c r="J131" t="s">
        <v>1273</v>
      </c>
      <c r="K131" t="s">
        <v>880</v>
      </c>
      <c r="L131" t="s">
        <v>601</v>
      </c>
      <c r="M131" t="s">
        <v>601</v>
      </c>
      <c r="N131" t="s">
        <v>310</v>
      </c>
      <c r="O131" t="s">
        <v>1274</v>
      </c>
      <c r="P131" t="s">
        <v>844</v>
      </c>
      <c r="Q131" t="s">
        <v>828</v>
      </c>
      <c r="R131" t="s">
        <v>1260</v>
      </c>
      <c r="S131">
        <v>420</v>
      </c>
      <c r="U131" t="s">
        <v>34</v>
      </c>
      <c r="V131" t="s">
        <v>1246</v>
      </c>
      <c r="W131" t="s">
        <v>1261</v>
      </c>
      <c r="X131" t="s">
        <v>766</v>
      </c>
      <c r="Y131" t="s">
        <v>34</v>
      </c>
      <c r="Z131" t="s">
        <v>1246</v>
      </c>
      <c r="AA131" t="s">
        <v>1261</v>
      </c>
      <c r="AB131" t="s">
        <v>766</v>
      </c>
      <c r="AC131" t="s">
        <v>1262</v>
      </c>
      <c r="AD131" t="s">
        <v>767</v>
      </c>
      <c r="AE131" t="s">
        <v>768</v>
      </c>
      <c r="AF131" t="s">
        <v>585</v>
      </c>
      <c r="AG131" t="s">
        <v>34</v>
      </c>
      <c r="AH131" t="s">
        <v>34</v>
      </c>
      <c r="AI131" t="s">
        <v>34</v>
      </c>
      <c r="AJ131" t="s">
        <v>34</v>
      </c>
      <c r="AK131" t="s">
        <v>34</v>
      </c>
      <c r="AL131" t="s">
        <v>34</v>
      </c>
      <c r="AM131" t="s">
        <v>2861</v>
      </c>
    </row>
    <row r="132" spans="1:39" x14ac:dyDescent="0.2">
      <c r="A132">
        <v>1270501</v>
      </c>
      <c r="B132">
        <v>57452</v>
      </c>
      <c r="C132" t="s">
        <v>599</v>
      </c>
      <c r="D132" t="s">
        <v>703</v>
      </c>
      <c r="E132" t="s">
        <v>704</v>
      </c>
      <c r="F132" t="s">
        <v>34</v>
      </c>
      <c r="G132" t="s">
        <v>772</v>
      </c>
      <c r="H132" t="s">
        <v>3569</v>
      </c>
      <c r="I132" t="s">
        <v>586</v>
      </c>
      <c r="J132" t="s">
        <v>1258</v>
      </c>
      <c r="K132" t="s">
        <v>880</v>
      </c>
      <c r="L132" t="s">
        <v>599</v>
      </c>
      <c r="M132" t="s">
        <v>599</v>
      </c>
      <c r="N132" t="s">
        <v>310</v>
      </c>
      <c r="O132" t="s">
        <v>1259</v>
      </c>
      <c r="P132" t="s">
        <v>844</v>
      </c>
      <c r="Q132" t="s">
        <v>828</v>
      </c>
      <c r="R132" t="s">
        <v>1260</v>
      </c>
      <c r="S132">
        <v>420</v>
      </c>
      <c r="U132" t="s">
        <v>34</v>
      </c>
      <c r="V132" t="s">
        <v>1246</v>
      </c>
      <c r="W132" t="s">
        <v>1261</v>
      </c>
      <c r="X132" t="s">
        <v>766</v>
      </c>
      <c r="Y132" t="s">
        <v>34</v>
      </c>
      <c r="Z132" t="s">
        <v>1246</v>
      </c>
      <c r="AA132" t="s">
        <v>1261</v>
      </c>
      <c r="AB132" t="s">
        <v>766</v>
      </c>
      <c r="AC132" t="s">
        <v>1262</v>
      </c>
      <c r="AD132" t="s">
        <v>767</v>
      </c>
      <c r="AE132" t="s">
        <v>768</v>
      </c>
      <c r="AF132" t="s">
        <v>585</v>
      </c>
      <c r="AG132" t="s">
        <v>34</v>
      </c>
      <c r="AH132" t="s">
        <v>34</v>
      </c>
      <c r="AI132" t="s">
        <v>34</v>
      </c>
      <c r="AJ132" t="s">
        <v>34</v>
      </c>
      <c r="AK132" t="s">
        <v>34</v>
      </c>
      <c r="AL132" t="s">
        <v>34</v>
      </c>
      <c r="AM132" t="s">
        <v>2861</v>
      </c>
    </row>
    <row r="133" spans="1:39" x14ac:dyDescent="0.2">
      <c r="A133">
        <v>1270500</v>
      </c>
      <c r="B133">
        <v>57452</v>
      </c>
      <c r="C133" t="s">
        <v>598</v>
      </c>
      <c r="D133" t="s">
        <v>703</v>
      </c>
      <c r="E133" t="s">
        <v>704</v>
      </c>
      <c r="F133" t="s">
        <v>34</v>
      </c>
      <c r="G133" t="s">
        <v>772</v>
      </c>
      <c r="H133" t="s">
        <v>3569</v>
      </c>
      <c r="I133" t="s">
        <v>586</v>
      </c>
      <c r="J133" t="s">
        <v>1244</v>
      </c>
      <c r="K133" t="s">
        <v>880</v>
      </c>
      <c r="L133" t="s">
        <v>598</v>
      </c>
      <c r="M133" t="s">
        <v>598</v>
      </c>
      <c r="N133" t="s">
        <v>310</v>
      </c>
      <c r="O133" t="s">
        <v>882</v>
      </c>
      <c r="P133" t="s">
        <v>764</v>
      </c>
      <c r="Q133" t="s">
        <v>765</v>
      </c>
      <c r="R133" t="s">
        <v>1245</v>
      </c>
      <c r="S133">
        <v>147.6</v>
      </c>
      <c r="T133" t="s">
        <v>793</v>
      </c>
      <c r="U133" t="s">
        <v>34</v>
      </c>
      <c r="V133" t="s">
        <v>1246</v>
      </c>
      <c r="W133" t="s">
        <v>1247</v>
      </c>
      <c r="X133" t="s">
        <v>897</v>
      </c>
      <c r="Y133" t="s">
        <v>34</v>
      </c>
      <c r="Z133" t="s">
        <v>1246</v>
      </c>
      <c r="AA133" t="s">
        <v>1247</v>
      </c>
      <c r="AB133" t="s">
        <v>897</v>
      </c>
      <c r="AC133" t="s">
        <v>1248</v>
      </c>
      <c r="AD133" t="s">
        <v>767</v>
      </c>
      <c r="AE133" t="s">
        <v>768</v>
      </c>
      <c r="AF133" t="s">
        <v>585</v>
      </c>
      <c r="AG133" t="s">
        <v>1889</v>
      </c>
      <c r="AH133" t="s">
        <v>34</v>
      </c>
      <c r="AI133" t="s">
        <v>34</v>
      </c>
      <c r="AJ133" t="s">
        <v>34</v>
      </c>
      <c r="AK133" t="s">
        <v>34</v>
      </c>
      <c r="AL133" t="s">
        <v>34</v>
      </c>
      <c r="AM133" t="s">
        <v>2864</v>
      </c>
    </row>
    <row r="134" spans="1:39" x14ac:dyDescent="0.2">
      <c r="A134">
        <v>1270440</v>
      </c>
      <c r="B134">
        <v>57452</v>
      </c>
      <c r="C134" t="s">
        <v>630</v>
      </c>
      <c r="D134" t="s">
        <v>703</v>
      </c>
      <c r="E134" t="s">
        <v>704</v>
      </c>
      <c r="F134" t="s">
        <v>34</v>
      </c>
      <c r="G134" t="s">
        <v>772</v>
      </c>
      <c r="H134" t="s">
        <v>3582</v>
      </c>
      <c r="I134" t="s">
        <v>980</v>
      </c>
      <c r="J134" t="s">
        <v>367</v>
      </c>
      <c r="K134" t="s">
        <v>1263</v>
      </c>
      <c r="L134" t="s">
        <v>1264</v>
      </c>
      <c r="M134" t="s">
        <v>630</v>
      </c>
      <c r="N134" t="s">
        <v>3593</v>
      </c>
      <c r="O134" t="s">
        <v>854</v>
      </c>
      <c r="P134" t="s">
        <v>2916</v>
      </c>
      <c r="Q134" t="s">
        <v>903</v>
      </c>
      <c r="R134" t="s">
        <v>1265</v>
      </c>
      <c r="S134">
        <v>567</v>
      </c>
      <c r="T134" t="s">
        <v>791</v>
      </c>
      <c r="U134">
        <v>1269814</v>
      </c>
      <c r="V134" t="s">
        <v>1266</v>
      </c>
      <c r="W134">
        <v>62523275</v>
      </c>
      <c r="X134" t="s">
        <v>2917</v>
      </c>
      <c r="Y134" t="s">
        <v>34</v>
      </c>
      <c r="Z134" t="s">
        <v>1267</v>
      </c>
      <c r="AA134" t="s">
        <v>1268</v>
      </c>
      <c r="AB134" t="s">
        <v>2917</v>
      </c>
      <c r="AC134" t="s">
        <v>1269</v>
      </c>
      <c r="AD134" t="s">
        <v>767</v>
      </c>
      <c r="AE134" t="s">
        <v>768</v>
      </c>
      <c r="AF134" t="s">
        <v>585</v>
      </c>
      <c r="AG134" t="s">
        <v>1889</v>
      </c>
      <c r="AH134" t="s">
        <v>34</v>
      </c>
      <c r="AI134" t="s">
        <v>34</v>
      </c>
      <c r="AJ134" t="s">
        <v>34</v>
      </c>
      <c r="AK134" t="s">
        <v>34</v>
      </c>
      <c r="AL134" t="s">
        <v>34</v>
      </c>
      <c r="AM134" t="s">
        <v>2861</v>
      </c>
    </row>
    <row r="135" spans="1:39" x14ac:dyDescent="0.2">
      <c r="A135">
        <v>1279173</v>
      </c>
      <c r="B135">
        <v>57452</v>
      </c>
      <c r="C135" t="s">
        <v>2631</v>
      </c>
      <c r="D135" t="s">
        <v>703</v>
      </c>
      <c r="E135" t="s">
        <v>704</v>
      </c>
      <c r="F135" t="s">
        <v>34</v>
      </c>
      <c r="G135" t="s">
        <v>772</v>
      </c>
      <c r="H135" t="s">
        <v>3569</v>
      </c>
      <c r="I135" t="s">
        <v>586</v>
      </c>
      <c r="J135" t="s">
        <v>2632</v>
      </c>
      <c r="K135" t="s">
        <v>2633</v>
      </c>
      <c r="L135">
        <v>159874</v>
      </c>
      <c r="M135" t="s">
        <v>2631</v>
      </c>
      <c r="N135" t="s">
        <v>310</v>
      </c>
      <c r="O135" t="s">
        <v>1220</v>
      </c>
      <c r="P135" t="s">
        <v>770</v>
      </c>
      <c r="Q135" t="s">
        <v>765</v>
      </c>
      <c r="R135" t="s">
        <v>1215</v>
      </c>
      <c r="T135" t="s">
        <v>794</v>
      </c>
      <c r="U135" t="s">
        <v>34</v>
      </c>
      <c r="V135" t="s">
        <v>2634</v>
      </c>
      <c r="W135" t="s">
        <v>2631</v>
      </c>
      <c r="X135" t="s">
        <v>844</v>
      </c>
      <c r="AC135" t="s">
        <v>34</v>
      </c>
      <c r="AD135" t="s">
        <v>767</v>
      </c>
      <c r="AE135" t="s">
        <v>768</v>
      </c>
      <c r="AF135" t="s">
        <v>585</v>
      </c>
      <c r="AG135" t="s">
        <v>1889</v>
      </c>
      <c r="AH135" t="s">
        <v>34</v>
      </c>
      <c r="AI135" t="s">
        <v>34</v>
      </c>
      <c r="AJ135" t="s">
        <v>34</v>
      </c>
      <c r="AK135" t="s">
        <v>34</v>
      </c>
      <c r="AL135" t="s">
        <v>34</v>
      </c>
      <c r="AM135" t="s">
        <v>2861</v>
      </c>
    </row>
    <row r="136" spans="1:39" x14ac:dyDescent="0.2">
      <c r="A136">
        <v>1270469</v>
      </c>
      <c r="B136">
        <v>57382</v>
      </c>
      <c r="C136">
        <v>588</v>
      </c>
      <c r="D136" t="s">
        <v>705</v>
      </c>
      <c r="E136" t="s">
        <v>706</v>
      </c>
      <c r="F136" t="s">
        <v>34</v>
      </c>
      <c r="G136" t="s">
        <v>772</v>
      </c>
      <c r="H136" t="s">
        <v>1275</v>
      </c>
      <c r="I136" t="s">
        <v>586</v>
      </c>
      <c r="J136" t="s">
        <v>857</v>
      </c>
      <c r="K136" t="s">
        <v>1282</v>
      </c>
      <c r="L136">
        <v>588</v>
      </c>
      <c r="M136">
        <v>588</v>
      </c>
      <c r="N136" t="s">
        <v>310</v>
      </c>
      <c r="O136" t="s">
        <v>1283</v>
      </c>
      <c r="P136" t="s">
        <v>1284</v>
      </c>
      <c r="Q136" t="s">
        <v>765</v>
      </c>
      <c r="R136" t="s">
        <v>1285</v>
      </c>
      <c r="S136">
        <v>5.04</v>
      </c>
      <c r="T136" t="s">
        <v>649</v>
      </c>
      <c r="U136" t="s">
        <v>34</v>
      </c>
      <c r="V136" t="s">
        <v>1286</v>
      </c>
      <c r="W136">
        <v>588</v>
      </c>
      <c r="X136" t="s">
        <v>1287</v>
      </c>
      <c r="AC136" t="s">
        <v>835</v>
      </c>
      <c r="AD136" t="s">
        <v>767</v>
      </c>
      <c r="AE136" t="s">
        <v>768</v>
      </c>
      <c r="AF136" t="s">
        <v>585</v>
      </c>
      <c r="AG136">
        <v>32</v>
      </c>
      <c r="AH136" t="s">
        <v>1889</v>
      </c>
      <c r="AJ136" t="s">
        <v>2488</v>
      </c>
      <c r="AK136" t="s">
        <v>2489</v>
      </c>
      <c r="AL136" t="s">
        <v>34</v>
      </c>
      <c r="AM136" t="s">
        <v>2861</v>
      </c>
    </row>
    <row r="137" spans="1:39" x14ac:dyDescent="0.2">
      <c r="A137">
        <v>1270439</v>
      </c>
      <c r="B137">
        <v>57382</v>
      </c>
      <c r="C137">
        <v>12004</v>
      </c>
      <c r="D137" t="s">
        <v>705</v>
      </c>
      <c r="E137" t="s">
        <v>706</v>
      </c>
      <c r="F137" t="s">
        <v>34</v>
      </c>
      <c r="G137" t="s">
        <v>772</v>
      </c>
      <c r="H137" t="s">
        <v>3569</v>
      </c>
      <c r="I137" t="s">
        <v>586</v>
      </c>
      <c r="J137" t="s">
        <v>366</v>
      </c>
      <c r="K137" t="s">
        <v>1288</v>
      </c>
      <c r="L137" t="s">
        <v>1289</v>
      </c>
      <c r="M137">
        <v>12004</v>
      </c>
      <c r="N137" t="s">
        <v>310</v>
      </c>
      <c r="O137" t="s">
        <v>832</v>
      </c>
      <c r="P137" t="s">
        <v>770</v>
      </c>
      <c r="Q137" t="s">
        <v>765</v>
      </c>
      <c r="R137" t="s">
        <v>1290</v>
      </c>
      <c r="S137">
        <v>1.3</v>
      </c>
      <c r="T137" t="s">
        <v>649</v>
      </c>
      <c r="U137" t="s">
        <v>34</v>
      </c>
      <c r="V137" t="s">
        <v>839</v>
      </c>
      <c r="W137" t="s">
        <v>1289</v>
      </c>
      <c r="X137" t="s">
        <v>1291</v>
      </c>
      <c r="AC137" t="s">
        <v>1292</v>
      </c>
      <c r="AD137" t="s">
        <v>767</v>
      </c>
      <c r="AE137" t="s">
        <v>768</v>
      </c>
      <c r="AF137" t="s">
        <v>585</v>
      </c>
      <c r="AG137" t="s">
        <v>1889</v>
      </c>
      <c r="AH137" t="s">
        <v>34</v>
      </c>
      <c r="AI137" t="s">
        <v>34</v>
      </c>
      <c r="AJ137" t="s">
        <v>34</v>
      </c>
      <c r="AK137" t="s">
        <v>34</v>
      </c>
      <c r="AL137" t="s">
        <v>34</v>
      </c>
      <c r="AM137" t="s">
        <v>2861</v>
      </c>
    </row>
    <row r="138" spans="1:39" x14ac:dyDescent="0.2">
      <c r="A138">
        <v>1270423</v>
      </c>
      <c r="B138">
        <v>57382</v>
      </c>
      <c r="C138" t="s">
        <v>381</v>
      </c>
      <c r="D138" t="s">
        <v>705</v>
      </c>
      <c r="E138" t="s">
        <v>706</v>
      </c>
      <c r="F138" t="s">
        <v>34</v>
      </c>
      <c r="G138" t="s">
        <v>772</v>
      </c>
      <c r="H138" t="s">
        <v>3569</v>
      </c>
      <c r="I138" t="s">
        <v>1293</v>
      </c>
      <c r="J138" t="s">
        <v>434</v>
      </c>
      <c r="K138" t="s">
        <v>1294</v>
      </c>
      <c r="L138" t="s">
        <v>1295</v>
      </c>
      <c r="M138" t="s">
        <v>381</v>
      </c>
      <c r="N138" t="s">
        <v>310</v>
      </c>
      <c r="O138" t="s">
        <v>1296</v>
      </c>
      <c r="P138" t="s">
        <v>770</v>
      </c>
      <c r="Q138" t="s">
        <v>862</v>
      </c>
      <c r="R138" t="s">
        <v>1297</v>
      </c>
      <c r="S138">
        <v>1.04</v>
      </c>
      <c r="T138" t="s">
        <v>649</v>
      </c>
      <c r="U138" t="s">
        <v>34</v>
      </c>
      <c r="V138" t="s">
        <v>1294</v>
      </c>
      <c r="W138" t="s">
        <v>1295</v>
      </c>
      <c r="X138" t="s">
        <v>834</v>
      </c>
      <c r="AC138" t="s">
        <v>2786</v>
      </c>
      <c r="AD138" t="s">
        <v>767</v>
      </c>
      <c r="AE138" t="s">
        <v>768</v>
      </c>
      <c r="AF138" t="s">
        <v>585</v>
      </c>
      <c r="AG138" t="s">
        <v>1889</v>
      </c>
      <c r="AH138" t="s">
        <v>34</v>
      </c>
      <c r="AI138" t="s">
        <v>34</v>
      </c>
      <c r="AJ138" t="s">
        <v>34</v>
      </c>
      <c r="AK138" t="s">
        <v>34</v>
      </c>
      <c r="AL138" t="s">
        <v>34</v>
      </c>
      <c r="AM138" t="s">
        <v>2861</v>
      </c>
    </row>
    <row r="139" spans="1:39" x14ac:dyDescent="0.2">
      <c r="A139">
        <v>2495735</v>
      </c>
      <c r="B139">
        <v>57382</v>
      </c>
      <c r="C139" t="s">
        <v>3373</v>
      </c>
      <c r="D139" t="s">
        <v>705</v>
      </c>
      <c r="E139" t="s">
        <v>706</v>
      </c>
      <c r="F139" t="s">
        <v>34</v>
      </c>
      <c r="G139" t="s">
        <v>772</v>
      </c>
      <c r="H139" t="s">
        <v>1275</v>
      </c>
      <c r="I139" t="s">
        <v>586</v>
      </c>
      <c r="J139" t="s">
        <v>632</v>
      </c>
      <c r="K139" t="s">
        <v>3374</v>
      </c>
      <c r="L139" t="s">
        <v>3375</v>
      </c>
      <c r="M139" t="s">
        <v>3373</v>
      </c>
      <c r="N139" t="s">
        <v>310</v>
      </c>
      <c r="O139" t="s">
        <v>3376</v>
      </c>
      <c r="P139" t="s">
        <v>847</v>
      </c>
      <c r="Q139" t="s">
        <v>765</v>
      </c>
      <c r="R139" t="s">
        <v>3377</v>
      </c>
      <c r="S139">
        <v>4.13</v>
      </c>
      <c r="T139" t="s">
        <v>649</v>
      </c>
      <c r="U139" t="s">
        <v>34</v>
      </c>
      <c r="V139" t="s">
        <v>3378</v>
      </c>
      <c r="W139" t="s">
        <v>3379</v>
      </c>
      <c r="X139" t="s">
        <v>766</v>
      </c>
      <c r="AC139" t="s">
        <v>34</v>
      </c>
      <c r="AD139" t="s">
        <v>767</v>
      </c>
      <c r="AE139" t="s">
        <v>768</v>
      </c>
      <c r="AF139" t="s">
        <v>585</v>
      </c>
      <c r="AG139" t="s">
        <v>1889</v>
      </c>
      <c r="AH139" t="s">
        <v>34</v>
      </c>
      <c r="AI139" t="s">
        <v>34</v>
      </c>
      <c r="AJ139" t="s">
        <v>34</v>
      </c>
      <c r="AK139" t="s">
        <v>34</v>
      </c>
      <c r="AL139" t="s">
        <v>34</v>
      </c>
      <c r="AM139" t="s">
        <v>2861</v>
      </c>
    </row>
    <row r="140" spans="1:39" x14ac:dyDescent="0.2">
      <c r="A140">
        <v>1270436</v>
      </c>
      <c r="B140">
        <v>57382</v>
      </c>
      <c r="C140" t="s">
        <v>3128</v>
      </c>
      <c r="D140" t="s">
        <v>705</v>
      </c>
      <c r="E140" t="s">
        <v>706</v>
      </c>
      <c r="F140" t="s">
        <v>34</v>
      </c>
      <c r="G140" t="s">
        <v>772</v>
      </c>
      <c r="H140" t="s">
        <v>1275</v>
      </c>
      <c r="I140" t="s">
        <v>586</v>
      </c>
      <c r="J140" t="s">
        <v>3082</v>
      </c>
      <c r="K140" t="s">
        <v>3129</v>
      </c>
      <c r="L140">
        <v>15791</v>
      </c>
      <c r="M140" t="s">
        <v>3128</v>
      </c>
      <c r="N140" t="s">
        <v>983</v>
      </c>
      <c r="O140" t="s">
        <v>3130</v>
      </c>
      <c r="P140" t="s">
        <v>770</v>
      </c>
      <c r="Q140" t="s">
        <v>765</v>
      </c>
      <c r="R140" t="s">
        <v>1339</v>
      </c>
      <c r="S140">
        <v>8</v>
      </c>
      <c r="T140" t="s">
        <v>649</v>
      </c>
      <c r="U140">
        <v>2024720</v>
      </c>
      <c r="V140" t="s">
        <v>3131</v>
      </c>
      <c r="W140" t="s">
        <v>3132</v>
      </c>
      <c r="X140" t="s">
        <v>766</v>
      </c>
      <c r="AC140" t="s">
        <v>34</v>
      </c>
      <c r="AD140" t="s">
        <v>767</v>
      </c>
      <c r="AE140" t="s">
        <v>3133</v>
      </c>
      <c r="AF140" t="s">
        <v>585</v>
      </c>
      <c r="AG140">
        <v>2.06</v>
      </c>
      <c r="AH140" t="s">
        <v>3135</v>
      </c>
      <c r="AI140" t="s">
        <v>3134</v>
      </c>
      <c r="AJ140" t="s">
        <v>3136</v>
      </c>
      <c r="AK140" t="s">
        <v>34</v>
      </c>
      <c r="AL140" t="s">
        <v>34</v>
      </c>
      <c r="AM140" t="s">
        <v>2862</v>
      </c>
    </row>
    <row r="141" spans="1:39" x14ac:dyDescent="0.2">
      <c r="A141">
        <v>1270438</v>
      </c>
      <c r="B141">
        <v>57382</v>
      </c>
      <c r="C141" t="s">
        <v>3321</v>
      </c>
      <c r="D141" t="s">
        <v>705</v>
      </c>
      <c r="E141" t="s">
        <v>706</v>
      </c>
      <c r="F141" t="s">
        <v>34</v>
      </c>
      <c r="G141" t="s">
        <v>772</v>
      </c>
      <c r="H141" t="s">
        <v>1275</v>
      </c>
      <c r="I141" t="s">
        <v>586</v>
      </c>
      <c r="J141" t="s">
        <v>3082</v>
      </c>
      <c r="K141" t="s">
        <v>3322</v>
      </c>
      <c r="L141">
        <v>187</v>
      </c>
      <c r="M141" t="s">
        <v>3321</v>
      </c>
      <c r="N141" t="s">
        <v>983</v>
      </c>
      <c r="O141" t="s">
        <v>3323</v>
      </c>
      <c r="P141" t="s">
        <v>770</v>
      </c>
      <c r="Q141" t="s">
        <v>828</v>
      </c>
      <c r="R141" t="s">
        <v>3324</v>
      </c>
      <c r="S141">
        <v>10.16</v>
      </c>
      <c r="T141" t="s">
        <v>649</v>
      </c>
      <c r="U141">
        <v>1270438</v>
      </c>
      <c r="V141" t="s">
        <v>3325</v>
      </c>
      <c r="W141">
        <v>187</v>
      </c>
      <c r="X141" t="s">
        <v>766</v>
      </c>
      <c r="AC141" t="s">
        <v>34</v>
      </c>
      <c r="AD141" t="s">
        <v>767</v>
      </c>
      <c r="AE141" t="s">
        <v>3141</v>
      </c>
      <c r="AF141" t="s">
        <v>585</v>
      </c>
      <c r="AG141">
        <v>2.5</v>
      </c>
      <c r="AH141">
        <v>0.88</v>
      </c>
      <c r="AI141">
        <v>0.28000000000000003</v>
      </c>
      <c r="AJ141" t="s">
        <v>3326</v>
      </c>
      <c r="AK141" t="s">
        <v>34</v>
      </c>
      <c r="AL141" t="s">
        <v>34</v>
      </c>
      <c r="AM141" t="s">
        <v>2862</v>
      </c>
    </row>
    <row r="142" spans="1:39" x14ac:dyDescent="0.2">
      <c r="A142">
        <v>2025858</v>
      </c>
      <c r="B142">
        <v>57382</v>
      </c>
      <c r="C142" t="s">
        <v>3137</v>
      </c>
      <c r="D142" t="s">
        <v>705</v>
      </c>
      <c r="E142" t="s">
        <v>706</v>
      </c>
      <c r="F142" t="s">
        <v>34</v>
      </c>
      <c r="G142" t="s">
        <v>772</v>
      </c>
      <c r="H142" t="s">
        <v>1275</v>
      </c>
      <c r="I142" t="s">
        <v>586</v>
      </c>
      <c r="J142" t="s">
        <v>3082</v>
      </c>
      <c r="K142" t="s">
        <v>3138</v>
      </c>
      <c r="L142">
        <v>75143</v>
      </c>
      <c r="M142" t="s">
        <v>3137</v>
      </c>
      <c r="N142" t="s">
        <v>983</v>
      </c>
      <c r="O142" t="s">
        <v>1045</v>
      </c>
      <c r="P142" t="s">
        <v>770</v>
      </c>
      <c r="Q142" t="s">
        <v>765</v>
      </c>
      <c r="R142" t="s">
        <v>3139</v>
      </c>
      <c r="S142">
        <v>37.4</v>
      </c>
      <c r="T142" t="s">
        <v>649</v>
      </c>
      <c r="U142" t="s">
        <v>34</v>
      </c>
      <c r="V142" t="s">
        <v>3140</v>
      </c>
      <c r="W142">
        <v>7243169</v>
      </c>
      <c r="X142" t="s">
        <v>1291</v>
      </c>
      <c r="AC142" t="s">
        <v>3142</v>
      </c>
      <c r="AD142" t="s">
        <v>767</v>
      </c>
      <c r="AE142" t="s">
        <v>3141</v>
      </c>
      <c r="AF142" t="s">
        <v>585</v>
      </c>
      <c r="AG142" t="s">
        <v>1889</v>
      </c>
      <c r="AH142" t="s">
        <v>34</v>
      </c>
      <c r="AI142" t="s">
        <v>34</v>
      </c>
      <c r="AJ142" t="s">
        <v>34</v>
      </c>
      <c r="AK142" t="s">
        <v>34</v>
      </c>
      <c r="AL142" t="s">
        <v>34</v>
      </c>
      <c r="AM142" t="s">
        <v>2864</v>
      </c>
    </row>
    <row r="143" spans="1:39" x14ac:dyDescent="0.2">
      <c r="A143">
        <v>1270446</v>
      </c>
      <c r="B143">
        <v>57382</v>
      </c>
      <c r="C143" t="s">
        <v>655</v>
      </c>
      <c r="D143" t="s">
        <v>705</v>
      </c>
      <c r="E143" t="s">
        <v>706</v>
      </c>
      <c r="F143" t="s">
        <v>34</v>
      </c>
      <c r="G143" t="s">
        <v>772</v>
      </c>
      <c r="H143" t="s">
        <v>1275</v>
      </c>
      <c r="I143" t="s">
        <v>586</v>
      </c>
      <c r="J143" t="s">
        <v>857</v>
      </c>
      <c r="K143" t="s">
        <v>1276</v>
      </c>
      <c r="L143">
        <v>482</v>
      </c>
      <c r="M143" t="s">
        <v>655</v>
      </c>
      <c r="N143" t="s">
        <v>310</v>
      </c>
      <c r="O143" t="s">
        <v>1277</v>
      </c>
      <c r="P143" t="s">
        <v>844</v>
      </c>
      <c r="Q143" t="s">
        <v>765</v>
      </c>
      <c r="R143" t="s">
        <v>1278</v>
      </c>
      <c r="S143">
        <v>6.16</v>
      </c>
      <c r="T143" t="s">
        <v>649</v>
      </c>
      <c r="U143" t="s">
        <v>34</v>
      </c>
      <c r="V143" t="s">
        <v>1279</v>
      </c>
      <c r="W143" t="s">
        <v>972</v>
      </c>
      <c r="X143" t="s">
        <v>1280</v>
      </c>
      <c r="AC143" t="s">
        <v>1281</v>
      </c>
      <c r="AD143" t="s">
        <v>767</v>
      </c>
      <c r="AE143" t="s">
        <v>768</v>
      </c>
      <c r="AF143" t="s">
        <v>585</v>
      </c>
      <c r="AG143" t="s">
        <v>1889</v>
      </c>
      <c r="AH143" t="s">
        <v>34</v>
      </c>
      <c r="AI143" t="s">
        <v>34</v>
      </c>
      <c r="AJ143" t="s">
        <v>34</v>
      </c>
      <c r="AK143" t="s">
        <v>34</v>
      </c>
      <c r="AL143" t="s">
        <v>34</v>
      </c>
      <c r="AM143" t="s">
        <v>2861</v>
      </c>
    </row>
    <row r="144" spans="1:39" x14ac:dyDescent="0.2">
      <c r="A144">
        <v>1270424</v>
      </c>
      <c r="B144">
        <v>57382</v>
      </c>
      <c r="C144" t="s">
        <v>380</v>
      </c>
      <c r="D144" t="s">
        <v>705</v>
      </c>
      <c r="E144" t="s">
        <v>706</v>
      </c>
      <c r="F144" t="s">
        <v>34</v>
      </c>
      <c r="G144" t="s">
        <v>772</v>
      </c>
      <c r="H144" t="s">
        <v>3569</v>
      </c>
      <c r="I144" t="s">
        <v>1293</v>
      </c>
      <c r="J144" t="s">
        <v>1298</v>
      </c>
      <c r="K144" t="s">
        <v>1051</v>
      </c>
      <c r="L144" t="s">
        <v>380</v>
      </c>
      <c r="M144" t="s">
        <v>380</v>
      </c>
      <c r="N144" t="s">
        <v>310</v>
      </c>
      <c r="O144" t="s">
        <v>1299</v>
      </c>
      <c r="P144" t="s">
        <v>847</v>
      </c>
      <c r="Q144" t="s">
        <v>828</v>
      </c>
      <c r="R144" t="s">
        <v>1300</v>
      </c>
      <c r="S144">
        <v>18.8</v>
      </c>
      <c r="T144" t="s">
        <v>794</v>
      </c>
      <c r="U144" t="s">
        <v>34</v>
      </c>
      <c r="V144" t="s">
        <v>1301</v>
      </c>
      <c r="W144" t="s">
        <v>1303</v>
      </c>
      <c r="X144" t="s">
        <v>1302</v>
      </c>
      <c r="Y144" t="s">
        <v>34</v>
      </c>
      <c r="Z144" t="s">
        <v>1301</v>
      </c>
      <c r="AA144" t="s">
        <v>1303</v>
      </c>
      <c r="AB144" t="s">
        <v>867</v>
      </c>
      <c r="AC144" t="s">
        <v>1304</v>
      </c>
      <c r="AD144" t="s">
        <v>767</v>
      </c>
      <c r="AE144" t="s">
        <v>768</v>
      </c>
      <c r="AF144" t="s">
        <v>585</v>
      </c>
      <c r="AG144" t="s">
        <v>1889</v>
      </c>
      <c r="AH144" t="s">
        <v>34</v>
      </c>
      <c r="AI144" t="s">
        <v>34</v>
      </c>
      <c r="AJ144" t="s">
        <v>34</v>
      </c>
      <c r="AK144" t="s">
        <v>34</v>
      </c>
      <c r="AL144" t="s">
        <v>34</v>
      </c>
      <c r="AM144" t="s">
        <v>2861</v>
      </c>
    </row>
    <row r="145" spans="1:39" x14ac:dyDescent="0.2">
      <c r="A145">
        <v>2312031</v>
      </c>
      <c r="B145">
        <v>57382</v>
      </c>
      <c r="C145" t="s">
        <v>3304</v>
      </c>
      <c r="D145" t="s">
        <v>705</v>
      </c>
      <c r="E145" t="s">
        <v>706</v>
      </c>
      <c r="F145" t="s">
        <v>34</v>
      </c>
      <c r="G145" t="s">
        <v>772</v>
      </c>
      <c r="H145" t="s">
        <v>1275</v>
      </c>
      <c r="I145" t="s">
        <v>586</v>
      </c>
      <c r="J145" t="s">
        <v>632</v>
      </c>
      <c r="K145" t="s">
        <v>3305</v>
      </c>
      <c r="L145" t="s">
        <v>3306</v>
      </c>
      <c r="M145" t="s">
        <v>3304</v>
      </c>
      <c r="N145" t="s">
        <v>310</v>
      </c>
      <c r="O145" t="s">
        <v>3307</v>
      </c>
      <c r="P145" t="s">
        <v>770</v>
      </c>
      <c r="Q145" t="s">
        <v>765</v>
      </c>
      <c r="R145" t="s">
        <v>3308</v>
      </c>
      <c r="S145">
        <v>9.76</v>
      </c>
      <c r="T145" t="s">
        <v>649</v>
      </c>
      <c r="U145">
        <v>2312032</v>
      </c>
      <c r="V145" t="s">
        <v>3309</v>
      </c>
      <c r="W145" t="s">
        <v>3310</v>
      </c>
      <c r="X145" t="s">
        <v>766</v>
      </c>
      <c r="AC145" t="s">
        <v>34</v>
      </c>
      <c r="AD145" t="s">
        <v>767</v>
      </c>
      <c r="AE145" t="s">
        <v>768</v>
      </c>
      <c r="AF145" t="s">
        <v>585</v>
      </c>
      <c r="AG145" t="s">
        <v>1889</v>
      </c>
      <c r="AH145" t="s">
        <v>34</v>
      </c>
      <c r="AI145" t="s">
        <v>34</v>
      </c>
      <c r="AJ145" t="s">
        <v>34</v>
      </c>
      <c r="AK145" t="s">
        <v>34</v>
      </c>
      <c r="AL145" t="s">
        <v>34</v>
      </c>
      <c r="AM145" t="s">
        <v>2861</v>
      </c>
    </row>
    <row r="146" spans="1:39" x14ac:dyDescent="0.2">
      <c r="A146">
        <v>1270429</v>
      </c>
      <c r="B146">
        <v>57382</v>
      </c>
      <c r="C146" t="s">
        <v>3311</v>
      </c>
      <c r="D146" t="s">
        <v>705</v>
      </c>
      <c r="E146" t="s">
        <v>706</v>
      </c>
      <c r="F146" t="s">
        <v>34</v>
      </c>
      <c r="G146" t="s">
        <v>772</v>
      </c>
      <c r="H146" t="s">
        <v>1275</v>
      </c>
      <c r="I146" t="s">
        <v>586</v>
      </c>
      <c r="J146" t="s">
        <v>632</v>
      </c>
      <c r="K146" t="s">
        <v>3305</v>
      </c>
      <c r="L146" t="s">
        <v>3312</v>
      </c>
      <c r="M146" t="s">
        <v>3311</v>
      </c>
      <c r="N146" t="s">
        <v>310</v>
      </c>
      <c r="O146" t="s">
        <v>3307</v>
      </c>
      <c r="P146" t="s">
        <v>770</v>
      </c>
      <c r="Q146" t="s">
        <v>765</v>
      </c>
      <c r="R146" t="s">
        <v>3308</v>
      </c>
      <c r="S146">
        <v>9.76</v>
      </c>
      <c r="T146" t="s">
        <v>649</v>
      </c>
      <c r="U146">
        <v>2312030</v>
      </c>
      <c r="V146" t="s">
        <v>3309</v>
      </c>
      <c r="W146" t="s">
        <v>3313</v>
      </c>
      <c r="X146" t="s">
        <v>766</v>
      </c>
      <c r="AC146" t="s">
        <v>34</v>
      </c>
      <c r="AD146" t="s">
        <v>767</v>
      </c>
      <c r="AE146" t="s">
        <v>768</v>
      </c>
      <c r="AF146" t="s">
        <v>585</v>
      </c>
      <c r="AG146" t="s">
        <v>1889</v>
      </c>
      <c r="AH146" t="s">
        <v>34</v>
      </c>
      <c r="AI146" t="s">
        <v>34</v>
      </c>
      <c r="AJ146" t="s">
        <v>34</v>
      </c>
      <c r="AK146" t="s">
        <v>34</v>
      </c>
      <c r="AL146" t="s">
        <v>34</v>
      </c>
      <c r="AM146" t="s">
        <v>2861</v>
      </c>
    </row>
    <row r="147" spans="1:39" x14ac:dyDescent="0.2">
      <c r="A147">
        <v>1270426</v>
      </c>
      <c r="B147">
        <v>57382</v>
      </c>
      <c r="C147" t="s">
        <v>3314</v>
      </c>
      <c r="D147" t="s">
        <v>705</v>
      </c>
      <c r="E147" t="s">
        <v>706</v>
      </c>
      <c r="F147" t="s">
        <v>34</v>
      </c>
      <c r="G147" t="s">
        <v>772</v>
      </c>
      <c r="H147" t="s">
        <v>1275</v>
      </c>
      <c r="I147" t="s">
        <v>586</v>
      </c>
      <c r="J147" t="s">
        <v>632</v>
      </c>
      <c r="K147" t="s">
        <v>3315</v>
      </c>
      <c r="L147">
        <v>13271</v>
      </c>
      <c r="M147" t="s">
        <v>3314</v>
      </c>
      <c r="N147" t="s">
        <v>310</v>
      </c>
      <c r="O147" t="s">
        <v>3316</v>
      </c>
      <c r="P147" t="s">
        <v>770</v>
      </c>
      <c r="Q147" t="s">
        <v>765</v>
      </c>
      <c r="R147" t="s">
        <v>1339</v>
      </c>
      <c r="S147">
        <v>8</v>
      </c>
      <c r="T147" t="s">
        <v>649</v>
      </c>
      <c r="U147">
        <v>2312033</v>
      </c>
      <c r="V147" t="s">
        <v>2125</v>
      </c>
      <c r="W147" t="s">
        <v>3317</v>
      </c>
      <c r="X147" t="s">
        <v>766</v>
      </c>
      <c r="AC147" t="s">
        <v>34</v>
      </c>
      <c r="AD147" t="s">
        <v>767</v>
      </c>
      <c r="AE147" t="s">
        <v>768</v>
      </c>
      <c r="AF147" t="s">
        <v>585</v>
      </c>
      <c r="AG147">
        <v>1.7</v>
      </c>
      <c r="AH147">
        <v>0.7</v>
      </c>
      <c r="AI147">
        <v>1.1200000000000001</v>
      </c>
      <c r="AJ147" t="s">
        <v>3318</v>
      </c>
      <c r="AK147" t="s">
        <v>34</v>
      </c>
      <c r="AL147" t="s">
        <v>34</v>
      </c>
      <c r="AM147" t="s">
        <v>2861</v>
      </c>
    </row>
    <row r="148" spans="1:39" x14ac:dyDescent="0.2">
      <c r="A148">
        <v>1270437</v>
      </c>
      <c r="B148">
        <v>57382</v>
      </c>
      <c r="C148" t="s">
        <v>3380</v>
      </c>
      <c r="D148" t="s">
        <v>705</v>
      </c>
      <c r="E148" t="s">
        <v>706</v>
      </c>
      <c r="F148" t="s">
        <v>34</v>
      </c>
      <c r="G148" t="s">
        <v>772</v>
      </c>
      <c r="H148" t="s">
        <v>1275</v>
      </c>
      <c r="I148" t="s">
        <v>586</v>
      </c>
      <c r="J148" t="s">
        <v>3381</v>
      </c>
      <c r="K148" t="s">
        <v>3382</v>
      </c>
      <c r="L148">
        <v>14835</v>
      </c>
      <c r="M148" t="s">
        <v>3380</v>
      </c>
      <c r="N148" t="s">
        <v>310</v>
      </c>
      <c r="O148" t="s">
        <v>3383</v>
      </c>
      <c r="P148" t="s">
        <v>770</v>
      </c>
      <c r="Q148" t="s">
        <v>765</v>
      </c>
      <c r="R148" t="s">
        <v>1339</v>
      </c>
      <c r="S148">
        <v>8</v>
      </c>
      <c r="T148" t="s">
        <v>649</v>
      </c>
      <c r="U148">
        <v>2485464</v>
      </c>
      <c r="V148" t="s">
        <v>2125</v>
      </c>
      <c r="W148" t="s">
        <v>3384</v>
      </c>
      <c r="X148" t="s">
        <v>766</v>
      </c>
      <c r="AC148" t="s">
        <v>34</v>
      </c>
      <c r="AD148" t="s">
        <v>767</v>
      </c>
      <c r="AE148" t="s">
        <v>768</v>
      </c>
      <c r="AF148" t="s">
        <v>585</v>
      </c>
      <c r="AG148" t="s">
        <v>1889</v>
      </c>
      <c r="AH148" t="s">
        <v>34</v>
      </c>
      <c r="AI148" t="s">
        <v>34</v>
      </c>
      <c r="AJ148" t="s">
        <v>34</v>
      </c>
      <c r="AK148" t="s">
        <v>34</v>
      </c>
      <c r="AL148" t="s">
        <v>34</v>
      </c>
      <c r="AM148" t="s">
        <v>2861</v>
      </c>
    </row>
    <row r="149" spans="1:39" x14ac:dyDescent="0.2">
      <c r="A149">
        <v>2485088</v>
      </c>
      <c r="B149">
        <v>57382</v>
      </c>
      <c r="C149" t="s">
        <v>3385</v>
      </c>
      <c r="D149" t="s">
        <v>705</v>
      </c>
      <c r="E149" t="s">
        <v>706</v>
      </c>
      <c r="F149" t="s">
        <v>34</v>
      </c>
      <c r="G149" t="s">
        <v>772</v>
      </c>
      <c r="H149" t="s">
        <v>3569</v>
      </c>
      <c r="I149" t="s">
        <v>1293</v>
      </c>
      <c r="J149" t="s">
        <v>3386</v>
      </c>
      <c r="K149" t="s">
        <v>3387</v>
      </c>
      <c r="L149" t="s">
        <v>3388</v>
      </c>
      <c r="M149" t="s">
        <v>3385</v>
      </c>
      <c r="N149" t="s">
        <v>310</v>
      </c>
      <c r="O149" t="s">
        <v>3389</v>
      </c>
      <c r="P149" t="s">
        <v>3390</v>
      </c>
      <c r="Q149" t="s">
        <v>862</v>
      </c>
      <c r="R149" t="s">
        <v>1297</v>
      </c>
      <c r="S149">
        <v>1.04</v>
      </c>
      <c r="T149" t="s">
        <v>649</v>
      </c>
      <c r="U149">
        <v>2485088</v>
      </c>
      <c r="V149" t="s">
        <v>3387</v>
      </c>
      <c r="W149" t="s">
        <v>3388</v>
      </c>
      <c r="X149" t="s">
        <v>3391</v>
      </c>
      <c r="AC149" t="s">
        <v>2786</v>
      </c>
      <c r="AD149" t="s">
        <v>767</v>
      </c>
      <c r="AE149" t="s">
        <v>768</v>
      </c>
      <c r="AF149" t="s">
        <v>585</v>
      </c>
      <c r="AG149" t="s">
        <v>1889</v>
      </c>
      <c r="AH149" t="s">
        <v>34</v>
      </c>
      <c r="AI149" t="s">
        <v>34</v>
      </c>
      <c r="AJ149" t="s">
        <v>34</v>
      </c>
      <c r="AK149" t="s">
        <v>34</v>
      </c>
      <c r="AL149" t="s">
        <v>34</v>
      </c>
      <c r="AM149" t="s">
        <v>2861</v>
      </c>
    </row>
    <row r="150" spans="1:39" x14ac:dyDescent="0.2">
      <c r="A150">
        <v>1947771</v>
      </c>
      <c r="B150">
        <v>57382</v>
      </c>
      <c r="C150" t="s">
        <v>3079</v>
      </c>
      <c r="D150" t="s">
        <v>3080</v>
      </c>
      <c r="E150" t="s">
        <v>3081</v>
      </c>
      <c r="F150" t="s">
        <v>34</v>
      </c>
      <c r="G150" t="s">
        <v>772</v>
      </c>
      <c r="H150" t="s">
        <v>3569</v>
      </c>
      <c r="I150" t="s">
        <v>586</v>
      </c>
      <c r="J150" t="s">
        <v>3082</v>
      </c>
      <c r="K150" t="s">
        <v>1051</v>
      </c>
      <c r="L150">
        <v>851899</v>
      </c>
      <c r="M150" t="s">
        <v>3079</v>
      </c>
      <c r="N150" t="s">
        <v>3083</v>
      </c>
      <c r="O150" t="s">
        <v>2038</v>
      </c>
      <c r="P150" t="s">
        <v>2039</v>
      </c>
      <c r="Q150" t="s">
        <v>3084</v>
      </c>
      <c r="R150" t="s">
        <v>3085</v>
      </c>
      <c r="S150">
        <v>2.75</v>
      </c>
      <c r="T150" t="s">
        <v>649</v>
      </c>
      <c r="U150" t="s">
        <v>34</v>
      </c>
      <c r="V150" t="s">
        <v>3086</v>
      </c>
      <c r="W150" t="s">
        <v>3087</v>
      </c>
      <c r="X150" t="s">
        <v>1851</v>
      </c>
      <c r="AC150" t="s">
        <v>3088</v>
      </c>
      <c r="AD150" t="s">
        <v>2562</v>
      </c>
      <c r="AE150" t="s">
        <v>3089</v>
      </c>
      <c r="AF150" t="s">
        <v>585</v>
      </c>
      <c r="AM150" t="s">
        <v>2864</v>
      </c>
    </row>
    <row r="151" spans="1:39" x14ac:dyDescent="0.2">
      <c r="A151">
        <v>2561855</v>
      </c>
      <c r="B151">
        <v>57382</v>
      </c>
      <c r="C151" t="s">
        <v>3489</v>
      </c>
      <c r="D151" t="s">
        <v>705</v>
      </c>
      <c r="E151" t="s">
        <v>706</v>
      </c>
      <c r="F151" t="s">
        <v>34</v>
      </c>
      <c r="G151" t="s">
        <v>772</v>
      </c>
      <c r="H151" t="s">
        <v>1275</v>
      </c>
      <c r="I151" t="s">
        <v>586</v>
      </c>
      <c r="J151" t="s">
        <v>3489</v>
      </c>
      <c r="K151" t="s">
        <v>3490</v>
      </c>
      <c r="L151">
        <v>141000305</v>
      </c>
      <c r="M151" t="s">
        <v>3491</v>
      </c>
      <c r="N151" t="s">
        <v>983</v>
      </c>
      <c r="O151" t="s">
        <v>3492</v>
      </c>
      <c r="P151" t="s">
        <v>1284</v>
      </c>
      <c r="Q151" t="s">
        <v>765</v>
      </c>
      <c r="R151" t="s">
        <v>3493</v>
      </c>
      <c r="S151">
        <v>3.41</v>
      </c>
      <c r="T151" t="s">
        <v>649</v>
      </c>
      <c r="U151">
        <v>2561855</v>
      </c>
      <c r="V151" t="s">
        <v>3494</v>
      </c>
      <c r="W151">
        <v>141000305</v>
      </c>
      <c r="X151" t="s">
        <v>1287</v>
      </c>
      <c r="Y151" t="s">
        <v>34</v>
      </c>
      <c r="Z151" t="s">
        <v>3494</v>
      </c>
      <c r="AA151">
        <v>141000305</v>
      </c>
      <c r="AB151" t="s">
        <v>1287</v>
      </c>
      <c r="AC151" t="s">
        <v>3495</v>
      </c>
      <c r="AD151" t="s">
        <v>767</v>
      </c>
      <c r="AE151" t="s">
        <v>3133</v>
      </c>
      <c r="AF151" t="s">
        <v>585</v>
      </c>
      <c r="AG151" t="s">
        <v>1889</v>
      </c>
      <c r="AH151" t="s">
        <v>34</v>
      </c>
      <c r="AI151" t="s">
        <v>34</v>
      </c>
      <c r="AJ151" t="s">
        <v>34</v>
      </c>
      <c r="AK151" t="s">
        <v>34</v>
      </c>
      <c r="AL151" t="s">
        <v>34</v>
      </c>
      <c r="AM151" t="s">
        <v>2861</v>
      </c>
    </row>
    <row r="152" spans="1:39" x14ac:dyDescent="0.2">
      <c r="A152">
        <v>1270466</v>
      </c>
      <c r="B152">
        <v>57409</v>
      </c>
      <c r="C152" t="s">
        <v>632</v>
      </c>
      <c r="D152" t="s">
        <v>2239</v>
      </c>
      <c r="E152" t="s">
        <v>2240</v>
      </c>
      <c r="F152" t="s">
        <v>34</v>
      </c>
      <c r="G152" t="s">
        <v>772</v>
      </c>
      <c r="H152" t="s">
        <v>3569</v>
      </c>
      <c r="I152" t="s">
        <v>1293</v>
      </c>
      <c r="J152" t="s">
        <v>775</v>
      </c>
      <c r="K152" t="s">
        <v>1068</v>
      </c>
      <c r="L152" t="s">
        <v>2241</v>
      </c>
      <c r="M152" t="s">
        <v>619</v>
      </c>
      <c r="N152" t="s">
        <v>310</v>
      </c>
      <c r="O152" t="s">
        <v>830</v>
      </c>
      <c r="P152" t="s">
        <v>847</v>
      </c>
      <c r="Q152" t="s">
        <v>828</v>
      </c>
      <c r="R152" t="s">
        <v>2242</v>
      </c>
      <c r="S152">
        <v>15.6</v>
      </c>
      <c r="T152" t="s">
        <v>649</v>
      </c>
      <c r="U152">
        <v>1269771</v>
      </c>
      <c r="V152" t="s">
        <v>2243</v>
      </c>
      <c r="W152" t="s">
        <v>2244</v>
      </c>
      <c r="X152" t="s">
        <v>766</v>
      </c>
      <c r="Y152" t="s">
        <v>34</v>
      </c>
      <c r="Z152" t="s">
        <v>2245</v>
      </c>
      <c r="AA152" t="s">
        <v>2246</v>
      </c>
      <c r="AB152" t="s">
        <v>766</v>
      </c>
      <c r="AC152" t="s">
        <v>34</v>
      </c>
      <c r="AD152" t="s">
        <v>767</v>
      </c>
      <c r="AE152" t="s">
        <v>768</v>
      </c>
      <c r="AF152" t="s">
        <v>585</v>
      </c>
      <c r="AG152" t="s">
        <v>1889</v>
      </c>
      <c r="AH152" t="s">
        <v>34</v>
      </c>
      <c r="AI152" t="s">
        <v>34</v>
      </c>
      <c r="AJ152" t="s">
        <v>34</v>
      </c>
      <c r="AK152" t="s">
        <v>34</v>
      </c>
      <c r="AL152" t="s">
        <v>34</v>
      </c>
      <c r="AM152" t="s">
        <v>2861</v>
      </c>
    </row>
    <row r="153" spans="1:39" x14ac:dyDescent="0.2">
      <c r="A153">
        <v>1270468</v>
      </c>
      <c r="B153">
        <v>57410</v>
      </c>
      <c r="C153" t="s">
        <v>383</v>
      </c>
      <c r="D153" t="s">
        <v>2989</v>
      </c>
      <c r="E153" t="s">
        <v>2990</v>
      </c>
      <c r="F153" t="s">
        <v>34</v>
      </c>
      <c r="G153" t="s">
        <v>772</v>
      </c>
      <c r="H153" t="s">
        <v>3569</v>
      </c>
      <c r="I153" t="s">
        <v>586</v>
      </c>
      <c r="J153" t="s">
        <v>2991</v>
      </c>
      <c r="K153" t="s">
        <v>2992</v>
      </c>
      <c r="L153" t="s">
        <v>2993</v>
      </c>
      <c r="M153" t="s">
        <v>2994</v>
      </c>
      <c r="N153" t="s">
        <v>310</v>
      </c>
      <c r="O153" t="s">
        <v>2995</v>
      </c>
      <c r="P153" t="s">
        <v>847</v>
      </c>
      <c r="Q153" t="s">
        <v>765</v>
      </c>
      <c r="R153" t="s">
        <v>2996</v>
      </c>
      <c r="S153">
        <v>13.125</v>
      </c>
      <c r="T153" t="s">
        <v>794</v>
      </c>
      <c r="U153">
        <v>1739184</v>
      </c>
      <c r="V153" t="s">
        <v>2997</v>
      </c>
      <c r="W153" t="s">
        <v>2998</v>
      </c>
      <c r="X153" t="s">
        <v>766</v>
      </c>
      <c r="AC153" t="s">
        <v>34</v>
      </c>
      <c r="AD153" t="s">
        <v>767</v>
      </c>
      <c r="AE153" t="s">
        <v>2613</v>
      </c>
      <c r="AF153" t="s">
        <v>585</v>
      </c>
      <c r="AG153" t="s">
        <v>1889</v>
      </c>
      <c r="AH153" t="s">
        <v>34</v>
      </c>
      <c r="AI153" t="s">
        <v>34</v>
      </c>
      <c r="AJ153" t="s">
        <v>34</v>
      </c>
      <c r="AK153" t="s">
        <v>34</v>
      </c>
      <c r="AL153" t="s">
        <v>34</v>
      </c>
      <c r="AM153" t="s">
        <v>2862</v>
      </c>
    </row>
    <row r="154" spans="1:39" x14ac:dyDescent="0.2">
      <c r="A154">
        <v>2532070</v>
      </c>
      <c r="B154">
        <v>57471</v>
      </c>
      <c r="C154" t="s">
        <v>3457</v>
      </c>
      <c r="D154" t="s">
        <v>3442</v>
      </c>
      <c r="E154" t="s">
        <v>3443</v>
      </c>
      <c r="G154" t="s">
        <v>772</v>
      </c>
      <c r="H154" t="s">
        <v>3569</v>
      </c>
      <c r="I154" t="s">
        <v>762</v>
      </c>
      <c r="J154" t="s">
        <v>3457</v>
      </c>
      <c r="K154" t="s">
        <v>3445</v>
      </c>
      <c r="L154" t="s">
        <v>3446</v>
      </c>
      <c r="M154" t="s">
        <v>3458</v>
      </c>
      <c r="N154" t="s">
        <v>3586</v>
      </c>
      <c r="O154" t="s">
        <v>1272</v>
      </c>
      <c r="P154" t="s">
        <v>770</v>
      </c>
      <c r="Q154" t="s">
        <v>903</v>
      </c>
      <c r="R154" t="s">
        <v>3447</v>
      </c>
      <c r="S154">
        <v>26.8125</v>
      </c>
      <c r="T154" t="s">
        <v>793</v>
      </c>
      <c r="U154" t="s">
        <v>34</v>
      </c>
      <c r="V154" t="s">
        <v>3459</v>
      </c>
      <c r="W154">
        <v>63613055</v>
      </c>
      <c r="X154" t="s">
        <v>3449</v>
      </c>
      <c r="Y154" t="s">
        <v>34</v>
      </c>
      <c r="Z154" t="s">
        <v>3450</v>
      </c>
      <c r="AA154" t="s">
        <v>3451</v>
      </c>
      <c r="AB154" t="s">
        <v>3449</v>
      </c>
      <c r="AC154" t="s">
        <v>34</v>
      </c>
      <c r="AD154" t="s">
        <v>767</v>
      </c>
      <c r="AE154" t="s">
        <v>3452</v>
      </c>
      <c r="AF154" t="s">
        <v>3453</v>
      </c>
      <c r="AG154">
        <v>6</v>
      </c>
      <c r="AH154">
        <v>15</v>
      </c>
      <c r="AI154">
        <v>64</v>
      </c>
      <c r="AJ154" t="s">
        <v>34</v>
      </c>
      <c r="AK154" t="s">
        <v>34</v>
      </c>
      <c r="AL154" t="s">
        <v>3456</v>
      </c>
      <c r="AM154" t="s">
        <v>2864</v>
      </c>
    </row>
    <row r="155" spans="1:39" x14ac:dyDescent="0.2">
      <c r="A155">
        <v>2532473</v>
      </c>
      <c r="B155">
        <v>57471</v>
      </c>
      <c r="C155" t="s">
        <v>436</v>
      </c>
      <c r="D155" t="s">
        <v>3442</v>
      </c>
      <c r="E155" t="s">
        <v>3443</v>
      </c>
      <c r="F155" t="s">
        <v>2808</v>
      </c>
      <c r="G155" t="s">
        <v>772</v>
      </c>
      <c r="H155" t="s">
        <v>3569</v>
      </c>
      <c r="I155" t="s">
        <v>762</v>
      </c>
      <c r="J155" t="s">
        <v>436</v>
      </c>
      <c r="K155" t="s">
        <v>3445</v>
      </c>
      <c r="L155" t="s">
        <v>3460</v>
      </c>
      <c r="M155" t="s">
        <v>3461</v>
      </c>
      <c r="N155" t="s">
        <v>3586</v>
      </c>
      <c r="O155" t="s">
        <v>1272</v>
      </c>
      <c r="P155" t="s">
        <v>770</v>
      </c>
      <c r="Q155" t="s">
        <v>903</v>
      </c>
      <c r="R155" t="s">
        <v>3447</v>
      </c>
      <c r="S155">
        <v>26.8125</v>
      </c>
      <c r="T155" t="s">
        <v>793</v>
      </c>
      <c r="U155" t="s">
        <v>34</v>
      </c>
      <c r="V155" t="s">
        <v>3459</v>
      </c>
      <c r="W155">
        <v>63613055</v>
      </c>
      <c r="X155" t="s">
        <v>3449</v>
      </c>
      <c r="Y155" t="s">
        <v>34</v>
      </c>
      <c r="Z155" t="s">
        <v>3450</v>
      </c>
      <c r="AA155" t="s">
        <v>3451</v>
      </c>
      <c r="AB155" t="s">
        <v>3449</v>
      </c>
      <c r="AC155" t="s">
        <v>34</v>
      </c>
      <c r="AD155" t="s">
        <v>767</v>
      </c>
      <c r="AE155" t="s">
        <v>3452</v>
      </c>
      <c r="AF155" t="s">
        <v>3453</v>
      </c>
      <c r="AG155">
        <v>17</v>
      </c>
      <c r="AH155">
        <v>13</v>
      </c>
      <c r="AI155">
        <v>40</v>
      </c>
      <c r="AJ155" t="s">
        <v>3462</v>
      </c>
      <c r="AK155" t="s">
        <v>34</v>
      </c>
      <c r="AL155" t="s">
        <v>34</v>
      </c>
      <c r="AM155" t="s">
        <v>2864</v>
      </c>
    </row>
    <row r="156" spans="1:39" x14ac:dyDescent="0.2">
      <c r="A156">
        <v>2531442</v>
      </c>
      <c r="B156">
        <v>57471</v>
      </c>
      <c r="C156" t="s">
        <v>3444</v>
      </c>
      <c r="D156" t="s">
        <v>3442</v>
      </c>
      <c r="E156" t="s">
        <v>3443</v>
      </c>
      <c r="G156" t="s">
        <v>772</v>
      </c>
      <c r="H156" t="s">
        <v>3569</v>
      </c>
      <c r="I156" t="s">
        <v>762</v>
      </c>
      <c r="J156" t="s">
        <v>3444</v>
      </c>
      <c r="K156" t="s">
        <v>3445</v>
      </c>
      <c r="L156" t="s">
        <v>3446</v>
      </c>
      <c r="M156" t="s">
        <v>3444</v>
      </c>
      <c r="N156" t="s">
        <v>3586</v>
      </c>
      <c r="O156" t="s">
        <v>1272</v>
      </c>
      <c r="P156" t="s">
        <v>770</v>
      </c>
      <c r="Q156" t="s">
        <v>903</v>
      </c>
      <c r="R156" t="s">
        <v>3447</v>
      </c>
      <c r="S156">
        <v>26.8125</v>
      </c>
      <c r="T156" t="s">
        <v>793</v>
      </c>
      <c r="U156" t="s">
        <v>34</v>
      </c>
      <c r="V156" t="s">
        <v>3448</v>
      </c>
      <c r="W156">
        <v>63619041</v>
      </c>
      <c r="X156" t="s">
        <v>3449</v>
      </c>
      <c r="Y156" t="s">
        <v>34</v>
      </c>
      <c r="Z156" t="s">
        <v>3450</v>
      </c>
      <c r="AA156" t="s">
        <v>3451</v>
      </c>
      <c r="AB156" t="s">
        <v>3449</v>
      </c>
      <c r="AC156" t="s">
        <v>34</v>
      </c>
      <c r="AD156" t="s">
        <v>767</v>
      </c>
      <c r="AE156" t="s">
        <v>3452</v>
      </c>
      <c r="AF156" t="s">
        <v>3453</v>
      </c>
      <c r="AG156">
        <v>17</v>
      </c>
      <c r="AH156">
        <v>13</v>
      </c>
      <c r="AI156">
        <v>40</v>
      </c>
      <c r="AJ156" t="s">
        <v>3454</v>
      </c>
      <c r="AK156" t="s">
        <v>3455</v>
      </c>
      <c r="AL156" t="s">
        <v>3456</v>
      </c>
      <c r="AM156" t="s">
        <v>2864</v>
      </c>
    </row>
    <row r="157" spans="1:39" x14ac:dyDescent="0.2">
      <c r="A157">
        <v>1270464</v>
      </c>
      <c r="B157">
        <v>57534</v>
      </c>
      <c r="C157" t="s">
        <v>386</v>
      </c>
      <c r="D157" t="s">
        <v>707</v>
      </c>
      <c r="E157" t="s">
        <v>675</v>
      </c>
      <c r="F157" t="s">
        <v>34</v>
      </c>
      <c r="G157" t="s">
        <v>772</v>
      </c>
      <c r="H157" t="s">
        <v>3582</v>
      </c>
      <c r="I157" t="s">
        <v>1293</v>
      </c>
      <c r="J157" t="s">
        <v>1328</v>
      </c>
      <c r="K157" t="s">
        <v>880</v>
      </c>
      <c r="L157" t="s">
        <v>1329</v>
      </c>
      <c r="M157" t="s">
        <v>386</v>
      </c>
      <c r="N157" t="s">
        <v>3183</v>
      </c>
      <c r="O157" t="s">
        <v>2943</v>
      </c>
      <c r="P157" t="s">
        <v>834</v>
      </c>
      <c r="Q157" t="s">
        <v>765</v>
      </c>
      <c r="R157" t="s">
        <v>3184</v>
      </c>
      <c r="S157">
        <v>1056</v>
      </c>
      <c r="T157" t="s">
        <v>794</v>
      </c>
      <c r="U157" t="s">
        <v>34</v>
      </c>
      <c r="V157" t="s">
        <v>1313</v>
      </c>
      <c r="W157">
        <v>1281</v>
      </c>
      <c r="X157" t="s">
        <v>1316</v>
      </c>
      <c r="Y157" t="s">
        <v>34</v>
      </c>
      <c r="Z157" t="s">
        <v>1317</v>
      </c>
      <c r="AA157" t="s">
        <v>1318</v>
      </c>
      <c r="AB157" t="s">
        <v>766</v>
      </c>
      <c r="AC157" t="s">
        <v>3185</v>
      </c>
      <c r="AD157" t="s">
        <v>767</v>
      </c>
      <c r="AE157" t="s">
        <v>768</v>
      </c>
      <c r="AF157" t="s">
        <v>585</v>
      </c>
      <c r="AG157">
        <v>5</v>
      </c>
      <c r="AH157">
        <v>60</v>
      </c>
      <c r="AI157">
        <v>240</v>
      </c>
      <c r="AJ157" t="s">
        <v>34</v>
      </c>
      <c r="AK157" t="s">
        <v>34</v>
      </c>
      <c r="AL157" t="s">
        <v>34</v>
      </c>
      <c r="AM157" t="s">
        <v>2861</v>
      </c>
    </row>
    <row r="158" spans="1:39" x14ac:dyDescent="0.2">
      <c r="A158">
        <v>1270463</v>
      </c>
      <c r="B158">
        <v>57534</v>
      </c>
      <c r="C158" t="s">
        <v>387</v>
      </c>
      <c r="D158" t="s">
        <v>707</v>
      </c>
      <c r="E158" t="s">
        <v>675</v>
      </c>
      <c r="F158" t="s">
        <v>34</v>
      </c>
      <c r="G158" t="s">
        <v>772</v>
      </c>
      <c r="H158" t="s">
        <v>3582</v>
      </c>
      <c r="I158" t="s">
        <v>980</v>
      </c>
      <c r="J158" t="s">
        <v>1326</v>
      </c>
      <c r="K158" t="s">
        <v>880</v>
      </c>
      <c r="L158" t="s">
        <v>1327</v>
      </c>
      <c r="M158" t="s">
        <v>387</v>
      </c>
      <c r="N158" t="s">
        <v>3183</v>
      </c>
      <c r="O158" t="s">
        <v>2944</v>
      </c>
      <c r="P158" t="s">
        <v>834</v>
      </c>
      <c r="Q158" t="s">
        <v>765</v>
      </c>
      <c r="R158" t="s">
        <v>3184</v>
      </c>
      <c r="S158">
        <v>1056</v>
      </c>
      <c r="T158" t="s">
        <v>794</v>
      </c>
      <c r="U158" t="s">
        <v>34</v>
      </c>
      <c r="V158" t="s">
        <v>1313</v>
      </c>
      <c r="W158">
        <v>1280</v>
      </c>
      <c r="X158" t="s">
        <v>1316</v>
      </c>
      <c r="Y158" t="s">
        <v>34</v>
      </c>
      <c r="Z158" t="s">
        <v>1317</v>
      </c>
      <c r="AA158" t="s">
        <v>1318</v>
      </c>
      <c r="AB158" t="s">
        <v>766</v>
      </c>
      <c r="AC158" t="s">
        <v>3186</v>
      </c>
      <c r="AD158" t="s">
        <v>767</v>
      </c>
      <c r="AE158" t="s">
        <v>768</v>
      </c>
      <c r="AF158" t="s">
        <v>585</v>
      </c>
      <c r="AG158">
        <v>5</v>
      </c>
      <c r="AH158">
        <v>60</v>
      </c>
      <c r="AI158">
        <v>240</v>
      </c>
      <c r="AJ158" t="s">
        <v>34</v>
      </c>
      <c r="AK158" t="s">
        <v>34</v>
      </c>
      <c r="AL158" t="s">
        <v>34</v>
      </c>
      <c r="AM158" t="s">
        <v>2861</v>
      </c>
    </row>
    <row r="159" spans="1:39" x14ac:dyDescent="0.2">
      <c r="A159">
        <v>1270465</v>
      </c>
      <c r="B159">
        <v>57534</v>
      </c>
      <c r="C159" t="s">
        <v>385</v>
      </c>
      <c r="D159" t="s">
        <v>707</v>
      </c>
      <c r="E159" t="s">
        <v>675</v>
      </c>
      <c r="F159" t="s">
        <v>34</v>
      </c>
      <c r="G159" t="s">
        <v>772</v>
      </c>
      <c r="H159" t="s">
        <v>3582</v>
      </c>
      <c r="I159" t="s">
        <v>980</v>
      </c>
      <c r="J159" t="s">
        <v>1331</v>
      </c>
      <c r="K159" t="s">
        <v>880</v>
      </c>
      <c r="L159" t="s">
        <v>1332</v>
      </c>
      <c r="M159" t="s">
        <v>385</v>
      </c>
      <c r="N159" t="s">
        <v>3183</v>
      </c>
      <c r="O159" t="s">
        <v>895</v>
      </c>
      <c r="P159" t="s">
        <v>834</v>
      </c>
      <c r="Q159" t="s">
        <v>765</v>
      </c>
      <c r="R159" t="s">
        <v>3184</v>
      </c>
      <c r="S159">
        <v>1056</v>
      </c>
      <c r="T159" t="s">
        <v>794</v>
      </c>
      <c r="U159" t="s">
        <v>34</v>
      </c>
      <c r="V159" t="s">
        <v>1313</v>
      </c>
      <c r="W159">
        <v>15590</v>
      </c>
      <c r="X159" t="s">
        <v>1316</v>
      </c>
      <c r="Y159" t="s">
        <v>34</v>
      </c>
      <c r="Z159" t="s">
        <v>1317</v>
      </c>
      <c r="AA159" t="s">
        <v>1318</v>
      </c>
      <c r="AB159" t="s">
        <v>766</v>
      </c>
      <c r="AC159" t="s">
        <v>3187</v>
      </c>
      <c r="AD159" t="s">
        <v>767</v>
      </c>
      <c r="AE159" t="s">
        <v>768</v>
      </c>
      <c r="AF159" t="s">
        <v>585</v>
      </c>
      <c r="AG159" t="s">
        <v>1889</v>
      </c>
      <c r="AH159" t="s">
        <v>34</v>
      </c>
      <c r="AI159" t="s">
        <v>34</v>
      </c>
      <c r="AJ159" t="s">
        <v>34</v>
      </c>
      <c r="AK159" t="s">
        <v>34</v>
      </c>
      <c r="AL159" t="s">
        <v>34</v>
      </c>
      <c r="AM159" t="s">
        <v>2861</v>
      </c>
    </row>
    <row r="160" spans="1:39" x14ac:dyDescent="0.2">
      <c r="A160">
        <v>1270461</v>
      </c>
      <c r="B160">
        <v>57534</v>
      </c>
      <c r="C160" t="s">
        <v>389</v>
      </c>
      <c r="D160" t="s">
        <v>707</v>
      </c>
      <c r="E160" t="s">
        <v>675</v>
      </c>
      <c r="F160" t="s">
        <v>34</v>
      </c>
      <c r="G160" t="s">
        <v>772</v>
      </c>
      <c r="H160" t="s">
        <v>3582</v>
      </c>
      <c r="I160" t="s">
        <v>980</v>
      </c>
      <c r="J160" t="s">
        <v>1319</v>
      </c>
      <c r="K160" t="s">
        <v>880</v>
      </c>
      <c r="L160" t="s">
        <v>1320</v>
      </c>
      <c r="M160" t="s">
        <v>389</v>
      </c>
      <c r="N160" t="s">
        <v>3183</v>
      </c>
      <c r="O160" t="s">
        <v>1321</v>
      </c>
      <c r="P160" t="s">
        <v>834</v>
      </c>
      <c r="Q160" t="s">
        <v>765</v>
      </c>
      <c r="R160" t="s">
        <v>3184</v>
      </c>
      <c r="S160">
        <v>1056</v>
      </c>
      <c r="T160" t="s">
        <v>794</v>
      </c>
      <c r="U160" t="s">
        <v>34</v>
      </c>
      <c r="V160" t="s">
        <v>1313</v>
      </c>
      <c r="W160">
        <v>996</v>
      </c>
      <c r="X160" t="s">
        <v>1316</v>
      </c>
      <c r="Y160" t="s">
        <v>34</v>
      </c>
      <c r="Z160" t="s">
        <v>1317</v>
      </c>
      <c r="AA160" t="s">
        <v>1318</v>
      </c>
      <c r="AB160" t="s">
        <v>766</v>
      </c>
      <c r="AC160" t="s">
        <v>3188</v>
      </c>
      <c r="AD160" t="s">
        <v>767</v>
      </c>
      <c r="AE160" t="s">
        <v>768</v>
      </c>
      <c r="AF160" t="s">
        <v>585</v>
      </c>
      <c r="AG160">
        <v>5</v>
      </c>
      <c r="AH160">
        <v>60</v>
      </c>
      <c r="AI160">
        <v>240</v>
      </c>
      <c r="AJ160" t="s">
        <v>34</v>
      </c>
      <c r="AK160" t="s">
        <v>34</v>
      </c>
      <c r="AL160" t="s">
        <v>34</v>
      </c>
      <c r="AM160" t="s">
        <v>2861</v>
      </c>
    </row>
    <row r="161" spans="1:40" x14ac:dyDescent="0.2">
      <c r="A161">
        <v>1270462</v>
      </c>
      <c r="B161">
        <v>57534</v>
      </c>
      <c r="C161" t="s">
        <v>388</v>
      </c>
      <c r="D161" t="s">
        <v>707</v>
      </c>
      <c r="E161" t="s">
        <v>675</v>
      </c>
      <c r="F161" t="s">
        <v>34</v>
      </c>
      <c r="G161" t="s">
        <v>772</v>
      </c>
      <c r="H161" t="s">
        <v>3582</v>
      </c>
      <c r="I161" t="s">
        <v>980</v>
      </c>
      <c r="J161" t="s">
        <v>1322</v>
      </c>
      <c r="K161" t="s">
        <v>880</v>
      </c>
      <c r="L161" t="s">
        <v>1323</v>
      </c>
      <c r="M161" t="s">
        <v>388</v>
      </c>
      <c r="N161" t="s">
        <v>3183</v>
      </c>
      <c r="O161" t="s">
        <v>1714</v>
      </c>
      <c r="P161" t="s">
        <v>834</v>
      </c>
      <c r="Q161" t="s">
        <v>765</v>
      </c>
      <c r="R161" t="s">
        <v>3184</v>
      </c>
      <c r="S161">
        <v>1056</v>
      </c>
      <c r="T161" t="s">
        <v>794</v>
      </c>
      <c r="U161" t="s">
        <v>34</v>
      </c>
      <c r="V161" t="s">
        <v>1313</v>
      </c>
      <c r="W161" t="s">
        <v>1325</v>
      </c>
      <c r="X161" t="s">
        <v>1316</v>
      </c>
      <c r="Y161" t="s">
        <v>34</v>
      </c>
      <c r="Z161" t="s">
        <v>1317</v>
      </c>
      <c r="AA161" t="s">
        <v>1318</v>
      </c>
      <c r="AB161" t="s">
        <v>766</v>
      </c>
      <c r="AC161" t="s">
        <v>3189</v>
      </c>
      <c r="AD161" t="s">
        <v>767</v>
      </c>
      <c r="AE161" t="s">
        <v>768</v>
      </c>
      <c r="AF161" t="s">
        <v>585</v>
      </c>
      <c r="AG161" t="s">
        <v>1889</v>
      </c>
      <c r="AH161" t="s">
        <v>34</v>
      </c>
      <c r="AI161" t="s">
        <v>34</v>
      </c>
      <c r="AJ161" t="s">
        <v>34</v>
      </c>
      <c r="AK161" t="s">
        <v>34</v>
      </c>
      <c r="AL161" t="s">
        <v>34</v>
      </c>
      <c r="AM161" t="s">
        <v>2861</v>
      </c>
    </row>
    <row r="162" spans="1:40" x14ac:dyDescent="0.2">
      <c r="A162">
        <v>1270460</v>
      </c>
      <c r="B162">
        <v>57534</v>
      </c>
      <c r="C162" t="s">
        <v>390</v>
      </c>
      <c r="D162" t="s">
        <v>707</v>
      </c>
      <c r="E162" t="s">
        <v>675</v>
      </c>
      <c r="F162" t="s">
        <v>34</v>
      </c>
      <c r="G162" t="s">
        <v>772</v>
      </c>
      <c r="H162" t="s">
        <v>3582</v>
      </c>
      <c r="I162" t="s">
        <v>980</v>
      </c>
      <c r="J162" t="s">
        <v>1314</v>
      </c>
      <c r="K162" t="s">
        <v>880</v>
      </c>
      <c r="L162" t="s">
        <v>1315</v>
      </c>
      <c r="M162" t="s">
        <v>390</v>
      </c>
      <c r="N162" t="s">
        <v>3183</v>
      </c>
      <c r="O162" t="s">
        <v>2194</v>
      </c>
      <c r="P162" t="s">
        <v>834</v>
      </c>
      <c r="Q162" t="s">
        <v>765</v>
      </c>
      <c r="R162" t="s">
        <v>3184</v>
      </c>
      <c r="S162">
        <v>1056</v>
      </c>
      <c r="T162" t="s">
        <v>794</v>
      </c>
      <c r="U162" t="s">
        <v>34</v>
      </c>
      <c r="V162" t="s">
        <v>1313</v>
      </c>
      <c r="W162">
        <v>979</v>
      </c>
      <c r="X162" t="s">
        <v>1316</v>
      </c>
      <c r="Y162" t="s">
        <v>34</v>
      </c>
      <c r="Z162" t="s">
        <v>1317</v>
      </c>
      <c r="AA162" t="s">
        <v>1318</v>
      </c>
      <c r="AB162" t="s">
        <v>766</v>
      </c>
      <c r="AC162" t="s">
        <v>3190</v>
      </c>
      <c r="AD162" t="s">
        <v>767</v>
      </c>
      <c r="AE162" t="s">
        <v>768</v>
      </c>
      <c r="AF162" t="s">
        <v>585</v>
      </c>
      <c r="AG162">
        <v>5</v>
      </c>
      <c r="AH162">
        <v>60</v>
      </c>
      <c r="AI162">
        <v>240</v>
      </c>
      <c r="AJ162" t="s">
        <v>34</v>
      </c>
      <c r="AK162" t="s">
        <v>34</v>
      </c>
      <c r="AL162" t="s">
        <v>34</v>
      </c>
      <c r="AM162" t="s">
        <v>2861</v>
      </c>
    </row>
    <row r="163" spans="1:40" x14ac:dyDescent="0.2">
      <c r="A163">
        <v>2251222</v>
      </c>
      <c r="B163">
        <v>57534</v>
      </c>
      <c r="C163" t="s">
        <v>3191</v>
      </c>
      <c r="D163" t="s">
        <v>707</v>
      </c>
      <c r="E163" t="s">
        <v>675</v>
      </c>
      <c r="F163" t="s">
        <v>34</v>
      </c>
      <c r="G163" t="s">
        <v>772</v>
      </c>
      <c r="H163" t="s">
        <v>3582</v>
      </c>
      <c r="I163" t="s">
        <v>980</v>
      </c>
      <c r="J163" t="s">
        <v>3192</v>
      </c>
      <c r="K163" t="s">
        <v>880</v>
      </c>
      <c r="L163" t="s">
        <v>3193</v>
      </c>
      <c r="M163" t="s">
        <v>3191</v>
      </c>
      <c r="N163" t="s">
        <v>3237</v>
      </c>
      <c r="O163" t="s">
        <v>3194</v>
      </c>
      <c r="P163" t="s">
        <v>834</v>
      </c>
      <c r="Q163" t="s">
        <v>765</v>
      </c>
      <c r="R163" t="s">
        <v>3184</v>
      </c>
      <c r="S163">
        <v>1056</v>
      </c>
      <c r="T163" t="s">
        <v>794</v>
      </c>
      <c r="Y163" t="s">
        <v>34</v>
      </c>
      <c r="Z163" t="s">
        <v>1317</v>
      </c>
      <c r="AA163" t="s">
        <v>1318</v>
      </c>
      <c r="AB163" t="s">
        <v>766</v>
      </c>
      <c r="AC163" t="s">
        <v>3195</v>
      </c>
      <c r="AD163" t="s">
        <v>767</v>
      </c>
      <c r="AE163" t="s">
        <v>768</v>
      </c>
      <c r="AF163" t="s">
        <v>585</v>
      </c>
      <c r="AG163" t="s">
        <v>3117</v>
      </c>
      <c r="AH163" t="s">
        <v>34</v>
      </c>
      <c r="AI163" t="s">
        <v>34</v>
      </c>
      <c r="AJ163" t="s">
        <v>34</v>
      </c>
      <c r="AK163" t="s">
        <v>34</v>
      </c>
      <c r="AL163" t="s">
        <v>34</v>
      </c>
      <c r="AM163" t="s">
        <v>2861</v>
      </c>
    </row>
    <row r="164" spans="1:40" x14ac:dyDescent="0.2">
      <c r="A164">
        <v>2251225</v>
      </c>
      <c r="B164">
        <v>57534</v>
      </c>
      <c r="C164" t="s">
        <v>3196</v>
      </c>
      <c r="D164" t="s">
        <v>707</v>
      </c>
      <c r="E164" t="s">
        <v>675</v>
      </c>
      <c r="F164" t="s">
        <v>34</v>
      </c>
      <c r="G164" t="s">
        <v>772</v>
      </c>
      <c r="H164" t="s">
        <v>3582</v>
      </c>
      <c r="I164" t="s">
        <v>980</v>
      </c>
      <c r="J164" t="s">
        <v>3197</v>
      </c>
      <c r="K164" t="s">
        <v>880</v>
      </c>
      <c r="L164" t="s">
        <v>3198</v>
      </c>
      <c r="M164" t="s">
        <v>3196</v>
      </c>
      <c r="N164" t="s">
        <v>3237</v>
      </c>
      <c r="O164" t="s">
        <v>3199</v>
      </c>
      <c r="P164" t="s">
        <v>834</v>
      </c>
      <c r="Q164" t="s">
        <v>765</v>
      </c>
      <c r="R164" t="s">
        <v>3184</v>
      </c>
      <c r="S164">
        <v>1056</v>
      </c>
      <c r="T164" t="s">
        <v>794</v>
      </c>
      <c r="Y164" t="s">
        <v>34</v>
      </c>
      <c r="Z164" t="s">
        <v>1317</v>
      </c>
      <c r="AA164" t="s">
        <v>1318</v>
      </c>
      <c r="AB164" t="s">
        <v>766</v>
      </c>
      <c r="AC164" t="s">
        <v>3200</v>
      </c>
      <c r="AD164" t="s">
        <v>767</v>
      </c>
      <c r="AE164" t="s">
        <v>768</v>
      </c>
      <c r="AF164" t="s">
        <v>585</v>
      </c>
      <c r="AG164" t="s">
        <v>3117</v>
      </c>
      <c r="AH164" t="s">
        <v>34</v>
      </c>
      <c r="AI164" t="s">
        <v>34</v>
      </c>
      <c r="AJ164" t="s">
        <v>34</v>
      </c>
      <c r="AK164" t="s">
        <v>34</v>
      </c>
      <c r="AL164" t="s">
        <v>34</v>
      </c>
      <c r="AM164" t="s">
        <v>2861</v>
      </c>
    </row>
    <row r="165" spans="1:40" x14ac:dyDescent="0.2">
      <c r="B165">
        <v>57534</v>
      </c>
      <c r="C165" t="s">
        <v>3201</v>
      </c>
      <c r="D165" t="s">
        <v>707</v>
      </c>
      <c r="E165" t="s">
        <v>675</v>
      </c>
      <c r="F165" t="s">
        <v>34</v>
      </c>
      <c r="G165" t="s">
        <v>772</v>
      </c>
      <c r="H165" t="s">
        <v>3582</v>
      </c>
      <c r="I165" t="s">
        <v>980</v>
      </c>
      <c r="J165" t="s">
        <v>3202</v>
      </c>
      <c r="K165" t="s">
        <v>880</v>
      </c>
      <c r="L165" t="s">
        <v>3203</v>
      </c>
      <c r="M165" t="s">
        <v>3201</v>
      </c>
      <c r="N165" t="s">
        <v>3183</v>
      </c>
      <c r="O165" t="s">
        <v>3204</v>
      </c>
      <c r="P165" t="s">
        <v>834</v>
      </c>
      <c r="Q165" t="s">
        <v>765</v>
      </c>
      <c r="R165" t="s">
        <v>3184</v>
      </c>
      <c r="S165">
        <v>1056</v>
      </c>
      <c r="T165" t="s">
        <v>794</v>
      </c>
      <c r="U165" t="s">
        <v>34</v>
      </c>
      <c r="V165" t="s">
        <v>1313</v>
      </c>
      <c r="X165" t="s">
        <v>1316</v>
      </c>
      <c r="AC165" t="s">
        <v>3205</v>
      </c>
      <c r="AD165" t="s">
        <v>767</v>
      </c>
      <c r="AE165" t="s">
        <v>768</v>
      </c>
      <c r="AF165" t="s">
        <v>585</v>
      </c>
      <c r="AG165" t="s">
        <v>3117</v>
      </c>
      <c r="AH165" t="s">
        <v>34</v>
      </c>
      <c r="AI165" t="s">
        <v>34</v>
      </c>
      <c r="AJ165" t="s">
        <v>34</v>
      </c>
      <c r="AK165" t="s">
        <v>34</v>
      </c>
      <c r="AL165" t="s">
        <v>34</v>
      </c>
      <c r="AM165" t="s">
        <v>2861</v>
      </c>
    </row>
    <row r="166" spans="1:40" x14ac:dyDescent="0.2">
      <c r="A166">
        <v>1270459</v>
      </c>
      <c r="B166">
        <v>57534</v>
      </c>
      <c r="C166" t="s">
        <v>3112</v>
      </c>
      <c r="D166" t="s">
        <v>707</v>
      </c>
      <c r="E166" t="s">
        <v>675</v>
      </c>
      <c r="F166" t="s">
        <v>34</v>
      </c>
      <c r="G166" t="s">
        <v>772</v>
      </c>
      <c r="H166" t="s">
        <v>3569</v>
      </c>
      <c r="I166" t="s">
        <v>1293</v>
      </c>
      <c r="J166" t="s">
        <v>3206</v>
      </c>
      <c r="K166">
        <v>206</v>
      </c>
      <c r="L166">
        <v>206</v>
      </c>
      <c r="M166" t="s">
        <v>3207</v>
      </c>
      <c r="N166" t="s">
        <v>310</v>
      </c>
      <c r="O166" t="s">
        <v>1311</v>
      </c>
      <c r="P166" t="s">
        <v>847</v>
      </c>
      <c r="Q166" t="s">
        <v>828</v>
      </c>
      <c r="R166" t="s">
        <v>1312</v>
      </c>
      <c r="S166">
        <v>189</v>
      </c>
      <c r="T166" t="s">
        <v>793</v>
      </c>
      <c r="U166" t="s">
        <v>34</v>
      </c>
      <c r="V166" t="s">
        <v>1313</v>
      </c>
      <c r="W166">
        <v>15590</v>
      </c>
      <c r="X166" t="s">
        <v>766</v>
      </c>
      <c r="AC166" t="s">
        <v>34</v>
      </c>
      <c r="AD166" t="s">
        <v>767</v>
      </c>
      <c r="AE166" t="s">
        <v>768</v>
      </c>
      <c r="AF166" t="s">
        <v>585</v>
      </c>
      <c r="AG166" t="s">
        <v>1889</v>
      </c>
      <c r="AH166" t="s">
        <v>34</v>
      </c>
      <c r="AI166" t="s">
        <v>34</v>
      </c>
      <c r="AJ166" t="s">
        <v>34</v>
      </c>
      <c r="AK166" t="s">
        <v>34</v>
      </c>
      <c r="AL166" t="s">
        <v>34</v>
      </c>
      <c r="AM166" t="s">
        <v>2861</v>
      </c>
    </row>
    <row r="167" spans="1:40" x14ac:dyDescent="0.2">
      <c r="A167">
        <v>1784793</v>
      </c>
      <c r="B167">
        <v>57534</v>
      </c>
      <c r="C167" t="s">
        <v>3334</v>
      </c>
      <c r="D167" t="s">
        <v>707</v>
      </c>
      <c r="E167" t="s">
        <v>675</v>
      </c>
      <c r="F167" t="s">
        <v>34</v>
      </c>
      <c r="G167" t="s">
        <v>772</v>
      </c>
      <c r="H167" t="s">
        <v>3569</v>
      </c>
      <c r="I167" t="s">
        <v>1293</v>
      </c>
      <c r="J167" t="s">
        <v>434</v>
      </c>
      <c r="K167" t="s">
        <v>3012</v>
      </c>
      <c r="L167">
        <v>160720124</v>
      </c>
      <c r="M167" t="s">
        <v>3335</v>
      </c>
      <c r="N167" t="s">
        <v>310</v>
      </c>
      <c r="O167" t="s">
        <v>3013</v>
      </c>
      <c r="P167" t="s">
        <v>847</v>
      </c>
      <c r="Q167" t="s">
        <v>828</v>
      </c>
      <c r="R167" t="s">
        <v>3014</v>
      </c>
      <c r="S167">
        <v>1.17</v>
      </c>
      <c r="T167" t="s">
        <v>794</v>
      </c>
      <c r="U167">
        <v>1784793</v>
      </c>
      <c r="V167" t="s">
        <v>972</v>
      </c>
      <c r="W167">
        <v>160720124</v>
      </c>
      <c r="X167" t="s">
        <v>766</v>
      </c>
      <c r="AC167" t="s">
        <v>34</v>
      </c>
      <c r="AD167" t="s">
        <v>767</v>
      </c>
      <c r="AE167" t="s">
        <v>3015</v>
      </c>
      <c r="AF167" t="s">
        <v>585</v>
      </c>
      <c r="AG167" t="s">
        <v>1889</v>
      </c>
      <c r="AH167" t="s">
        <v>34</v>
      </c>
      <c r="AI167" t="s">
        <v>34</v>
      </c>
      <c r="AJ167" t="s">
        <v>34</v>
      </c>
      <c r="AK167" t="s">
        <v>34</v>
      </c>
      <c r="AL167" t="s">
        <v>34</v>
      </c>
      <c r="AM167" t="s">
        <v>2862</v>
      </c>
    </row>
    <row r="168" spans="1:40" x14ac:dyDescent="0.2">
      <c r="A168">
        <v>1270458</v>
      </c>
      <c r="B168">
        <v>57534</v>
      </c>
      <c r="C168" t="s">
        <v>391</v>
      </c>
      <c r="D168" t="s">
        <v>707</v>
      </c>
      <c r="E168" t="s">
        <v>675</v>
      </c>
      <c r="F168" t="s">
        <v>34</v>
      </c>
      <c r="G168" t="s">
        <v>772</v>
      </c>
      <c r="H168" t="s">
        <v>3569</v>
      </c>
      <c r="I168" t="s">
        <v>1293</v>
      </c>
      <c r="J168" t="s">
        <v>1305</v>
      </c>
      <c r="K168" t="s">
        <v>1306</v>
      </c>
      <c r="L168" t="s">
        <v>1307</v>
      </c>
      <c r="M168" t="s">
        <v>391</v>
      </c>
      <c r="N168" t="s">
        <v>310</v>
      </c>
      <c r="O168" t="s">
        <v>1207</v>
      </c>
      <c r="P168" t="s">
        <v>770</v>
      </c>
      <c r="Q168" t="s">
        <v>765</v>
      </c>
      <c r="R168" t="s">
        <v>1308</v>
      </c>
      <c r="S168">
        <v>2352</v>
      </c>
      <c r="T168" t="s">
        <v>794</v>
      </c>
      <c r="U168" t="s">
        <v>34</v>
      </c>
      <c r="V168" t="s">
        <v>849</v>
      </c>
      <c r="W168" t="s">
        <v>1309</v>
      </c>
      <c r="X168" t="s">
        <v>766</v>
      </c>
      <c r="Y168" t="s">
        <v>34</v>
      </c>
      <c r="Z168" t="s">
        <v>1310</v>
      </c>
      <c r="AA168">
        <v>55565489</v>
      </c>
      <c r="AB168" t="s">
        <v>766</v>
      </c>
      <c r="AC168" t="s">
        <v>34</v>
      </c>
      <c r="AD168" t="s">
        <v>767</v>
      </c>
      <c r="AE168" t="s">
        <v>768</v>
      </c>
      <c r="AF168" t="s">
        <v>585</v>
      </c>
      <c r="AG168" t="s">
        <v>1889</v>
      </c>
      <c r="AH168" t="s">
        <v>34</v>
      </c>
      <c r="AI168" t="s">
        <v>34</v>
      </c>
      <c r="AJ168" t="s">
        <v>34</v>
      </c>
      <c r="AK168" t="s">
        <v>34</v>
      </c>
      <c r="AL168" t="s">
        <v>34</v>
      </c>
      <c r="AM168" t="s">
        <v>2861</v>
      </c>
    </row>
    <row r="169" spans="1:40" x14ac:dyDescent="0.2">
      <c r="A169">
        <v>1270453</v>
      </c>
      <c r="B169">
        <v>57525</v>
      </c>
      <c r="C169" t="s">
        <v>288</v>
      </c>
      <c r="D169" t="s">
        <v>708</v>
      </c>
      <c r="E169" t="s">
        <v>709</v>
      </c>
      <c r="F169" t="s">
        <v>34</v>
      </c>
      <c r="G169" t="s">
        <v>772</v>
      </c>
      <c r="H169" t="s">
        <v>3569</v>
      </c>
      <c r="I169" t="s">
        <v>1293</v>
      </c>
      <c r="J169" t="s">
        <v>1333</v>
      </c>
      <c r="K169" t="s">
        <v>1334</v>
      </c>
      <c r="L169" t="s">
        <v>1335</v>
      </c>
      <c r="M169" t="s">
        <v>288</v>
      </c>
      <c r="N169" t="s">
        <v>310</v>
      </c>
      <c r="O169" t="s">
        <v>1336</v>
      </c>
      <c r="P169" t="s">
        <v>844</v>
      </c>
      <c r="Q169" t="s">
        <v>765</v>
      </c>
      <c r="R169" t="s">
        <v>1337</v>
      </c>
      <c r="S169">
        <v>19.399999999999999</v>
      </c>
      <c r="T169" t="s">
        <v>794</v>
      </c>
      <c r="U169" t="s">
        <v>34</v>
      </c>
      <c r="V169" t="s">
        <v>987</v>
      </c>
      <c r="W169">
        <v>33095</v>
      </c>
      <c r="X169" t="s">
        <v>766</v>
      </c>
      <c r="Y169" t="s">
        <v>34</v>
      </c>
      <c r="Z169" t="s">
        <v>1206</v>
      </c>
      <c r="AA169" t="s">
        <v>2660</v>
      </c>
      <c r="AB169" t="s">
        <v>766</v>
      </c>
      <c r="AC169" t="s">
        <v>34</v>
      </c>
      <c r="AD169" t="s">
        <v>767</v>
      </c>
      <c r="AE169" t="s">
        <v>768</v>
      </c>
      <c r="AF169" t="s">
        <v>585</v>
      </c>
      <c r="AG169">
        <v>1.5</v>
      </c>
      <c r="AI169">
        <v>0.2</v>
      </c>
      <c r="AJ169" t="s">
        <v>34</v>
      </c>
      <c r="AK169" t="s">
        <v>34</v>
      </c>
      <c r="AL169" t="s">
        <v>34</v>
      </c>
      <c r="AM169" t="s">
        <v>2863</v>
      </c>
    </row>
    <row r="170" spans="1:40" x14ac:dyDescent="0.2">
      <c r="A170">
        <v>1270457</v>
      </c>
      <c r="B170">
        <v>57525</v>
      </c>
      <c r="C170" t="s">
        <v>596</v>
      </c>
      <c r="D170" t="s">
        <v>708</v>
      </c>
      <c r="E170" t="s">
        <v>709</v>
      </c>
      <c r="F170" t="s">
        <v>34</v>
      </c>
      <c r="G170" t="s">
        <v>772</v>
      </c>
      <c r="H170" t="s">
        <v>3569</v>
      </c>
      <c r="I170" t="s">
        <v>586</v>
      </c>
      <c r="J170" t="s">
        <v>596</v>
      </c>
      <c r="K170" t="s">
        <v>1975</v>
      </c>
      <c r="L170" t="s">
        <v>1976</v>
      </c>
      <c r="M170" t="s">
        <v>596</v>
      </c>
      <c r="N170" t="s">
        <v>983</v>
      </c>
      <c r="O170" t="s">
        <v>2101</v>
      </c>
      <c r="P170" t="s">
        <v>2101</v>
      </c>
      <c r="Q170" t="s">
        <v>828</v>
      </c>
      <c r="R170" t="s">
        <v>2102</v>
      </c>
      <c r="S170">
        <v>653.29999999999995</v>
      </c>
      <c r="T170" t="s">
        <v>649</v>
      </c>
      <c r="U170">
        <v>1270457</v>
      </c>
      <c r="V170" t="s">
        <v>839</v>
      </c>
      <c r="W170" t="s">
        <v>1976</v>
      </c>
      <c r="X170" t="s">
        <v>1291</v>
      </c>
      <c r="AC170" t="s">
        <v>2720</v>
      </c>
      <c r="AD170" t="s">
        <v>767</v>
      </c>
      <c r="AE170" t="s">
        <v>768</v>
      </c>
      <c r="AF170" t="s">
        <v>585</v>
      </c>
      <c r="AG170" t="s">
        <v>34</v>
      </c>
      <c r="AH170" t="s">
        <v>34</v>
      </c>
      <c r="AI170" t="s">
        <v>34</v>
      </c>
      <c r="AJ170" t="s">
        <v>34</v>
      </c>
      <c r="AK170" t="s">
        <v>34</v>
      </c>
      <c r="AL170" t="s">
        <v>34</v>
      </c>
      <c r="AM170" t="s">
        <v>2865</v>
      </c>
    </row>
    <row r="171" spans="1:40" x14ac:dyDescent="0.2">
      <c r="A171">
        <v>1270450</v>
      </c>
      <c r="B171">
        <v>57561</v>
      </c>
      <c r="C171" t="s">
        <v>393</v>
      </c>
      <c r="D171" t="s">
        <v>710</v>
      </c>
      <c r="E171" t="s">
        <v>711</v>
      </c>
      <c r="F171" t="s">
        <v>34</v>
      </c>
      <c r="G171" t="s">
        <v>772</v>
      </c>
      <c r="H171" t="s">
        <v>3569</v>
      </c>
      <c r="I171" t="s">
        <v>1293</v>
      </c>
      <c r="J171" t="s">
        <v>393</v>
      </c>
      <c r="K171" t="s">
        <v>1340</v>
      </c>
      <c r="L171">
        <v>1432</v>
      </c>
      <c r="M171" t="s">
        <v>393</v>
      </c>
      <c r="N171" t="s">
        <v>310</v>
      </c>
      <c r="O171" t="s">
        <v>1341</v>
      </c>
      <c r="P171" t="s">
        <v>844</v>
      </c>
      <c r="Q171" t="s">
        <v>765</v>
      </c>
      <c r="R171" t="s">
        <v>1342</v>
      </c>
      <c r="S171">
        <v>138.5</v>
      </c>
      <c r="T171" t="s">
        <v>649</v>
      </c>
      <c r="U171" t="s">
        <v>34</v>
      </c>
      <c r="V171" t="s">
        <v>1313</v>
      </c>
      <c r="W171">
        <v>181319</v>
      </c>
      <c r="X171" t="s">
        <v>766</v>
      </c>
      <c r="AC171" t="s">
        <v>34</v>
      </c>
      <c r="AD171" t="s">
        <v>767</v>
      </c>
      <c r="AE171" t="s">
        <v>768</v>
      </c>
      <c r="AF171" t="s">
        <v>585</v>
      </c>
      <c r="AG171" t="s">
        <v>34</v>
      </c>
      <c r="AH171" t="s">
        <v>34</v>
      </c>
      <c r="AI171" t="s">
        <v>34</v>
      </c>
      <c r="AJ171" t="s">
        <v>34</v>
      </c>
      <c r="AK171" t="s">
        <v>34</v>
      </c>
      <c r="AL171" t="s">
        <v>34</v>
      </c>
      <c r="AM171" t="s">
        <v>2861</v>
      </c>
    </row>
    <row r="172" spans="1:40" x14ac:dyDescent="0.2">
      <c r="A172">
        <v>1892655</v>
      </c>
      <c r="B172">
        <v>57487</v>
      </c>
      <c r="C172" t="s">
        <v>3039</v>
      </c>
      <c r="D172" t="s">
        <v>3040</v>
      </c>
      <c r="E172" t="s">
        <v>3041</v>
      </c>
      <c r="F172" t="s">
        <v>34</v>
      </c>
      <c r="G172" t="s">
        <v>772</v>
      </c>
      <c r="H172" t="s">
        <v>3569</v>
      </c>
      <c r="I172" t="s">
        <v>586</v>
      </c>
      <c r="J172" t="s">
        <v>3042</v>
      </c>
      <c r="K172" t="s">
        <v>3043</v>
      </c>
      <c r="L172" t="s">
        <v>3044</v>
      </c>
      <c r="M172" t="s">
        <v>3042</v>
      </c>
      <c r="N172" t="s">
        <v>3045</v>
      </c>
      <c r="O172" t="s">
        <v>3046</v>
      </c>
      <c r="P172" t="s">
        <v>770</v>
      </c>
      <c r="Q172" t="s">
        <v>765</v>
      </c>
      <c r="R172" t="s">
        <v>3047</v>
      </c>
      <c r="S172">
        <v>25</v>
      </c>
      <c r="T172" t="s">
        <v>649</v>
      </c>
      <c r="U172">
        <v>1892662</v>
      </c>
      <c r="V172" t="s">
        <v>3048</v>
      </c>
      <c r="W172" t="s">
        <v>3049</v>
      </c>
      <c r="X172" t="s">
        <v>2917</v>
      </c>
      <c r="AC172" t="s">
        <v>34</v>
      </c>
      <c r="AD172" t="s">
        <v>767</v>
      </c>
      <c r="AE172" t="s">
        <v>768</v>
      </c>
      <c r="AF172" t="s">
        <v>585</v>
      </c>
      <c r="AL172" t="s">
        <v>34</v>
      </c>
      <c r="AM172" t="s">
        <v>2861</v>
      </c>
    </row>
    <row r="173" spans="1:40" x14ac:dyDescent="0.2">
      <c r="B173">
        <v>57484</v>
      </c>
      <c r="C173" t="s">
        <v>656</v>
      </c>
      <c r="D173" t="s">
        <v>712</v>
      </c>
      <c r="E173" t="s">
        <v>713</v>
      </c>
      <c r="F173" t="s">
        <v>34</v>
      </c>
      <c r="G173" t="s">
        <v>772</v>
      </c>
      <c r="H173" t="s">
        <v>3569</v>
      </c>
      <c r="I173" t="s">
        <v>1293</v>
      </c>
      <c r="J173" t="s">
        <v>366</v>
      </c>
      <c r="K173" t="s">
        <v>1343</v>
      </c>
      <c r="L173">
        <v>30901</v>
      </c>
      <c r="M173" t="s">
        <v>656</v>
      </c>
      <c r="N173" t="s">
        <v>310</v>
      </c>
      <c r="O173" t="s">
        <v>1344</v>
      </c>
      <c r="P173" t="s">
        <v>847</v>
      </c>
      <c r="Q173" t="s">
        <v>903</v>
      </c>
      <c r="R173" t="s">
        <v>1345</v>
      </c>
      <c r="S173">
        <v>864</v>
      </c>
      <c r="T173" t="s">
        <v>649</v>
      </c>
      <c r="U173" t="s">
        <v>34</v>
      </c>
      <c r="V173" t="s">
        <v>1346</v>
      </c>
      <c r="W173">
        <v>3.03</v>
      </c>
      <c r="X173" t="s">
        <v>766</v>
      </c>
      <c r="Y173" t="s">
        <v>34</v>
      </c>
      <c r="Z173" t="s">
        <v>1347</v>
      </c>
      <c r="AA173" t="s">
        <v>1348</v>
      </c>
      <c r="AB173" t="s">
        <v>766</v>
      </c>
      <c r="AC173" t="s">
        <v>34</v>
      </c>
      <c r="AD173" t="s">
        <v>767</v>
      </c>
      <c r="AE173" t="s">
        <v>768</v>
      </c>
      <c r="AF173" t="s">
        <v>585</v>
      </c>
      <c r="AG173">
        <v>2.7</v>
      </c>
      <c r="AH173">
        <v>1</v>
      </c>
      <c r="AI173">
        <v>4</v>
      </c>
      <c r="AJ173" t="s">
        <v>2386</v>
      </c>
      <c r="AK173" t="s">
        <v>34</v>
      </c>
      <c r="AL173" t="s">
        <v>34</v>
      </c>
      <c r="AM173" t="s">
        <v>2861</v>
      </c>
    </row>
    <row r="174" spans="1:40" x14ac:dyDescent="0.2">
      <c r="B174">
        <v>57484</v>
      </c>
      <c r="C174" t="s">
        <v>657</v>
      </c>
      <c r="D174" t="s">
        <v>712</v>
      </c>
      <c r="E174" t="s">
        <v>713</v>
      </c>
      <c r="F174" t="s">
        <v>34</v>
      </c>
      <c r="G174" t="s">
        <v>772</v>
      </c>
      <c r="H174" t="s">
        <v>3569</v>
      </c>
      <c r="I174" t="s">
        <v>1293</v>
      </c>
      <c r="J174" t="s">
        <v>366</v>
      </c>
      <c r="K174" t="s">
        <v>1349</v>
      </c>
      <c r="L174" t="s">
        <v>1350</v>
      </c>
      <c r="M174" t="s">
        <v>657</v>
      </c>
      <c r="N174" t="s">
        <v>310</v>
      </c>
      <c r="O174" t="s">
        <v>1344</v>
      </c>
      <c r="P174" t="s">
        <v>847</v>
      </c>
      <c r="Q174" t="s">
        <v>903</v>
      </c>
      <c r="R174" t="s">
        <v>1351</v>
      </c>
      <c r="S174">
        <v>630</v>
      </c>
      <c r="T174" t="s">
        <v>649</v>
      </c>
      <c r="U174">
        <v>1269883</v>
      </c>
      <c r="V174" t="s">
        <v>1352</v>
      </c>
      <c r="W174" t="s">
        <v>1353</v>
      </c>
      <c r="X174" t="s">
        <v>766</v>
      </c>
      <c r="Y174" t="s">
        <v>34</v>
      </c>
      <c r="Z174" t="s">
        <v>1354</v>
      </c>
      <c r="AA174" t="s">
        <v>1355</v>
      </c>
      <c r="AB174" t="s">
        <v>766</v>
      </c>
      <c r="AC174" t="s">
        <v>34</v>
      </c>
      <c r="AD174" t="s">
        <v>767</v>
      </c>
      <c r="AE174" t="s">
        <v>768</v>
      </c>
      <c r="AF174" t="s">
        <v>585</v>
      </c>
      <c r="AG174">
        <v>5</v>
      </c>
      <c r="AH174">
        <v>2</v>
      </c>
      <c r="AI174">
        <v>20</v>
      </c>
      <c r="AJ174" t="s">
        <v>2389</v>
      </c>
      <c r="AK174" t="s">
        <v>34</v>
      </c>
      <c r="AL174" t="s">
        <v>34</v>
      </c>
      <c r="AM174" t="s">
        <v>2861</v>
      </c>
    </row>
    <row r="175" spans="1:40" x14ac:dyDescent="0.2">
      <c r="A175">
        <v>1270593</v>
      </c>
      <c r="B175">
        <v>57481</v>
      </c>
      <c r="C175" t="s">
        <v>2687</v>
      </c>
      <c r="D175" t="s">
        <v>714</v>
      </c>
      <c r="E175" t="s">
        <v>715</v>
      </c>
      <c r="F175" t="s">
        <v>34</v>
      </c>
      <c r="G175" t="s">
        <v>772</v>
      </c>
      <c r="H175" t="s">
        <v>3569</v>
      </c>
      <c r="I175" t="s">
        <v>980</v>
      </c>
      <c r="J175" t="s">
        <v>350</v>
      </c>
      <c r="K175" t="s">
        <v>1370</v>
      </c>
      <c r="L175">
        <v>14572</v>
      </c>
      <c r="M175" t="s">
        <v>2687</v>
      </c>
      <c r="N175" t="s">
        <v>3572</v>
      </c>
      <c r="O175" t="s">
        <v>931</v>
      </c>
      <c r="P175" t="s">
        <v>2918</v>
      </c>
      <c r="Q175" t="s">
        <v>765</v>
      </c>
      <c r="R175" t="s">
        <v>1371</v>
      </c>
      <c r="S175">
        <v>277.39999999999998</v>
      </c>
      <c r="T175" t="s">
        <v>791</v>
      </c>
      <c r="U175">
        <v>1269879</v>
      </c>
      <c r="V175" t="s">
        <v>849</v>
      </c>
      <c r="W175" t="s">
        <v>1372</v>
      </c>
      <c r="X175" t="s">
        <v>2917</v>
      </c>
      <c r="Y175" t="s">
        <v>34</v>
      </c>
      <c r="Z175" t="s">
        <v>1360</v>
      </c>
      <c r="AA175" t="s">
        <v>1361</v>
      </c>
      <c r="AB175" t="s">
        <v>2917</v>
      </c>
      <c r="AC175" t="s">
        <v>34</v>
      </c>
      <c r="AD175" t="s">
        <v>767</v>
      </c>
      <c r="AE175" t="s">
        <v>768</v>
      </c>
      <c r="AF175" t="s">
        <v>585</v>
      </c>
      <c r="AG175">
        <v>14.5</v>
      </c>
      <c r="AH175">
        <v>43</v>
      </c>
      <c r="AI175">
        <v>267</v>
      </c>
      <c r="AJ175" t="s">
        <v>34</v>
      </c>
      <c r="AK175" t="s">
        <v>34</v>
      </c>
      <c r="AL175" t="s">
        <v>34</v>
      </c>
      <c r="AM175" t="s">
        <v>2861</v>
      </c>
      <c r="AN175">
        <v>1.4583333333333332E-2</v>
      </c>
    </row>
    <row r="176" spans="1:40" x14ac:dyDescent="0.2">
      <c r="A176">
        <v>1270589</v>
      </c>
      <c r="B176">
        <v>57481</v>
      </c>
      <c r="C176" t="s">
        <v>2688</v>
      </c>
      <c r="D176" t="s">
        <v>714</v>
      </c>
      <c r="E176" t="s">
        <v>715</v>
      </c>
      <c r="F176" t="s">
        <v>34</v>
      </c>
      <c r="G176" t="s">
        <v>772</v>
      </c>
      <c r="H176" t="s">
        <v>3569</v>
      </c>
      <c r="I176" t="s">
        <v>980</v>
      </c>
      <c r="J176" t="s">
        <v>350</v>
      </c>
      <c r="K176" t="s">
        <v>1356</v>
      </c>
      <c r="L176" t="s">
        <v>1357</v>
      </c>
      <c r="M176" t="s">
        <v>2688</v>
      </c>
      <c r="N176" t="s">
        <v>3572</v>
      </c>
      <c r="O176" t="s">
        <v>931</v>
      </c>
      <c r="P176" t="s">
        <v>2918</v>
      </c>
      <c r="Q176" t="s">
        <v>765</v>
      </c>
      <c r="R176" t="s">
        <v>1358</v>
      </c>
      <c r="S176">
        <v>20</v>
      </c>
      <c r="T176" t="s">
        <v>791</v>
      </c>
      <c r="U176">
        <v>1269877</v>
      </c>
      <c r="V176" t="s">
        <v>987</v>
      </c>
      <c r="W176" t="s">
        <v>1359</v>
      </c>
      <c r="X176" t="s">
        <v>2917</v>
      </c>
      <c r="Y176" t="s">
        <v>34</v>
      </c>
      <c r="Z176" t="s">
        <v>1360</v>
      </c>
      <c r="AA176" t="s">
        <v>1361</v>
      </c>
      <c r="AB176" t="s">
        <v>2917</v>
      </c>
      <c r="AC176" t="s">
        <v>34</v>
      </c>
      <c r="AD176" t="s">
        <v>767</v>
      </c>
      <c r="AE176" t="s">
        <v>768</v>
      </c>
      <c r="AF176" t="s">
        <v>585</v>
      </c>
      <c r="AG176">
        <v>1</v>
      </c>
      <c r="AH176">
        <v>0.21</v>
      </c>
      <c r="AI176">
        <v>0.04</v>
      </c>
      <c r="AJ176" t="s">
        <v>34</v>
      </c>
      <c r="AK176" t="s">
        <v>34</v>
      </c>
      <c r="AL176" t="s">
        <v>34</v>
      </c>
      <c r="AM176" t="s">
        <v>2862</v>
      </c>
      <c r="AN176">
        <v>1.4583333333333332E-2</v>
      </c>
    </row>
    <row r="177" spans="1:41" x14ac:dyDescent="0.2">
      <c r="A177">
        <v>1270583</v>
      </c>
      <c r="B177">
        <v>57481</v>
      </c>
      <c r="C177" t="s">
        <v>395</v>
      </c>
      <c r="D177" t="s">
        <v>714</v>
      </c>
      <c r="E177" t="s">
        <v>715</v>
      </c>
      <c r="F177" t="s">
        <v>34</v>
      </c>
      <c r="G177" t="s">
        <v>772</v>
      </c>
      <c r="H177" t="s">
        <v>3569</v>
      </c>
      <c r="I177" t="s">
        <v>980</v>
      </c>
      <c r="J177" t="s">
        <v>1410</v>
      </c>
      <c r="K177" t="s">
        <v>1121</v>
      </c>
      <c r="L177">
        <v>116668</v>
      </c>
      <c r="M177" t="s">
        <v>395</v>
      </c>
      <c r="N177" t="s">
        <v>3570</v>
      </c>
      <c r="O177" t="s">
        <v>1411</v>
      </c>
      <c r="P177" t="s">
        <v>2916</v>
      </c>
      <c r="Q177" t="s">
        <v>765</v>
      </c>
      <c r="R177" t="s">
        <v>1412</v>
      </c>
      <c r="S177">
        <v>258.5</v>
      </c>
      <c r="T177" t="s">
        <v>791</v>
      </c>
      <c r="U177">
        <v>1269894</v>
      </c>
      <c r="V177" t="s">
        <v>1389</v>
      </c>
      <c r="W177" t="s">
        <v>1413</v>
      </c>
      <c r="X177" t="s">
        <v>2925</v>
      </c>
      <c r="Y177" t="s">
        <v>34</v>
      </c>
      <c r="Z177" t="s">
        <v>1389</v>
      </c>
      <c r="AA177" t="s">
        <v>1413</v>
      </c>
      <c r="AB177" t="s">
        <v>2925</v>
      </c>
      <c r="AC177" t="s">
        <v>34</v>
      </c>
      <c r="AD177" t="s">
        <v>767</v>
      </c>
      <c r="AE177" t="s">
        <v>768</v>
      </c>
      <c r="AF177" t="s">
        <v>585</v>
      </c>
      <c r="AG177" t="s">
        <v>2552</v>
      </c>
      <c r="AH177" t="s">
        <v>2391</v>
      </c>
      <c r="AI177" t="s">
        <v>2348</v>
      </c>
      <c r="AJ177" t="s">
        <v>2392</v>
      </c>
      <c r="AK177" t="s">
        <v>34</v>
      </c>
      <c r="AL177" t="s">
        <v>34</v>
      </c>
      <c r="AM177" t="s">
        <v>2864</v>
      </c>
      <c r="AN177">
        <v>1.4583333333333332E-2</v>
      </c>
      <c r="AO177">
        <v>2.1527777777777781E-2</v>
      </c>
    </row>
    <row r="178" spans="1:41" x14ac:dyDescent="0.2">
      <c r="A178">
        <v>1270584</v>
      </c>
      <c r="B178">
        <v>57481</v>
      </c>
      <c r="C178" t="s">
        <v>399</v>
      </c>
      <c r="D178" t="s">
        <v>714</v>
      </c>
      <c r="E178" t="s">
        <v>715</v>
      </c>
      <c r="F178" t="s">
        <v>34</v>
      </c>
      <c r="G178" t="s">
        <v>772</v>
      </c>
      <c r="H178" t="s">
        <v>3569</v>
      </c>
      <c r="I178" t="s">
        <v>980</v>
      </c>
      <c r="J178" t="s">
        <v>1404</v>
      </c>
      <c r="K178" t="s">
        <v>1405</v>
      </c>
      <c r="L178">
        <v>173757</v>
      </c>
      <c r="M178" t="s">
        <v>399</v>
      </c>
      <c r="N178" t="s">
        <v>3570</v>
      </c>
      <c r="O178" t="s">
        <v>1406</v>
      </c>
      <c r="P178" t="s">
        <v>2916</v>
      </c>
      <c r="Q178" t="s">
        <v>765</v>
      </c>
      <c r="R178" t="s">
        <v>1407</v>
      </c>
      <c r="S178">
        <v>115</v>
      </c>
      <c r="T178" t="s">
        <v>791</v>
      </c>
      <c r="U178">
        <v>1269895</v>
      </c>
      <c r="V178" t="s">
        <v>1408</v>
      </c>
      <c r="W178" t="s">
        <v>1409</v>
      </c>
      <c r="X178" t="s">
        <v>2925</v>
      </c>
      <c r="Y178" t="s">
        <v>34</v>
      </c>
      <c r="Z178" t="s">
        <v>1408</v>
      </c>
      <c r="AA178" t="s">
        <v>1409</v>
      </c>
      <c r="AB178" t="s">
        <v>2925</v>
      </c>
      <c r="AC178" t="s">
        <v>34</v>
      </c>
      <c r="AD178" t="s">
        <v>767</v>
      </c>
      <c r="AE178" t="s">
        <v>768</v>
      </c>
      <c r="AF178" t="s">
        <v>585</v>
      </c>
      <c r="AG178" t="s">
        <v>2553</v>
      </c>
      <c r="AH178" t="s">
        <v>2391</v>
      </c>
      <c r="AI178" t="s">
        <v>2348</v>
      </c>
      <c r="AJ178" t="s">
        <v>2392</v>
      </c>
      <c r="AK178" t="s">
        <v>34</v>
      </c>
      <c r="AL178" t="s">
        <v>34</v>
      </c>
      <c r="AM178" t="s">
        <v>2864</v>
      </c>
      <c r="AN178">
        <v>1.4583333333333332E-2</v>
      </c>
      <c r="AO178">
        <v>2.1527777777777781E-2</v>
      </c>
    </row>
    <row r="179" spans="1:41" x14ac:dyDescent="0.2">
      <c r="A179">
        <v>1270521</v>
      </c>
      <c r="B179">
        <v>57481</v>
      </c>
      <c r="C179" t="s">
        <v>401</v>
      </c>
      <c r="D179" t="s">
        <v>714</v>
      </c>
      <c r="E179" t="s">
        <v>715</v>
      </c>
      <c r="F179" t="s">
        <v>34</v>
      </c>
      <c r="G179" t="s">
        <v>772</v>
      </c>
      <c r="H179" t="s">
        <v>3569</v>
      </c>
      <c r="I179" t="s">
        <v>980</v>
      </c>
      <c r="J179" t="s">
        <v>350</v>
      </c>
      <c r="K179" t="s">
        <v>1373</v>
      </c>
      <c r="L179" t="s">
        <v>1374</v>
      </c>
      <c r="M179" t="s">
        <v>401</v>
      </c>
      <c r="N179" t="s">
        <v>3594</v>
      </c>
      <c r="O179" t="s">
        <v>1375</v>
      </c>
      <c r="P179" t="s">
        <v>2926</v>
      </c>
      <c r="Q179" t="s">
        <v>903</v>
      </c>
      <c r="R179" t="s">
        <v>1376</v>
      </c>
      <c r="S179">
        <v>545.79999999999995</v>
      </c>
      <c r="T179" t="s">
        <v>791</v>
      </c>
      <c r="U179">
        <v>1269896</v>
      </c>
      <c r="V179" t="s">
        <v>987</v>
      </c>
      <c r="W179" t="s">
        <v>2548</v>
      </c>
      <c r="X179" t="s">
        <v>2917</v>
      </c>
      <c r="Y179" t="s">
        <v>34</v>
      </c>
      <c r="Z179" t="s">
        <v>1360</v>
      </c>
      <c r="AA179" t="s">
        <v>1361</v>
      </c>
      <c r="AB179" t="s">
        <v>2917</v>
      </c>
      <c r="AC179" t="s">
        <v>3212</v>
      </c>
      <c r="AD179" t="s">
        <v>767</v>
      </c>
      <c r="AE179" t="s">
        <v>768</v>
      </c>
      <c r="AF179" t="s">
        <v>585</v>
      </c>
      <c r="AG179">
        <v>10</v>
      </c>
      <c r="AH179">
        <v>0.2</v>
      </c>
      <c r="AI179">
        <v>0.2</v>
      </c>
      <c r="AJ179" t="s">
        <v>34</v>
      </c>
      <c r="AK179" t="s">
        <v>34</v>
      </c>
      <c r="AL179" t="s">
        <v>34</v>
      </c>
      <c r="AM179" t="s">
        <v>2861</v>
      </c>
      <c r="AN179">
        <v>1.4583333333333332E-2</v>
      </c>
    </row>
    <row r="180" spans="1:41" x14ac:dyDescent="0.2">
      <c r="A180">
        <v>1270588</v>
      </c>
      <c r="B180">
        <v>57481</v>
      </c>
      <c r="C180" t="s">
        <v>404</v>
      </c>
      <c r="D180" t="s">
        <v>714</v>
      </c>
      <c r="E180" t="s">
        <v>715</v>
      </c>
      <c r="F180" t="s">
        <v>34</v>
      </c>
      <c r="G180" t="s">
        <v>772</v>
      </c>
      <c r="H180" t="s">
        <v>3569</v>
      </c>
      <c r="I180" t="s">
        <v>980</v>
      </c>
      <c r="J180" t="s">
        <v>1396</v>
      </c>
      <c r="K180" t="s">
        <v>773</v>
      </c>
      <c r="L180" t="s">
        <v>1397</v>
      </c>
      <c r="M180" t="s">
        <v>404</v>
      </c>
      <c r="N180" t="s">
        <v>3595</v>
      </c>
      <c r="O180" t="s">
        <v>1398</v>
      </c>
      <c r="P180" t="s">
        <v>2927</v>
      </c>
      <c r="Q180" t="s">
        <v>765</v>
      </c>
      <c r="R180" t="s">
        <v>1399</v>
      </c>
      <c r="S180">
        <v>26.7</v>
      </c>
      <c r="T180" t="s">
        <v>791</v>
      </c>
      <c r="U180">
        <v>1269881</v>
      </c>
      <c r="V180" t="s">
        <v>987</v>
      </c>
      <c r="W180" t="s">
        <v>1400</v>
      </c>
      <c r="X180" t="s">
        <v>2917</v>
      </c>
      <c r="Y180" t="s">
        <v>34</v>
      </c>
      <c r="Z180" t="s">
        <v>1360</v>
      </c>
      <c r="AA180" t="s">
        <v>1361</v>
      </c>
      <c r="AB180" t="s">
        <v>2917</v>
      </c>
      <c r="AC180" t="s">
        <v>34</v>
      </c>
      <c r="AD180" t="s">
        <v>767</v>
      </c>
      <c r="AE180" t="s">
        <v>768</v>
      </c>
      <c r="AF180" t="s">
        <v>585</v>
      </c>
      <c r="AG180">
        <v>5</v>
      </c>
      <c r="AH180">
        <v>1</v>
      </c>
      <c r="AI180">
        <v>0.75</v>
      </c>
      <c r="AJ180" t="s">
        <v>34</v>
      </c>
      <c r="AK180" t="s">
        <v>34</v>
      </c>
      <c r="AL180" t="s">
        <v>34</v>
      </c>
      <c r="AM180" t="s">
        <v>2862</v>
      </c>
      <c r="AN180">
        <v>1.4583333333333332E-2</v>
      </c>
    </row>
    <row r="181" spans="1:41" x14ac:dyDescent="0.2">
      <c r="A181">
        <v>1270592</v>
      </c>
      <c r="B181">
        <v>57481</v>
      </c>
      <c r="C181" t="s">
        <v>402</v>
      </c>
      <c r="D181" t="s">
        <v>714</v>
      </c>
      <c r="E181" t="s">
        <v>715</v>
      </c>
      <c r="F181" t="s">
        <v>34</v>
      </c>
      <c r="G181" t="s">
        <v>772</v>
      </c>
      <c r="H181" t="s">
        <v>3569</v>
      </c>
      <c r="I181" t="s">
        <v>980</v>
      </c>
      <c r="J181" t="s">
        <v>350</v>
      </c>
      <c r="K181" t="s">
        <v>1366</v>
      </c>
      <c r="L181" t="s">
        <v>1367</v>
      </c>
      <c r="M181" t="s">
        <v>402</v>
      </c>
      <c r="N181" t="s">
        <v>3572</v>
      </c>
      <c r="O181" t="s">
        <v>1005</v>
      </c>
      <c r="P181" t="s">
        <v>2918</v>
      </c>
      <c r="Q181" t="s">
        <v>765</v>
      </c>
      <c r="R181" t="s">
        <v>1368</v>
      </c>
      <c r="S181">
        <v>20</v>
      </c>
      <c r="T181" t="s">
        <v>791</v>
      </c>
      <c r="U181">
        <v>1269919</v>
      </c>
      <c r="V181" t="s">
        <v>987</v>
      </c>
      <c r="W181" t="s">
        <v>3485</v>
      </c>
      <c r="X181" t="s">
        <v>2917</v>
      </c>
      <c r="Y181" t="s">
        <v>34</v>
      </c>
      <c r="Z181" t="s">
        <v>1360</v>
      </c>
      <c r="AA181" t="s">
        <v>1361</v>
      </c>
      <c r="AB181" t="s">
        <v>2917</v>
      </c>
      <c r="AC181" t="s">
        <v>34</v>
      </c>
      <c r="AD181" t="s">
        <v>767</v>
      </c>
      <c r="AE181" t="s">
        <v>768</v>
      </c>
      <c r="AF181" t="s">
        <v>585</v>
      </c>
      <c r="AG181">
        <v>4</v>
      </c>
      <c r="AH181">
        <v>9</v>
      </c>
      <c r="AI181">
        <v>53</v>
      </c>
      <c r="AJ181" t="s">
        <v>34</v>
      </c>
      <c r="AK181" t="s">
        <v>34</v>
      </c>
      <c r="AL181" t="s">
        <v>34</v>
      </c>
      <c r="AM181" t="s">
        <v>2862</v>
      </c>
      <c r="AN181">
        <v>1.4583333333333332E-2</v>
      </c>
    </row>
    <row r="182" spans="1:41" x14ac:dyDescent="0.2">
      <c r="A182">
        <v>1270586</v>
      </c>
      <c r="B182">
        <v>57481</v>
      </c>
      <c r="C182" t="s">
        <v>400</v>
      </c>
      <c r="D182" t="s">
        <v>714</v>
      </c>
      <c r="E182" t="s">
        <v>715</v>
      </c>
      <c r="F182" t="s">
        <v>34</v>
      </c>
      <c r="G182" t="s">
        <v>772</v>
      </c>
      <c r="H182" t="s">
        <v>3569</v>
      </c>
      <c r="I182" t="s">
        <v>980</v>
      </c>
      <c r="J182" t="s">
        <v>1396</v>
      </c>
      <c r="K182" t="s">
        <v>1401</v>
      </c>
      <c r="L182" t="s">
        <v>1402</v>
      </c>
      <c r="M182" t="s">
        <v>400</v>
      </c>
      <c r="N182" t="s">
        <v>3596</v>
      </c>
      <c r="O182" t="s">
        <v>1375</v>
      </c>
      <c r="P182" t="s">
        <v>2927</v>
      </c>
      <c r="Q182" t="s">
        <v>765</v>
      </c>
      <c r="R182" t="s">
        <v>1403</v>
      </c>
      <c r="S182">
        <v>445.5</v>
      </c>
      <c r="T182" t="s">
        <v>791</v>
      </c>
      <c r="U182">
        <v>1269917</v>
      </c>
      <c r="V182" t="s">
        <v>987</v>
      </c>
      <c r="W182" t="s">
        <v>2549</v>
      </c>
      <c r="X182" t="s">
        <v>2917</v>
      </c>
      <c r="Y182" t="s">
        <v>34</v>
      </c>
      <c r="Z182" t="s">
        <v>1360</v>
      </c>
      <c r="AA182" t="s">
        <v>1361</v>
      </c>
      <c r="AB182" t="s">
        <v>2917</v>
      </c>
      <c r="AC182" t="s">
        <v>34</v>
      </c>
      <c r="AD182" t="s">
        <v>767</v>
      </c>
      <c r="AE182" t="s">
        <v>768</v>
      </c>
      <c r="AF182" t="s">
        <v>585</v>
      </c>
      <c r="AG182">
        <v>15</v>
      </c>
      <c r="AH182">
        <v>0.1</v>
      </c>
      <c r="AI182">
        <v>0.43</v>
      </c>
      <c r="AJ182" t="s">
        <v>34</v>
      </c>
      <c r="AK182" t="s">
        <v>34</v>
      </c>
      <c r="AL182" t="s">
        <v>34</v>
      </c>
      <c r="AM182" t="s">
        <v>2861</v>
      </c>
      <c r="AN182">
        <v>1.4583333333333332E-2</v>
      </c>
    </row>
    <row r="183" spans="1:41" x14ac:dyDescent="0.2">
      <c r="A183">
        <v>1506497</v>
      </c>
      <c r="B183">
        <v>57481</v>
      </c>
      <c r="C183" t="s">
        <v>403</v>
      </c>
      <c r="D183" t="s">
        <v>714</v>
      </c>
      <c r="E183" t="s">
        <v>715</v>
      </c>
      <c r="F183" t="s">
        <v>34</v>
      </c>
      <c r="G183" t="s">
        <v>772</v>
      </c>
      <c r="H183" t="s">
        <v>3569</v>
      </c>
      <c r="I183" t="s">
        <v>980</v>
      </c>
      <c r="J183" t="s">
        <v>350</v>
      </c>
      <c r="K183" t="s">
        <v>1362</v>
      </c>
      <c r="L183" t="s">
        <v>1363</v>
      </c>
      <c r="M183" t="s">
        <v>403</v>
      </c>
      <c r="N183" t="s">
        <v>3570</v>
      </c>
      <c r="O183" t="s">
        <v>1364</v>
      </c>
      <c r="P183" t="s">
        <v>2916</v>
      </c>
      <c r="Q183" t="s">
        <v>765</v>
      </c>
      <c r="R183" t="s">
        <v>1365</v>
      </c>
      <c r="S183">
        <v>18.7</v>
      </c>
      <c r="T183" t="s">
        <v>791</v>
      </c>
      <c r="U183">
        <v>1269915</v>
      </c>
      <c r="V183" t="s">
        <v>987</v>
      </c>
      <c r="W183" t="s">
        <v>2550</v>
      </c>
      <c r="X183" t="s">
        <v>2917</v>
      </c>
      <c r="Y183" t="s">
        <v>34</v>
      </c>
      <c r="Z183" t="s">
        <v>1360</v>
      </c>
      <c r="AA183" t="s">
        <v>1361</v>
      </c>
      <c r="AB183" t="s">
        <v>2917</v>
      </c>
      <c r="AC183" t="s">
        <v>34</v>
      </c>
      <c r="AD183" t="s">
        <v>767</v>
      </c>
      <c r="AE183" t="s">
        <v>768</v>
      </c>
      <c r="AF183" t="s">
        <v>585</v>
      </c>
      <c r="AG183">
        <v>4</v>
      </c>
      <c r="AH183">
        <v>0.8</v>
      </c>
      <c r="AI183">
        <v>1</v>
      </c>
      <c r="AJ183" t="s">
        <v>34</v>
      </c>
      <c r="AK183" t="s">
        <v>34</v>
      </c>
      <c r="AL183" t="s">
        <v>34</v>
      </c>
      <c r="AM183" t="s">
        <v>2862</v>
      </c>
      <c r="AN183">
        <v>1.4583333333333332E-2</v>
      </c>
    </row>
    <row r="184" spans="1:41" x14ac:dyDescent="0.2">
      <c r="A184">
        <v>1270581</v>
      </c>
      <c r="B184">
        <v>57481</v>
      </c>
      <c r="C184" t="s">
        <v>398</v>
      </c>
      <c r="D184" t="s">
        <v>714</v>
      </c>
      <c r="E184" t="s">
        <v>715</v>
      </c>
      <c r="F184" t="s">
        <v>34</v>
      </c>
      <c r="G184" t="s">
        <v>772</v>
      </c>
      <c r="H184" t="s">
        <v>3597</v>
      </c>
      <c r="I184" t="s">
        <v>980</v>
      </c>
      <c r="J184" t="s">
        <v>409</v>
      </c>
      <c r="K184" t="s">
        <v>880</v>
      </c>
      <c r="L184" t="s">
        <v>398</v>
      </c>
      <c r="M184" t="s">
        <v>398</v>
      </c>
      <c r="N184" t="s">
        <v>2955</v>
      </c>
      <c r="O184" t="s">
        <v>1392</v>
      </c>
      <c r="P184" t="s">
        <v>2928</v>
      </c>
      <c r="Q184" t="s">
        <v>765</v>
      </c>
      <c r="R184" t="s">
        <v>1393</v>
      </c>
      <c r="S184">
        <v>120</v>
      </c>
      <c r="T184" t="s">
        <v>793</v>
      </c>
      <c r="U184" t="s">
        <v>34</v>
      </c>
      <c r="V184" t="s">
        <v>1394</v>
      </c>
      <c r="W184" t="s">
        <v>1395</v>
      </c>
      <c r="X184" t="s">
        <v>3090</v>
      </c>
      <c r="AC184" t="s">
        <v>3091</v>
      </c>
      <c r="AD184" t="s">
        <v>767</v>
      </c>
      <c r="AE184" t="s">
        <v>768</v>
      </c>
      <c r="AF184" t="s">
        <v>585</v>
      </c>
      <c r="AH184">
        <v>0.15</v>
      </c>
      <c r="AJ184" t="s">
        <v>2390</v>
      </c>
      <c r="AK184" t="s">
        <v>34</v>
      </c>
      <c r="AL184" t="s">
        <v>34</v>
      </c>
      <c r="AM184" t="s">
        <v>2864</v>
      </c>
    </row>
    <row r="185" spans="1:41" x14ac:dyDescent="0.2">
      <c r="B185">
        <v>57481</v>
      </c>
      <c r="C185" t="s">
        <v>2801</v>
      </c>
      <c r="D185" t="s">
        <v>714</v>
      </c>
      <c r="E185" t="s">
        <v>715</v>
      </c>
      <c r="F185" t="s">
        <v>34</v>
      </c>
      <c r="G185" t="s">
        <v>772</v>
      </c>
      <c r="H185" t="s">
        <v>3569</v>
      </c>
      <c r="I185" t="s">
        <v>980</v>
      </c>
      <c r="J185" t="s">
        <v>1369</v>
      </c>
      <c r="K185" t="s">
        <v>1384</v>
      </c>
      <c r="L185" t="s">
        <v>1385</v>
      </c>
      <c r="M185" t="s">
        <v>396</v>
      </c>
      <c r="N185" t="s">
        <v>3594</v>
      </c>
      <c r="O185" t="s">
        <v>1386</v>
      </c>
      <c r="P185" t="s">
        <v>2926</v>
      </c>
      <c r="Q185" t="s">
        <v>765</v>
      </c>
      <c r="R185" t="s">
        <v>1387</v>
      </c>
      <c r="S185">
        <v>29.8</v>
      </c>
      <c r="T185" t="s">
        <v>791</v>
      </c>
      <c r="U185">
        <v>1269871</v>
      </c>
      <c r="V185" t="s">
        <v>1047</v>
      </c>
      <c r="W185" t="s">
        <v>1388</v>
      </c>
      <c r="X185" t="s">
        <v>2925</v>
      </c>
      <c r="Y185" t="s">
        <v>34</v>
      </c>
      <c r="Z185" t="s">
        <v>1389</v>
      </c>
      <c r="AA185" t="s">
        <v>1390</v>
      </c>
      <c r="AB185" t="s">
        <v>2925</v>
      </c>
      <c r="AC185" t="s">
        <v>1391</v>
      </c>
      <c r="AD185" t="s">
        <v>767</v>
      </c>
      <c r="AE185" t="s">
        <v>768</v>
      </c>
      <c r="AF185" t="s">
        <v>585</v>
      </c>
      <c r="AG185" t="s">
        <v>1889</v>
      </c>
      <c r="AH185" t="s">
        <v>34</v>
      </c>
      <c r="AI185" t="s">
        <v>34</v>
      </c>
      <c r="AJ185" t="s">
        <v>34</v>
      </c>
      <c r="AK185" t="s">
        <v>34</v>
      </c>
      <c r="AL185" t="s">
        <v>34</v>
      </c>
      <c r="AM185" t="s">
        <v>2868</v>
      </c>
    </row>
    <row r="186" spans="1:41" x14ac:dyDescent="0.2">
      <c r="A186">
        <v>1270580</v>
      </c>
      <c r="B186">
        <v>57481</v>
      </c>
      <c r="C186" t="s">
        <v>2802</v>
      </c>
      <c r="D186" t="s">
        <v>714</v>
      </c>
      <c r="E186" t="s">
        <v>715</v>
      </c>
      <c r="F186" t="s">
        <v>34</v>
      </c>
      <c r="G186" t="s">
        <v>772</v>
      </c>
      <c r="H186" t="s">
        <v>3569</v>
      </c>
      <c r="I186" t="s">
        <v>980</v>
      </c>
      <c r="J186" t="s">
        <v>1369</v>
      </c>
      <c r="K186" t="s">
        <v>1384</v>
      </c>
      <c r="L186" t="s">
        <v>1385</v>
      </c>
      <c r="M186" t="s">
        <v>396</v>
      </c>
      <c r="N186" t="s">
        <v>3594</v>
      </c>
      <c r="O186" t="s">
        <v>1386</v>
      </c>
      <c r="P186" t="s">
        <v>2926</v>
      </c>
      <c r="Q186" t="s">
        <v>765</v>
      </c>
      <c r="R186" t="s">
        <v>1387</v>
      </c>
      <c r="S186">
        <v>29.8</v>
      </c>
      <c r="T186" t="s">
        <v>793</v>
      </c>
      <c r="U186">
        <v>1269871</v>
      </c>
      <c r="V186" t="s">
        <v>1047</v>
      </c>
      <c r="W186" t="s">
        <v>1388</v>
      </c>
      <c r="X186" t="s">
        <v>2925</v>
      </c>
      <c r="Y186" t="s">
        <v>34</v>
      </c>
      <c r="Z186" t="s">
        <v>1389</v>
      </c>
      <c r="AA186" t="s">
        <v>1390</v>
      </c>
      <c r="AB186" t="s">
        <v>2925</v>
      </c>
      <c r="AC186" t="s">
        <v>1391</v>
      </c>
      <c r="AD186" t="s">
        <v>767</v>
      </c>
      <c r="AE186" t="s">
        <v>768</v>
      </c>
      <c r="AF186" t="s">
        <v>585</v>
      </c>
      <c r="AG186" t="s">
        <v>1889</v>
      </c>
      <c r="AH186" t="s">
        <v>34</v>
      </c>
      <c r="AI186" t="s">
        <v>34</v>
      </c>
      <c r="AJ186" t="s">
        <v>34</v>
      </c>
      <c r="AK186" t="s">
        <v>34</v>
      </c>
      <c r="AL186" t="s">
        <v>34</v>
      </c>
      <c r="AM186" t="s">
        <v>2868</v>
      </c>
    </row>
    <row r="187" spans="1:41" x14ac:dyDescent="0.2">
      <c r="A187">
        <v>1270579</v>
      </c>
      <c r="B187">
        <v>57481</v>
      </c>
      <c r="C187" t="s">
        <v>397</v>
      </c>
      <c r="D187" t="s">
        <v>714</v>
      </c>
      <c r="E187" t="s">
        <v>715</v>
      </c>
      <c r="F187" t="s">
        <v>34</v>
      </c>
      <c r="G187" t="s">
        <v>772</v>
      </c>
      <c r="H187" t="s">
        <v>3569</v>
      </c>
      <c r="I187" t="s">
        <v>980</v>
      </c>
      <c r="J187" t="s">
        <v>1369</v>
      </c>
      <c r="K187" t="s">
        <v>1377</v>
      </c>
      <c r="L187" t="s">
        <v>1378</v>
      </c>
      <c r="M187" t="s">
        <v>397</v>
      </c>
      <c r="N187" t="s">
        <v>3598</v>
      </c>
      <c r="O187" t="s">
        <v>1379</v>
      </c>
      <c r="P187" t="s">
        <v>2928</v>
      </c>
      <c r="Q187" t="s">
        <v>765</v>
      </c>
      <c r="R187" t="s">
        <v>2969</v>
      </c>
      <c r="S187">
        <v>91.8</v>
      </c>
      <c r="T187" t="s">
        <v>793</v>
      </c>
      <c r="U187">
        <v>1269843</v>
      </c>
      <c r="V187" t="s">
        <v>1047</v>
      </c>
      <c r="W187" t="s">
        <v>1380</v>
      </c>
      <c r="X187" t="s">
        <v>2925</v>
      </c>
      <c r="Y187" t="s">
        <v>34</v>
      </c>
      <c r="Z187" t="s">
        <v>1381</v>
      </c>
      <c r="AA187" t="s">
        <v>1382</v>
      </c>
      <c r="AB187" t="s">
        <v>2925</v>
      </c>
      <c r="AC187" t="s">
        <v>1383</v>
      </c>
      <c r="AD187" t="s">
        <v>767</v>
      </c>
      <c r="AE187" t="s">
        <v>768</v>
      </c>
      <c r="AF187" t="s">
        <v>585</v>
      </c>
      <c r="AG187">
        <v>13.25</v>
      </c>
      <c r="AH187">
        <v>0.8</v>
      </c>
      <c r="AI187">
        <v>2.75</v>
      </c>
      <c r="AJ187" t="s">
        <v>34</v>
      </c>
      <c r="AK187" t="s">
        <v>34</v>
      </c>
      <c r="AL187" t="s">
        <v>34</v>
      </c>
      <c r="AM187" t="s">
        <v>2868</v>
      </c>
    </row>
    <row r="188" spans="1:41" x14ac:dyDescent="0.2">
      <c r="A188">
        <v>1283641</v>
      </c>
      <c r="B188">
        <v>57479</v>
      </c>
      <c r="C188" t="s">
        <v>407</v>
      </c>
      <c r="D188" t="s">
        <v>716</v>
      </c>
      <c r="E188" t="s">
        <v>717</v>
      </c>
      <c r="F188" t="s">
        <v>34</v>
      </c>
      <c r="G188" t="s">
        <v>772</v>
      </c>
      <c r="H188" t="s">
        <v>3569</v>
      </c>
      <c r="I188" t="s">
        <v>1293</v>
      </c>
      <c r="J188" t="s">
        <v>887</v>
      </c>
      <c r="K188" t="s">
        <v>1414</v>
      </c>
      <c r="L188">
        <v>966014</v>
      </c>
      <c r="M188" t="s">
        <v>407</v>
      </c>
      <c r="N188" t="s">
        <v>310</v>
      </c>
      <c r="O188" t="s">
        <v>1415</v>
      </c>
      <c r="P188" t="s">
        <v>847</v>
      </c>
      <c r="Q188" t="s">
        <v>828</v>
      </c>
      <c r="R188" t="s">
        <v>1416</v>
      </c>
      <c r="S188">
        <v>6.25</v>
      </c>
      <c r="T188" t="s">
        <v>649</v>
      </c>
      <c r="U188">
        <v>1269838</v>
      </c>
      <c r="V188" t="s">
        <v>1417</v>
      </c>
      <c r="W188">
        <v>306253</v>
      </c>
      <c r="X188" t="s">
        <v>894</v>
      </c>
      <c r="AC188" t="s">
        <v>3392</v>
      </c>
      <c r="AD188" t="s">
        <v>767</v>
      </c>
      <c r="AE188" t="s">
        <v>768</v>
      </c>
      <c r="AF188" t="s">
        <v>585</v>
      </c>
      <c r="AG188">
        <v>2.1</v>
      </c>
      <c r="AH188">
        <v>0.2</v>
      </c>
      <c r="AI188">
        <v>1.2</v>
      </c>
      <c r="AJ188" t="s">
        <v>2393</v>
      </c>
      <c r="AK188" t="s">
        <v>2394</v>
      </c>
      <c r="AL188" t="s">
        <v>2261</v>
      </c>
      <c r="AM188" t="s">
        <v>2861</v>
      </c>
    </row>
    <row r="189" spans="1:41" x14ac:dyDescent="0.2">
      <c r="A189">
        <v>1283640</v>
      </c>
      <c r="B189">
        <v>57479</v>
      </c>
      <c r="C189" t="s">
        <v>406</v>
      </c>
      <c r="D189" t="s">
        <v>716</v>
      </c>
      <c r="E189" t="s">
        <v>717</v>
      </c>
      <c r="F189" t="s">
        <v>34</v>
      </c>
      <c r="G189" t="s">
        <v>772</v>
      </c>
      <c r="H189" t="s">
        <v>3569</v>
      </c>
      <c r="I189" t="s">
        <v>1293</v>
      </c>
      <c r="J189" t="s">
        <v>632</v>
      </c>
      <c r="K189" t="s">
        <v>1418</v>
      </c>
      <c r="L189" t="s">
        <v>1419</v>
      </c>
      <c r="M189" t="s">
        <v>406</v>
      </c>
      <c r="N189" t="s">
        <v>310</v>
      </c>
      <c r="O189" t="s">
        <v>1099</v>
      </c>
      <c r="P189" t="s">
        <v>847</v>
      </c>
      <c r="Q189" t="s">
        <v>765</v>
      </c>
      <c r="R189" t="s">
        <v>1420</v>
      </c>
      <c r="S189">
        <v>10.1</v>
      </c>
      <c r="T189" t="s">
        <v>649</v>
      </c>
      <c r="U189">
        <v>1269840</v>
      </c>
      <c r="V189" t="s">
        <v>987</v>
      </c>
      <c r="W189" t="s">
        <v>3336</v>
      </c>
      <c r="X189" t="s">
        <v>766</v>
      </c>
      <c r="AC189" t="s">
        <v>34</v>
      </c>
      <c r="AD189" t="s">
        <v>767</v>
      </c>
      <c r="AE189" t="s">
        <v>768</v>
      </c>
      <c r="AF189" t="s">
        <v>585</v>
      </c>
      <c r="AG189">
        <v>5</v>
      </c>
      <c r="AH189">
        <v>0.05</v>
      </c>
      <c r="AI189">
        <v>0.4</v>
      </c>
      <c r="AJ189" t="s">
        <v>34</v>
      </c>
      <c r="AK189" t="s">
        <v>34</v>
      </c>
      <c r="AL189" t="s">
        <v>2261</v>
      </c>
      <c r="AM189" t="s">
        <v>2862</v>
      </c>
    </row>
    <row r="190" spans="1:41" x14ac:dyDescent="0.2">
      <c r="A190">
        <v>1270576</v>
      </c>
      <c r="B190">
        <v>57479</v>
      </c>
      <c r="C190" t="s">
        <v>658</v>
      </c>
      <c r="D190" t="s">
        <v>716</v>
      </c>
      <c r="E190" t="s">
        <v>717</v>
      </c>
      <c r="F190" t="s">
        <v>34</v>
      </c>
      <c r="G190" t="s">
        <v>772</v>
      </c>
      <c r="H190" t="s">
        <v>3569</v>
      </c>
      <c r="I190" t="s">
        <v>1293</v>
      </c>
      <c r="J190" t="s">
        <v>1421</v>
      </c>
      <c r="K190" t="s">
        <v>880</v>
      </c>
      <c r="L190">
        <v>156014</v>
      </c>
      <c r="M190" t="s">
        <v>658</v>
      </c>
      <c r="N190" t="s">
        <v>310</v>
      </c>
      <c r="O190" t="s">
        <v>882</v>
      </c>
      <c r="P190" t="s">
        <v>847</v>
      </c>
      <c r="Q190" t="s">
        <v>765</v>
      </c>
      <c r="R190" t="s">
        <v>1422</v>
      </c>
      <c r="S190">
        <v>10.4</v>
      </c>
      <c r="T190" t="s">
        <v>649</v>
      </c>
      <c r="U190">
        <v>1269839</v>
      </c>
      <c r="V190" t="s">
        <v>1423</v>
      </c>
      <c r="W190" t="s">
        <v>1424</v>
      </c>
      <c r="X190" t="s">
        <v>894</v>
      </c>
      <c r="AC190" t="s">
        <v>1682</v>
      </c>
      <c r="AD190" t="s">
        <v>767</v>
      </c>
      <c r="AE190" t="s">
        <v>768</v>
      </c>
      <c r="AF190" t="s">
        <v>585</v>
      </c>
      <c r="AG190" t="s">
        <v>1889</v>
      </c>
      <c r="AH190" t="s">
        <v>34</v>
      </c>
      <c r="AI190" t="s">
        <v>34</v>
      </c>
      <c r="AJ190" t="s">
        <v>34</v>
      </c>
      <c r="AK190" t="s">
        <v>34</v>
      </c>
      <c r="AL190" t="s">
        <v>2261</v>
      </c>
      <c r="AM190" t="s">
        <v>2861</v>
      </c>
    </row>
    <row r="191" spans="1:41" x14ac:dyDescent="0.2">
      <c r="A191">
        <v>1270575</v>
      </c>
      <c r="B191">
        <v>57474</v>
      </c>
      <c r="C191" t="s">
        <v>2805</v>
      </c>
      <c r="D191" t="s">
        <v>2806</v>
      </c>
      <c r="E191" t="s">
        <v>2807</v>
      </c>
      <c r="F191" t="s">
        <v>2808</v>
      </c>
      <c r="G191" t="s">
        <v>772</v>
      </c>
      <c r="H191" t="s">
        <v>3569</v>
      </c>
      <c r="I191" t="s">
        <v>586</v>
      </c>
      <c r="J191" t="s">
        <v>857</v>
      </c>
      <c r="K191" t="s">
        <v>2809</v>
      </c>
      <c r="L191">
        <v>24005</v>
      </c>
      <c r="M191" t="s">
        <v>2810</v>
      </c>
      <c r="O191" t="s">
        <v>2811</v>
      </c>
      <c r="P191" t="s">
        <v>2812</v>
      </c>
      <c r="Q191" t="s">
        <v>2813</v>
      </c>
      <c r="R191" t="s">
        <v>2814</v>
      </c>
      <c r="S191">
        <v>488.2</v>
      </c>
      <c r="T191" t="s">
        <v>2617</v>
      </c>
      <c r="U191">
        <v>1615342</v>
      </c>
      <c r="V191" t="s">
        <v>2815</v>
      </c>
      <c r="W191">
        <v>224109</v>
      </c>
      <c r="X191" t="s">
        <v>867</v>
      </c>
      <c r="Y191" t="s">
        <v>34</v>
      </c>
      <c r="Z191" t="s">
        <v>2816</v>
      </c>
      <c r="AA191">
        <v>8134133</v>
      </c>
      <c r="AB191" t="s">
        <v>867</v>
      </c>
      <c r="AC191" t="s">
        <v>2817</v>
      </c>
      <c r="AD191" t="s">
        <v>767</v>
      </c>
      <c r="AE191" t="s">
        <v>2613</v>
      </c>
      <c r="AF191" t="s">
        <v>585</v>
      </c>
      <c r="AG191" t="s">
        <v>34</v>
      </c>
      <c r="AH191" t="s">
        <v>34</v>
      </c>
      <c r="AI191" t="s">
        <v>34</v>
      </c>
      <c r="AJ191" t="s">
        <v>34</v>
      </c>
      <c r="AK191" t="s">
        <v>34</v>
      </c>
      <c r="AL191" t="s">
        <v>34</v>
      </c>
      <c r="AM191" t="s">
        <v>2861</v>
      </c>
    </row>
    <row r="192" spans="1:41" x14ac:dyDescent="0.2">
      <c r="A192">
        <v>1284236</v>
      </c>
      <c r="B192">
        <v>57512</v>
      </c>
      <c r="C192" t="s">
        <v>592</v>
      </c>
      <c r="D192" t="s">
        <v>1425</v>
      </c>
      <c r="E192" t="s">
        <v>718</v>
      </c>
      <c r="F192" t="s">
        <v>34</v>
      </c>
      <c r="G192" t="s">
        <v>772</v>
      </c>
      <c r="H192" t="s">
        <v>3569</v>
      </c>
      <c r="I192" t="s">
        <v>1293</v>
      </c>
      <c r="J192" t="s">
        <v>632</v>
      </c>
      <c r="K192" t="s">
        <v>1426</v>
      </c>
      <c r="L192" t="s">
        <v>592</v>
      </c>
      <c r="M192" t="s">
        <v>592</v>
      </c>
      <c r="N192" t="s">
        <v>310</v>
      </c>
      <c r="O192" t="s">
        <v>1427</v>
      </c>
      <c r="P192" t="s">
        <v>847</v>
      </c>
      <c r="Q192" t="s">
        <v>828</v>
      </c>
      <c r="R192" t="s">
        <v>1428</v>
      </c>
      <c r="S192">
        <v>192.5</v>
      </c>
      <c r="T192" t="s">
        <v>649</v>
      </c>
      <c r="U192">
        <v>1269830</v>
      </c>
      <c r="V192" t="s">
        <v>1429</v>
      </c>
      <c r="W192">
        <v>11110683</v>
      </c>
      <c r="X192" t="s">
        <v>766</v>
      </c>
      <c r="Y192" t="s">
        <v>34</v>
      </c>
      <c r="Z192" t="s">
        <v>1430</v>
      </c>
      <c r="AA192">
        <v>16282890</v>
      </c>
      <c r="AB192" t="s">
        <v>766</v>
      </c>
      <c r="AC192" t="s">
        <v>34</v>
      </c>
      <c r="AD192" t="s">
        <v>767</v>
      </c>
      <c r="AE192" t="s">
        <v>768</v>
      </c>
      <c r="AF192" t="s">
        <v>585</v>
      </c>
      <c r="AG192" t="s">
        <v>34</v>
      </c>
      <c r="AH192" t="s">
        <v>34</v>
      </c>
      <c r="AI192" t="s">
        <v>34</v>
      </c>
      <c r="AJ192" t="s">
        <v>34</v>
      </c>
      <c r="AK192" t="s">
        <v>34</v>
      </c>
      <c r="AL192" t="s">
        <v>34</v>
      </c>
      <c r="AM192" t="s">
        <v>2864</v>
      </c>
    </row>
    <row r="193" spans="1:39" x14ac:dyDescent="0.2">
      <c r="A193">
        <v>1584531</v>
      </c>
      <c r="B193">
        <v>57508</v>
      </c>
      <c r="C193" t="s">
        <v>2740</v>
      </c>
      <c r="D193" t="s">
        <v>1431</v>
      </c>
      <c r="E193" t="s">
        <v>1432</v>
      </c>
      <c r="F193" t="s">
        <v>34</v>
      </c>
      <c r="G193" t="s">
        <v>772</v>
      </c>
      <c r="H193" t="s">
        <v>2741</v>
      </c>
      <c r="I193" t="s">
        <v>980</v>
      </c>
      <c r="J193" t="s">
        <v>2740</v>
      </c>
      <c r="K193" t="s">
        <v>2742</v>
      </c>
      <c r="L193">
        <v>13849</v>
      </c>
      <c r="M193" t="s">
        <v>2740</v>
      </c>
      <c r="N193" t="s">
        <v>310</v>
      </c>
      <c r="O193" t="s">
        <v>2743</v>
      </c>
      <c r="P193" t="s">
        <v>847</v>
      </c>
      <c r="Q193" t="s">
        <v>828</v>
      </c>
      <c r="R193" t="s">
        <v>2113</v>
      </c>
      <c r="S193">
        <v>6</v>
      </c>
      <c r="T193" t="s">
        <v>794</v>
      </c>
      <c r="U193" t="s">
        <v>34</v>
      </c>
      <c r="V193" t="s">
        <v>1771</v>
      </c>
      <c r="W193" t="s">
        <v>2744</v>
      </c>
      <c r="X193" t="s">
        <v>766</v>
      </c>
      <c r="Y193" t="s">
        <v>34</v>
      </c>
      <c r="Z193" t="s">
        <v>1206</v>
      </c>
      <c r="AA193" t="s">
        <v>2745</v>
      </c>
      <c r="AB193" t="s">
        <v>766</v>
      </c>
      <c r="AC193" t="s">
        <v>34</v>
      </c>
      <c r="AD193" t="s">
        <v>767</v>
      </c>
      <c r="AE193" t="s">
        <v>768</v>
      </c>
      <c r="AF193" t="s">
        <v>585</v>
      </c>
      <c r="AG193" t="s">
        <v>2746</v>
      </c>
      <c r="AH193" t="s">
        <v>2748</v>
      </c>
      <c r="AI193" t="s">
        <v>2747</v>
      </c>
      <c r="AJ193" t="s">
        <v>34</v>
      </c>
      <c r="AK193" t="s">
        <v>34</v>
      </c>
      <c r="AL193" t="s">
        <v>34</v>
      </c>
      <c r="AM193" t="s">
        <v>2874</v>
      </c>
    </row>
    <row r="194" spans="1:39" x14ac:dyDescent="0.2">
      <c r="A194">
        <v>1598243</v>
      </c>
      <c r="B194">
        <v>57508</v>
      </c>
      <c r="C194" t="s">
        <v>2787</v>
      </c>
      <c r="D194" t="s">
        <v>1431</v>
      </c>
      <c r="E194" t="s">
        <v>1432</v>
      </c>
      <c r="F194" t="s">
        <v>34</v>
      </c>
      <c r="G194" t="s">
        <v>772</v>
      </c>
      <c r="H194" t="s">
        <v>2741</v>
      </c>
      <c r="I194" t="s">
        <v>980</v>
      </c>
      <c r="J194" t="s">
        <v>2787</v>
      </c>
      <c r="K194" t="s">
        <v>2800</v>
      </c>
      <c r="L194">
        <v>1184</v>
      </c>
      <c r="M194" t="s">
        <v>2787</v>
      </c>
      <c r="N194" t="s">
        <v>310</v>
      </c>
      <c r="O194" t="s">
        <v>955</v>
      </c>
      <c r="P194" t="s">
        <v>955</v>
      </c>
      <c r="Q194" t="s">
        <v>828</v>
      </c>
      <c r="R194" t="s">
        <v>2788</v>
      </c>
      <c r="S194">
        <v>16.25</v>
      </c>
      <c r="U194" t="s">
        <v>34</v>
      </c>
      <c r="V194" t="s">
        <v>972</v>
      </c>
      <c r="W194" t="s">
        <v>2744</v>
      </c>
      <c r="X194" t="s">
        <v>1291</v>
      </c>
      <c r="Y194" t="s">
        <v>34</v>
      </c>
      <c r="Z194" t="s">
        <v>2789</v>
      </c>
      <c r="AA194" t="s">
        <v>2790</v>
      </c>
      <c r="AB194" t="s">
        <v>766</v>
      </c>
      <c r="AC194" t="s">
        <v>2791</v>
      </c>
      <c r="AD194" t="s">
        <v>767</v>
      </c>
      <c r="AE194" t="s">
        <v>768</v>
      </c>
      <c r="AF194" t="s">
        <v>585</v>
      </c>
      <c r="AJ194" t="s">
        <v>34</v>
      </c>
      <c r="AK194" t="s">
        <v>34</v>
      </c>
      <c r="AL194" t="s">
        <v>34</v>
      </c>
      <c r="AM194" t="s">
        <v>2865</v>
      </c>
    </row>
    <row r="195" spans="1:39" x14ac:dyDescent="0.2">
      <c r="A195">
        <v>1270595</v>
      </c>
      <c r="B195">
        <v>57508</v>
      </c>
      <c r="C195" t="s">
        <v>410</v>
      </c>
      <c r="D195" t="s">
        <v>1431</v>
      </c>
      <c r="E195" t="s">
        <v>1432</v>
      </c>
      <c r="F195" t="s">
        <v>34</v>
      </c>
      <c r="G195" t="s">
        <v>772</v>
      </c>
      <c r="H195" t="s">
        <v>3569</v>
      </c>
      <c r="I195" t="s">
        <v>1293</v>
      </c>
      <c r="J195" t="s">
        <v>367</v>
      </c>
      <c r="K195" t="s">
        <v>1433</v>
      </c>
      <c r="L195">
        <v>51811</v>
      </c>
      <c r="M195" t="s">
        <v>410</v>
      </c>
      <c r="N195" t="s">
        <v>310</v>
      </c>
      <c r="O195" t="s">
        <v>1434</v>
      </c>
      <c r="P195" t="s">
        <v>770</v>
      </c>
      <c r="Q195" t="s">
        <v>898</v>
      </c>
      <c r="R195" t="s">
        <v>1435</v>
      </c>
      <c r="S195">
        <v>132.5</v>
      </c>
      <c r="T195" t="s">
        <v>793</v>
      </c>
      <c r="U195" t="s">
        <v>34</v>
      </c>
      <c r="V195" t="s">
        <v>1436</v>
      </c>
      <c r="W195">
        <v>11019002</v>
      </c>
      <c r="X195" t="s">
        <v>766</v>
      </c>
      <c r="Y195" t="s">
        <v>34</v>
      </c>
      <c r="Z195" t="s">
        <v>1206</v>
      </c>
      <c r="AA195" t="s">
        <v>1437</v>
      </c>
      <c r="AB195" t="s">
        <v>766</v>
      </c>
      <c r="AC195" t="s">
        <v>34</v>
      </c>
      <c r="AD195" t="s">
        <v>767</v>
      </c>
      <c r="AE195" t="s">
        <v>768</v>
      </c>
      <c r="AF195" t="s">
        <v>585</v>
      </c>
      <c r="AG195" t="s">
        <v>1889</v>
      </c>
      <c r="AH195" t="s">
        <v>34</v>
      </c>
      <c r="AI195" t="s">
        <v>34</v>
      </c>
      <c r="AJ195" t="s">
        <v>34</v>
      </c>
      <c r="AK195" t="s">
        <v>34</v>
      </c>
      <c r="AL195" t="s">
        <v>34</v>
      </c>
      <c r="AM195" t="s">
        <v>2861</v>
      </c>
    </row>
    <row r="196" spans="1:39" x14ac:dyDescent="0.2">
      <c r="A196">
        <v>1270594</v>
      </c>
      <c r="B196">
        <v>57508</v>
      </c>
      <c r="C196" t="s">
        <v>409</v>
      </c>
      <c r="D196" t="s">
        <v>1431</v>
      </c>
      <c r="E196" t="s">
        <v>1432</v>
      </c>
      <c r="F196" t="s">
        <v>34</v>
      </c>
      <c r="G196" t="s">
        <v>772</v>
      </c>
      <c r="H196" t="s">
        <v>3569</v>
      </c>
      <c r="I196" t="s">
        <v>1293</v>
      </c>
      <c r="J196" t="s">
        <v>887</v>
      </c>
      <c r="K196" t="s">
        <v>763</v>
      </c>
      <c r="L196">
        <v>111297</v>
      </c>
      <c r="M196" t="s">
        <v>409</v>
      </c>
      <c r="N196" t="s">
        <v>310</v>
      </c>
      <c r="O196" t="s">
        <v>1311</v>
      </c>
      <c r="P196" t="s">
        <v>847</v>
      </c>
      <c r="Q196" t="s">
        <v>828</v>
      </c>
      <c r="R196" t="s">
        <v>1438</v>
      </c>
      <c r="S196">
        <v>28</v>
      </c>
      <c r="T196" t="s">
        <v>794</v>
      </c>
      <c r="U196">
        <v>1269832</v>
      </c>
      <c r="V196" t="s">
        <v>1439</v>
      </c>
      <c r="W196">
        <v>431103000</v>
      </c>
      <c r="X196" t="s">
        <v>766</v>
      </c>
      <c r="Y196" t="s">
        <v>34</v>
      </c>
      <c r="Z196" t="s">
        <v>1440</v>
      </c>
      <c r="AA196">
        <v>994010</v>
      </c>
      <c r="AB196" t="s">
        <v>867</v>
      </c>
      <c r="AC196" t="s">
        <v>1441</v>
      </c>
      <c r="AD196" t="s">
        <v>767</v>
      </c>
      <c r="AE196" t="s">
        <v>768</v>
      </c>
      <c r="AF196" t="s">
        <v>585</v>
      </c>
      <c r="AG196">
        <v>1</v>
      </c>
      <c r="AH196">
        <v>4.25</v>
      </c>
      <c r="AI196">
        <v>8</v>
      </c>
      <c r="AJ196" t="s">
        <v>2368</v>
      </c>
      <c r="AK196" t="s">
        <v>2395</v>
      </c>
      <c r="AL196" t="s">
        <v>34</v>
      </c>
      <c r="AM196" t="s">
        <v>2861</v>
      </c>
    </row>
    <row r="197" spans="1:39" x14ac:dyDescent="0.2">
      <c r="A197">
        <v>1270596</v>
      </c>
      <c r="B197">
        <v>57571</v>
      </c>
      <c r="C197" t="s">
        <v>412</v>
      </c>
      <c r="D197" t="s">
        <v>719</v>
      </c>
      <c r="E197" t="s">
        <v>720</v>
      </c>
      <c r="F197" t="s">
        <v>34</v>
      </c>
      <c r="G197" t="s">
        <v>772</v>
      </c>
      <c r="H197" t="s">
        <v>3569</v>
      </c>
      <c r="I197" t="s">
        <v>980</v>
      </c>
      <c r="J197" t="s">
        <v>1369</v>
      </c>
      <c r="K197" t="s">
        <v>1442</v>
      </c>
      <c r="L197">
        <v>332372</v>
      </c>
      <c r="M197" t="s">
        <v>412</v>
      </c>
      <c r="N197" t="s">
        <v>3599</v>
      </c>
      <c r="O197" t="s">
        <v>1443</v>
      </c>
      <c r="P197" t="s">
        <v>2916</v>
      </c>
      <c r="Q197" t="s">
        <v>765</v>
      </c>
      <c r="R197" t="s">
        <v>1444</v>
      </c>
      <c r="S197">
        <v>13</v>
      </c>
      <c r="T197" t="s">
        <v>793</v>
      </c>
      <c r="U197" t="s">
        <v>34</v>
      </c>
      <c r="V197" t="s">
        <v>1445</v>
      </c>
      <c r="W197" t="s">
        <v>1446</v>
      </c>
      <c r="X197" t="s">
        <v>2925</v>
      </c>
      <c r="Y197" t="s">
        <v>34</v>
      </c>
      <c r="Z197" t="s">
        <v>1445</v>
      </c>
      <c r="AA197" t="s">
        <v>1446</v>
      </c>
      <c r="AB197" t="s">
        <v>2925</v>
      </c>
      <c r="AC197" t="s">
        <v>34</v>
      </c>
      <c r="AD197" t="s">
        <v>767</v>
      </c>
      <c r="AE197" t="s">
        <v>768</v>
      </c>
      <c r="AF197" t="s">
        <v>585</v>
      </c>
      <c r="AG197">
        <v>1</v>
      </c>
      <c r="AH197">
        <v>45</v>
      </c>
      <c r="AI197">
        <v>360</v>
      </c>
      <c r="AJ197" t="s">
        <v>2396</v>
      </c>
      <c r="AK197" t="s">
        <v>2397</v>
      </c>
      <c r="AL197" t="s">
        <v>34</v>
      </c>
      <c r="AM197" t="s">
        <v>2875</v>
      </c>
    </row>
    <row r="198" spans="1:39" x14ac:dyDescent="0.2">
      <c r="A198">
        <v>1270618</v>
      </c>
      <c r="B198">
        <v>57613</v>
      </c>
      <c r="C198" t="s">
        <v>415</v>
      </c>
      <c r="D198" t="s">
        <v>1447</v>
      </c>
      <c r="E198" t="s">
        <v>721</v>
      </c>
      <c r="F198" t="s">
        <v>34</v>
      </c>
      <c r="G198" t="s">
        <v>772</v>
      </c>
      <c r="H198" t="s">
        <v>3569</v>
      </c>
      <c r="I198" t="s">
        <v>1293</v>
      </c>
      <c r="J198" t="s">
        <v>1298</v>
      </c>
      <c r="K198" t="s">
        <v>880</v>
      </c>
      <c r="L198" t="s">
        <v>415</v>
      </c>
      <c r="M198" t="s">
        <v>415</v>
      </c>
      <c r="N198" t="s">
        <v>310</v>
      </c>
      <c r="O198" t="s">
        <v>1448</v>
      </c>
      <c r="P198" t="s">
        <v>3168</v>
      </c>
      <c r="Q198" t="s">
        <v>765</v>
      </c>
      <c r="R198" t="s">
        <v>3169</v>
      </c>
      <c r="S198">
        <v>1.59</v>
      </c>
      <c r="T198" t="s">
        <v>649</v>
      </c>
      <c r="U198">
        <v>1269828</v>
      </c>
      <c r="V198" t="s">
        <v>1123</v>
      </c>
      <c r="W198" t="s">
        <v>1449</v>
      </c>
      <c r="X198" t="s">
        <v>766</v>
      </c>
      <c r="AC198" t="s">
        <v>3170</v>
      </c>
      <c r="AD198" t="s">
        <v>767</v>
      </c>
      <c r="AE198" t="s">
        <v>768</v>
      </c>
      <c r="AF198" t="s">
        <v>585</v>
      </c>
      <c r="AG198">
        <v>2</v>
      </c>
      <c r="AH198">
        <v>10</v>
      </c>
      <c r="AI198">
        <v>100</v>
      </c>
      <c r="AJ198" t="s">
        <v>2398</v>
      </c>
      <c r="AK198" t="s">
        <v>34</v>
      </c>
      <c r="AL198" t="s">
        <v>34</v>
      </c>
      <c r="AM198" t="s">
        <v>2861</v>
      </c>
    </row>
    <row r="199" spans="1:39" x14ac:dyDescent="0.2">
      <c r="A199">
        <v>1286398</v>
      </c>
      <c r="B199">
        <v>57604</v>
      </c>
      <c r="C199" t="s">
        <v>621</v>
      </c>
      <c r="D199" t="s">
        <v>722</v>
      </c>
      <c r="E199" t="s">
        <v>671</v>
      </c>
      <c r="F199" t="s">
        <v>34</v>
      </c>
      <c r="G199" t="s">
        <v>772</v>
      </c>
      <c r="H199" t="s">
        <v>3569</v>
      </c>
      <c r="I199" t="s">
        <v>1293</v>
      </c>
      <c r="J199" t="s">
        <v>1450</v>
      </c>
      <c r="K199" t="s">
        <v>1451</v>
      </c>
      <c r="L199">
        <v>9493308</v>
      </c>
      <c r="M199" t="s">
        <v>2828</v>
      </c>
      <c r="N199" t="s">
        <v>310</v>
      </c>
      <c r="O199" t="s">
        <v>1452</v>
      </c>
      <c r="P199" t="s">
        <v>770</v>
      </c>
      <c r="Q199" t="s">
        <v>765</v>
      </c>
      <c r="R199" t="s">
        <v>1453</v>
      </c>
      <c r="S199">
        <v>0.1</v>
      </c>
      <c r="T199" t="s">
        <v>649</v>
      </c>
      <c r="U199">
        <v>1286398</v>
      </c>
      <c r="V199" t="s">
        <v>2829</v>
      </c>
      <c r="W199">
        <v>9493308</v>
      </c>
      <c r="X199" t="s">
        <v>844</v>
      </c>
      <c r="AC199" t="s">
        <v>2830</v>
      </c>
      <c r="AD199" t="s">
        <v>767</v>
      </c>
      <c r="AE199" t="s">
        <v>768</v>
      </c>
      <c r="AF199" t="s">
        <v>585</v>
      </c>
      <c r="AG199" t="s">
        <v>1889</v>
      </c>
      <c r="AH199" t="s">
        <v>34</v>
      </c>
      <c r="AI199" t="s">
        <v>34</v>
      </c>
      <c r="AJ199" t="s">
        <v>34</v>
      </c>
      <c r="AK199" t="s">
        <v>34</v>
      </c>
      <c r="AL199" t="s">
        <v>34</v>
      </c>
      <c r="AM199" t="s">
        <v>2861</v>
      </c>
    </row>
    <row r="200" spans="1:39" x14ac:dyDescent="0.2">
      <c r="A200">
        <v>1270603</v>
      </c>
      <c r="B200">
        <v>57691</v>
      </c>
      <c r="C200">
        <v>1209</v>
      </c>
      <c r="D200" t="s">
        <v>1454</v>
      </c>
      <c r="E200" t="s">
        <v>671</v>
      </c>
      <c r="F200" t="s">
        <v>34</v>
      </c>
      <c r="G200" t="s">
        <v>772</v>
      </c>
      <c r="H200" t="s">
        <v>3569</v>
      </c>
      <c r="I200" t="s">
        <v>1293</v>
      </c>
      <c r="J200" t="s">
        <v>1465</v>
      </c>
      <c r="K200" t="s">
        <v>1466</v>
      </c>
      <c r="L200">
        <v>107350701</v>
      </c>
      <c r="M200">
        <v>1209</v>
      </c>
      <c r="N200" t="s">
        <v>310</v>
      </c>
      <c r="O200" t="s">
        <v>829</v>
      </c>
      <c r="P200" t="s">
        <v>844</v>
      </c>
      <c r="Q200" t="s">
        <v>765</v>
      </c>
      <c r="R200" t="s">
        <v>1467</v>
      </c>
      <c r="S200">
        <v>1196</v>
      </c>
      <c r="T200" t="s">
        <v>649</v>
      </c>
      <c r="U200">
        <v>1269966</v>
      </c>
      <c r="V200" t="s">
        <v>1459</v>
      </c>
      <c r="W200" t="s">
        <v>1468</v>
      </c>
      <c r="X200" t="s">
        <v>766</v>
      </c>
      <c r="Y200" t="s">
        <v>34</v>
      </c>
      <c r="Z200" t="s">
        <v>1469</v>
      </c>
      <c r="AA200" t="s">
        <v>1470</v>
      </c>
      <c r="AB200" t="s">
        <v>766</v>
      </c>
      <c r="AC200" t="s">
        <v>34</v>
      </c>
      <c r="AD200" t="s">
        <v>767</v>
      </c>
      <c r="AE200" t="s">
        <v>768</v>
      </c>
      <c r="AF200" t="s">
        <v>585</v>
      </c>
      <c r="AG200">
        <v>6</v>
      </c>
      <c r="AH200">
        <v>0.05</v>
      </c>
      <c r="AI200">
        <v>0.49</v>
      </c>
      <c r="AJ200" t="s">
        <v>34</v>
      </c>
      <c r="AK200" t="s">
        <v>34</v>
      </c>
      <c r="AL200" t="s">
        <v>34</v>
      </c>
      <c r="AM200" t="s">
        <v>2861</v>
      </c>
    </row>
    <row r="201" spans="1:39" x14ac:dyDescent="0.2">
      <c r="A201">
        <v>1721814</v>
      </c>
      <c r="B201">
        <v>57691</v>
      </c>
      <c r="C201" t="s">
        <v>417</v>
      </c>
      <c r="D201" t="s">
        <v>1454</v>
      </c>
      <c r="E201" t="s">
        <v>671</v>
      </c>
      <c r="F201" t="s">
        <v>34</v>
      </c>
      <c r="G201" t="s">
        <v>772</v>
      </c>
      <c r="H201" t="s">
        <v>3577</v>
      </c>
      <c r="I201" t="s">
        <v>980</v>
      </c>
      <c r="J201" t="s">
        <v>775</v>
      </c>
      <c r="K201" t="s">
        <v>1471</v>
      </c>
      <c r="L201" t="s">
        <v>1472</v>
      </c>
      <c r="M201" t="s">
        <v>417</v>
      </c>
      <c r="N201" t="s">
        <v>310</v>
      </c>
      <c r="O201" t="s">
        <v>1457</v>
      </c>
      <c r="P201" t="s">
        <v>847</v>
      </c>
      <c r="Q201" t="s">
        <v>765</v>
      </c>
      <c r="R201" t="s">
        <v>1473</v>
      </c>
      <c r="S201">
        <v>1050</v>
      </c>
      <c r="T201" t="s">
        <v>649</v>
      </c>
      <c r="U201" t="s">
        <v>34</v>
      </c>
      <c r="V201" t="s">
        <v>1459</v>
      </c>
      <c r="W201">
        <v>20327</v>
      </c>
      <c r="X201" t="s">
        <v>766</v>
      </c>
      <c r="AB201" t="s">
        <v>897</v>
      </c>
      <c r="AC201" t="s">
        <v>1500</v>
      </c>
      <c r="AD201" t="s">
        <v>767</v>
      </c>
      <c r="AE201" t="s">
        <v>768</v>
      </c>
      <c r="AF201" t="s">
        <v>585</v>
      </c>
      <c r="AG201" t="s">
        <v>1889</v>
      </c>
      <c r="AH201" t="s">
        <v>34</v>
      </c>
      <c r="AI201" t="s">
        <v>34</v>
      </c>
      <c r="AJ201" t="s">
        <v>34</v>
      </c>
      <c r="AK201" t="s">
        <v>34</v>
      </c>
      <c r="AL201" t="s">
        <v>34</v>
      </c>
      <c r="AM201" t="s">
        <v>2861</v>
      </c>
    </row>
    <row r="202" spans="1:39" x14ac:dyDescent="0.2">
      <c r="A202">
        <v>1288011</v>
      </c>
      <c r="B202">
        <v>57691</v>
      </c>
      <c r="C202" t="s">
        <v>303</v>
      </c>
      <c r="D202" t="s">
        <v>1454</v>
      </c>
      <c r="E202" t="s">
        <v>671</v>
      </c>
      <c r="F202" t="s">
        <v>34</v>
      </c>
      <c r="G202" t="s">
        <v>772</v>
      </c>
      <c r="H202" t="s">
        <v>3577</v>
      </c>
      <c r="I202" t="s">
        <v>980</v>
      </c>
      <c r="J202" t="s">
        <v>912</v>
      </c>
      <c r="K202" t="s">
        <v>1051</v>
      </c>
      <c r="L202" t="s">
        <v>1511</v>
      </c>
      <c r="M202" t="s">
        <v>303</v>
      </c>
      <c r="N202" t="s">
        <v>310</v>
      </c>
      <c r="O202" t="s">
        <v>1457</v>
      </c>
      <c r="P202" t="s">
        <v>847</v>
      </c>
      <c r="Q202" t="s">
        <v>765</v>
      </c>
      <c r="R202" t="s">
        <v>1512</v>
      </c>
      <c r="S202">
        <v>1011.5</v>
      </c>
      <c r="T202" t="s">
        <v>649</v>
      </c>
      <c r="U202" t="s">
        <v>34</v>
      </c>
      <c r="V202" t="s">
        <v>987</v>
      </c>
      <c r="W202" t="s">
        <v>1513</v>
      </c>
      <c r="X202" t="s">
        <v>766</v>
      </c>
      <c r="AB202" t="s">
        <v>897</v>
      </c>
      <c r="AC202" t="s">
        <v>1500</v>
      </c>
      <c r="AD202" t="s">
        <v>767</v>
      </c>
      <c r="AE202" t="s">
        <v>768</v>
      </c>
      <c r="AF202" t="s">
        <v>585</v>
      </c>
      <c r="AG202">
        <v>10</v>
      </c>
      <c r="AI202">
        <v>1</v>
      </c>
      <c r="AJ202" t="s">
        <v>34</v>
      </c>
      <c r="AK202" t="s">
        <v>34</v>
      </c>
      <c r="AL202" t="s">
        <v>34</v>
      </c>
      <c r="AM202" t="s">
        <v>2861</v>
      </c>
    </row>
    <row r="203" spans="1:39" x14ac:dyDescent="0.2">
      <c r="B203">
        <v>57691</v>
      </c>
      <c r="C203" t="s">
        <v>580</v>
      </c>
      <c r="D203" t="s">
        <v>1454</v>
      </c>
      <c r="E203" t="s">
        <v>671</v>
      </c>
      <c r="F203" t="s">
        <v>34</v>
      </c>
      <c r="G203" t="s">
        <v>772</v>
      </c>
      <c r="H203" t="s">
        <v>3600</v>
      </c>
      <c r="I203" t="s">
        <v>980</v>
      </c>
      <c r="J203" t="s">
        <v>912</v>
      </c>
      <c r="K203" t="s">
        <v>1051</v>
      </c>
      <c r="L203" t="s">
        <v>1479</v>
      </c>
      <c r="M203" t="s">
        <v>1507</v>
      </c>
      <c r="N203" t="s">
        <v>310</v>
      </c>
      <c r="O203" t="s">
        <v>1457</v>
      </c>
      <c r="P203" t="s">
        <v>847</v>
      </c>
      <c r="Q203" t="s">
        <v>765</v>
      </c>
      <c r="R203" t="s">
        <v>1508</v>
      </c>
      <c r="S203">
        <v>531</v>
      </c>
      <c r="T203" t="s">
        <v>649</v>
      </c>
      <c r="U203" t="s">
        <v>34</v>
      </c>
      <c r="V203" t="s">
        <v>1509</v>
      </c>
      <c r="W203" t="s">
        <v>1510</v>
      </c>
      <c r="X203" t="s">
        <v>766</v>
      </c>
      <c r="AB203" t="s">
        <v>897</v>
      </c>
      <c r="AC203" t="s">
        <v>1500</v>
      </c>
      <c r="AD203" t="s">
        <v>767</v>
      </c>
      <c r="AE203" t="s">
        <v>768</v>
      </c>
      <c r="AF203" t="s">
        <v>585</v>
      </c>
      <c r="AG203" t="s">
        <v>1889</v>
      </c>
      <c r="AH203" t="s">
        <v>34</v>
      </c>
      <c r="AI203" t="s">
        <v>34</v>
      </c>
      <c r="AJ203" t="s">
        <v>34</v>
      </c>
      <c r="AK203" t="s">
        <v>34</v>
      </c>
      <c r="AL203" t="s">
        <v>34</v>
      </c>
      <c r="AM203" t="s">
        <v>2861</v>
      </c>
    </row>
    <row r="204" spans="1:39" x14ac:dyDescent="0.2">
      <c r="A204">
        <v>1288019</v>
      </c>
      <c r="B204">
        <v>57691</v>
      </c>
      <c r="C204" t="s">
        <v>3648</v>
      </c>
      <c r="D204" t="s">
        <v>1454</v>
      </c>
      <c r="E204" t="s">
        <v>671</v>
      </c>
      <c r="F204" t="s">
        <v>34</v>
      </c>
      <c r="G204" t="s">
        <v>772</v>
      </c>
      <c r="H204" t="s">
        <v>3577</v>
      </c>
      <c r="I204" t="s">
        <v>980</v>
      </c>
      <c r="J204" t="s">
        <v>912</v>
      </c>
      <c r="K204" t="s">
        <v>1497</v>
      </c>
      <c r="L204" t="s">
        <v>1498</v>
      </c>
      <c r="M204" t="s">
        <v>3648</v>
      </c>
      <c r="N204" t="s">
        <v>310</v>
      </c>
      <c r="O204" t="s">
        <v>1457</v>
      </c>
      <c r="P204" t="s">
        <v>847</v>
      </c>
      <c r="Q204" t="s">
        <v>765</v>
      </c>
      <c r="R204" t="s">
        <v>1499</v>
      </c>
      <c r="S204">
        <v>1590.4</v>
      </c>
      <c r="T204" t="s">
        <v>649</v>
      </c>
      <c r="U204" t="s">
        <v>34</v>
      </c>
      <c r="V204" t="s">
        <v>987</v>
      </c>
      <c r="W204" t="s">
        <v>1051</v>
      </c>
      <c r="X204" t="s">
        <v>766</v>
      </c>
      <c r="AB204" t="s">
        <v>897</v>
      </c>
      <c r="AC204" t="s">
        <v>1500</v>
      </c>
      <c r="AD204" t="s">
        <v>767</v>
      </c>
      <c r="AE204" t="s">
        <v>768</v>
      </c>
      <c r="AF204" t="s">
        <v>585</v>
      </c>
      <c r="AG204" t="s">
        <v>1889</v>
      </c>
      <c r="AH204" t="s">
        <v>34</v>
      </c>
      <c r="AI204" t="s">
        <v>34</v>
      </c>
      <c r="AJ204" t="s">
        <v>34</v>
      </c>
      <c r="AK204" t="s">
        <v>34</v>
      </c>
      <c r="AL204" t="s">
        <v>34</v>
      </c>
      <c r="AM204" t="s">
        <v>2861</v>
      </c>
    </row>
    <row r="205" spans="1:39" x14ac:dyDescent="0.2">
      <c r="A205">
        <v>1288102</v>
      </c>
      <c r="B205">
        <v>57691</v>
      </c>
      <c r="C205" t="s">
        <v>3623</v>
      </c>
      <c r="D205" t="s">
        <v>1454</v>
      </c>
      <c r="E205" t="s">
        <v>671</v>
      </c>
      <c r="F205" t="s">
        <v>34</v>
      </c>
      <c r="G205" t="s">
        <v>772</v>
      </c>
      <c r="H205" t="s">
        <v>3600</v>
      </c>
      <c r="I205" t="s">
        <v>980</v>
      </c>
      <c r="J205" t="s">
        <v>912</v>
      </c>
      <c r="K205" t="s">
        <v>1477</v>
      </c>
      <c r="L205" t="s">
        <v>1478</v>
      </c>
      <c r="M205" t="s">
        <v>3623</v>
      </c>
      <c r="N205" t="s">
        <v>310</v>
      </c>
      <c r="O205" t="s">
        <v>1457</v>
      </c>
      <c r="P205" t="s">
        <v>1480</v>
      </c>
      <c r="Q205" t="s">
        <v>765</v>
      </c>
      <c r="R205" t="s">
        <v>1481</v>
      </c>
      <c r="S205">
        <v>346.4</v>
      </c>
      <c r="T205" t="s">
        <v>649</v>
      </c>
      <c r="U205" t="s">
        <v>34</v>
      </c>
      <c r="V205" t="s">
        <v>2884</v>
      </c>
      <c r="W205">
        <v>5244</v>
      </c>
      <c r="X205" t="s">
        <v>766</v>
      </c>
      <c r="Y205" t="s">
        <v>34</v>
      </c>
      <c r="Z205" t="s">
        <v>3213</v>
      </c>
      <c r="AA205" t="s">
        <v>890</v>
      </c>
      <c r="AB205" t="s">
        <v>766</v>
      </c>
      <c r="AC205" t="s">
        <v>3214</v>
      </c>
      <c r="AD205" t="s">
        <v>767</v>
      </c>
      <c r="AE205" t="s">
        <v>768</v>
      </c>
      <c r="AF205" t="s">
        <v>585</v>
      </c>
      <c r="AG205" t="s">
        <v>1889</v>
      </c>
      <c r="AH205" t="s">
        <v>34</v>
      </c>
      <c r="AI205" t="s">
        <v>34</v>
      </c>
      <c r="AJ205" t="s">
        <v>34</v>
      </c>
      <c r="AK205" t="s">
        <v>34</v>
      </c>
      <c r="AL205" t="s">
        <v>34</v>
      </c>
      <c r="AM205" t="s">
        <v>2861</v>
      </c>
    </row>
    <row r="206" spans="1:39" x14ac:dyDescent="0.2">
      <c r="A206">
        <v>1288112</v>
      </c>
      <c r="B206">
        <v>57691</v>
      </c>
      <c r="C206" t="s">
        <v>3624</v>
      </c>
      <c r="D206" t="s">
        <v>1454</v>
      </c>
      <c r="E206" t="s">
        <v>671</v>
      </c>
      <c r="F206" t="s">
        <v>34</v>
      </c>
      <c r="G206" t="s">
        <v>772</v>
      </c>
      <c r="H206" t="s">
        <v>3577</v>
      </c>
      <c r="I206" t="s">
        <v>980</v>
      </c>
      <c r="J206" t="s">
        <v>912</v>
      </c>
      <c r="K206" t="s">
        <v>1474</v>
      </c>
      <c r="L206" t="s">
        <v>1475</v>
      </c>
      <c r="M206" t="s">
        <v>3625</v>
      </c>
      <c r="N206" t="s">
        <v>310</v>
      </c>
      <c r="O206" t="s">
        <v>1457</v>
      </c>
      <c r="P206" t="s">
        <v>847</v>
      </c>
      <c r="Q206" t="s">
        <v>765</v>
      </c>
      <c r="R206" t="s">
        <v>1115</v>
      </c>
      <c r="S206">
        <v>990</v>
      </c>
      <c r="T206" t="s">
        <v>649</v>
      </c>
      <c r="U206" t="s">
        <v>34</v>
      </c>
      <c r="V206" t="s">
        <v>1476</v>
      </c>
      <c r="W206" t="s">
        <v>3626</v>
      </c>
      <c r="X206" t="s">
        <v>766</v>
      </c>
      <c r="AB206" t="s">
        <v>897</v>
      </c>
      <c r="AC206" t="s">
        <v>2765</v>
      </c>
      <c r="AD206" t="s">
        <v>767</v>
      </c>
      <c r="AE206" t="s">
        <v>768</v>
      </c>
      <c r="AF206" t="s">
        <v>585</v>
      </c>
      <c r="AG206" t="s">
        <v>1889</v>
      </c>
      <c r="AH206" t="s">
        <v>34</v>
      </c>
      <c r="AI206" t="s">
        <v>34</v>
      </c>
      <c r="AJ206" t="s">
        <v>34</v>
      </c>
      <c r="AK206" t="s">
        <v>34</v>
      </c>
      <c r="AL206" t="s">
        <v>34</v>
      </c>
      <c r="AM206" t="s">
        <v>2861</v>
      </c>
    </row>
    <row r="207" spans="1:39" x14ac:dyDescent="0.2">
      <c r="A207">
        <v>1287949</v>
      </c>
      <c r="B207">
        <v>57691</v>
      </c>
      <c r="C207" t="s">
        <v>419</v>
      </c>
      <c r="D207" t="s">
        <v>1454</v>
      </c>
      <c r="E207" t="s">
        <v>671</v>
      </c>
      <c r="F207" t="s">
        <v>34</v>
      </c>
      <c r="G207" t="s">
        <v>772</v>
      </c>
      <c r="H207" t="s">
        <v>3569</v>
      </c>
      <c r="I207" t="s">
        <v>1293</v>
      </c>
      <c r="J207" t="s">
        <v>1298</v>
      </c>
      <c r="K207" t="s">
        <v>1482</v>
      </c>
      <c r="L207" t="s">
        <v>1489</v>
      </c>
      <c r="M207" t="s">
        <v>419</v>
      </c>
      <c r="N207" t="s">
        <v>310</v>
      </c>
      <c r="O207" t="s">
        <v>2528</v>
      </c>
      <c r="P207" t="s">
        <v>1485</v>
      </c>
      <c r="Q207" t="s">
        <v>828</v>
      </c>
      <c r="R207" t="s">
        <v>1486</v>
      </c>
      <c r="S207">
        <v>14</v>
      </c>
      <c r="T207" t="s">
        <v>649</v>
      </c>
      <c r="U207">
        <v>1670485</v>
      </c>
      <c r="V207" t="s">
        <v>1487</v>
      </c>
      <c r="W207" t="s">
        <v>1490</v>
      </c>
      <c r="X207" t="s">
        <v>891</v>
      </c>
      <c r="AB207" t="s">
        <v>897</v>
      </c>
      <c r="AC207" t="s">
        <v>2529</v>
      </c>
      <c r="AD207" t="s">
        <v>767</v>
      </c>
      <c r="AE207" t="s">
        <v>768</v>
      </c>
      <c r="AF207" t="s">
        <v>585</v>
      </c>
      <c r="AG207" t="s">
        <v>1889</v>
      </c>
      <c r="AH207" t="s">
        <v>34</v>
      </c>
      <c r="AI207" t="s">
        <v>34</v>
      </c>
      <c r="AJ207" t="s">
        <v>34</v>
      </c>
      <c r="AK207" t="s">
        <v>34</v>
      </c>
      <c r="AL207" t="s">
        <v>34</v>
      </c>
      <c r="AM207" t="s">
        <v>2862</v>
      </c>
    </row>
    <row r="208" spans="1:39" x14ac:dyDescent="0.2">
      <c r="A208">
        <v>1287948</v>
      </c>
      <c r="B208">
        <v>57691</v>
      </c>
      <c r="C208" t="s">
        <v>420</v>
      </c>
      <c r="D208" t="s">
        <v>1454</v>
      </c>
      <c r="E208" t="s">
        <v>671</v>
      </c>
      <c r="F208" t="s">
        <v>34</v>
      </c>
      <c r="G208" t="s">
        <v>772</v>
      </c>
      <c r="H208" t="s">
        <v>3569</v>
      </c>
      <c r="I208" t="s">
        <v>1293</v>
      </c>
      <c r="J208" t="s">
        <v>1298</v>
      </c>
      <c r="K208" t="s">
        <v>1482</v>
      </c>
      <c r="L208" t="s">
        <v>1483</v>
      </c>
      <c r="M208" t="s">
        <v>420</v>
      </c>
      <c r="N208" t="s">
        <v>310</v>
      </c>
      <c r="O208" t="s">
        <v>1484</v>
      </c>
      <c r="P208" t="s">
        <v>1485</v>
      </c>
      <c r="Q208" t="s">
        <v>828</v>
      </c>
      <c r="R208" t="s">
        <v>1486</v>
      </c>
      <c r="S208">
        <v>14</v>
      </c>
      <c r="T208" t="s">
        <v>649</v>
      </c>
      <c r="U208">
        <v>1670488</v>
      </c>
      <c r="V208" t="s">
        <v>1487</v>
      </c>
      <c r="W208" t="s">
        <v>1488</v>
      </c>
      <c r="X208" t="s">
        <v>891</v>
      </c>
      <c r="AB208" t="s">
        <v>897</v>
      </c>
      <c r="AC208" t="s">
        <v>2529</v>
      </c>
      <c r="AD208" t="s">
        <v>767</v>
      </c>
      <c r="AE208" t="s">
        <v>768</v>
      </c>
      <c r="AF208" t="s">
        <v>585</v>
      </c>
      <c r="AG208" t="s">
        <v>1889</v>
      </c>
      <c r="AH208" t="s">
        <v>34</v>
      </c>
      <c r="AI208" t="s">
        <v>34</v>
      </c>
      <c r="AJ208" t="s">
        <v>34</v>
      </c>
      <c r="AK208" t="s">
        <v>34</v>
      </c>
      <c r="AL208" t="s">
        <v>34</v>
      </c>
      <c r="AM208" t="s">
        <v>2862</v>
      </c>
    </row>
    <row r="209" spans="1:39" x14ac:dyDescent="0.2">
      <c r="A209">
        <v>1288018</v>
      </c>
      <c r="B209">
        <v>57691</v>
      </c>
      <c r="C209" t="s">
        <v>2749</v>
      </c>
      <c r="D209" t="s">
        <v>1454</v>
      </c>
      <c r="E209" t="s">
        <v>671</v>
      </c>
      <c r="F209" t="s">
        <v>34</v>
      </c>
      <c r="G209" t="s">
        <v>772</v>
      </c>
      <c r="H209" t="s">
        <v>3569</v>
      </c>
      <c r="I209" t="s">
        <v>980</v>
      </c>
      <c r="J209" t="s">
        <v>1501</v>
      </c>
      <c r="K209" t="s">
        <v>1502</v>
      </c>
      <c r="L209" t="s">
        <v>1503</v>
      </c>
      <c r="M209" t="s">
        <v>1504</v>
      </c>
      <c r="N209" t="s">
        <v>310</v>
      </c>
      <c r="O209" t="s">
        <v>1027</v>
      </c>
      <c r="P209" t="s">
        <v>847</v>
      </c>
      <c r="Q209" t="s">
        <v>765</v>
      </c>
      <c r="R209" t="s">
        <v>1505</v>
      </c>
      <c r="S209">
        <v>1150</v>
      </c>
      <c r="T209" t="s">
        <v>793</v>
      </c>
      <c r="U209">
        <v>1269928</v>
      </c>
      <c r="V209" t="s">
        <v>1118</v>
      </c>
      <c r="W209" t="s">
        <v>1506</v>
      </c>
      <c r="X209" t="s">
        <v>766</v>
      </c>
      <c r="AC209" t="s">
        <v>34</v>
      </c>
      <c r="AD209" t="s">
        <v>767</v>
      </c>
      <c r="AE209" t="s">
        <v>768</v>
      </c>
      <c r="AF209" t="s">
        <v>585</v>
      </c>
      <c r="AG209">
        <v>5</v>
      </c>
      <c r="AH209">
        <v>12</v>
      </c>
      <c r="AI209">
        <v>85</v>
      </c>
      <c r="AJ209" t="s">
        <v>34</v>
      </c>
      <c r="AK209" t="s">
        <v>34</v>
      </c>
      <c r="AL209" t="s">
        <v>769</v>
      </c>
      <c r="AM209" t="s">
        <v>2861</v>
      </c>
    </row>
    <row r="210" spans="1:39" x14ac:dyDescent="0.2">
      <c r="A210">
        <v>1288077</v>
      </c>
      <c r="B210">
        <v>57691</v>
      </c>
      <c r="C210" t="s">
        <v>422</v>
      </c>
      <c r="D210" t="s">
        <v>1454</v>
      </c>
      <c r="E210" t="s">
        <v>671</v>
      </c>
      <c r="F210" t="s">
        <v>34</v>
      </c>
      <c r="G210" t="s">
        <v>772</v>
      </c>
      <c r="H210" t="s">
        <v>3569</v>
      </c>
      <c r="I210" t="s">
        <v>980</v>
      </c>
      <c r="J210" t="s">
        <v>1460</v>
      </c>
      <c r="K210" t="s">
        <v>1460</v>
      </c>
      <c r="L210" t="s">
        <v>1461</v>
      </c>
      <c r="M210" t="s">
        <v>422</v>
      </c>
      <c r="N210" t="s">
        <v>310</v>
      </c>
      <c r="O210" t="s">
        <v>1462</v>
      </c>
      <c r="P210" t="s">
        <v>847</v>
      </c>
      <c r="Q210" t="s">
        <v>765</v>
      </c>
      <c r="R210" t="s">
        <v>1463</v>
      </c>
      <c r="S210">
        <v>378</v>
      </c>
      <c r="T210" t="s">
        <v>649</v>
      </c>
      <c r="U210" t="s">
        <v>34</v>
      </c>
      <c r="V210" t="s">
        <v>1459</v>
      </c>
      <c r="W210" t="s">
        <v>1464</v>
      </c>
      <c r="X210" t="s">
        <v>766</v>
      </c>
      <c r="AB210" t="s">
        <v>897</v>
      </c>
      <c r="AC210" t="s">
        <v>1500</v>
      </c>
      <c r="AD210" t="s">
        <v>767</v>
      </c>
      <c r="AE210" t="s">
        <v>768</v>
      </c>
      <c r="AF210" t="s">
        <v>585</v>
      </c>
      <c r="AG210" t="s">
        <v>1889</v>
      </c>
      <c r="AH210" t="s">
        <v>34</v>
      </c>
      <c r="AI210" t="s">
        <v>34</v>
      </c>
      <c r="AJ210" t="s">
        <v>34</v>
      </c>
      <c r="AK210" t="s">
        <v>34</v>
      </c>
      <c r="AL210" t="s">
        <v>34</v>
      </c>
      <c r="AM210" t="s">
        <v>2861</v>
      </c>
    </row>
    <row r="211" spans="1:39" x14ac:dyDescent="0.2">
      <c r="A211">
        <v>1270620</v>
      </c>
      <c r="B211">
        <v>57691</v>
      </c>
      <c r="C211" t="s">
        <v>418</v>
      </c>
      <c r="D211" t="s">
        <v>1454</v>
      </c>
      <c r="E211" t="s">
        <v>671</v>
      </c>
      <c r="F211" t="s">
        <v>34</v>
      </c>
      <c r="G211" t="s">
        <v>772</v>
      </c>
      <c r="H211" t="s">
        <v>3569</v>
      </c>
      <c r="I211" t="s">
        <v>1293</v>
      </c>
      <c r="J211" t="s">
        <v>775</v>
      </c>
      <c r="K211" t="s">
        <v>1491</v>
      </c>
      <c r="L211">
        <v>115130901</v>
      </c>
      <c r="M211" t="s">
        <v>418</v>
      </c>
      <c r="N211" t="s">
        <v>310</v>
      </c>
      <c r="O211" t="s">
        <v>1492</v>
      </c>
      <c r="P211" t="s">
        <v>847</v>
      </c>
      <c r="Q211" t="s">
        <v>765</v>
      </c>
      <c r="R211" t="s">
        <v>1493</v>
      </c>
      <c r="S211">
        <v>61.3</v>
      </c>
      <c r="T211" t="s">
        <v>649</v>
      </c>
      <c r="U211" t="s">
        <v>34</v>
      </c>
      <c r="V211" t="s">
        <v>987</v>
      </c>
      <c r="W211" t="s">
        <v>1494</v>
      </c>
      <c r="X211" t="s">
        <v>766</v>
      </c>
      <c r="Y211" t="s">
        <v>34</v>
      </c>
      <c r="Z211" t="s">
        <v>1495</v>
      </c>
      <c r="AA211" t="s">
        <v>1496</v>
      </c>
      <c r="AB211" t="s">
        <v>766</v>
      </c>
      <c r="AC211" t="s">
        <v>34</v>
      </c>
      <c r="AD211" t="s">
        <v>767</v>
      </c>
      <c r="AE211" t="s">
        <v>768</v>
      </c>
      <c r="AF211" t="s">
        <v>585</v>
      </c>
      <c r="AG211">
        <v>7</v>
      </c>
      <c r="AH211">
        <v>0.28999999999999998</v>
      </c>
      <c r="AI211">
        <v>0.09</v>
      </c>
      <c r="AJ211" t="s">
        <v>34</v>
      </c>
      <c r="AK211" t="s">
        <v>34</v>
      </c>
      <c r="AL211" t="s">
        <v>34</v>
      </c>
      <c r="AM211" t="s">
        <v>2864</v>
      </c>
    </row>
    <row r="212" spans="1:39" x14ac:dyDescent="0.2">
      <c r="A212">
        <v>1270611</v>
      </c>
      <c r="B212">
        <v>57691</v>
      </c>
      <c r="C212" t="s">
        <v>603</v>
      </c>
      <c r="D212" t="s">
        <v>1454</v>
      </c>
      <c r="E212" t="s">
        <v>671</v>
      </c>
      <c r="F212" t="s">
        <v>34</v>
      </c>
      <c r="G212" t="s">
        <v>772</v>
      </c>
      <c r="H212" t="s">
        <v>3577</v>
      </c>
      <c r="I212" t="s">
        <v>980</v>
      </c>
      <c r="J212" t="s">
        <v>775</v>
      </c>
      <c r="K212" t="s">
        <v>1455</v>
      </c>
      <c r="L212" t="s">
        <v>1456</v>
      </c>
      <c r="M212" t="s">
        <v>603</v>
      </c>
      <c r="N212" t="s">
        <v>310</v>
      </c>
      <c r="O212" t="s">
        <v>1457</v>
      </c>
      <c r="P212" t="s">
        <v>847</v>
      </c>
      <c r="Q212" t="s">
        <v>765</v>
      </c>
      <c r="R212" t="s">
        <v>1458</v>
      </c>
      <c r="S212">
        <v>588</v>
      </c>
      <c r="T212" t="s">
        <v>649</v>
      </c>
      <c r="X212" t="s">
        <v>897</v>
      </c>
      <c r="AB212" t="s">
        <v>897</v>
      </c>
      <c r="AC212" t="s">
        <v>3671</v>
      </c>
      <c r="AD212" t="s">
        <v>767</v>
      </c>
      <c r="AE212" t="s">
        <v>768</v>
      </c>
      <c r="AF212" t="s">
        <v>585</v>
      </c>
      <c r="AG212" t="s">
        <v>1889</v>
      </c>
      <c r="AH212" t="s">
        <v>34</v>
      </c>
      <c r="AI212" t="s">
        <v>34</v>
      </c>
      <c r="AJ212" t="s">
        <v>34</v>
      </c>
      <c r="AK212" t="s">
        <v>34</v>
      </c>
      <c r="AL212" t="s">
        <v>34</v>
      </c>
      <c r="AM212" t="s">
        <v>2876</v>
      </c>
    </row>
    <row r="213" spans="1:39" x14ac:dyDescent="0.2">
      <c r="A213">
        <v>1288029</v>
      </c>
      <c r="B213">
        <v>57691</v>
      </c>
      <c r="C213" t="s">
        <v>2766</v>
      </c>
      <c r="D213" t="s">
        <v>1454</v>
      </c>
      <c r="E213" t="s">
        <v>671</v>
      </c>
      <c r="F213" t="s">
        <v>34</v>
      </c>
      <c r="G213" t="s">
        <v>772</v>
      </c>
      <c r="H213" t="s">
        <v>3577</v>
      </c>
      <c r="I213" t="s">
        <v>586</v>
      </c>
      <c r="J213" t="s">
        <v>2767</v>
      </c>
      <c r="K213" t="s">
        <v>983</v>
      </c>
      <c r="L213" t="s">
        <v>2768</v>
      </c>
      <c r="M213" t="s">
        <v>2766</v>
      </c>
      <c r="O213" t="s">
        <v>2769</v>
      </c>
      <c r="P213" t="s">
        <v>844</v>
      </c>
      <c r="Q213" t="s">
        <v>765</v>
      </c>
      <c r="R213" t="s">
        <v>2770</v>
      </c>
      <c r="S213">
        <v>896</v>
      </c>
      <c r="T213" t="s">
        <v>2771</v>
      </c>
      <c r="Y213" t="s">
        <v>34</v>
      </c>
      <c r="Z213" t="s">
        <v>2772</v>
      </c>
      <c r="AA213" t="s">
        <v>2772</v>
      </c>
      <c r="AC213" t="s">
        <v>2773</v>
      </c>
      <c r="AD213" t="s">
        <v>767</v>
      </c>
      <c r="AE213" t="s">
        <v>768</v>
      </c>
      <c r="AF213" t="s">
        <v>585</v>
      </c>
      <c r="AG213" t="s">
        <v>1889</v>
      </c>
      <c r="AH213" t="s">
        <v>34</v>
      </c>
      <c r="AI213" t="s">
        <v>34</v>
      </c>
      <c r="AJ213" t="s">
        <v>34</v>
      </c>
      <c r="AK213" t="s">
        <v>34</v>
      </c>
      <c r="AL213" t="s">
        <v>34</v>
      </c>
      <c r="AM213" t="s">
        <v>2877</v>
      </c>
    </row>
    <row r="214" spans="1:39" x14ac:dyDescent="0.2">
      <c r="A214">
        <v>1288028</v>
      </c>
      <c r="B214">
        <v>57691</v>
      </c>
      <c r="C214" t="s">
        <v>2774</v>
      </c>
      <c r="D214" t="s">
        <v>1454</v>
      </c>
      <c r="E214" t="s">
        <v>671</v>
      </c>
      <c r="F214" t="s">
        <v>34</v>
      </c>
      <c r="G214" t="s">
        <v>772</v>
      </c>
      <c r="H214" t="s">
        <v>3577</v>
      </c>
      <c r="I214" t="s">
        <v>586</v>
      </c>
      <c r="J214" t="s">
        <v>2767</v>
      </c>
      <c r="K214" t="s">
        <v>2775</v>
      </c>
      <c r="L214" t="s">
        <v>2776</v>
      </c>
      <c r="M214" t="s">
        <v>2774</v>
      </c>
      <c r="O214" t="s">
        <v>2769</v>
      </c>
      <c r="P214" t="s">
        <v>844</v>
      </c>
      <c r="Q214" t="s">
        <v>765</v>
      </c>
      <c r="R214" t="s">
        <v>2777</v>
      </c>
      <c r="S214">
        <v>245</v>
      </c>
      <c r="T214" t="s">
        <v>2771</v>
      </c>
      <c r="Y214" t="s">
        <v>34</v>
      </c>
      <c r="Z214" t="s">
        <v>2772</v>
      </c>
      <c r="AA214" t="s">
        <v>2772</v>
      </c>
      <c r="AC214" t="s">
        <v>2773</v>
      </c>
      <c r="AD214" t="s">
        <v>767</v>
      </c>
      <c r="AE214" t="s">
        <v>768</v>
      </c>
      <c r="AF214" t="s">
        <v>585</v>
      </c>
      <c r="AG214" t="s">
        <v>1889</v>
      </c>
      <c r="AH214" t="s">
        <v>34</v>
      </c>
      <c r="AI214" t="s">
        <v>34</v>
      </c>
      <c r="AJ214" t="s">
        <v>34</v>
      </c>
      <c r="AK214" t="s">
        <v>34</v>
      </c>
      <c r="AL214" t="s">
        <v>34</v>
      </c>
      <c r="AM214" t="s">
        <v>2877</v>
      </c>
    </row>
    <row r="215" spans="1:39" x14ac:dyDescent="0.2">
      <c r="A215">
        <v>1288027</v>
      </c>
      <c r="B215">
        <v>57691</v>
      </c>
      <c r="C215" t="s">
        <v>2778</v>
      </c>
      <c r="D215" t="s">
        <v>1454</v>
      </c>
      <c r="E215" t="s">
        <v>671</v>
      </c>
      <c r="F215" t="s">
        <v>34</v>
      </c>
      <c r="G215" t="s">
        <v>772</v>
      </c>
      <c r="H215" t="s">
        <v>3577</v>
      </c>
      <c r="I215" t="s">
        <v>586</v>
      </c>
      <c r="J215" t="s">
        <v>2767</v>
      </c>
      <c r="K215" t="s">
        <v>2779</v>
      </c>
      <c r="L215" t="s">
        <v>2780</v>
      </c>
      <c r="M215" t="s">
        <v>2778</v>
      </c>
      <c r="O215" t="s">
        <v>2769</v>
      </c>
      <c r="P215" t="s">
        <v>844</v>
      </c>
      <c r="Q215" t="s">
        <v>765</v>
      </c>
      <c r="R215" t="s">
        <v>1115</v>
      </c>
      <c r="S215">
        <v>4544.1000000000004</v>
      </c>
      <c r="T215" t="s">
        <v>2771</v>
      </c>
      <c r="Y215" t="s">
        <v>34</v>
      </c>
      <c r="Z215" t="s">
        <v>2772</v>
      </c>
      <c r="AA215" t="s">
        <v>2772</v>
      </c>
      <c r="AC215" t="s">
        <v>2773</v>
      </c>
      <c r="AD215" t="s">
        <v>767</v>
      </c>
      <c r="AE215" t="s">
        <v>768</v>
      </c>
      <c r="AF215" t="s">
        <v>585</v>
      </c>
      <c r="AG215" t="s">
        <v>1889</v>
      </c>
      <c r="AH215" t="s">
        <v>34</v>
      </c>
      <c r="AI215" t="s">
        <v>34</v>
      </c>
      <c r="AJ215" t="s">
        <v>34</v>
      </c>
      <c r="AK215" t="s">
        <v>34</v>
      </c>
      <c r="AL215" t="s">
        <v>34</v>
      </c>
      <c r="AM215" t="s">
        <v>2877</v>
      </c>
    </row>
    <row r="216" spans="1:39" x14ac:dyDescent="0.2">
      <c r="A216">
        <v>1288275</v>
      </c>
      <c r="B216">
        <v>57689</v>
      </c>
      <c r="C216" t="s">
        <v>424</v>
      </c>
      <c r="D216" t="s">
        <v>1514</v>
      </c>
      <c r="E216" t="s">
        <v>675</v>
      </c>
      <c r="F216" t="s">
        <v>34</v>
      </c>
      <c r="G216" t="s">
        <v>772</v>
      </c>
      <c r="H216" t="s">
        <v>3569</v>
      </c>
      <c r="I216" t="s">
        <v>1293</v>
      </c>
      <c r="J216" t="s">
        <v>1515</v>
      </c>
      <c r="K216" t="s">
        <v>1516</v>
      </c>
      <c r="L216" t="s">
        <v>1517</v>
      </c>
      <c r="M216" t="s">
        <v>424</v>
      </c>
      <c r="N216" t="s">
        <v>310</v>
      </c>
      <c r="O216" t="s">
        <v>1518</v>
      </c>
      <c r="P216" t="s">
        <v>844</v>
      </c>
      <c r="Q216" t="s">
        <v>765</v>
      </c>
      <c r="R216" t="s">
        <v>1519</v>
      </c>
      <c r="T216" t="s">
        <v>794</v>
      </c>
      <c r="U216">
        <v>1269825</v>
      </c>
      <c r="V216" t="s">
        <v>1520</v>
      </c>
      <c r="W216" t="s">
        <v>1521</v>
      </c>
      <c r="X216" t="s">
        <v>766</v>
      </c>
      <c r="AC216" t="s">
        <v>1522</v>
      </c>
      <c r="AD216" t="s">
        <v>767</v>
      </c>
      <c r="AE216" t="s">
        <v>768</v>
      </c>
      <c r="AF216" t="s">
        <v>585</v>
      </c>
      <c r="AG216" t="s">
        <v>1889</v>
      </c>
      <c r="AH216" t="s">
        <v>34</v>
      </c>
      <c r="AI216" t="s">
        <v>34</v>
      </c>
      <c r="AJ216" t="s">
        <v>34</v>
      </c>
      <c r="AK216" t="s">
        <v>34</v>
      </c>
      <c r="AL216" t="s">
        <v>34</v>
      </c>
      <c r="AM216" t="s">
        <v>2861</v>
      </c>
    </row>
    <row r="217" spans="1:39" x14ac:dyDescent="0.2">
      <c r="A217">
        <v>1269865</v>
      </c>
      <c r="B217">
        <v>57693</v>
      </c>
      <c r="C217" t="s">
        <v>632</v>
      </c>
      <c r="D217" t="s">
        <v>723</v>
      </c>
      <c r="E217" t="s">
        <v>671</v>
      </c>
      <c r="F217" t="s">
        <v>34</v>
      </c>
      <c r="G217" t="s">
        <v>772</v>
      </c>
      <c r="H217" t="s">
        <v>3569</v>
      </c>
      <c r="I217" t="s">
        <v>1293</v>
      </c>
      <c r="J217" t="s">
        <v>775</v>
      </c>
      <c r="K217" t="s">
        <v>1523</v>
      </c>
      <c r="L217" t="s">
        <v>632</v>
      </c>
      <c r="M217" t="s">
        <v>632</v>
      </c>
      <c r="N217" t="s">
        <v>310</v>
      </c>
      <c r="O217" t="s">
        <v>1392</v>
      </c>
      <c r="P217" t="s">
        <v>847</v>
      </c>
      <c r="Q217" t="s">
        <v>828</v>
      </c>
      <c r="R217" t="s">
        <v>1524</v>
      </c>
      <c r="S217">
        <v>432</v>
      </c>
      <c r="T217" t="s">
        <v>649</v>
      </c>
      <c r="U217" t="s">
        <v>34</v>
      </c>
      <c r="V217" t="s">
        <v>1525</v>
      </c>
      <c r="W217" t="s">
        <v>1526</v>
      </c>
      <c r="X217" t="s">
        <v>766</v>
      </c>
      <c r="AC217" t="s">
        <v>3614</v>
      </c>
      <c r="AD217" t="s">
        <v>767</v>
      </c>
      <c r="AE217" t="s">
        <v>768</v>
      </c>
      <c r="AF217" t="s">
        <v>585</v>
      </c>
      <c r="AG217" t="s">
        <v>1889</v>
      </c>
      <c r="AH217" t="s">
        <v>34</v>
      </c>
      <c r="AI217" t="s">
        <v>34</v>
      </c>
      <c r="AJ217" t="s">
        <v>34</v>
      </c>
      <c r="AK217" t="s">
        <v>34</v>
      </c>
      <c r="AL217" t="s">
        <v>34</v>
      </c>
      <c r="AM217" t="s">
        <v>2864</v>
      </c>
    </row>
    <row r="218" spans="1:39" x14ac:dyDescent="0.2">
      <c r="A218">
        <v>1270538</v>
      </c>
      <c r="B218">
        <v>57693</v>
      </c>
      <c r="C218" t="s">
        <v>425</v>
      </c>
      <c r="D218" t="s">
        <v>723</v>
      </c>
      <c r="E218" t="s">
        <v>671</v>
      </c>
      <c r="F218" t="s">
        <v>34</v>
      </c>
      <c r="G218" t="s">
        <v>772</v>
      </c>
      <c r="H218" t="s">
        <v>3569</v>
      </c>
      <c r="I218" t="s">
        <v>1293</v>
      </c>
      <c r="J218" t="s">
        <v>480</v>
      </c>
      <c r="K218" t="s">
        <v>2465</v>
      </c>
      <c r="L218" t="s">
        <v>425</v>
      </c>
      <c r="M218" t="s">
        <v>425</v>
      </c>
      <c r="N218" t="s">
        <v>310</v>
      </c>
      <c r="O218" t="s">
        <v>2466</v>
      </c>
      <c r="P218" t="s">
        <v>1963</v>
      </c>
      <c r="Q218" t="s">
        <v>828</v>
      </c>
      <c r="R218" t="s">
        <v>2467</v>
      </c>
      <c r="S218">
        <v>2.7</v>
      </c>
      <c r="T218" t="s">
        <v>793</v>
      </c>
      <c r="U218">
        <v>1349488</v>
      </c>
      <c r="V218" t="s">
        <v>2468</v>
      </c>
      <c r="W218" t="s">
        <v>2469</v>
      </c>
      <c r="X218" t="s">
        <v>2470</v>
      </c>
      <c r="AC218" t="s">
        <v>3615</v>
      </c>
      <c r="AD218" t="s">
        <v>767</v>
      </c>
      <c r="AE218" t="s">
        <v>768</v>
      </c>
      <c r="AF218" t="s">
        <v>585</v>
      </c>
      <c r="AG218">
        <v>5</v>
      </c>
      <c r="AH218">
        <v>75</v>
      </c>
      <c r="AI218">
        <v>1</v>
      </c>
      <c r="AJ218" t="s">
        <v>2383</v>
      </c>
      <c r="AK218" t="s">
        <v>34</v>
      </c>
      <c r="AL218" t="s">
        <v>34</v>
      </c>
      <c r="AM218" t="s">
        <v>2861</v>
      </c>
    </row>
    <row r="219" spans="1:39" x14ac:dyDescent="0.2">
      <c r="A219">
        <v>1270536</v>
      </c>
      <c r="B219">
        <v>57695</v>
      </c>
      <c r="C219" t="s">
        <v>2299</v>
      </c>
      <c r="D219" t="s">
        <v>2554</v>
      </c>
      <c r="E219" t="s">
        <v>2555</v>
      </c>
      <c r="F219" t="s">
        <v>34</v>
      </c>
      <c r="G219" t="s">
        <v>772</v>
      </c>
      <c r="H219" t="s">
        <v>3569</v>
      </c>
      <c r="I219" t="s">
        <v>586</v>
      </c>
      <c r="J219" t="s">
        <v>2556</v>
      </c>
      <c r="K219" t="s">
        <v>2557</v>
      </c>
      <c r="L219">
        <v>17091325</v>
      </c>
      <c r="M219" t="s">
        <v>2299</v>
      </c>
      <c r="N219" t="s">
        <v>310</v>
      </c>
      <c r="O219" t="s">
        <v>2558</v>
      </c>
      <c r="P219" t="s">
        <v>2558</v>
      </c>
      <c r="Q219" t="s">
        <v>862</v>
      </c>
      <c r="R219" t="s">
        <v>2559</v>
      </c>
      <c r="S219">
        <v>12.3</v>
      </c>
      <c r="T219" t="s">
        <v>793</v>
      </c>
      <c r="U219" t="s">
        <v>34</v>
      </c>
      <c r="V219" t="s">
        <v>839</v>
      </c>
      <c r="W219">
        <v>17091325</v>
      </c>
      <c r="X219" t="s">
        <v>2560</v>
      </c>
      <c r="AC219" t="s">
        <v>2561</v>
      </c>
      <c r="AD219" t="s">
        <v>2562</v>
      </c>
      <c r="AE219" t="s">
        <v>768</v>
      </c>
      <c r="AF219" t="s">
        <v>585</v>
      </c>
      <c r="AH219" t="s">
        <v>34</v>
      </c>
      <c r="AI219" t="s">
        <v>34</v>
      </c>
      <c r="AJ219" t="s">
        <v>34</v>
      </c>
      <c r="AK219" t="s">
        <v>34</v>
      </c>
      <c r="AL219" t="s">
        <v>34</v>
      </c>
      <c r="AM219" t="s">
        <v>2861</v>
      </c>
    </row>
    <row r="220" spans="1:39" x14ac:dyDescent="0.2">
      <c r="A220">
        <v>2551197</v>
      </c>
      <c r="B220">
        <v>57672</v>
      </c>
      <c r="C220" t="s">
        <v>3465</v>
      </c>
      <c r="D220" t="s">
        <v>3466</v>
      </c>
      <c r="E220" t="s">
        <v>3467</v>
      </c>
      <c r="F220" t="s">
        <v>34</v>
      </c>
      <c r="G220" t="s">
        <v>772</v>
      </c>
      <c r="H220" t="s">
        <v>3569</v>
      </c>
      <c r="I220" t="s">
        <v>980</v>
      </c>
      <c r="J220" t="s">
        <v>1842</v>
      </c>
      <c r="K220" t="s">
        <v>3468</v>
      </c>
      <c r="L220" t="s">
        <v>3469</v>
      </c>
      <c r="M220" t="s">
        <v>3470</v>
      </c>
      <c r="N220" t="s">
        <v>983</v>
      </c>
      <c r="O220" t="s">
        <v>3471</v>
      </c>
      <c r="P220" t="s">
        <v>3472</v>
      </c>
      <c r="Q220" t="s">
        <v>2579</v>
      </c>
      <c r="R220" t="s">
        <v>3473</v>
      </c>
      <c r="S220">
        <v>483.9</v>
      </c>
      <c r="T220" t="s">
        <v>793</v>
      </c>
      <c r="U220" t="s">
        <v>34</v>
      </c>
      <c r="V220" t="s">
        <v>3474</v>
      </c>
      <c r="W220" t="s">
        <v>3486</v>
      </c>
      <c r="X220" t="s">
        <v>1291</v>
      </c>
      <c r="Y220" t="s">
        <v>34</v>
      </c>
      <c r="Z220" t="s">
        <v>3487</v>
      </c>
      <c r="AA220" t="s">
        <v>3475</v>
      </c>
      <c r="AB220" t="s">
        <v>2917</v>
      </c>
      <c r="AC220" t="s">
        <v>3488</v>
      </c>
      <c r="AD220" t="s">
        <v>767</v>
      </c>
      <c r="AE220" t="s">
        <v>768</v>
      </c>
      <c r="AF220" t="s">
        <v>585</v>
      </c>
      <c r="AL220" t="s">
        <v>34</v>
      </c>
      <c r="AM220" t="s">
        <v>2864</v>
      </c>
    </row>
    <row r="221" spans="1:39" x14ac:dyDescent="0.2">
      <c r="A221">
        <v>1270530</v>
      </c>
      <c r="B221">
        <v>57713</v>
      </c>
      <c r="C221" t="s">
        <v>431</v>
      </c>
      <c r="D221" t="s">
        <v>1527</v>
      </c>
      <c r="E221" t="s">
        <v>724</v>
      </c>
      <c r="F221" t="s">
        <v>34</v>
      </c>
      <c r="G221" t="s">
        <v>772</v>
      </c>
      <c r="H221" t="s">
        <v>3569</v>
      </c>
      <c r="I221" t="s">
        <v>980</v>
      </c>
      <c r="J221" t="s">
        <v>887</v>
      </c>
      <c r="K221" t="s">
        <v>1540</v>
      </c>
      <c r="L221">
        <v>10282008</v>
      </c>
      <c r="M221" t="s">
        <v>431</v>
      </c>
      <c r="N221" t="s">
        <v>310</v>
      </c>
      <c r="O221" t="s">
        <v>1415</v>
      </c>
      <c r="P221" t="s">
        <v>847</v>
      </c>
      <c r="Q221" t="s">
        <v>898</v>
      </c>
      <c r="R221" t="s">
        <v>1541</v>
      </c>
      <c r="S221">
        <v>2002</v>
      </c>
      <c r="T221" t="s">
        <v>794</v>
      </c>
      <c r="U221" t="s">
        <v>34</v>
      </c>
      <c r="V221" t="s">
        <v>1542</v>
      </c>
      <c r="W221" t="s">
        <v>1543</v>
      </c>
      <c r="X221" t="s">
        <v>894</v>
      </c>
      <c r="Y221" t="s">
        <v>34</v>
      </c>
      <c r="Z221" t="s">
        <v>1049</v>
      </c>
      <c r="AA221" t="s">
        <v>1544</v>
      </c>
      <c r="AB221" t="s">
        <v>766</v>
      </c>
      <c r="AC221" t="s">
        <v>1545</v>
      </c>
      <c r="AD221" t="s">
        <v>767</v>
      </c>
      <c r="AE221" t="s">
        <v>768</v>
      </c>
      <c r="AF221" t="s">
        <v>585</v>
      </c>
      <c r="AG221" t="s">
        <v>1889</v>
      </c>
      <c r="AH221" t="s">
        <v>34</v>
      </c>
      <c r="AI221" t="s">
        <v>34</v>
      </c>
      <c r="AJ221" t="s">
        <v>34</v>
      </c>
      <c r="AK221" t="s">
        <v>34</v>
      </c>
      <c r="AL221" t="s">
        <v>34</v>
      </c>
      <c r="AM221" t="s">
        <v>2863</v>
      </c>
    </row>
    <row r="222" spans="1:39" x14ac:dyDescent="0.2">
      <c r="A222">
        <v>1617826</v>
      </c>
      <c r="B222">
        <v>57713</v>
      </c>
      <c r="C222" t="s">
        <v>2509</v>
      </c>
      <c r="D222" t="s">
        <v>1527</v>
      </c>
      <c r="E222" t="s">
        <v>724</v>
      </c>
      <c r="F222" t="s">
        <v>34</v>
      </c>
      <c r="G222" t="s">
        <v>772</v>
      </c>
      <c r="H222" t="s">
        <v>2349</v>
      </c>
      <c r="I222" t="s">
        <v>586</v>
      </c>
      <c r="J222" t="s">
        <v>2509</v>
      </c>
      <c r="K222" t="s">
        <v>1032</v>
      </c>
      <c r="L222" t="s">
        <v>2516</v>
      </c>
      <c r="M222" t="s">
        <v>2563</v>
      </c>
      <c r="N222" t="s">
        <v>310</v>
      </c>
      <c r="O222" t="s">
        <v>2511</v>
      </c>
      <c r="P222" t="s">
        <v>2511</v>
      </c>
      <c r="Q222" t="s">
        <v>765</v>
      </c>
      <c r="R222" t="s">
        <v>2517</v>
      </c>
      <c r="S222">
        <v>2253.3000000000002</v>
      </c>
      <c r="T222" t="s">
        <v>794</v>
      </c>
      <c r="U222">
        <v>1992565</v>
      </c>
      <c r="V222" t="s">
        <v>1035</v>
      </c>
      <c r="W222">
        <v>43144</v>
      </c>
      <c r="X222" t="s">
        <v>1291</v>
      </c>
      <c r="Y222" t="s">
        <v>34</v>
      </c>
      <c r="Z222" t="s">
        <v>2518</v>
      </c>
      <c r="AA222" t="s">
        <v>2519</v>
      </c>
      <c r="AB222" t="s">
        <v>2520</v>
      </c>
      <c r="AC222" t="s">
        <v>2521</v>
      </c>
      <c r="AD222" t="s">
        <v>767</v>
      </c>
      <c r="AE222" t="s">
        <v>768</v>
      </c>
      <c r="AF222" t="s">
        <v>585</v>
      </c>
      <c r="AG222" t="s">
        <v>1889</v>
      </c>
      <c r="AH222" t="s">
        <v>34</v>
      </c>
      <c r="AI222" t="s">
        <v>34</v>
      </c>
      <c r="AJ222" t="s">
        <v>34</v>
      </c>
      <c r="AK222" t="s">
        <v>34</v>
      </c>
      <c r="AL222" t="s">
        <v>34</v>
      </c>
      <c r="AM222" t="s">
        <v>2863</v>
      </c>
    </row>
    <row r="223" spans="1:39" x14ac:dyDescent="0.2">
      <c r="A223">
        <v>1618060</v>
      </c>
      <c r="B223">
        <v>57713</v>
      </c>
      <c r="C223" t="s">
        <v>2564</v>
      </c>
      <c r="D223" t="s">
        <v>1527</v>
      </c>
      <c r="E223" t="s">
        <v>724</v>
      </c>
      <c r="F223" t="s">
        <v>34</v>
      </c>
      <c r="G223" t="s">
        <v>772</v>
      </c>
      <c r="H223" t="s">
        <v>3569</v>
      </c>
      <c r="I223" t="s">
        <v>586</v>
      </c>
      <c r="J223" t="s">
        <v>2515</v>
      </c>
      <c r="K223" t="s">
        <v>1032</v>
      </c>
      <c r="L223" t="s">
        <v>2510</v>
      </c>
      <c r="M223" t="s">
        <v>2565</v>
      </c>
      <c r="N223" t="s">
        <v>310</v>
      </c>
      <c r="O223" t="s">
        <v>2511</v>
      </c>
      <c r="P223" t="s">
        <v>2511</v>
      </c>
      <c r="Q223" t="s">
        <v>765</v>
      </c>
      <c r="R223" t="s">
        <v>2512</v>
      </c>
      <c r="S223">
        <v>2380</v>
      </c>
      <c r="T223" t="s">
        <v>794</v>
      </c>
      <c r="U223" t="s">
        <v>34</v>
      </c>
      <c r="V223" t="s">
        <v>1035</v>
      </c>
      <c r="W223">
        <v>23131</v>
      </c>
      <c r="X223" t="s">
        <v>1291</v>
      </c>
      <c r="AA223" t="s">
        <v>2513</v>
      </c>
      <c r="AC223" t="s">
        <v>2514</v>
      </c>
      <c r="AD223" t="s">
        <v>767</v>
      </c>
      <c r="AE223" t="s">
        <v>768</v>
      </c>
      <c r="AF223" t="s">
        <v>585</v>
      </c>
      <c r="AG223" t="s">
        <v>1889</v>
      </c>
      <c r="AH223" t="s">
        <v>34</v>
      </c>
      <c r="AI223" t="s">
        <v>34</v>
      </c>
      <c r="AJ223" t="s">
        <v>34</v>
      </c>
      <c r="AK223" t="s">
        <v>34</v>
      </c>
      <c r="AL223" t="s">
        <v>34</v>
      </c>
      <c r="AM223" t="s">
        <v>2863</v>
      </c>
    </row>
    <row r="224" spans="1:39" x14ac:dyDescent="0.2">
      <c r="A224">
        <v>1270529</v>
      </c>
      <c r="B224">
        <v>57713</v>
      </c>
      <c r="C224" t="s">
        <v>430</v>
      </c>
      <c r="D224" t="s">
        <v>1527</v>
      </c>
      <c r="E224" t="s">
        <v>724</v>
      </c>
      <c r="F224" t="s">
        <v>34</v>
      </c>
      <c r="G224" t="s">
        <v>772</v>
      </c>
      <c r="H224" t="s">
        <v>3569</v>
      </c>
      <c r="I224" t="s">
        <v>1293</v>
      </c>
      <c r="J224" t="s">
        <v>2444</v>
      </c>
      <c r="K224" t="s">
        <v>1546</v>
      </c>
      <c r="L224" t="s">
        <v>2444</v>
      </c>
      <c r="M224" t="s">
        <v>430</v>
      </c>
      <c r="N224" t="s">
        <v>983</v>
      </c>
      <c r="O224" t="s">
        <v>2445</v>
      </c>
      <c r="P224" t="s">
        <v>764</v>
      </c>
      <c r="Q224" t="s">
        <v>903</v>
      </c>
      <c r="R224" t="s">
        <v>2446</v>
      </c>
      <c r="S224">
        <v>1296</v>
      </c>
      <c r="T224" t="s">
        <v>794</v>
      </c>
      <c r="U224">
        <v>1269986</v>
      </c>
      <c r="V224" t="s">
        <v>2447</v>
      </c>
      <c r="W224" t="s">
        <v>2448</v>
      </c>
      <c r="X224" t="s">
        <v>766</v>
      </c>
      <c r="Y224" t="s">
        <v>34</v>
      </c>
      <c r="Z224" t="s">
        <v>1049</v>
      </c>
      <c r="AA224" t="s">
        <v>2449</v>
      </c>
      <c r="AB224" t="s">
        <v>766</v>
      </c>
      <c r="AC224" t="s">
        <v>34</v>
      </c>
      <c r="AD224" t="s">
        <v>767</v>
      </c>
      <c r="AE224" t="s">
        <v>768</v>
      </c>
      <c r="AF224" t="s">
        <v>585</v>
      </c>
      <c r="AG224">
        <v>4</v>
      </c>
      <c r="AH224">
        <v>1</v>
      </c>
      <c r="AI224">
        <v>0.5</v>
      </c>
      <c r="AJ224" t="s">
        <v>2450</v>
      </c>
      <c r="AK224" t="s">
        <v>2451</v>
      </c>
      <c r="AL224" t="s">
        <v>34</v>
      </c>
      <c r="AM224" t="s">
        <v>2861</v>
      </c>
    </row>
    <row r="225" spans="1:39" x14ac:dyDescent="0.2">
      <c r="A225">
        <v>1270525</v>
      </c>
      <c r="B225">
        <v>57713</v>
      </c>
      <c r="C225" t="s">
        <v>428</v>
      </c>
      <c r="D225" t="s">
        <v>1527</v>
      </c>
      <c r="E225" t="s">
        <v>724</v>
      </c>
      <c r="F225" t="s">
        <v>34</v>
      </c>
      <c r="G225" t="s">
        <v>772</v>
      </c>
      <c r="H225" t="s">
        <v>3569</v>
      </c>
      <c r="I225" t="s">
        <v>1293</v>
      </c>
      <c r="J225" t="s">
        <v>1558</v>
      </c>
      <c r="L225">
        <v>260</v>
      </c>
      <c r="M225" t="s">
        <v>428</v>
      </c>
      <c r="N225" t="s">
        <v>2679</v>
      </c>
      <c r="O225" t="s">
        <v>1559</v>
      </c>
      <c r="P225" t="s">
        <v>764</v>
      </c>
      <c r="Q225" t="s">
        <v>828</v>
      </c>
      <c r="R225" t="s">
        <v>1560</v>
      </c>
      <c r="S225">
        <v>675</v>
      </c>
      <c r="T225" t="s">
        <v>793</v>
      </c>
      <c r="U225" t="s">
        <v>34</v>
      </c>
      <c r="V225" t="s">
        <v>1561</v>
      </c>
      <c r="W225">
        <v>261</v>
      </c>
      <c r="X225" t="s">
        <v>1562</v>
      </c>
      <c r="Y225" t="s">
        <v>34</v>
      </c>
      <c r="Z225" t="s">
        <v>1563</v>
      </c>
      <c r="AA225">
        <v>259</v>
      </c>
      <c r="AB225" t="s">
        <v>766</v>
      </c>
      <c r="AC225" t="s">
        <v>2522</v>
      </c>
      <c r="AD225" t="s">
        <v>767</v>
      </c>
      <c r="AE225" t="s">
        <v>768</v>
      </c>
      <c r="AF225" t="s">
        <v>585</v>
      </c>
      <c r="AG225" t="s">
        <v>1889</v>
      </c>
      <c r="AH225" t="s">
        <v>34</v>
      </c>
      <c r="AI225" t="s">
        <v>34</v>
      </c>
      <c r="AJ225" t="s">
        <v>34</v>
      </c>
      <c r="AK225" t="s">
        <v>34</v>
      </c>
      <c r="AL225" t="s">
        <v>34</v>
      </c>
      <c r="AM225" t="s">
        <v>2864</v>
      </c>
    </row>
    <row r="226" spans="1:39" x14ac:dyDescent="0.2">
      <c r="A226">
        <v>1289109</v>
      </c>
      <c r="B226">
        <v>57713</v>
      </c>
      <c r="C226" t="s">
        <v>429</v>
      </c>
      <c r="D226" t="s">
        <v>1527</v>
      </c>
      <c r="E226" t="s">
        <v>724</v>
      </c>
      <c r="F226" t="s">
        <v>34</v>
      </c>
      <c r="G226" t="s">
        <v>772</v>
      </c>
      <c r="H226" t="s">
        <v>2349</v>
      </c>
      <c r="I226" t="s">
        <v>980</v>
      </c>
      <c r="J226" t="s">
        <v>367</v>
      </c>
      <c r="K226" t="s">
        <v>1547</v>
      </c>
      <c r="L226">
        <v>98</v>
      </c>
      <c r="M226" t="s">
        <v>429</v>
      </c>
      <c r="N226" t="s">
        <v>310</v>
      </c>
      <c r="O226" t="s">
        <v>1415</v>
      </c>
      <c r="P226" t="s">
        <v>764</v>
      </c>
      <c r="Q226" t="s">
        <v>765</v>
      </c>
      <c r="R226" t="s">
        <v>1548</v>
      </c>
      <c r="S226">
        <v>4752</v>
      </c>
      <c r="T226" t="s">
        <v>794</v>
      </c>
      <c r="U226" t="s">
        <v>34</v>
      </c>
      <c r="V226" t="s">
        <v>2623</v>
      </c>
      <c r="W226" t="s">
        <v>1549</v>
      </c>
      <c r="X226" t="s">
        <v>766</v>
      </c>
      <c r="Y226" t="s">
        <v>34</v>
      </c>
      <c r="Z226" t="s">
        <v>1495</v>
      </c>
      <c r="AA226" t="s">
        <v>1550</v>
      </c>
      <c r="AB226" t="s">
        <v>2635</v>
      </c>
      <c r="AC226" t="s">
        <v>2624</v>
      </c>
      <c r="AD226" t="s">
        <v>767</v>
      </c>
      <c r="AE226" t="s">
        <v>768</v>
      </c>
      <c r="AF226" t="s">
        <v>585</v>
      </c>
      <c r="AG226" t="s">
        <v>1889</v>
      </c>
      <c r="AH226" t="s">
        <v>34</v>
      </c>
      <c r="AI226" t="s">
        <v>34</v>
      </c>
      <c r="AJ226" t="s">
        <v>34</v>
      </c>
      <c r="AK226" t="s">
        <v>34</v>
      </c>
      <c r="AL226" t="s">
        <v>34</v>
      </c>
      <c r="AM226" t="s">
        <v>2863</v>
      </c>
    </row>
    <row r="227" spans="1:39" x14ac:dyDescent="0.2">
      <c r="A227">
        <v>1289107</v>
      </c>
      <c r="B227">
        <v>57713</v>
      </c>
      <c r="C227" t="s">
        <v>427</v>
      </c>
      <c r="D227" t="s">
        <v>1527</v>
      </c>
      <c r="E227" t="s">
        <v>724</v>
      </c>
      <c r="F227" t="s">
        <v>34</v>
      </c>
      <c r="G227" t="s">
        <v>772</v>
      </c>
      <c r="H227" t="s">
        <v>3569</v>
      </c>
      <c r="I227" t="s">
        <v>1293</v>
      </c>
      <c r="J227" t="s">
        <v>367</v>
      </c>
      <c r="K227" t="s">
        <v>1032</v>
      </c>
      <c r="L227" t="s">
        <v>1551</v>
      </c>
      <c r="M227" t="s">
        <v>427</v>
      </c>
      <c r="N227" t="s">
        <v>310</v>
      </c>
      <c r="O227" t="s">
        <v>1027</v>
      </c>
      <c r="P227" t="s">
        <v>764</v>
      </c>
      <c r="Q227" t="s">
        <v>765</v>
      </c>
      <c r="R227" t="s">
        <v>1552</v>
      </c>
      <c r="S227">
        <v>2928</v>
      </c>
      <c r="T227" t="s">
        <v>794</v>
      </c>
      <c r="U227">
        <v>1992565</v>
      </c>
      <c r="V227" t="s">
        <v>1035</v>
      </c>
      <c r="W227">
        <v>43144</v>
      </c>
      <c r="X227" t="s">
        <v>1291</v>
      </c>
      <c r="Y227" t="s">
        <v>34</v>
      </c>
      <c r="Z227" t="s">
        <v>1495</v>
      </c>
      <c r="AA227" t="s">
        <v>1550</v>
      </c>
      <c r="AB227" t="s">
        <v>891</v>
      </c>
      <c r="AC227" t="s">
        <v>2818</v>
      </c>
      <c r="AD227" t="s">
        <v>767</v>
      </c>
      <c r="AE227" t="s">
        <v>768</v>
      </c>
      <c r="AF227" t="s">
        <v>585</v>
      </c>
      <c r="AG227" t="s">
        <v>1889</v>
      </c>
      <c r="AH227" t="s">
        <v>34</v>
      </c>
      <c r="AI227" t="s">
        <v>34</v>
      </c>
      <c r="AJ227" t="s">
        <v>34</v>
      </c>
      <c r="AK227" t="s">
        <v>34</v>
      </c>
      <c r="AL227" t="s">
        <v>34</v>
      </c>
      <c r="AM227" t="s">
        <v>2863</v>
      </c>
    </row>
    <row r="228" spans="1:39" x14ac:dyDescent="0.2">
      <c r="A228">
        <v>1270526</v>
      </c>
      <c r="B228">
        <v>57713</v>
      </c>
      <c r="C228" t="s">
        <v>2691</v>
      </c>
      <c r="D228" t="s">
        <v>1527</v>
      </c>
      <c r="E228" t="s">
        <v>724</v>
      </c>
      <c r="F228" t="s">
        <v>34</v>
      </c>
      <c r="G228" t="s">
        <v>772</v>
      </c>
      <c r="H228" t="s">
        <v>3569</v>
      </c>
      <c r="I228" t="s">
        <v>1293</v>
      </c>
      <c r="J228" t="s">
        <v>2692</v>
      </c>
      <c r="K228" t="s">
        <v>1546</v>
      </c>
      <c r="L228">
        <v>1605</v>
      </c>
      <c r="M228" t="s">
        <v>2691</v>
      </c>
      <c r="N228" t="s">
        <v>983</v>
      </c>
      <c r="O228" t="s">
        <v>1553</v>
      </c>
      <c r="P228" t="s">
        <v>764</v>
      </c>
      <c r="Q228" t="s">
        <v>903</v>
      </c>
      <c r="R228" t="s">
        <v>1554</v>
      </c>
      <c r="S228">
        <v>2320</v>
      </c>
      <c r="T228" t="s">
        <v>794</v>
      </c>
      <c r="U228">
        <v>1269982</v>
      </c>
      <c r="V228" t="s">
        <v>1555</v>
      </c>
      <c r="W228" t="s">
        <v>1556</v>
      </c>
      <c r="X228" t="s">
        <v>766</v>
      </c>
      <c r="Y228" t="s">
        <v>34</v>
      </c>
      <c r="Z228" t="s">
        <v>911</v>
      </c>
      <c r="AA228" t="s">
        <v>1557</v>
      </c>
      <c r="AB228" t="s">
        <v>766</v>
      </c>
      <c r="AC228" t="s">
        <v>34</v>
      </c>
      <c r="AD228" t="s">
        <v>767</v>
      </c>
      <c r="AE228" t="s">
        <v>768</v>
      </c>
      <c r="AF228" t="s">
        <v>585</v>
      </c>
      <c r="AG228">
        <v>4</v>
      </c>
      <c r="AH228">
        <v>1</v>
      </c>
      <c r="AI228">
        <v>0.5</v>
      </c>
      <c r="AJ228" t="s">
        <v>2399</v>
      </c>
      <c r="AK228" t="s">
        <v>2366</v>
      </c>
      <c r="AL228" t="s">
        <v>34</v>
      </c>
      <c r="AM228" t="s">
        <v>2863</v>
      </c>
    </row>
    <row r="229" spans="1:39" x14ac:dyDescent="0.2">
      <c r="A229">
        <v>1870671</v>
      </c>
      <c r="B229">
        <v>57713</v>
      </c>
      <c r="C229" t="s">
        <v>3113</v>
      </c>
      <c r="D229" t="s">
        <v>1527</v>
      </c>
      <c r="E229" t="s">
        <v>724</v>
      </c>
      <c r="F229" t="s">
        <v>34</v>
      </c>
      <c r="G229" t="s">
        <v>772</v>
      </c>
      <c r="H229" t="s">
        <v>3569</v>
      </c>
      <c r="I229" t="s">
        <v>1293</v>
      </c>
      <c r="J229" t="s">
        <v>3113</v>
      </c>
      <c r="K229" t="s">
        <v>1546</v>
      </c>
      <c r="L229">
        <v>1605</v>
      </c>
      <c r="M229" t="s">
        <v>3114</v>
      </c>
      <c r="N229" t="s">
        <v>2679</v>
      </c>
      <c r="O229" t="s">
        <v>1559</v>
      </c>
      <c r="P229" t="s">
        <v>764</v>
      </c>
      <c r="Q229" t="s">
        <v>903</v>
      </c>
      <c r="R229" t="s">
        <v>1554</v>
      </c>
      <c r="S229">
        <v>2320</v>
      </c>
      <c r="T229" t="s">
        <v>793</v>
      </c>
      <c r="U229">
        <v>1269982</v>
      </c>
      <c r="V229" t="s">
        <v>1555</v>
      </c>
      <c r="W229" t="s">
        <v>1556</v>
      </c>
      <c r="X229" t="s">
        <v>766</v>
      </c>
      <c r="Y229" t="s">
        <v>34</v>
      </c>
      <c r="Z229" t="s">
        <v>911</v>
      </c>
      <c r="AA229" t="s">
        <v>1557</v>
      </c>
      <c r="AB229" t="s">
        <v>766</v>
      </c>
      <c r="AC229" t="s">
        <v>34</v>
      </c>
      <c r="AD229" t="s">
        <v>767</v>
      </c>
      <c r="AE229" t="s">
        <v>768</v>
      </c>
      <c r="AF229" t="s">
        <v>585</v>
      </c>
      <c r="AG229">
        <v>4</v>
      </c>
      <c r="AH229">
        <v>1</v>
      </c>
      <c r="AI229">
        <v>0.5</v>
      </c>
      <c r="AJ229" t="s">
        <v>2399</v>
      </c>
      <c r="AK229" t="s">
        <v>2366</v>
      </c>
      <c r="AL229" t="s">
        <v>34</v>
      </c>
      <c r="AM229" t="s">
        <v>2863</v>
      </c>
    </row>
    <row r="230" spans="1:39" x14ac:dyDescent="0.2">
      <c r="A230">
        <v>1270533</v>
      </c>
      <c r="B230">
        <v>57713</v>
      </c>
      <c r="C230" t="s">
        <v>432</v>
      </c>
      <c r="D230" t="s">
        <v>1527</v>
      </c>
      <c r="E230" t="s">
        <v>724</v>
      </c>
      <c r="F230" t="s">
        <v>34</v>
      </c>
      <c r="G230" t="s">
        <v>772</v>
      </c>
      <c r="H230" t="s">
        <v>3569</v>
      </c>
      <c r="I230" t="s">
        <v>1293</v>
      </c>
      <c r="J230" t="s">
        <v>1534</v>
      </c>
      <c r="K230" t="s">
        <v>1051</v>
      </c>
      <c r="L230">
        <v>156</v>
      </c>
      <c r="M230" t="s">
        <v>432</v>
      </c>
      <c r="N230" t="s">
        <v>310</v>
      </c>
      <c r="O230" t="s">
        <v>1535</v>
      </c>
      <c r="P230" t="s">
        <v>844</v>
      </c>
      <c r="Q230" t="s">
        <v>828</v>
      </c>
      <c r="R230" t="s">
        <v>1530</v>
      </c>
      <c r="S230">
        <v>750</v>
      </c>
      <c r="T230" t="s">
        <v>649</v>
      </c>
      <c r="U230" t="s">
        <v>34</v>
      </c>
      <c r="V230" t="s">
        <v>1536</v>
      </c>
      <c r="W230" t="s">
        <v>1537</v>
      </c>
      <c r="X230" t="s">
        <v>766</v>
      </c>
      <c r="Y230" t="s">
        <v>34</v>
      </c>
      <c r="Z230" t="s">
        <v>1049</v>
      </c>
      <c r="AA230" t="s">
        <v>1538</v>
      </c>
      <c r="AB230" t="s">
        <v>892</v>
      </c>
      <c r="AC230" t="s">
        <v>1539</v>
      </c>
      <c r="AD230" t="s">
        <v>767</v>
      </c>
      <c r="AE230" t="s">
        <v>768</v>
      </c>
      <c r="AF230" t="s">
        <v>585</v>
      </c>
      <c r="AG230" t="s">
        <v>1889</v>
      </c>
      <c r="AH230" t="s">
        <v>34</v>
      </c>
      <c r="AI230" t="s">
        <v>34</v>
      </c>
      <c r="AJ230" t="s">
        <v>34</v>
      </c>
      <c r="AK230" t="s">
        <v>34</v>
      </c>
      <c r="AL230" t="s">
        <v>34</v>
      </c>
      <c r="AM230" t="s">
        <v>2861</v>
      </c>
    </row>
    <row r="231" spans="1:39" x14ac:dyDescent="0.2">
      <c r="A231">
        <v>1270532</v>
      </c>
      <c r="B231">
        <v>57713</v>
      </c>
      <c r="C231" t="s">
        <v>433</v>
      </c>
      <c r="D231" t="s">
        <v>1527</v>
      </c>
      <c r="E231" t="s">
        <v>724</v>
      </c>
      <c r="F231" t="s">
        <v>34</v>
      </c>
      <c r="G231" t="s">
        <v>772</v>
      </c>
      <c r="H231" t="s">
        <v>3569</v>
      </c>
      <c r="I231" t="s">
        <v>1293</v>
      </c>
      <c r="J231" t="s">
        <v>1528</v>
      </c>
      <c r="K231" t="s">
        <v>1051</v>
      </c>
      <c r="L231">
        <v>208</v>
      </c>
      <c r="M231" t="s">
        <v>433</v>
      </c>
      <c r="N231" t="s">
        <v>310</v>
      </c>
      <c r="O231" t="s">
        <v>1529</v>
      </c>
      <c r="P231" t="s">
        <v>844</v>
      </c>
      <c r="Q231" t="s">
        <v>828</v>
      </c>
      <c r="R231" t="s">
        <v>1530</v>
      </c>
      <c r="S231">
        <v>750</v>
      </c>
      <c r="T231" t="s">
        <v>649</v>
      </c>
      <c r="U231" t="s">
        <v>34</v>
      </c>
      <c r="V231" t="s">
        <v>1531</v>
      </c>
      <c r="W231">
        <v>16416124</v>
      </c>
      <c r="X231" t="s">
        <v>766</v>
      </c>
      <c r="Y231" t="s">
        <v>34</v>
      </c>
      <c r="Z231" t="s">
        <v>1532</v>
      </c>
      <c r="AA231" t="s">
        <v>1533</v>
      </c>
      <c r="AB231" t="s">
        <v>766</v>
      </c>
      <c r="AC231" t="s">
        <v>34</v>
      </c>
      <c r="AD231" t="s">
        <v>767</v>
      </c>
      <c r="AE231" t="s">
        <v>768</v>
      </c>
      <c r="AF231" t="s">
        <v>585</v>
      </c>
      <c r="AG231" t="s">
        <v>1889</v>
      </c>
      <c r="AH231" t="s">
        <v>34</v>
      </c>
      <c r="AI231" t="s">
        <v>34</v>
      </c>
      <c r="AJ231" t="s">
        <v>34</v>
      </c>
      <c r="AK231" t="s">
        <v>34</v>
      </c>
      <c r="AL231" t="s">
        <v>34</v>
      </c>
      <c r="AM231" t="s">
        <v>2861</v>
      </c>
    </row>
    <row r="232" spans="1:39" x14ac:dyDescent="0.2">
      <c r="A232">
        <v>1784724</v>
      </c>
      <c r="B232">
        <v>57713</v>
      </c>
      <c r="C232" t="s">
        <v>3020</v>
      </c>
      <c r="D232" t="s">
        <v>1527</v>
      </c>
      <c r="E232" t="s">
        <v>724</v>
      </c>
      <c r="F232" t="s">
        <v>34</v>
      </c>
      <c r="G232" t="s">
        <v>772</v>
      </c>
      <c r="H232" t="s">
        <v>3569</v>
      </c>
      <c r="I232" t="s">
        <v>1293</v>
      </c>
      <c r="J232" t="s">
        <v>3020</v>
      </c>
      <c r="K232" t="s">
        <v>890</v>
      </c>
      <c r="L232" t="s">
        <v>3021</v>
      </c>
      <c r="M232" t="s">
        <v>3022</v>
      </c>
      <c r="N232" t="s">
        <v>310</v>
      </c>
      <c r="O232" t="s">
        <v>1529</v>
      </c>
      <c r="P232" t="s">
        <v>844</v>
      </c>
      <c r="Q232" t="s">
        <v>765</v>
      </c>
      <c r="R232" t="s">
        <v>1115</v>
      </c>
      <c r="S232">
        <v>1473.8</v>
      </c>
      <c r="T232" t="s">
        <v>649</v>
      </c>
      <c r="U232">
        <v>1269989</v>
      </c>
      <c r="V232" t="s">
        <v>3023</v>
      </c>
      <c r="W232" t="s">
        <v>3024</v>
      </c>
      <c r="X232" t="s">
        <v>766</v>
      </c>
      <c r="AC232" t="s">
        <v>34</v>
      </c>
      <c r="AD232" t="s">
        <v>767</v>
      </c>
      <c r="AE232" t="s">
        <v>2713</v>
      </c>
      <c r="AF232" t="s">
        <v>585</v>
      </c>
      <c r="AG232" t="s">
        <v>1889</v>
      </c>
      <c r="AH232" t="s">
        <v>34</v>
      </c>
      <c r="AI232" t="s">
        <v>34</v>
      </c>
      <c r="AJ232" t="s">
        <v>34</v>
      </c>
      <c r="AK232" t="s">
        <v>34</v>
      </c>
      <c r="AL232" t="s">
        <v>34</v>
      </c>
      <c r="AM232" t="s">
        <v>2861</v>
      </c>
    </row>
    <row r="233" spans="1:39" x14ac:dyDescent="0.2">
      <c r="A233">
        <v>1289111</v>
      </c>
      <c r="B233">
        <v>57713</v>
      </c>
      <c r="C233" t="s">
        <v>2708</v>
      </c>
      <c r="D233" t="s">
        <v>1527</v>
      </c>
      <c r="E233" t="s">
        <v>724</v>
      </c>
      <c r="F233" t="s">
        <v>34</v>
      </c>
      <c r="G233" t="s">
        <v>772</v>
      </c>
      <c r="H233" t="s">
        <v>3569</v>
      </c>
      <c r="I233" t="s">
        <v>1293</v>
      </c>
      <c r="J233" t="s">
        <v>2708</v>
      </c>
      <c r="K233" t="s">
        <v>890</v>
      </c>
      <c r="L233" t="s">
        <v>2709</v>
      </c>
      <c r="M233">
        <v>326</v>
      </c>
      <c r="N233" t="s">
        <v>310</v>
      </c>
      <c r="O233" t="s">
        <v>1529</v>
      </c>
      <c r="P233" t="s">
        <v>844</v>
      </c>
      <c r="Q233" t="s">
        <v>765</v>
      </c>
      <c r="R233" t="s">
        <v>2710</v>
      </c>
      <c r="S233">
        <v>1474</v>
      </c>
      <c r="T233" t="s">
        <v>649</v>
      </c>
      <c r="U233" t="s">
        <v>34</v>
      </c>
      <c r="V233" t="s">
        <v>2711</v>
      </c>
      <c r="W233" t="s">
        <v>2712</v>
      </c>
      <c r="X233" t="s">
        <v>766</v>
      </c>
      <c r="AC233" t="s">
        <v>34</v>
      </c>
      <c r="AD233" t="s">
        <v>767</v>
      </c>
      <c r="AE233" t="s">
        <v>2713</v>
      </c>
      <c r="AF233" t="s">
        <v>585</v>
      </c>
      <c r="AG233" t="s">
        <v>1889</v>
      </c>
      <c r="AH233" t="s">
        <v>34</v>
      </c>
      <c r="AI233" t="s">
        <v>34</v>
      </c>
      <c r="AJ233" t="s">
        <v>34</v>
      </c>
      <c r="AK233" t="s">
        <v>34</v>
      </c>
      <c r="AL233" t="s">
        <v>34</v>
      </c>
      <c r="AM233" t="s">
        <v>2861</v>
      </c>
    </row>
    <row r="234" spans="1:39" x14ac:dyDescent="0.2">
      <c r="A234">
        <v>1685917</v>
      </c>
      <c r="B234">
        <v>57710</v>
      </c>
      <c r="C234" t="s">
        <v>2540</v>
      </c>
      <c r="D234" t="s">
        <v>2541</v>
      </c>
      <c r="E234" t="s">
        <v>2542</v>
      </c>
      <c r="F234" t="s">
        <v>34</v>
      </c>
      <c r="G234" t="s">
        <v>772</v>
      </c>
      <c r="H234" t="s">
        <v>3569</v>
      </c>
      <c r="I234" t="s">
        <v>586</v>
      </c>
      <c r="J234" t="s">
        <v>2543</v>
      </c>
      <c r="K234" t="s">
        <v>880</v>
      </c>
      <c r="L234" t="s">
        <v>2540</v>
      </c>
      <c r="M234" t="s">
        <v>2540</v>
      </c>
      <c r="N234" t="s">
        <v>2544</v>
      </c>
      <c r="O234" t="s">
        <v>1041</v>
      </c>
      <c r="P234" t="s">
        <v>2545</v>
      </c>
      <c r="Q234" t="s">
        <v>2546</v>
      </c>
      <c r="R234" t="s">
        <v>2547</v>
      </c>
      <c r="S234">
        <v>52</v>
      </c>
      <c r="T234" t="s">
        <v>649</v>
      </c>
      <c r="U234">
        <v>1685918</v>
      </c>
      <c r="V234" t="s">
        <v>2634</v>
      </c>
      <c r="W234" t="s">
        <v>2970</v>
      </c>
      <c r="X234" t="s">
        <v>766</v>
      </c>
      <c r="AC234" t="s">
        <v>34</v>
      </c>
      <c r="AD234" t="s">
        <v>767</v>
      </c>
      <c r="AE234" t="s">
        <v>2504</v>
      </c>
      <c r="AF234" t="s">
        <v>585</v>
      </c>
      <c r="AG234" t="s">
        <v>1889</v>
      </c>
      <c r="AJ234" t="s">
        <v>34</v>
      </c>
      <c r="AK234" t="s">
        <v>34</v>
      </c>
      <c r="AL234" t="s">
        <v>34</v>
      </c>
      <c r="AM234" t="s">
        <v>2864</v>
      </c>
    </row>
    <row r="235" spans="1:39" x14ac:dyDescent="0.2">
      <c r="A235">
        <v>1871760</v>
      </c>
      <c r="B235">
        <v>57709</v>
      </c>
      <c r="C235" t="s">
        <v>613</v>
      </c>
      <c r="D235" t="s">
        <v>725</v>
      </c>
      <c r="E235" t="s">
        <v>696</v>
      </c>
      <c r="F235" t="s">
        <v>34</v>
      </c>
      <c r="G235" t="s">
        <v>772</v>
      </c>
      <c r="H235" t="s">
        <v>3569</v>
      </c>
      <c r="I235" t="s">
        <v>980</v>
      </c>
      <c r="J235" t="s">
        <v>1460</v>
      </c>
      <c r="K235" t="s">
        <v>3050</v>
      </c>
      <c r="L235" t="s">
        <v>3051</v>
      </c>
      <c r="M235" t="s">
        <v>613</v>
      </c>
      <c r="N235" t="s">
        <v>3599</v>
      </c>
      <c r="O235" t="s">
        <v>1594</v>
      </c>
      <c r="P235" t="s">
        <v>2916</v>
      </c>
      <c r="Q235" t="s">
        <v>765</v>
      </c>
      <c r="R235" t="s">
        <v>3052</v>
      </c>
      <c r="S235">
        <v>438.1</v>
      </c>
      <c r="T235" t="s">
        <v>791</v>
      </c>
      <c r="U235">
        <v>1871765</v>
      </c>
      <c r="V235" t="s">
        <v>3053</v>
      </c>
      <c r="W235" t="s">
        <v>3054</v>
      </c>
      <c r="X235" t="s">
        <v>2917</v>
      </c>
      <c r="Y235" t="s">
        <v>34</v>
      </c>
      <c r="Z235" t="s">
        <v>2583</v>
      </c>
      <c r="AA235" t="s">
        <v>3055</v>
      </c>
      <c r="AB235" t="s">
        <v>2917</v>
      </c>
      <c r="AC235" t="s">
        <v>3056</v>
      </c>
      <c r="AD235" t="s">
        <v>767</v>
      </c>
      <c r="AE235" t="s">
        <v>768</v>
      </c>
      <c r="AF235" t="s">
        <v>585</v>
      </c>
      <c r="AG235" t="s">
        <v>2836</v>
      </c>
      <c r="AH235" t="s">
        <v>34</v>
      </c>
      <c r="AI235" t="s">
        <v>34</v>
      </c>
      <c r="AJ235" t="s">
        <v>34</v>
      </c>
      <c r="AK235" t="s">
        <v>34</v>
      </c>
      <c r="AL235" t="s">
        <v>2261</v>
      </c>
      <c r="AM235" t="s">
        <v>2861</v>
      </c>
    </row>
    <row r="236" spans="1:39" x14ac:dyDescent="0.2">
      <c r="A236">
        <v>1871772</v>
      </c>
      <c r="B236">
        <v>57709</v>
      </c>
      <c r="C236" t="s">
        <v>3057</v>
      </c>
      <c r="D236" t="s">
        <v>725</v>
      </c>
      <c r="E236" t="s">
        <v>696</v>
      </c>
      <c r="F236" t="s">
        <v>34</v>
      </c>
      <c r="G236" t="s">
        <v>772</v>
      </c>
      <c r="H236" t="s">
        <v>1635</v>
      </c>
      <c r="I236" t="s">
        <v>980</v>
      </c>
      <c r="J236" t="s">
        <v>1460</v>
      </c>
      <c r="K236" t="s">
        <v>3050</v>
      </c>
      <c r="L236" t="s">
        <v>3051</v>
      </c>
      <c r="M236" t="s">
        <v>613</v>
      </c>
      <c r="N236" t="s">
        <v>1602</v>
      </c>
      <c r="O236" t="s">
        <v>1594</v>
      </c>
      <c r="P236" t="s">
        <v>2916</v>
      </c>
      <c r="Q236" t="s">
        <v>765</v>
      </c>
      <c r="R236" t="s">
        <v>3052</v>
      </c>
      <c r="S236">
        <v>438.1</v>
      </c>
      <c r="T236" t="s">
        <v>649</v>
      </c>
      <c r="U236">
        <v>1871765</v>
      </c>
      <c r="V236" t="s">
        <v>3053</v>
      </c>
      <c r="W236" t="s">
        <v>3054</v>
      </c>
      <c r="X236" t="s">
        <v>2917</v>
      </c>
      <c r="Y236" t="s">
        <v>34</v>
      </c>
      <c r="Z236" t="s">
        <v>2583</v>
      </c>
      <c r="AA236" t="s">
        <v>3055</v>
      </c>
      <c r="AB236" t="s">
        <v>2917</v>
      </c>
      <c r="AC236" t="s">
        <v>3056</v>
      </c>
      <c r="AD236" t="s">
        <v>767</v>
      </c>
      <c r="AE236" t="s">
        <v>768</v>
      </c>
      <c r="AF236" t="s">
        <v>585</v>
      </c>
      <c r="AG236" t="s">
        <v>2836</v>
      </c>
      <c r="AH236" t="s">
        <v>34</v>
      </c>
      <c r="AI236" t="s">
        <v>34</v>
      </c>
      <c r="AJ236" t="s">
        <v>34</v>
      </c>
      <c r="AK236" t="s">
        <v>34</v>
      </c>
      <c r="AL236" t="s">
        <v>2261</v>
      </c>
      <c r="AM236" t="s">
        <v>2861</v>
      </c>
    </row>
    <row r="237" spans="1:39" x14ac:dyDescent="0.2">
      <c r="A237">
        <v>1289141</v>
      </c>
      <c r="B237">
        <v>57709</v>
      </c>
      <c r="C237" t="s">
        <v>633</v>
      </c>
      <c r="D237" t="s">
        <v>725</v>
      </c>
      <c r="E237" t="s">
        <v>696</v>
      </c>
      <c r="F237" t="s">
        <v>34</v>
      </c>
      <c r="G237" t="s">
        <v>772</v>
      </c>
      <c r="H237" t="s">
        <v>3577</v>
      </c>
      <c r="I237" t="s">
        <v>980</v>
      </c>
      <c r="J237" t="s">
        <v>633</v>
      </c>
      <c r="K237" t="s">
        <v>1603</v>
      </c>
      <c r="L237" t="s">
        <v>1604</v>
      </c>
      <c r="M237" t="s">
        <v>633</v>
      </c>
      <c r="N237" t="s">
        <v>1602</v>
      </c>
      <c r="O237" t="s">
        <v>1457</v>
      </c>
      <c r="P237" t="s">
        <v>847</v>
      </c>
      <c r="Q237" t="s">
        <v>765</v>
      </c>
      <c r="R237" t="s">
        <v>1605</v>
      </c>
      <c r="S237">
        <v>235.6</v>
      </c>
      <c r="T237" t="s">
        <v>649</v>
      </c>
      <c r="U237" t="s">
        <v>34</v>
      </c>
      <c r="V237" t="s">
        <v>849</v>
      </c>
      <c r="W237" t="s">
        <v>1600</v>
      </c>
      <c r="X237" t="s">
        <v>766</v>
      </c>
      <c r="Y237" t="s">
        <v>34</v>
      </c>
      <c r="Z237" t="s">
        <v>927</v>
      </c>
      <c r="AA237" t="s">
        <v>1606</v>
      </c>
      <c r="AB237" t="s">
        <v>766</v>
      </c>
      <c r="AC237" t="s">
        <v>34</v>
      </c>
      <c r="AD237" t="s">
        <v>767</v>
      </c>
      <c r="AE237" t="s">
        <v>768</v>
      </c>
      <c r="AF237" t="s">
        <v>585</v>
      </c>
      <c r="AG237">
        <v>12</v>
      </c>
      <c r="AH237" t="s">
        <v>2339</v>
      </c>
      <c r="AI237" t="s">
        <v>2339</v>
      </c>
      <c r="AJ237" t="s">
        <v>34</v>
      </c>
      <c r="AK237" t="s">
        <v>34</v>
      </c>
      <c r="AL237" t="s">
        <v>2261</v>
      </c>
      <c r="AM237" t="s">
        <v>2878</v>
      </c>
    </row>
    <row r="238" spans="1:39" x14ac:dyDescent="0.2">
      <c r="A238">
        <v>1289036</v>
      </c>
      <c r="B238">
        <v>57709</v>
      </c>
      <c r="C238" t="s">
        <v>303</v>
      </c>
      <c r="D238" t="s">
        <v>725</v>
      </c>
      <c r="E238" t="s">
        <v>696</v>
      </c>
      <c r="F238" t="s">
        <v>34</v>
      </c>
      <c r="G238" t="s">
        <v>772</v>
      </c>
      <c r="H238" t="s">
        <v>3569</v>
      </c>
      <c r="I238" t="s">
        <v>980</v>
      </c>
      <c r="J238" t="s">
        <v>1591</v>
      </c>
      <c r="K238" t="s">
        <v>1620</v>
      </c>
      <c r="L238" t="s">
        <v>1604</v>
      </c>
      <c r="M238" t="s">
        <v>303</v>
      </c>
      <c r="N238" t="s">
        <v>3599</v>
      </c>
      <c r="O238" t="s">
        <v>1621</v>
      </c>
      <c r="P238" t="s">
        <v>2945</v>
      </c>
      <c r="Q238" t="s">
        <v>765</v>
      </c>
      <c r="R238" t="s">
        <v>3118</v>
      </c>
      <c r="S238">
        <v>118</v>
      </c>
      <c r="T238" t="s">
        <v>793</v>
      </c>
      <c r="U238" t="s">
        <v>34</v>
      </c>
      <c r="V238" t="s">
        <v>849</v>
      </c>
      <c r="W238" t="s">
        <v>1600</v>
      </c>
      <c r="X238" t="s">
        <v>2917</v>
      </c>
      <c r="Y238" t="s">
        <v>34</v>
      </c>
      <c r="Z238" t="s">
        <v>927</v>
      </c>
      <c r="AA238" t="s">
        <v>1606</v>
      </c>
      <c r="AB238" t="s">
        <v>2917</v>
      </c>
      <c r="AC238" t="s">
        <v>1622</v>
      </c>
      <c r="AD238" t="s">
        <v>767</v>
      </c>
      <c r="AE238" t="s">
        <v>768</v>
      </c>
      <c r="AF238" t="s">
        <v>585</v>
      </c>
      <c r="AG238">
        <v>12</v>
      </c>
      <c r="AH238" t="s">
        <v>2339</v>
      </c>
      <c r="AI238" t="s">
        <v>2339</v>
      </c>
      <c r="AJ238" t="s">
        <v>34</v>
      </c>
      <c r="AK238" t="s">
        <v>34</v>
      </c>
      <c r="AL238" t="s">
        <v>2261</v>
      </c>
      <c r="AM238" t="s">
        <v>2861</v>
      </c>
    </row>
    <row r="239" spans="1:39" x14ac:dyDescent="0.2">
      <c r="A239">
        <v>1270622</v>
      </c>
      <c r="B239">
        <v>57709</v>
      </c>
      <c r="C239" t="s">
        <v>639</v>
      </c>
      <c r="D239" t="s">
        <v>725</v>
      </c>
      <c r="E239" t="s">
        <v>696</v>
      </c>
      <c r="F239" t="s">
        <v>34</v>
      </c>
      <c r="G239" t="s">
        <v>772</v>
      </c>
      <c r="H239" t="s">
        <v>3577</v>
      </c>
      <c r="I239" t="s">
        <v>980</v>
      </c>
      <c r="J239" t="s">
        <v>1591</v>
      </c>
      <c r="K239" t="s">
        <v>1592</v>
      </c>
      <c r="L239" t="s">
        <v>1593</v>
      </c>
      <c r="M239" t="s">
        <v>1599</v>
      </c>
      <c r="N239" t="s">
        <v>1602</v>
      </c>
      <c r="O239" t="s">
        <v>1457</v>
      </c>
      <c r="P239" t="s">
        <v>847</v>
      </c>
      <c r="Q239" t="s">
        <v>903</v>
      </c>
      <c r="R239" t="s">
        <v>1595</v>
      </c>
      <c r="S239">
        <v>500</v>
      </c>
      <c r="T239" t="s">
        <v>649</v>
      </c>
      <c r="U239" t="s">
        <v>34</v>
      </c>
      <c r="V239" t="s">
        <v>849</v>
      </c>
      <c r="W239" t="s">
        <v>1596</v>
      </c>
      <c r="X239" t="s">
        <v>766</v>
      </c>
      <c r="Y239" t="s">
        <v>34</v>
      </c>
      <c r="Z239" t="s">
        <v>927</v>
      </c>
      <c r="AA239" t="s">
        <v>1597</v>
      </c>
      <c r="AB239" t="s">
        <v>766</v>
      </c>
      <c r="AC239" t="s">
        <v>1601</v>
      </c>
      <c r="AD239" t="s">
        <v>767</v>
      </c>
      <c r="AE239" t="s">
        <v>768</v>
      </c>
      <c r="AF239" t="s">
        <v>585</v>
      </c>
      <c r="AG239">
        <v>5</v>
      </c>
      <c r="AH239">
        <v>35</v>
      </c>
      <c r="AI239" t="s">
        <v>2339</v>
      </c>
      <c r="AJ239" t="s">
        <v>34</v>
      </c>
      <c r="AK239" t="s">
        <v>34</v>
      </c>
      <c r="AL239" t="s">
        <v>2261</v>
      </c>
      <c r="AM239" t="s">
        <v>2878</v>
      </c>
    </row>
    <row r="240" spans="1:39" x14ac:dyDescent="0.2">
      <c r="A240">
        <v>1270621</v>
      </c>
      <c r="B240">
        <v>57709</v>
      </c>
      <c r="C240" t="s">
        <v>328</v>
      </c>
      <c r="D240" t="s">
        <v>725</v>
      </c>
      <c r="E240" t="s">
        <v>696</v>
      </c>
      <c r="F240" t="s">
        <v>34</v>
      </c>
      <c r="G240" t="s">
        <v>772</v>
      </c>
      <c r="H240" t="s">
        <v>3569</v>
      </c>
      <c r="I240" t="s">
        <v>1293</v>
      </c>
      <c r="J240" t="s">
        <v>1591</v>
      </c>
      <c r="K240" t="s">
        <v>1592</v>
      </c>
      <c r="L240" t="s">
        <v>1593</v>
      </c>
      <c r="M240" t="s">
        <v>328</v>
      </c>
      <c r="N240" t="s">
        <v>3599</v>
      </c>
      <c r="O240" t="s">
        <v>1594</v>
      </c>
      <c r="P240" t="s">
        <v>2945</v>
      </c>
      <c r="Q240" t="s">
        <v>903</v>
      </c>
      <c r="R240" t="s">
        <v>1595</v>
      </c>
      <c r="S240">
        <v>500</v>
      </c>
      <c r="T240" t="s">
        <v>793</v>
      </c>
      <c r="U240" t="s">
        <v>34</v>
      </c>
      <c r="V240" t="s">
        <v>849</v>
      </c>
      <c r="W240" t="s">
        <v>1596</v>
      </c>
      <c r="X240" t="s">
        <v>2917</v>
      </c>
      <c r="Y240" t="s">
        <v>34</v>
      </c>
      <c r="Z240" t="s">
        <v>927</v>
      </c>
      <c r="AA240" t="s">
        <v>1597</v>
      </c>
      <c r="AB240" t="s">
        <v>2917</v>
      </c>
      <c r="AC240" t="s">
        <v>1598</v>
      </c>
      <c r="AD240" t="s">
        <v>767</v>
      </c>
      <c r="AE240" t="s">
        <v>768</v>
      </c>
      <c r="AF240" t="s">
        <v>585</v>
      </c>
      <c r="AG240">
        <v>5</v>
      </c>
      <c r="AH240">
        <v>35</v>
      </c>
      <c r="AI240" t="s">
        <v>2339</v>
      </c>
      <c r="AJ240" t="s">
        <v>34</v>
      </c>
      <c r="AK240" t="s">
        <v>34</v>
      </c>
      <c r="AL240" t="s">
        <v>2261</v>
      </c>
      <c r="AM240" t="s">
        <v>2861</v>
      </c>
    </row>
    <row r="241" spans="1:39" x14ac:dyDescent="0.2">
      <c r="B241">
        <v>57709</v>
      </c>
      <c r="C241" t="s">
        <v>302</v>
      </c>
      <c r="D241" t="s">
        <v>725</v>
      </c>
      <c r="E241" t="s">
        <v>696</v>
      </c>
      <c r="F241" t="s">
        <v>34</v>
      </c>
      <c r="G241" t="s">
        <v>772</v>
      </c>
      <c r="H241" t="s">
        <v>3569</v>
      </c>
      <c r="I241" t="s">
        <v>980</v>
      </c>
      <c r="J241" t="s">
        <v>912</v>
      </c>
      <c r="K241" t="s">
        <v>2946</v>
      </c>
      <c r="L241" t="s">
        <v>2947</v>
      </c>
      <c r="M241" t="s">
        <v>302</v>
      </c>
      <c r="N241" t="s">
        <v>3599</v>
      </c>
      <c r="O241" t="s">
        <v>2948</v>
      </c>
      <c r="P241" t="s">
        <v>2916</v>
      </c>
      <c r="Q241" t="s">
        <v>828</v>
      </c>
      <c r="R241" t="s">
        <v>3119</v>
      </c>
      <c r="S241">
        <v>683.5</v>
      </c>
      <c r="T241" t="s">
        <v>793</v>
      </c>
      <c r="U241" t="s">
        <v>34</v>
      </c>
      <c r="V241" t="s">
        <v>2581</v>
      </c>
      <c r="W241">
        <v>13730</v>
      </c>
      <c r="X241" t="s">
        <v>2917</v>
      </c>
      <c r="Y241" t="s">
        <v>34</v>
      </c>
      <c r="Z241" t="s">
        <v>2583</v>
      </c>
      <c r="AA241" t="s">
        <v>1904</v>
      </c>
      <c r="AB241" t="s">
        <v>2917</v>
      </c>
      <c r="AC241" t="s">
        <v>34</v>
      </c>
      <c r="AD241" t="s">
        <v>767</v>
      </c>
      <c r="AE241" t="s">
        <v>768</v>
      </c>
      <c r="AF241" t="s">
        <v>585</v>
      </c>
      <c r="AG241" t="s">
        <v>2950</v>
      </c>
      <c r="AH241" t="s">
        <v>2950</v>
      </c>
      <c r="AI241" t="s">
        <v>2950</v>
      </c>
      <c r="AJ241" t="s">
        <v>34</v>
      </c>
      <c r="AK241" t="s">
        <v>34</v>
      </c>
      <c r="AL241" t="s">
        <v>2261</v>
      </c>
      <c r="AM241" t="s">
        <v>2861</v>
      </c>
    </row>
    <row r="242" spans="1:39" x14ac:dyDescent="0.2">
      <c r="A242">
        <v>1692626</v>
      </c>
      <c r="B242">
        <v>57709</v>
      </c>
      <c r="C242" t="s">
        <v>2951</v>
      </c>
      <c r="D242" t="s">
        <v>725</v>
      </c>
      <c r="E242" t="s">
        <v>696</v>
      </c>
      <c r="F242" t="s">
        <v>34</v>
      </c>
      <c r="G242" t="s">
        <v>772</v>
      </c>
      <c r="H242" t="s">
        <v>1635</v>
      </c>
      <c r="I242" t="s">
        <v>980</v>
      </c>
      <c r="J242" t="s">
        <v>912</v>
      </c>
      <c r="K242" t="s">
        <v>2946</v>
      </c>
      <c r="L242" t="s">
        <v>2947</v>
      </c>
      <c r="M242" t="s">
        <v>302</v>
      </c>
      <c r="N242" t="s">
        <v>3599</v>
      </c>
      <c r="O242" t="s">
        <v>2948</v>
      </c>
      <c r="P242" t="s">
        <v>847</v>
      </c>
      <c r="Q242" t="s">
        <v>828</v>
      </c>
      <c r="R242" t="s">
        <v>2949</v>
      </c>
      <c r="S242">
        <v>686.55</v>
      </c>
      <c r="T242" t="s">
        <v>649</v>
      </c>
      <c r="U242" t="s">
        <v>34</v>
      </c>
      <c r="V242" t="s">
        <v>2581</v>
      </c>
      <c r="W242">
        <v>13730</v>
      </c>
      <c r="X242" t="s">
        <v>766</v>
      </c>
      <c r="Y242" t="s">
        <v>34</v>
      </c>
      <c r="Z242" t="s">
        <v>2583</v>
      </c>
      <c r="AA242" t="s">
        <v>1904</v>
      </c>
      <c r="AB242" t="s">
        <v>766</v>
      </c>
      <c r="AC242" t="s">
        <v>34</v>
      </c>
      <c r="AD242" t="s">
        <v>767</v>
      </c>
      <c r="AE242" t="s">
        <v>768</v>
      </c>
      <c r="AF242" t="s">
        <v>585</v>
      </c>
      <c r="AG242" t="s">
        <v>2950</v>
      </c>
      <c r="AH242" t="s">
        <v>2950</v>
      </c>
      <c r="AI242" t="s">
        <v>2950</v>
      </c>
      <c r="AJ242" t="s">
        <v>34</v>
      </c>
      <c r="AK242" t="s">
        <v>34</v>
      </c>
      <c r="AL242" t="s">
        <v>2261</v>
      </c>
      <c r="AM242" t="s">
        <v>2861</v>
      </c>
    </row>
    <row r="243" spans="1:39" x14ac:dyDescent="0.2">
      <c r="B243">
        <v>57709</v>
      </c>
      <c r="C243" t="s">
        <v>2301</v>
      </c>
      <c r="D243" t="s">
        <v>725</v>
      </c>
      <c r="E243" t="s">
        <v>696</v>
      </c>
      <c r="F243" t="s">
        <v>34</v>
      </c>
      <c r="G243" t="s">
        <v>772</v>
      </c>
      <c r="H243" t="s">
        <v>3569</v>
      </c>
      <c r="I243" t="s">
        <v>980</v>
      </c>
      <c r="J243" t="s">
        <v>912</v>
      </c>
      <c r="K243" t="s">
        <v>1051</v>
      </c>
      <c r="L243" t="s">
        <v>1478</v>
      </c>
      <c r="M243" t="s">
        <v>2301</v>
      </c>
      <c r="N243" t="s">
        <v>3599</v>
      </c>
      <c r="O243" t="s">
        <v>1594</v>
      </c>
      <c r="P243" t="s">
        <v>2916</v>
      </c>
      <c r="Q243" t="s">
        <v>828</v>
      </c>
      <c r="R243" t="s">
        <v>2477</v>
      </c>
      <c r="S243">
        <v>260.39999999999998</v>
      </c>
      <c r="T243" t="s">
        <v>793</v>
      </c>
      <c r="U243">
        <v>1270012</v>
      </c>
      <c r="V243" t="s">
        <v>2478</v>
      </c>
      <c r="W243" t="s">
        <v>1510</v>
      </c>
      <c r="X243" t="s">
        <v>2917</v>
      </c>
      <c r="Y243" t="s">
        <v>34</v>
      </c>
      <c r="Z243" t="s">
        <v>2479</v>
      </c>
      <c r="AA243" t="s">
        <v>1478</v>
      </c>
      <c r="AB243" t="s">
        <v>2917</v>
      </c>
      <c r="AC243" t="s">
        <v>34</v>
      </c>
      <c r="AD243" t="s">
        <v>767</v>
      </c>
      <c r="AE243" t="s">
        <v>768</v>
      </c>
      <c r="AF243" t="s">
        <v>585</v>
      </c>
      <c r="AG243" t="s">
        <v>2480</v>
      </c>
      <c r="AH243" t="s">
        <v>2482</v>
      </c>
      <c r="AI243" t="s">
        <v>2481</v>
      </c>
      <c r="AJ243" t="s">
        <v>34</v>
      </c>
      <c r="AK243" t="s">
        <v>34</v>
      </c>
      <c r="AL243" t="s">
        <v>2261</v>
      </c>
      <c r="AM243" t="s">
        <v>2861</v>
      </c>
    </row>
    <row r="244" spans="1:39" x14ac:dyDescent="0.2">
      <c r="A244">
        <v>1289044</v>
      </c>
      <c r="B244">
        <v>57709</v>
      </c>
      <c r="C244" t="s">
        <v>2483</v>
      </c>
      <c r="D244" t="s">
        <v>725</v>
      </c>
      <c r="E244" t="s">
        <v>696</v>
      </c>
      <c r="F244" t="s">
        <v>34</v>
      </c>
      <c r="G244" t="s">
        <v>772</v>
      </c>
      <c r="H244" t="s">
        <v>1635</v>
      </c>
      <c r="I244" t="s">
        <v>980</v>
      </c>
      <c r="J244" t="s">
        <v>912</v>
      </c>
      <c r="K244" t="s">
        <v>1051</v>
      </c>
      <c r="L244" t="s">
        <v>1478</v>
      </c>
      <c r="M244" t="s">
        <v>2301</v>
      </c>
      <c r="N244" t="s">
        <v>1602</v>
      </c>
      <c r="O244" t="s">
        <v>1594</v>
      </c>
      <c r="P244" t="s">
        <v>847</v>
      </c>
      <c r="Q244" t="s">
        <v>828</v>
      </c>
      <c r="R244" t="s">
        <v>2477</v>
      </c>
      <c r="S244">
        <v>260.39999999999998</v>
      </c>
      <c r="T244" t="s">
        <v>2484</v>
      </c>
      <c r="U244">
        <v>1270012</v>
      </c>
      <c r="V244" t="s">
        <v>2478</v>
      </c>
      <c r="W244" t="s">
        <v>1510</v>
      </c>
      <c r="X244" t="s">
        <v>766</v>
      </c>
      <c r="Y244" t="s">
        <v>34</v>
      </c>
      <c r="Z244" t="s">
        <v>2479</v>
      </c>
      <c r="AA244" t="s">
        <v>1478</v>
      </c>
      <c r="AB244" t="s">
        <v>766</v>
      </c>
      <c r="AC244" t="s">
        <v>34</v>
      </c>
      <c r="AD244" t="s">
        <v>767</v>
      </c>
      <c r="AE244" t="s">
        <v>768</v>
      </c>
      <c r="AF244" t="s">
        <v>585</v>
      </c>
      <c r="AG244" t="s">
        <v>2480</v>
      </c>
      <c r="AH244" t="s">
        <v>2482</v>
      </c>
      <c r="AI244" t="s">
        <v>2481</v>
      </c>
      <c r="AJ244" t="s">
        <v>34</v>
      </c>
      <c r="AK244" t="s">
        <v>34</v>
      </c>
      <c r="AL244" t="s">
        <v>2261</v>
      </c>
      <c r="AM244" t="s">
        <v>2878</v>
      </c>
    </row>
    <row r="245" spans="1:39" x14ac:dyDescent="0.2">
      <c r="A245">
        <v>1868160</v>
      </c>
      <c r="B245">
        <v>57709</v>
      </c>
      <c r="C245" t="s">
        <v>3649</v>
      </c>
      <c r="D245" t="s">
        <v>725</v>
      </c>
      <c r="E245" t="s">
        <v>696</v>
      </c>
      <c r="G245" t="s">
        <v>772</v>
      </c>
      <c r="H245" t="s">
        <v>3569</v>
      </c>
      <c r="I245" t="s">
        <v>586</v>
      </c>
      <c r="J245" t="s">
        <v>912</v>
      </c>
      <c r="K245" t="s">
        <v>1889</v>
      </c>
      <c r="L245" t="s">
        <v>3650</v>
      </c>
      <c r="M245" t="s">
        <v>3649</v>
      </c>
      <c r="N245" t="s">
        <v>983</v>
      </c>
      <c r="O245" t="s">
        <v>1099</v>
      </c>
      <c r="P245" t="s">
        <v>847</v>
      </c>
      <c r="Q245" t="s">
        <v>828</v>
      </c>
      <c r="R245" t="s">
        <v>3651</v>
      </c>
      <c r="S245">
        <v>654.88</v>
      </c>
      <c r="T245" t="s">
        <v>649</v>
      </c>
      <c r="U245">
        <v>1868085</v>
      </c>
      <c r="V245" t="s">
        <v>987</v>
      </c>
      <c r="W245" t="s">
        <v>3652</v>
      </c>
      <c r="X245" t="s">
        <v>766</v>
      </c>
      <c r="Y245" t="s">
        <v>34</v>
      </c>
      <c r="Z245" t="s">
        <v>2583</v>
      </c>
      <c r="AA245" t="s">
        <v>890</v>
      </c>
      <c r="AB245" t="s">
        <v>766</v>
      </c>
      <c r="AC245" t="s">
        <v>3653</v>
      </c>
      <c r="AD245" t="s">
        <v>767</v>
      </c>
      <c r="AE245" t="s">
        <v>768</v>
      </c>
      <c r="AF245" t="s">
        <v>585</v>
      </c>
      <c r="AG245" t="s">
        <v>1889</v>
      </c>
      <c r="AL245" t="s">
        <v>2261</v>
      </c>
      <c r="AM245" t="s">
        <v>2861</v>
      </c>
    </row>
    <row r="246" spans="1:39" x14ac:dyDescent="0.2">
      <c r="A246">
        <v>1289052</v>
      </c>
      <c r="B246">
        <v>57709</v>
      </c>
      <c r="C246" t="s">
        <v>2300</v>
      </c>
      <c r="D246" t="s">
        <v>725</v>
      </c>
      <c r="E246" t="s">
        <v>696</v>
      </c>
      <c r="F246" t="s">
        <v>34</v>
      </c>
      <c r="G246" t="s">
        <v>772</v>
      </c>
      <c r="H246" t="s">
        <v>3569</v>
      </c>
      <c r="I246" t="s">
        <v>1293</v>
      </c>
      <c r="J246" t="s">
        <v>2300</v>
      </c>
      <c r="K246" t="s">
        <v>1659</v>
      </c>
      <c r="L246" t="s">
        <v>1660</v>
      </c>
      <c r="M246" t="s">
        <v>2300</v>
      </c>
      <c r="N246" t="s">
        <v>310</v>
      </c>
      <c r="O246" t="s">
        <v>1296</v>
      </c>
      <c r="P246" t="s">
        <v>2916</v>
      </c>
      <c r="Q246" t="s">
        <v>862</v>
      </c>
      <c r="R246" t="s">
        <v>1661</v>
      </c>
      <c r="S246">
        <v>2.2999999999999998</v>
      </c>
      <c r="T246" t="s">
        <v>794</v>
      </c>
      <c r="U246" t="s">
        <v>34</v>
      </c>
      <c r="V246" t="s">
        <v>1662</v>
      </c>
      <c r="W246" t="s">
        <v>1663</v>
      </c>
      <c r="X246" t="s">
        <v>1664</v>
      </c>
      <c r="AC246" t="s">
        <v>1665</v>
      </c>
      <c r="AD246" t="s">
        <v>767</v>
      </c>
      <c r="AE246" t="s">
        <v>768</v>
      </c>
      <c r="AF246" t="s">
        <v>585</v>
      </c>
      <c r="AG246" t="s">
        <v>1889</v>
      </c>
      <c r="AH246" t="s">
        <v>34</v>
      </c>
      <c r="AI246" t="s">
        <v>34</v>
      </c>
      <c r="AJ246" t="s">
        <v>34</v>
      </c>
      <c r="AK246" t="s">
        <v>34</v>
      </c>
      <c r="AL246" t="s">
        <v>2261</v>
      </c>
      <c r="AM246" t="s">
        <v>2861</v>
      </c>
    </row>
    <row r="247" spans="1:39" x14ac:dyDescent="0.2">
      <c r="A247">
        <v>1270567</v>
      </c>
      <c r="B247">
        <v>57709</v>
      </c>
      <c r="C247" t="s">
        <v>2662</v>
      </c>
      <c r="D247" t="s">
        <v>725</v>
      </c>
      <c r="E247" t="s">
        <v>696</v>
      </c>
      <c r="F247" t="s">
        <v>34</v>
      </c>
      <c r="G247" t="s">
        <v>772</v>
      </c>
      <c r="H247" t="s">
        <v>3569</v>
      </c>
      <c r="I247" t="s">
        <v>1293</v>
      </c>
      <c r="J247" t="s">
        <v>1298</v>
      </c>
      <c r="K247" t="s">
        <v>2663</v>
      </c>
      <c r="L247" t="s">
        <v>2664</v>
      </c>
      <c r="M247" t="s">
        <v>2665</v>
      </c>
      <c r="N247" t="s">
        <v>310</v>
      </c>
      <c r="O247" t="s">
        <v>3337</v>
      </c>
      <c r="P247" t="s">
        <v>844</v>
      </c>
      <c r="Q247" t="s">
        <v>828</v>
      </c>
      <c r="R247" t="s">
        <v>1339</v>
      </c>
      <c r="S247">
        <v>8</v>
      </c>
      <c r="T247" t="s">
        <v>794</v>
      </c>
      <c r="U247" t="s">
        <v>34</v>
      </c>
      <c r="V247" t="s">
        <v>1487</v>
      </c>
      <c r="W247" t="s">
        <v>2666</v>
      </c>
      <c r="X247" t="s">
        <v>892</v>
      </c>
      <c r="AC247" t="s">
        <v>2842</v>
      </c>
      <c r="AD247" t="s">
        <v>767</v>
      </c>
      <c r="AE247" t="s">
        <v>768</v>
      </c>
      <c r="AF247" t="s">
        <v>585</v>
      </c>
      <c r="AG247" t="s">
        <v>1889</v>
      </c>
      <c r="AH247" t="s">
        <v>34</v>
      </c>
      <c r="AI247" t="s">
        <v>34</v>
      </c>
      <c r="AJ247" t="s">
        <v>34</v>
      </c>
      <c r="AK247" t="s">
        <v>34</v>
      </c>
      <c r="AL247" t="s">
        <v>34</v>
      </c>
      <c r="AM247" t="s">
        <v>2862</v>
      </c>
    </row>
    <row r="248" spans="1:39" x14ac:dyDescent="0.2">
      <c r="A248">
        <v>1465384</v>
      </c>
      <c r="B248">
        <v>57709</v>
      </c>
      <c r="C248" t="s">
        <v>2599</v>
      </c>
      <c r="D248" t="s">
        <v>725</v>
      </c>
      <c r="E248" t="s">
        <v>696</v>
      </c>
      <c r="F248" t="s">
        <v>34</v>
      </c>
      <c r="G248" t="s">
        <v>772</v>
      </c>
      <c r="H248" t="s">
        <v>3577</v>
      </c>
      <c r="I248" t="s">
        <v>980</v>
      </c>
      <c r="J248" t="s">
        <v>1626</v>
      </c>
      <c r="K248" t="s">
        <v>1627</v>
      </c>
      <c r="L248" t="s">
        <v>2599</v>
      </c>
      <c r="M248" t="s">
        <v>2599</v>
      </c>
      <c r="N248" t="s">
        <v>310</v>
      </c>
      <c r="O248" t="s">
        <v>955</v>
      </c>
      <c r="P248" t="s">
        <v>955</v>
      </c>
      <c r="Q248" t="s">
        <v>828</v>
      </c>
      <c r="R248" t="s">
        <v>2600</v>
      </c>
      <c r="S248">
        <v>7837</v>
      </c>
      <c r="T248" t="s">
        <v>649</v>
      </c>
      <c r="U248">
        <v>1465384</v>
      </c>
      <c r="V248" t="s">
        <v>2601</v>
      </c>
      <c r="W248" t="s">
        <v>2599</v>
      </c>
      <c r="Y248" t="s">
        <v>34</v>
      </c>
      <c r="Z248" t="s">
        <v>2602</v>
      </c>
      <c r="AA248" t="s">
        <v>2603</v>
      </c>
      <c r="AB248" t="s">
        <v>766</v>
      </c>
      <c r="AC248" t="s">
        <v>3393</v>
      </c>
      <c r="AD248" t="s">
        <v>767</v>
      </c>
      <c r="AE248" t="s">
        <v>768</v>
      </c>
      <c r="AF248" t="s">
        <v>585</v>
      </c>
      <c r="AG248" t="s">
        <v>1889</v>
      </c>
      <c r="AH248" t="s">
        <v>34</v>
      </c>
      <c r="AI248" t="s">
        <v>34</v>
      </c>
      <c r="AJ248" t="s">
        <v>34</v>
      </c>
      <c r="AK248" t="s">
        <v>34</v>
      </c>
      <c r="AL248" t="s">
        <v>2261</v>
      </c>
      <c r="AM248" t="s">
        <v>2877</v>
      </c>
    </row>
    <row r="249" spans="1:39" x14ac:dyDescent="0.2">
      <c r="A249">
        <v>1270552</v>
      </c>
      <c r="B249">
        <v>57709</v>
      </c>
      <c r="C249" t="s">
        <v>313</v>
      </c>
      <c r="D249" t="s">
        <v>725</v>
      </c>
      <c r="E249" t="s">
        <v>696</v>
      </c>
      <c r="F249" t="s">
        <v>34</v>
      </c>
      <c r="G249" t="s">
        <v>772</v>
      </c>
      <c r="H249" t="s">
        <v>3569</v>
      </c>
      <c r="I249" t="s">
        <v>980</v>
      </c>
      <c r="J249" t="s">
        <v>913</v>
      </c>
      <c r="K249" t="s">
        <v>1641</v>
      </c>
      <c r="L249">
        <v>51644</v>
      </c>
      <c r="M249" t="s">
        <v>313</v>
      </c>
      <c r="N249" t="s">
        <v>310</v>
      </c>
      <c r="O249" t="s">
        <v>955</v>
      </c>
      <c r="P249" t="s">
        <v>955</v>
      </c>
      <c r="Q249" t="s">
        <v>862</v>
      </c>
      <c r="R249" t="s">
        <v>1642</v>
      </c>
      <c r="S249">
        <v>1585</v>
      </c>
      <c r="T249" t="s">
        <v>794</v>
      </c>
      <c r="U249" t="s">
        <v>34</v>
      </c>
      <c r="V249" t="s">
        <v>1643</v>
      </c>
      <c r="W249" t="s">
        <v>1644</v>
      </c>
      <c r="X249" t="s">
        <v>1280</v>
      </c>
      <c r="Y249" t="s">
        <v>34</v>
      </c>
      <c r="Z249" t="s">
        <v>1645</v>
      </c>
      <c r="AA249" t="s">
        <v>1646</v>
      </c>
      <c r="AB249" t="s">
        <v>766</v>
      </c>
      <c r="AC249" t="s">
        <v>1647</v>
      </c>
      <c r="AD249" t="s">
        <v>767</v>
      </c>
      <c r="AE249" t="s">
        <v>768</v>
      </c>
      <c r="AF249" t="s">
        <v>585</v>
      </c>
      <c r="AG249" t="s">
        <v>1889</v>
      </c>
      <c r="AH249" t="s">
        <v>34</v>
      </c>
      <c r="AI249" t="s">
        <v>34</v>
      </c>
      <c r="AJ249" t="s">
        <v>34</v>
      </c>
      <c r="AK249" t="s">
        <v>34</v>
      </c>
      <c r="AL249" t="s">
        <v>2261</v>
      </c>
      <c r="AM249" t="s">
        <v>2877</v>
      </c>
    </row>
    <row r="250" spans="1:39" x14ac:dyDescent="0.2">
      <c r="A250">
        <v>1270551</v>
      </c>
      <c r="B250">
        <v>57709</v>
      </c>
      <c r="C250" t="s">
        <v>421</v>
      </c>
      <c r="D250" t="s">
        <v>725</v>
      </c>
      <c r="E250" t="s">
        <v>696</v>
      </c>
      <c r="F250" t="s">
        <v>34</v>
      </c>
      <c r="G250" t="s">
        <v>772</v>
      </c>
      <c r="H250" t="s">
        <v>3569</v>
      </c>
      <c r="I250" t="s">
        <v>1293</v>
      </c>
      <c r="J250" t="s">
        <v>913</v>
      </c>
      <c r="K250" t="s">
        <v>1648</v>
      </c>
      <c r="L250" t="s">
        <v>1649</v>
      </c>
      <c r="M250" t="s">
        <v>421</v>
      </c>
      <c r="N250" t="s">
        <v>310</v>
      </c>
      <c r="O250" t="s">
        <v>955</v>
      </c>
      <c r="P250" t="s">
        <v>955</v>
      </c>
      <c r="Q250" t="s">
        <v>862</v>
      </c>
      <c r="R250" t="s">
        <v>1650</v>
      </c>
      <c r="S250">
        <v>1526.5</v>
      </c>
      <c r="T250" t="s">
        <v>794</v>
      </c>
      <c r="X250" t="s">
        <v>897</v>
      </c>
      <c r="Y250" t="s">
        <v>34</v>
      </c>
      <c r="Z250" t="s">
        <v>1651</v>
      </c>
      <c r="AA250" t="s">
        <v>1652</v>
      </c>
      <c r="AB250" t="s">
        <v>1653</v>
      </c>
      <c r="AC250" t="s">
        <v>2655</v>
      </c>
      <c r="AD250" t="s">
        <v>767</v>
      </c>
      <c r="AE250" t="s">
        <v>768</v>
      </c>
      <c r="AF250" t="s">
        <v>585</v>
      </c>
      <c r="AG250" t="s">
        <v>1889</v>
      </c>
      <c r="AH250" t="s">
        <v>34</v>
      </c>
      <c r="AI250" t="s">
        <v>34</v>
      </c>
      <c r="AJ250" t="s">
        <v>34</v>
      </c>
      <c r="AK250" t="s">
        <v>34</v>
      </c>
      <c r="AL250" t="s">
        <v>2261</v>
      </c>
      <c r="AM250" t="s">
        <v>2877</v>
      </c>
    </row>
    <row r="251" spans="1:39" x14ac:dyDescent="0.2">
      <c r="B251">
        <v>57709</v>
      </c>
      <c r="C251" t="s">
        <v>284</v>
      </c>
      <c r="D251" t="s">
        <v>725</v>
      </c>
      <c r="E251" t="s">
        <v>696</v>
      </c>
      <c r="F251" t="s">
        <v>34</v>
      </c>
      <c r="G251" t="s">
        <v>772</v>
      </c>
      <c r="H251" t="s">
        <v>3569</v>
      </c>
      <c r="I251" t="s">
        <v>1293</v>
      </c>
      <c r="J251" t="s">
        <v>284</v>
      </c>
      <c r="K251" t="s">
        <v>1654</v>
      </c>
      <c r="L251" t="s">
        <v>1655</v>
      </c>
      <c r="M251" t="s">
        <v>284</v>
      </c>
      <c r="N251" t="s">
        <v>310</v>
      </c>
      <c r="O251" t="s">
        <v>1656</v>
      </c>
      <c r="P251" t="s">
        <v>847</v>
      </c>
      <c r="Q251" t="s">
        <v>828</v>
      </c>
      <c r="R251" t="s">
        <v>1657</v>
      </c>
      <c r="S251">
        <v>1.33</v>
      </c>
      <c r="T251" t="s">
        <v>794</v>
      </c>
      <c r="U251">
        <v>1270010</v>
      </c>
      <c r="V251" t="s">
        <v>1658</v>
      </c>
      <c r="W251">
        <v>176483</v>
      </c>
      <c r="X251" t="s">
        <v>766</v>
      </c>
      <c r="AC251" t="s">
        <v>34</v>
      </c>
      <c r="AD251" t="s">
        <v>767</v>
      </c>
      <c r="AE251" t="s">
        <v>768</v>
      </c>
      <c r="AF251" t="s">
        <v>585</v>
      </c>
      <c r="AG251">
        <v>13</v>
      </c>
      <c r="AH251">
        <v>0.2</v>
      </c>
      <c r="AI251">
        <v>0.17</v>
      </c>
      <c r="AJ251" t="s">
        <v>2383</v>
      </c>
      <c r="AK251" t="s">
        <v>34</v>
      </c>
      <c r="AL251" t="s">
        <v>2261</v>
      </c>
      <c r="AM251" t="s">
        <v>2861</v>
      </c>
    </row>
    <row r="252" spans="1:39" x14ac:dyDescent="0.2">
      <c r="B252">
        <v>57709</v>
      </c>
      <c r="C252" t="s">
        <v>434</v>
      </c>
      <c r="D252" t="s">
        <v>725</v>
      </c>
      <c r="E252" t="s">
        <v>696</v>
      </c>
      <c r="F252" t="s">
        <v>34</v>
      </c>
      <c r="G252" t="s">
        <v>772</v>
      </c>
      <c r="H252" t="s">
        <v>3569</v>
      </c>
      <c r="I252" t="s">
        <v>1293</v>
      </c>
      <c r="J252" t="s">
        <v>434</v>
      </c>
      <c r="K252" t="s">
        <v>1659</v>
      </c>
      <c r="L252" t="s">
        <v>1660</v>
      </c>
      <c r="M252" t="s">
        <v>434</v>
      </c>
      <c r="N252" t="s">
        <v>310</v>
      </c>
      <c r="O252" t="s">
        <v>1296</v>
      </c>
      <c r="P252" t="s">
        <v>847</v>
      </c>
      <c r="Q252" t="s">
        <v>862</v>
      </c>
      <c r="R252" t="s">
        <v>1661</v>
      </c>
      <c r="S252">
        <v>2.2999999999999998</v>
      </c>
      <c r="T252" t="s">
        <v>794</v>
      </c>
      <c r="U252" t="s">
        <v>34</v>
      </c>
      <c r="V252" t="s">
        <v>1662</v>
      </c>
      <c r="W252" t="s">
        <v>1663</v>
      </c>
      <c r="X252" t="s">
        <v>1664</v>
      </c>
      <c r="AC252" t="s">
        <v>1665</v>
      </c>
      <c r="AD252" t="s">
        <v>767</v>
      </c>
      <c r="AE252" t="s">
        <v>768</v>
      </c>
      <c r="AF252" t="s">
        <v>585</v>
      </c>
      <c r="AG252" t="s">
        <v>1889</v>
      </c>
      <c r="AH252" t="s">
        <v>34</v>
      </c>
      <c r="AI252" t="s">
        <v>34</v>
      </c>
      <c r="AJ252" t="s">
        <v>34</v>
      </c>
      <c r="AK252" t="s">
        <v>34</v>
      </c>
      <c r="AL252" t="s">
        <v>2261</v>
      </c>
      <c r="AM252" t="s">
        <v>2861</v>
      </c>
    </row>
    <row r="253" spans="1:39" x14ac:dyDescent="0.2">
      <c r="A253">
        <v>1270689</v>
      </c>
      <c r="B253">
        <v>57709</v>
      </c>
      <c r="C253" t="s">
        <v>3070</v>
      </c>
      <c r="D253" t="s">
        <v>725</v>
      </c>
      <c r="E253" t="s">
        <v>696</v>
      </c>
      <c r="F253" t="s">
        <v>34</v>
      </c>
      <c r="G253" t="s">
        <v>772</v>
      </c>
      <c r="H253" t="s">
        <v>3577</v>
      </c>
      <c r="I253" t="s">
        <v>980</v>
      </c>
      <c r="J253" t="s">
        <v>1626</v>
      </c>
      <c r="K253" t="s">
        <v>1627</v>
      </c>
      <c r="L253" t="s">
        <v>1628</v>
      </c>
      <c r="M253" t="s">
        <v>3070</v>
      </c>
      <c r="N253" t="s">
        <v>310</v>
      </c>
      <c r="O253" t="s">
        <v>955</v>
      </c>
      <c r="P253" t="s">
        <v>955</v>
      </c>
      <c r="Q253" t="s">
        <v>828</v>
      </c>
      <c r="R253" t="s">
        <v>1629</v>
      </c>
      <c r="S253">
        <v>7875</v>
      </c>
      <c r="T253" t="s">
        <v>649</v>
      </c>
      <c r="U253">
        <v>1349393</v>
      </c>
      <c r="V253" t="s">
        <v>1630</v>
      </c>
      <c r="W253" t="s">
        <v>1631</v>
      </c>
      <c r="X253" t="s">
        <v>844</v>
      </c>
      <c r="Y253" t="s">
        <v>34</v>
      </c>
      <c r="Z253" t="s">
        <v>1632</v>
      </c>
      <c r="AA253" t="s">
        <v>1633</v>
      </c>
      <c r="AB253" t="s">
        <v>844</v>
      </c>
      <c r="AC253" t="s">
        <v>1634</v>
      </c>
      <c r="AD253" t="s">
        <v>767</v>
      </c>
      <c r="AE253" t="s">
        <v>768</v>
      </c>
      <c r="AF253" t="s">
        <v>585</v>
      </c>
      <c r="AG253" t="s">
        <v>34</v>
      </c>
      <c r="AH253" t="s">
        <v>34</v>
      </c>
      <c r="AI253" t="s">
        <v>34</v>
      </c>
      <c r="AJ253" t="s">
        <v>34</v>
      </c>
      <c r="AK253" t="s">
        <v>34</v>
      </c>
      <c r="AL253" t="s">
        <v>2261</v>
      </c>
      <c r="AM253" t="s">
        <v>2877</v>
      </c>
    </row>
    <row r="254" spans="1:39" x14ac:dyDescent="0.2">
      <c r="B254">
        <v>57709</v>
      </c>
      <c r="C254" t="s">
        <v>3167</v>
      </c>
      <c r="D254" t="s">
        <v>725</v>
      </c>
      <c r="E254" t="s">
        <v>696</v>
      </c>
      <c r="F254" t="s">
        <v>34</v>
      </c>
      <c r="G254" t="s">
        <v>772</v>
      </c>
      <c r="H254" t="s">
        <v>3577</v>
      </c>
      <c r="I254" t="s">
        <v>980</v>
      </c>
      <c r="J254" t="s">
        <v>1565</v>
      </c>
      <c r="K254" t="s">
        <v>1587</v>
      </c>
      <c r="L254">
        <v>1</v>
      </c>
      <c r="M254" t="s">
        <v>3058</v>
      </c>
      <c r="N254" t="s">
        <v>1602</v>
      </c>
      <c r="O254" t="s">
        <v>2689</v>
      </c>
      <c r="P254" t="s">
        <v>847</v>
      </c>
      <c r="Q254" t="s">
        <v>765</v>
      </c>
      <c r="R254" t="s">
        <v>3120</v>
      </c>
      <c r="S254">
        <v>13.9</v>
      </c>
      <c r="T254" t="s">
        <v>649</v>
      </c>
      <c r="U254">
        <v>1270020</v>
      </c>
      <c r="V254" t="s">
        <v>949</v>
      </c>
      <c r="W254" t="s">
        <v>2473</v>
      </c>
      <c r="X254" t="s">
        <v>2917</v>
      </c>
      <c r="Y254" t="s">
        <v>34</v>
      </c>
      <c r="Z254" t="s">
        <v>927</v>
      </c>
      <c r="AA254" t="s">
        <v>1566</v>
      </c>
      <c r="AB254" t="s">
        <v>2917</v>
      </c>
      <c r="AC254" t="s">
        <v>34</v>
      </c>
      <c r="AD254" t="s">
        <v>767</v>
      </c>
      <c r="AE254" t="s">
        <v>768</v>
      </c>
      <c r="AF254" t="s">
        <v>585</v>
      </c>
      <c r="AG254">
        <v>3</v>
      </c>
      <c r="AH254">
        <v>1</v>
      </c>
      <c r="AI254">
        <v>1</v>
      </c>
      <c r="AJ254" t="s">
        <v>34</v>
      </c>
      <c r="AK254" t="s">
        <v>34</v>
      </c>
      <c r="AL254" t="s">
        <v>2261</v>
      </c>
      <c r="AM254" t="s">
        <v>3009</v>
      </c>
    </row>
    <row r="255" spans="1:39" x14ac:dyDescent="0.2">
      <c r="B255">
        <v>57709</v>
      </c>
      <c r="C255" t="s">
        <v>3058</v>
      </c>
      <c r="D255" t="s">
        <v>725</v>
      </c>
      <c r="E255" t="s">
        <v>696</v>
      </c>
      <c r="F255" t="s">
        <v>34</v>
      </c>
      <c r="G255" t="s">
        <v>772</v>
      </c>
      <c r="H255" t="s">
        <v>3577</v>
      </c>
      <c r="I255" t="s">
        <v>980</v>
      </c>
      <c r="J255" t="s">
        <v>1565</v>
      </c>
      <c r="K255" t="s">
        <v>1587</v>
      </c>
      <c r="L255">
        <v>1</v>
      </c>
      <c r="M255" t="s">
        <v>3058</v>
      </c>
      <c r="N255" t="s">
        <v>3599</v>
      </c>
      <c r="O255" t="s">
        <v>2689</v>
      </c>
      <c r="P255" t="s">
        <v>2945</v>
      </c>
      <c r="Q255" t="s">
        <v>765</v>
      </c>
      <c r="R255" t="s">
        <v>3120</v>
      </c>
      <c r="S255">
        <v>13.9</v>
      </c>
      <c r="T255" t="s">
        <v>793</v>
      </c>
      <c r="U255">
        <v>1270020</v>
      </c>
      <c r="V255" t="s">
        <v>949</v>
      </c>
      <c r="W255" t="s">
        <v>2473</v>
      </c>
      <c r="X255" t="s">
        <v>2917</v>
      </c>
      <c r="Y255" t="s">
        <v>34</v>
      </c>
      <c r="Z255" t="s">
        <v>927</v>
      </c>
      <c r="AA255" t="s">
        <v>1566</v>
      </c>
      <c r="AB255" t="s">
        <v>2917</v>
      </c>
      <c r="AC255" t="s">
        <v>34</v>
      </c>
      <c r="AD255" t="s">
        <v>767</v>
      </c>
      <c r="AE255" t="s">
        <v>768</v>
      </c>
      <c r="AF255" t="s">
        <v>585</v>
      </c>
      <c r="AG255">
        <v>3</v>
      </c>
      <c r="AH255">
        <v>1</v>
      </c>
      <c r="AI255">
        <v>1</v>
      </c>
      <c r="AJ255" t="s">
        <v>34</v>
      </c>
      <c r="AK255" t="s">
        <v>34</v>
      </c>
      <c r="AL255" t="s">
        <v>2261</v>
      </c>
      <c r="AM255" t="s">
        <v>2862</v>
      </c>
    </row>
    <row r="256" spans="1:39" x14ac:dyDescent="0.2">
      <c r="A256">
        <v>1270547</v>
      </c>
      <c r="B256">
        <v>57709</v>
      </c>
      <c r="C256" t="s">
        <v>288</v>
      </c>
      <c r="D256" t="s">
        <v>725</v>
      </c>
      <c r="E256" t="s">
        <v>696</v>
      </c>
      <c r="F256" t="s">
        <v>34</v>
      </c>
      <c r="G256" t="s">
        <v>772</v>
      </c>
      <c r="H256" t="s">
        <v>3569</v>
      </c>
      <c r="I256" t="s">
        <v>980</v>
      </c>
      <c r="J256" t="s">
        <v>1565</v>
      </c>
      <c r="K256" t="s">
        <v>763</v>
      </c>
      <c r="L256">
        <v>2</v>
      </c>
      <c r="M256" t="s">
        <v>288</v>
      </c>
      <c r="N256" t="s">
        <v>3599</v>
      </c>
      <c r="O256" t="s">
        <v>1621</v>
      </c>
      <c r="P256" t="s">
        <v>2916</v>
      </c>
      <c r="Q256" t="s">
        <v>903</v>
      </c>
      <c r="R256" t="s">
        <v>1589</v>
      </c>
      <c r="S256">
        <v>400</v>
      </c>
      <c r="T256" t="s">
        <v>793</v>
      </c>
      <c r="U256">
        <v>1270003</v>
      </c>
      <c r="V256" t="s">
        <v>849</v>
      </c>
      <c r="W256" t="s">
        <v>1590</v>
      </c>
      <c r="X256" t="s">
        <v>2917</v>
      </c>
      <c r="Y256" t="s">
        <v>34</v>
      </c>
      <c r="Z256" t="s">
        <v>927</v>
      </c>
      <c r="AA256" t="s">
        <v>1566</v>
      </c>
      <c r="AB256" t="s">
        <v>2917</v>
      </c>
      <c r="AC256" t="s">
        <v>34</v>
      </c>
      <c r="AD256" t="s">
        <v>767</v>
      </c>
      <c r="AE256" t="s">
        <v>768</v>
      </c>
      <c r="AF256" t="s">
        <v>585</v>
      </c>
      <c r="AG256">
        <v>1.5</v>
      </c>
      <c r="AH256">
        <v>1</v>
      </c>
      <c r="AI256">
        <v>3</v>
      </c>
      <c r="AJ256" t="s">
        <v>2403</v>
      </c>
      <c r="AK256" t="s">
        <v>34</v>
      </c>
      <c r="AL256" t="s">
        <v>2261</v>
      </c>
      <c r="AM256" t="s">
        <v>2861</v>
      </c>
    </row>
    <row r="257" spans="1:39" x14ac:dyDescent="0.2">
      <c r="A257">
        <v>1270563</v>
      </c>
      <c r="B257">
        <v>57709</v>
      </c>
      <c r="C257" t="s">
        <v>289</v>
      </c>
      <c r="D257" t="s">
        <v>725</v>
      </c>
      <c r="E257" t="s">
        <v>696</v>
      </c>
      <c r="F257" t="s">
        <v>34</v>
      </c>
      <c r="G257" t="s">
        <v>772</v>
      </c>
      <c r="H257" t="s">
        <v>3569</v>
      </c>
      <c r="I257" t="s">
        <v>980</v>
      </c>
      <c r="J257" t="s">
        <v>1565</v>
      </c>
      <c r="K257" t="s">
        <v>996</v>
      </c>
      <c r="L257">
        <v>9321</v>
      </c>
      <c r="M257" t="s">
        <v>289</v>
      </c>
      <c r="N257" t="s">
        <v>3599</v>
      </c>
      <c r="O257" t="s">
        <v>1575</v>
      </c>
      <c r="P257" t="s">
        <v>2916</v>
      </c>
      <c r="Q257" t="s">
        <v>903</v>
      </c>
      <c r="R257" t="s">
        <v>3121</v>
      </c>
      <c r="S257">
        <v>640</v>
      </c>
      <c r="T257" t="s">
        <v>793</v>
      </c>
      <c r="U257">
        <v>1270002</v>
      </c>
      <c r="V257" t="s">
        <v>849</v>
      </c>
      <c r="W257" t="s">
        <v>1576</v>
      </c>
      <c r="X257" t="s">
        <v>2917</v>
      </c>
      <c r="Y257" t="s">
        <v>34</v>
      </c>
      <c r="Z257" t="s">
        <v>927</v>
      </c>
      <c r="AA257" t="s">
        <v>1566</v>
      </c>
      <c r="AB257" t="s">
        <v>2917</v>
      </c>
      <c r="AC257" t="s">
        <v>34</v>
      </c>
      <c r="AD257" t="s">
        <v>767</v>
      </c>
      <c r="AE257" t="s">
        <v>768</v>
      </c>
      <c r="AF257" t="s">
        <v>585</v>
      </c>
      <c r="AG257">
        <v>5.9</v>
      </c>
      <c r="AH257">
        <v>2</v>
      </c>
      <c r="AI257">
        <v>60</v>
      </c>
      <c r="AJ257" t="s">
        <v>34</v>
      </c>
      <c r="AK257" t="s">
        <v>34</v>
      </c>
      <c r="AL257" t="s">
        <v>2261</v>
      </c>
      <c r="AM257" t="s">
        <v>2861</v>
      </c>
    </row>
    <row r="258" spans="1:39" x14ac:dyDescent="0.2">
      <c r="A258">
        <v>1270691</v>
      </c>
      <c r="B258">
        <v>57709</v>
      </c>
      <c r="C258" t="s">
        <v>634</v>
      </c>
      <c r="D258" t="s">
        <v>725</v>
      </c>
      <c r="E258" t="s">
        <v>696</v>
      </c>
      <c r="F258" t="s">
        <v>34</v>
      </c>
      <c r="G258" t="s">
        <v>772</v>
      </c>
      <c r="H258" t="s">
        <v>3577</v>
      </c>
      <c r="I258" t="s">
        <v>980</v>
      </c>
      <c r="J258" t="s">
        <v>1609</v>
      </c>
      <c r="K258" t="s">
        <v>763</v>
      </c>
      <c r="L258">
        <v>4</v>
      </c>
      <c r="M258" t="s">
        <v>634</v>
      </c>
      <c r="N258" t="s">
        <v>1602</v>
      </c>
      <c r="O258" t="s">
        <v>1462</v>
      </c>
      <c r="P258" t="s">
        <v>847</v>
      </c>
      <c r="Q258" t="s">
        <v>903</v>
      </c>
      <c r="R258" t="s">
        <v>1610</v>
      </c>
      <c r="S258">
        <v>600</v>
      </c>
      <c r="T258" t="s">
        <v>649</v>
      </c>
      <c r="U258">
        <v>1270001</v>
      </c>
      <c r="V258" t="s">
        <v>849</v>
      </c>
      <c r="W258" t="s">
        <v>1611</v>
      </c>
      <c r="X258" t="s">
        <v>766</v>
      </c>
      <c r="Y258" t="s">
        <v>34</v>
      </c>
      <c r="Z258" t="s">
        <v>927</v>
      </c>
      <c r="AA258" t="s">
        <v>1612</v>
      </c>
      <c r="AB258" t="s">
        <v>766</v>
      </c>
      <c r="AC258" t="s">
        <v>34</v>
      </c>
      <c r="AD258" t="s">
        <v>767</v>
      </c>
      <c r="AE258" t="s">
        <v>768</v>
      </c>
      <c r="AF258" t="s">
        <v>585</v>
      </c>
      <c r="AG258">
        <v>4</v>
      </c>
      <c r="AJ258" t="s">
        <v>2404</v>
      </c>
      <c r="AK258" t="s">
        <v>2367</v>
      </c>
      <c r="AL258" t="s">
        <v>2261</v>
      </c>
      <c r="AM258" t="s">
        <v>2861</v>
      </c>
    </row>
    <row r="259" spans="1:39" x14ac:dyDescent="0.2">
      <c r="A259">
        <v>1270562</v>
      </c>
      <c r="B259">
        <v>57709</v>
      </c>
      <c r="C259" t="s">
        <v>283</v>
      </c>
      <c r="D259" t="s">
        <v>725</v>
      </c>
      <c r="E259" t="s">
        <v>696</v>
      </c>
      <c r="F259" t="s">
        <v>34</v>
      </c>
      <c r="G259" t="s">
        <v>772</v>
      </c>
      <c r="H259" t="s">
        <v>3569</v>
      </c>
      <c r="I259" t="s">
        <v>980</v>
      </c>
      <c r="J259" t="s">
        <v>1565</v>
      </c>
      <c r="K259" t="s">
        <v>763</v>
      </c>
      <c r="L259">
        <v>4</v>
      </c>
      <c r="M259" t="s">
        <v>283</v>
      </c>
      <c r="N259" t="s">
        <v>3599</v>
      </c>
      <c r="O259" t="s">
        <v>1666</v>
      </c>
      <c r="P259" t="s">
        <v>2916</v>
      </c>
      <c r="Q259" t="s">
        <v>903</v>
      </c>
      <c r="R259" t="s">
        <v>1610</v>
      </c>
      <c r="S259">
        <v>600</v>
      </c>
      <c r="T259" t="s">
        <v>793</v>
      </c>
      <c r="U259">
        <v>1270001</v>
      </c>
      <c r="V259" t="s">
        <v>849</v>
      </c>
      <c r="W259" t="s">
        <v>1611</v>
      </c>
      <c r="X259" t="s">
        <v>2917</v>
      </c>
      <c r="Y259" t="s">
        <v>34</v>
      </c>
      <c r="Z259" t="s">
        <v>927</v>
      </c>
      <c r="AA259" t="s">
        <v>1612</v>
      </c>
      <c r="AB259" t="s">
        <v>2917</v>
      </c>
      <c r="AC259" t="s">
        <v>34</v>
      </c>
      <c r="AD259" t="s">
        <v>767</v>
      </c>
      <c r="AE259" t="s">
        <v>768</v>
      </c>
      <c r="AF259" t="s">
        <v>585</v>
      </c>
      <c r="AG259">
        <v>4</v>
      </c>
      <c r="AJ259" t="s">
        <v>2404</v>
      </c>
      <c r="AK259" t="s">
        <v>2367</v>
      </c>
      <c r="AL259" t="s">
        <v>2261</v>
      </c>
      <c r="AM259" t="s">
        <v>2861</v>
      </c>
    </row>
    <row r="260" spans="1:39" x14ac:dyDescent="0.2">
      <c r="A260">
        <v>2713173</v>
      </c>
      <c r="B260">
        <v>57709</v>
      </c>
      <c r="C260" t="s">
        <v>285</v>
      </c>
      <c r="D260" t="s">
        <v>725</v>
      </c>
      <c r="E260" t="s">
        <v>696</v>
      </c>
      <c r="F260" t="s">
        <v>34</v>
      </c>
      <c r="G260" t="s">
        <v>772</v>
      </c>
      <c r="H260" t="s">
        <v>3569</v>
      </c>
      <c r="I260" t="s">
        <v>980</v>
      </c>
      <c r="J260" t="s">
        <v>2657</v>
      </c>
      <c r="K260" t="s">
        <v>3654</v>
      </c>
      <c r="L260">
        <v>5</v>
      </c>
      <c r="M260" t="s">
        <v>285</v>
      </c>
      <c r="N260" t="s">
        <v>310</v>
      </c>
      <c r="O260" t="s">
        <v>3655</v>
      </c>
      <c r="P260" t="s">
        <v>2916</v>
      </c>
      <c r="Q260" t="s">
        <v>903</v>
      </c>
      <c r="R260" t="s">
        <v>3656</v>
      </c>
      <c r="S260">
        <v>75</v>
      </c>
      <c r="T260" t="s">
        <v>649</v>
      </c>
      <c r="U260">
        <v>2716750</v>
      </c>
      <c r="V260" t="s">
        <v>1459</v>
      </c>
      <c r="W260" t="s">
        <v>3657</v>
      </c>
      <c r="X260" t="s">
        <v>2917</v>
      </c>
      <c r="AC260" t="s">
        <v>34</v>
      </c>
      <c r="AD260" t="s">
        <v>767</v>
      </c>
      <c r="AE260" t="s">
        <v>768</v>
      </c>
      <c r="AF260" t="s">
        <v>585</v>
      </c>
      <c r="AG260" t="s">
        <v>1889</v>
      </c>
      <c r="AH260" t="s">
        <v>34</v>
      </c>
      <c r="AI260" t="s">
        <v>34</v>
      </c>
      <c r="AJ260" t="s">
        <v>34</v>
      </c>
      <c r="AK260" t="s">
        <v>34</v>
      </c>
      <c r="AL260" t="s">
        <v>2261</v>
      </c>
      <c r="AM260" t="s">
        <v>2861</v>
      </c>
    </row>
    <row r="261" spans="1:39" x14ac:dyDescent="0.2">
      <c r="B261">
        <v>57709</v>
      </c>
      <c r="C261" t="s">
        <v>282</v>
      </c>
      <c r="D261" t="s">
        <v>725</v>
      </c>
      <c r="E261" t="s">
        <v>696</v>
      </c>
      <c r="F261" t="s">
        <v>34</v>
      </c>
      <c r="G261" t="s">
        <v>772</v>
      </c>
      <c r="H261" t="s">
        <v>3569</v>
      </c>
      <c r="I261" t="s">
        <v>980</v>
      </c>
      <c r="J261" t="s">
        <v>1609</v>
      </c>
      <c r="K261" t="s">
        <v>1121</v>
      </c>
      <c r="L261">
        <v>78700</v>
      </c>
      <c r="M261" t="s">
        <v>282</v>
      </c>
      <c r="N261" t="s">
        <v>3599</v>
      </c>
      <c r="O261" t="s">
        <v>1613</v>
      </c>
      <c r="P261" t="s">
        <v>2916</v>
      </c>
      <c r="Q261" t="s">
        <v>898</v>
      </c>
      <c r="R261" t="s">
        <v>1614</v>
      </c>
      <c r="S261">
        <v>180</v>
      </c>
      <c r="T261" t="s">
        <v>793</v>
      </c>
      <c r="U261" t="s">
        <v>34</v>
      </c>
      <c r="V261" t="s">
        <v>849</v>
      </c>
      <c r="W261" t="s">
        <v>1615</v>
      </c>
      <c r="X261" t="s">
        <v>2917</v>
      </c>
      <c r="Y261" t="s">
        <v>34</v>
      </c>
      <c r="Z261" t="s">
        <v>927</v>
      </c>
      <c r="AA261" t="s">
        <v>1566</v>
      </c>
      <c r="AB261" t="s">
        <v>2917</v>
      </c>
      <c r="AC261" t="s">
        <v>34</v>
      </c>
      <c r="AD261" t="s">
        <v>767</v>
      </c>
      <c r="AE261" t="s">
        <v>768</v>
      </c>
      <c r="AF261" t="s">
        <v>585</v>
      </c>
      <c r="AG261">
        <v>42.6</v>
      </c>
      <c r="AH261" t="s">
        <v>2339</v>
      </c>
      <c r="AI261">
        <v>68</v>
      </c>
      <c r="AJ261" t="s">
        <v>34</v>
      </c>
      <c r="AK261" t="s">
        <v>34</v>
      </c>
      <c r="AL261" t="s">
        <v>2261</v>
      </c>
      <c r="AM261" t="s">
        <v>2861</v>
      </c>
    </row>
    <row r="262" spans="1:39" x14ac:dyDescent="0.2">
      <c r="A262">
        <v>1270685</v>
      </c>
      <c r="B262">
        <v>57709</v>
      </c>
      <c r="C262" t="s">
        <v>2750</v>
      </c>
      <c r="D262" t="s">
        <v>725</v>
      </c>
      <c r="E262" t="s">
        <v>696</v>
      </c>
      <c r="F262" t="s">
        <v>34</v>
      </c>
      <c r="G262" t="s">
        <v>772</v>
      </c>
      <c r="H262" t="s">
        <v>3569</v>
      </c>
      <c r="I262" t="s">
        <v>980</v>
      </c>
      <c r="J262" t="s">
        <v>900</v>
      </c>
      <c r="K262" t="s">
        <v>2751</v>
      </c>
      <c r="L262" t="s">
        <v>2752</v>
      </c>
      <c r="M262" t="s">
        <v>2753</v>
      </c>
      <c r="N262" t="s">
        <v>1602</v>
      </c>
      <c r="O262" t="s">
        <v>2028</v>
      </c>
      <c r="P262" t="s">
        <v>847</v>
      </c>
      <c r="Q262" t="s">
        <v>2754</v>
      </c>
      <c r="R262" t="s">
        <v>2755</v>
      </c>
      <c r="S262">
        <v>141.6</v>
      </c>
      <c r="T262" t="s">
        <v>649</v>
      </c>
      <c r="U262">
        <v>1269998</v>
      </c>
      <c r="V262" t="s">
        <v>849</v>
      </c>
      <c r="W262" t="s">
        <v>2756</v>
      </c>
      <c r="X262" t="s">
        <v>766</v>
      </c>
      <c r="Y262" t="s">
        <v>34</v>
      </c>
      <c r="Z262" t="s">
        <v>927</v>
      </c>
      <c r="AA262" t="s">
        <v>1566</v>
      </c>
      <c r="AB262" t="s">
        <v>766</v>
      </c>
      <c r="AC262" t="s">
        <v>34</v>
      </c>
      <c r="AD262" t="s">
        <v>767</v>
      </c>
      <c r="AE262" t="s">
        <v>768</v>
      </c>
      <c r="AF262" t="s">
        <v>585</v>
      </c>
      <c r="AG262">
        <v>15.6</v>
      </c>
      <c r="AH262">
        <v>40</v>
      </c>
      <c r="AI262">
        <v>250</v>
      </c>
      <c r="AJ262" t="s">
        <v>34</v>
      </c>
      <c r="AK262" t="s">
        <v>34</v>
      </c>
      <c r="AL262" t="s">
        <v>2261</v>
      </c>
      <c r="AM262" t="s">
        <v>2878</v>
      </c>
    </row>
    <row r="263" spans="1:39" x14ac:dyDescent="0.2">
      <c r="B263">
        <v>57709</v>
      </c>
      <c r="C263" t="s">
        <v>280</v>
      </c>
      <c r="D263" t="s">
        <v>725</v>
      </c>
      <c r="E263" t="s">
        <v>696</v>
      </c>
      <c r="F263" t="s">
        <v>34</v>
      </c>
      <c r="G263" t="s">
        <v>772</v>
      </c>
      <c r="H263" t="s">
        <v>3569</v>
      </c>
      <c r="I263" t="s">
        <v>1293</v>
      </c>
      <c r="J263" t="s">
        <v>1609</v>
      </c>
      <c r="L263">
        <v>7</v>
      </c>
      <c r="M263" t="s">
        <v>280</v>
      </c>
      <c r="N263" t="s">
        <v>310</v>
      </c>
      <c r="O263" t="s">
        <v>1205</v>
      </c>
      <c r="P263" t="s">
        <v>847</v>
      </c>
      <c r="Q263" t="s">
        <v>898</v>
      </c>
      <c r="R263" t="s">
        <v>1616</v>
      </c>
      <c r="S263">
        <v>240</v>
      </c>
      <c r="T263" t="s">
        <v>794</v>
      </c>
      <c r="U263" t="s">
        <v>34</v>
      </c>
      <c r="V263" t="s">
        <v>992</v>
      </c>
      <c r="W263">
        <v>431103000</v>
      </c>
      <c r="X263" t="s">
        <v>766</v>
      </c>
      <c r="AC263" t="s">
        <v>34</v>
      </c>
      <c r="AD263" t="s">
        <v>767</v>
      </c>
      <c r="AE263" t="s">
        <v>768</v>
      </c>
      <c r="AF263" t="s">
        <v>585</v>
      </c>
      <c r="AG263">
        <v>2.5</v>
      </c>
      <c r="AH263">
        <v>2</v>
      </c>
      <c r="AI263">
        <v>2</v>
      </c>
      <c r="AJ263" t="s">
        <v>2405</v>
      </c>
      <c r="AK263" t="s">
        <v>2406</v>
      </c>
      <c r="AL263" t="s">
        <v>2261</v>
      </c>
      <c r="AM263" t="s">
        <v>2861</v>
      </c>
    </row>
    <row r="264" spans="1:39" x14ac:dyDescent="0.2">
      <c r="A264">
        <v>1507123</v>
      </c>
      <c r="B264">
        <v>57709</v>
      </c>
      <c r="C264" t="s">
        <v>2577</v>
      </c>
      <c r="D264" t="s">
        <v>725</v>
      </c>
      <c r="E264" t="s">
        <v>696</v>
      </c>
      <c r="F264" t="s">
        <v>34</v>
      </c>
      <c r="G264" t="s">
        <v>772</v>
      </c>
      <c r="H264" t="s">
        <v>3601</v>
      </c>
      <c r="I264" t="s">
        <v>980</v>
      </c>
      <c r="J264" t="s">
        <v>1609</v>
      </c>
      <c r="K264" t="s">
        <v>1466</v>
      </c>
      <c r="L264" t="s">
        <v>2578</v>
      </c>
      <c r="M264" t="s">
        <v>2577</v>
      </c>
      <c r="N264" t="s">
        <v>3599</v>
      </c>
      <c r="O264" t="s">
        <v>2025</v>
      </c>
      <c r="P264" t="s">
        <v>2916</v>
      </c>
      <c r="Q264" t="s">
        <v>2579</v>
      </c>
      <c r="R264" t="s">
        <v>2580</v>
      </c>
      <c r="S264">
        <v>601</v>
      </c>
      <c r="T264" t="s">
        <v>793</v>
      </c>
      <c r="U264">
        <v>2820497</v>
      </c>
      <c r="V264" t="s">
        <v>2581</v>
      </c>
      <c r="W264" t="s">
        <v>2582</v>
      </c>
      <c r="X264" t="s">
        <v>2917</v>
      </c>
      <c r="Y264" t="s">
        <v>34</v>
      </c>
      <c r="Z264" t="s">
        <v>2583</v>
      </c>
      <c r="AA264" t="s">
        <v>890</v>
      </c>
      <c r="AB264" t="s">
        <v>2917</v>
      </c>
      <c r="AC264" t="s">
        <v>34</v>
      </c>
      <c r="AD264" t="s">
        <v>767</v>
      </c>
      <c r="AE264" t="s">
        <v>768</v>
      </c>
      <c r="AF264" t="s">
        <v>585</v>
      </c>
      <c r="AG264" t="s">
        <v>1889</v>
      </c>
      <c r="AH264" t="s">
        <v>34</v>
      </c>
      <c r="AI264" t="s">
        <v>34</v>
      </c>
      <c r="AJ264" t="s">
        <v>34</v>
      </c>
      <c r="AK264" t="s">
        <v>34</v>
      </c>
      <c r="AL264" t="s">
        <v>2261</v>
      </c>
      <c r="AM264" t="s">
        <v>2861</v>
      </c>
    </row>
    <row r="265" spans="1:39" x14ac:dyDescent="0.2">
      <c r="A265">
        <v>1687963</v>
      </c>
      <c r="B265">
        <v>57709</v>
      </c>
      <c r="C265" t="s">
        <v>3158</v>
      </c>
      <c r="D265" t="s">
        <v>725</v>
      </c>
      <c r="E265" t="s">
        <v>696</v>
      </c>
      <c r="F265" t="s">
        <v>34</v>
      </c>
      <c r="G265" t="s">
        <v>772</v>
      </c>
      <c r="H265" t="s">
        <v>3159</v>
      </c>
      <c r="I265" t="s">
        <v>980</v>
      </c>
      <c r="J265" t="s">
        <v>1609</v>
      </c>
      <c r="K265" t="s">
        <v>1466</v>
      </c>
      <c r="L265" t="s">
        <v>2578</v>
      </c>
      <c r="M265" t="s">
        <v>2577</v>
      </c>
      <c r="N265" t="s">
        <v>1602</v>
      </c>
      <c r="O265" t="s">
        <v>2025</v>
      </c>
      <c r="P265" t="s">
        <v>2916</v>
      </c>
      <c r="Q265" t="s">
        <v>2579</v>
      </c>
      <c r="R265" t="s">
        <v>2580</v>
      </c>
      <c r="S265">
        <v>601</v>
      </c>
      <c r="T265" t="s">
        <v>649</v>
      </c>
      <c r="U265">
        <v>2820497</v>
      </c>
      <c r="V265" t="s">
        <v>2581</v>
      </c>
      <c r="W265" t="s">
        <v>2582</v>
      </c>
      <c r="X265" t="s">
        <v>2917</v>
      </c>
      <c r="Y265" t="s">
        <v>34</v>
      </c>
      <c r="Z265" t="s">
        <v>2583</v>
      </c>
      <c r="AA265" t="s">
        <v>890</v>
      </c>
      <c r="AB265" t="s">
        <v>2917</v>
      </c>
      <c r="AC265" t="s">
        <v>34</v>
      </c>
      <c r="AD265" t="s">
        <v>767</v>
      </c>
      <c r="AE265" t="s">
        <v>768</v>
      </c>
      <c r="AF265" t="s">
        <v>585</v>
      </c>
      <c r="AG265" t="s">
        <v>1889</v>
      </c>
      <c r="AH265" t="s">
        <v>34</v>
      </c>
      <c r="AI265" t="s">
        <v>34</v>
      </c>
      <c r="AJ265" t="s">
        <v>34</v>
      </c>
      <c r="AK265" t="s">
        <v>34</v>
      </c>
      <c r="AL265" t="s">
        <v>2261</v>
      </c>
      <c r="AM265" t="s">
        <v>2861</v>
      </c>
    </row>
    <row r="266" spans="1:39" x14ac:dyDescent="0.2">
      <c r="B266">
        <v>57709</v>
      </c>
      <c r="C266" t="s">
        <v>281</v>
      </c>
      <c r="D266" t="s">
        <v>725</v>
      </c>
      <c r="E266" t="s">
        <v>696</v>
      </c>
      <c r="F266" t="s">
        <v>34</v>
      </c>
      <c r="G266" t="s">
        <v>772</v>
      </c>
      <c r="H266" t="s">
        <v>3569</v>
      </c>
      <c r="I266" t="s">
        <v>1293</v>
      </c>
      <c r="J266" t="s">
        <v>1609</v>
      </c>
      <c r="K266" t="s">
        <v>763</v>
      </c>
      <c r="L266">
        <v>8</v>
      </c>
      <c r="M266" t="s">
        <v>281</v>
      </c>
      <c r="N266" t="s">
        <v>310</v>
      </c>
      <c r="O266" t="s">
        <v>1617</v>
      </c>
      <c r="P266" t="s">
        <v>847</v>
      </c>
      <c r="Q266" t="s">
        <v>903</v>
      </c>
      <c r="R266" t="s">
        <v>1616</v>
      </c>
      <c r="S266">
        <v>240</v>
      </c>
      <c r="T266" t="s">
        <v>794</v>
      </c>
      <c r="U266">
        <v>1269971</v>
      </c>
      <c r="V266" t="s">
        <v>1618</v>
      </c>
      <c r="W266" t="s">
        <v>1619</v>
      </c>
      <c r="X266" t="s">
        <v>766</v>
      </c>
      <c r="AC266" t="s">
        <v>34</v>
      </c>
      <c r="AD266" t="s">
        <v>767</v>
      </c>
      <c r="AE266" t="s">
        <v>768</v>
      </c>
      <c r="AF266" t="s">
        <v>585</v>
      </c>
      <c r="AG266">
        <v>4</v>
      </c>
      <c r="AJ266" t="s">
        <v>2404</v>
      </c>
      <c r="AK266" t="s">
        <v>34</v>
      </c>
      <c r="AL266" t="s">
        <v>2261</v>
      </c>
      <c r="AM266" t="s">
        <v>2861</v>
      </c>
    </row>
    <row r="267" spans="1:39" x14ac:dyDescent="0.2">
      <c r="A267">
        <v>1786953</v>
      </c>
      <c r="B267">
        <v>57709</v>
      </c>
      <c r="C267" t="s">
        <v>2714</v>
      </c>
      <c r="D267" t="s">
        <v>725</v>
      </c>
      <c r="E267" t="s">
        <v>696</v>
      </c>
      <c r="F267" t="s">
        <v>34</v>
      </c>
      <c r="G267" t="s">
        <v>772</v>
      </c>
      <c r="H267" t="s">
        <v>3569</v>
      </c>
      <c r="I267" t="s">
        <v>980</v>
      </c>
      <c r="J267" t="s">
        <v>366</v>
      </c>
      <c r="K267" t="s">
        <v>1051</v>
      </c>
      <c r="L267">
        <v>9</v>
      </c>
      <c r="M267" t="s">
        <v>290</v>
      </c>
      <c r="N267" t="s">
        <v>1602</v>
      </c>
      <c r="O267" t="s">
        <v>1584</v>
      </c>
      <c r="P267" t="s">
        <v>847</v>
      </c>
      <c r="Q267" t="s">
        <v>765</v>
      </c>
      <c r="R267" t="s">
        <v>1585</v>
      </c>
      <c r="S267">
        <v>73.900000000000006</v>
      </c>
      <c r="T267" t="s">
        <v>649</v>
      </c>
      <c r="U267">
        <v>1269970</v>
      </c>
      <c r="V267" t="s">
        <v>953</v>
      </c>
      <c r="W267" t="s">
        <v>1586</v>
      </c>
      <c r="X267" t="s">
        <v>766</v>
      </c>
      <c r="Y267" t="s">
        <v>34</v>
      </c>
      <c r="Z267" t="s">
        <v>1640</v>
      </c>
      <c r="AA267" t="s">
        <v>3208</v>
      </c>
      <c r="AB267" t="s">
        <v>766</v>
      </c>
      <c r="AC267" t="s">
        <v>34</v>
      </c>
      <c r="AD267" t="s">
        <v>767</v>
      </c>
      <c r="AE267" t="s">
        <v>768</v>
      </c>
      <c r="AF267" t="s">
        <v>585</v>
      </c>
      <c r="AG267">
        <v>0.8</v>
      </c>
      <c r="AH267">
        <v>4.05</v>
      </c>
      <c r="AI267">
        <v>1</v>
      </c>
      <c r="AJ267" t="s">
        <v>2402</v>
      </c>
      <c r="AK267" t="s">
        <v>34</v>
      </c>
      <c r="AL267" t="s">
        <v>2261</v>
      </c>
      <c r="AM267" t="s">
        <v>2878</v>
      </c>
    </row>
    <row r="268" spans="1:39" x14ac:dyDescent="0.2">
      <c r="A268">
        <v>1270566</v>
      </c>
      <c r="B268">
        <v>57709</v>
      </c>
      <c r="C268" t="s">
        <v>290</v>
      </c>
      <c r="D268" t="s">
        <v>725</v>
      </c>
      <c r="E268" t="s">
        <v>696</v>
      </c>
      <c r="F268" t="s">
        <v>34</v>
      </c>
      <c r="G268" t="s">
        <v>772</v>
      </c>
      <c r="H268" t="s">
        <v>3569</v>
      </c>
      <c r="I268" t="s">
        <v>1293</v>
      </c>
      <c r="J268" t="s">
        <v>366</v>
      </c>
      <c r="K268" t="s">
        <v>1051</v>
      </c>
      <c r="L268">
        <v>9</v>
      </c>
      <c r="M268" t="s">
        <v>290</v>
      </c>
      <c r="N268" t="s">
        <v>310</v>
      </c>
      <c r="O268" t="s">
        <v>1584</v>
      </c>
      <c r="P268" t="s">
        <v>2916</v>
      </c>
      <c r="Q268" t="s">
        <v>765</v>
      </c>
      <c r="R268" t="s">
        <v>1585</v>
      </c>
      <c r="S268">
        <v>73.900000000000006</v>
      </c>
      <c r="T268" t="s">
        <v>794</v>
      </c>
      <c r="U268">
        <v>1269970</v>
      </c>
      <c r="V268" t="s">
        <v>953</v>
      </c>
      <c r="W268" t="s">
        <v>1586</v>
      </c>
      <c r="X268" t="s">
        <v>2917</v>
      </c>
      <c r="Y268" t="s">
        <v>34</v>
      </c>
      <c r="Z268" t="s">
        <v>3071</v>
      </c>
      <c r="AA268" t="s">
        <v>3208</v>
      </c>
      <c r="AB268" t="s">
        <v>2917</v>
      </c>
      <c r="AC268" t="s">
        <v>34</v>
      </c>
      <c r="AD268" t="s">
        <v>767</v>
      </c>
      <c r="AE268" t="s">
        <v>768</v>
      </c>
      <c r="AF268" t="s">
        <v>585</v>
      </c>
      <c r="AG268">
        <v>0.8</v>
      </c>
      <c r="AH268">
        <v>4.05</v>
      </c>
      <c r="AI268">
        <v>1</v>
      </c>
      <c r="AJ268" t="s">
        <v>2402</v>
      </c>
      <c r="AK268" t="s">
        <v>34</v>
      </c>
      <c r="AL268" t="s">
        <v>2261</v>
      </c>
      <c r="AM268" t="s">
        <v>2864</v>
      </c>
    </row>
    <row r="269" spans="1:39" x14ac:dyDescent="0.2">
      <c r="A269">
        <v>1289136</v>
      </c>
      <c r="B269">
        <v>57709</v>
      </c>
      <c r="C269" t="s">
        <v>659</v>
      </c>
      <c r="D269" t="s">
        <v>725</v>
      </c>
      <c r="E269" t="s">
        <v>696</v>
      </c>
      <c r="F269" t="s">
        <v>34</v>
      </c>
      <c r="G269" t="s">
        <v>772</v>
      </c>
      <c r="H269" t="s">
        <v>3577</v>
      </c>
      <c r="I269" t="s">
        <v>980</v>
      </c>
      <c r="J269" t="s">
        <v>1577</v>
      </c>
      <c r="K269" t="s">
        <v>1578</v>
      </c>
      <c r="L269" t="s">
        <v>1607</v>
      </c>
      <c r="M269" t="s">
        <v>1608</v>
      </c>
      <c r="N269" t="s">
        <v>1602</v>
      </c>
      <c r="O269" t="s">
        <v>3099</v>
      </c>
      <c r="P269" t="s">
        <v>847</v>
      </c>
      <c r="Q269" t="s">
        <v>903</v>
      </c>
      <c r="R269" t="s">
        <v>1580</v>
      </c>
      <c r="S269">
        <v>630</v>
      </c>
      <c r="T269" t="s">
        <v>649</v>
      </c>
      <c r="U269">
        <v>1270009</v>
      </c>
      <c r="V269" t="s">
        <v>849</v>
      </c>
      <c r="W269" t="s">
        <v>1581</v>
      </c>
      <c r="X269" t="s">
        <v>766</v>
      </c>
      <c r="Y269" t="s">
        <v>34</v>
      </c>
      <c r="Z269" t="s">
        <v>927</v>
      </c>
      <c r="AA269" t="s">
        <v>1582</v>
      </c>
      <c r="AB269" t="s">
        <v>766</v>
      </c>
      <c r="AC269" t="s">
        <v>1583</v>
      </c>
      <c r="AD269" t="s">
        <v>767</v>
      </c>
      <c r="AE269" t="s">
        <v>768</v>
      </c>
      <c r="AF269" t="s">
        <v>585</v>
      </c>
      <c r="AG269">
        <v>17</v>
      </c>
      <c r="AH269">
        <v>10</v>
      </c>
      <c r="AI269">
        <v>60</v>
      </c>
      <c r="AJ269" t="s">
        <v>2401</v>
      </c>
      <c r="AK269" t="s">
        <v>34</v>
      </c>
      <c r="AL269" t="s">
        <v>2261</v>
      </c>
      <c r="AM269" t="s">
        <v>2878</v>
      </c>
    </row>
    <row r="270" spans="1:39" x14ac:dyDescent="0.2">
      <c r="A270">
        <v>1270564</v>
      </c>
      <c r="B270">
        <v>57709</v>
      </c>
      <c r="C270" t="s">
        <v>291</v>
      </c>
      <c r="D270" t="s">
        <v>725</v>
      </c>
      <c r="E270" t="s">
        <v>696</v>
      </c>
      <c r="F270" t="s">
        <v>34</v>
      </c>
      <c r="G270" t="s">
        <v>772</v>
      </c>
      <c r="H270" t="s">
        <v>3569</v>
      </c>
      <c r="I270" t="s">
        <v>980</v>
      </c>
      <c r="J270" t="s">
        <v>1577</v>
      </c>
      <c r="K270" t="s">
        <v>1578</v>
      </c>
      <c r="L270" t="s">
        <v>1579</v>
      </c>
      <c r="M270" t="s">
        <v>291</v>
      </c>
      <c r="N270" t="s">
        <v>3599</v>
      </c>
      <c r="O270" t="s">
        <v>3115</v>
      </c>
      <c r="P270" t="s">
        <v>2916</v>
      </c>
      <c r="Q270" t="s">
        <v>903</v>
      </c>
      <c r="R270" t="s">
        <v>1580</v>
      </c>
      <c r="S270">
        <v>630</v>
      </c>
      <c r="T270" t="s">
        <v>793</v>
      </c>
      <c r="U270">
        <v>1270009</v>
      </c>
      <c r="V270" t="s">
        <v>849</v>
      </c>
      <c r="W270" t="s">
        <v>1581</v>
      </c>
      <c r="X270" t="s">
        <v>2917</v>
      </c>
      <c r="Y270" t="s">
        <v>34</v>
      </c>
      <c r="Z270" t="s">
        <v>927</v>
      </c>
      <c r="AA270" t="s">
        <v>1582</v>
      </c>
      <c r="AB270" t="s">
        <v>2917</v>
      </c>
      <c r="AC270" t="s">
        <v>1583</v>
      </c>
      <c r="AD270" t="s">
        <v>767</v>
      </c>
      <c r="AE270" t="s">
        <v>768</v>
      </c>
      <c r="AF270" t="s">
        <v>585</v>
      </c>
      <c r="AG270">
        <v>17</v>
      </c>
      <c r="AH270">
        <v>10</v>
      </c>
      <c r="AI270">
        <v>60</v>
      </c>
      <c r="AJ270" t="s">
        <v>2401</v>
      </c>
      <c r="AK270" t="s">
        <v>34</v>
      </c>
      <c r="AL270" t="s">
        <v>2261</v>
      </c>
      <c r="AM270" t="s">
        <v>2861</v>
      </c>
    </row>
    <row r="271" spans="1:39" x14ac:dyDescent="0.2">
      <c r="A271">
        <v>1270608</v>
      </c>
      <c r="B271">
        <v>57709</v>
      </c>
      <c r="C271" t="s">
        <v>3160</v>
      </c>
      <c r="D271" t="s">
        <v>725</v>
      </c>
      <c r="E271" t="s">
        <v>696</v>
      </c>
      <c r="F271" t="s">
        <v>34</v>
      </c>
      <c r="G271" t="s">
        <v>772</v>
      </c>
      <c r="H271" t="s">
        <v>3569</v>
      </c>
      <c r="I271" t="s">
        <v>1293</v>
      </c>
      <c r="J271" t="s">
        <v>367</v>
      </c>
      <c r="K271" t="s">
        <v>1567</v>
      </c>
      <c r="L271" t="s">
        <v>1568</v>
      </c>
      <c r="M271" t="s">
        <v>3160</v>
      </c>
      <c r="N271" t="s">
        <v>310</v>
      </c>
      <c r="O271" t="s">
        <v>1569</v>
      </c>
      <c r="P271" t="s">
        <v>847</v>
      </c>
      <c r="Q271" t="s">
        <v>765</v>
      </c>
      <c r="R271" t="s">
        <v>1570</v>
      </c>
      <c r="S271">
        <v>564.6</v>
      </c>
      <c r="T271" t="s">
        <v>794</v>
      </c>
      <c r="U271">
        <v>1546356</v>
      </c>
      <c r="V271" t="s">
        <v>1571</v>
      </c>
      <c r="W271" t="s">
        <v>1572</v>
      </c>
      <c r="X271" t="s">
        <v>766</v>
      </c>
      <c r="Y271" t="s">
        <v>34</v>
      </c>
      <c r="Z271" t="s">
        <v>3025</v>
      </c>
      <c r="AA271">
        <v>12347135</v>
      </c>
      <c r="AB271" t="s">
        <v>766</v>
      </c>
      <c r="AC271" t="s">
        <v>1545</v>
      </c>
      <c r="AD271" t="s">
        <v>767</v>
      </c>
      <c r="AE271" t="s">
        <v>768</v>
      </c>
      <c r="AF271" t="s">
        <v>585</v>
      </c>
      <c r="AG271" t="s">
        <v>1889</v>
      </c>
      <c r="AH271" t="s">
        <v>34</v>
      </c>
      <c r="AI271" t="s">
        <v>34</v>
      </c>
      <c r="AJ271" t="s">
        <v>34</v>
      </c>
      <c r="AK271" t="s">
        <v>34</v>
      </c>
      <c r="AL271" t="s">
        <v>2261</v>
      </c>
      <c r="AM271" t="s">
        <v>2862</v>
      </c>
    </row>
    <row r="272" spans="1:39" x14ac:dyDescent="0.2">
      <c r="A272">
        <v>1270523</v>
      </c>
      <c r="B272">
        <v>57709</v>
      </c>
      <c r="C272" t="s">
        <v>3161</v>
      </c>
      <c r="D272" t="s">
        <v>725</v>
      </c>
      <c r="E272" t="s">
        <v>696</v>
      </c>
      <c r="F272" t="s">
        <v>34</v>
      </c>
      <c r="G272" t="s">
        <v>772</v>
      </c>
      <c r="H272" t="s">
        <v>3577</v>
      </c>
      <c r="I272" t="s">
        <v>1293</v>
      </c>
      <c r="J272" t="s">
        <v>367</v>
      </c>
      <c r="K272" t="s">
        <v>1567</v>
      </c>
      <c r="L272" t="s">
        <v>1568</v>
      </c>
      <c r="M272" t="s">
        <v>3160</v>
      </c>
      <c r="N272" t="s">
        <v>310</v>
      </c>
      <c r="O272" t="s">
        <v>1569</v>
      </c>
      <c r="P272" t="s">
        <v>847</v>
      </c>
      <c r="Q272" t="s">
        <v>765</v>
      </c>
      <c r="R272" t="s">
        <v>1570</v>
      </c>
      <c r="S272">
        <v>564.6</v>
      </c>
      <c r="T272" t="s">
        <v>649</v>
      </c>
      <c r="U272">
        <v>1546356</v>
      </c>
      <c r="V272" t="s">
        <v>2896</v>
      </c>
      <c r="W272" t="s">
        <v>1572</v>
      </c>
      <c r="X272" t="s">
        <v>892</v>
      </c>
      <c r="Y272" t="s">
        <v>34</v>
      </c>
      <c r="Z272" t="s">
        <v>1573</v>
      </c>
      <c r="AA272" t="s">
        <v>1574</v>
      </c>
      <c r="AB272" t="s">
        <v>766</v>
      </c>
      <c r="AC272" t="s">
        <v>2897</v>
      </c>
      <c r="AD272" t="s">
        <v>767</v>
      </c>
      <c r="AE272" t="s">
        <v>768</v>
      </c>
      <c r="AF272" t="s">
        <v>585</v>
      </c>
      <c r="AG272" t="s">
        <v>1889</v>
      </c>
      <c r="AH272" t="s">
        <v>34</v>
      </c>
      <c r="AI272" t="s">
        <v>34</v>
      </c>
      <c r="AJ272" t="s">
        <v>34</v>
      </c>
      <c r="AK272" t="s">
        <v>34</v>
      </c>
      <c r="AL272" t="s">
        <v>2261</v>
      </c>
      <c r="AM272" t="s">
        <v>2878</v>
      </c>
    </row>
    <row r="273" spans="1:39" x14ac:dyDescent="0.2">
      <c r="A273">
        <v>1349195</v>
      </c>
      <c r="B273">
        <v>57709</v>
      </c>
      <c r="C273" t="s">
        <v>2819</v>
      </c>
      <c r="D273" t="s">
        <v>725</v>
      </c>
      <c r="E273" t="s">
        <v>696</v>
      </c>
      <c r="F273" t="s">
        <v>34</v>
      </c>
      <c r="G273" t="s">
        <v>772</v>
      </c>
      <c r="H273" t="s">
        <v>3601</v>
      </c>
      <c r="I273" t="s">
        <v>980</v>
      </c>
      <c r="J273" t="s">
        <v>2820</v>
      </c>
      <c r="K273" t="s">
        <v>2821</v>
      </c>
      <c r="L273" t="s">
        <v>2822</v>
      </c>
      <c r="M273" t="s">
        <v>2823</v>
      </c>
      <c r="N273" t="s">
        <v>1602</v>
      </c>
      <c r="O273" t="s">
        <v>2824</v>
      </c>
      <c r="P273" t="s">
        <v>847</v>
      </c>
      <c r="Q273" t="s">
        <v>2579</v>
      </c>
      <c r="R273" t="s">
        <v>2825</v>
      </c>
      <c r="S273">
        <v>538.70000000000005</v>
      </c>
      <c r="T273" t="s">
        <v>649</v>
      </c>
      <c r="U273">
        <v>1270007</v>
      </c>
      <c r="V273" t="s">
        <v>1118</v>
      </c>
      <c r="W273" t="s">
        <v>2826</v>
      </c>
      <c r="X273" t="s">
        <v>766</v>
      </c>
      <c r="Y273" t="s">
        <v>34</v>
      </c>
      <c r="Z273" t="s">
        <v>1640</v>
      </c>
      <c r="AA273">
        <v>12347139</v>
      </c>
      <c r="AB273" t="s">
        <v>766</v>
      </c>
      <c r="AC273" t="s">
        <v>2827</v>
      </c>
      <c r="AD273" t="s">
        <v>767</v>
      </c>
      <c r="AE273" t="s">
        <v>768</v>
      </c>
      <c r="AF273" t="s">
        <v>585</v>
      </c>
      <c r="AG273">
        <v>123</v>
      </c>
      <c r="AH273">
        <v>2.62</v>
      </c>
      <c r="AI273">
        <v>1.6</v>
      </c>
      <c r="AL273" t="s">
        <v>2261</v>
      </c>
      <c r="AM273" t="s">
        <v>2878</v>
      </c>
    </row>
    <row r="274" spans="1:39" x14ac:dyDescent="0.2">
      <c r="A274">
        <v>1270688</v>
      </c>
      <c r="B274">
        <v>57709</v>
      </c>
      <c r="C274" t="s">
        <v>2656</v>
      </c>
      <c r="D274" t="s">
        <v>725</v>
      </c>
      <c r="E274" t="s">
        <v>696</v>
      </c>
      <c r="F274" t="s">
        <v>34</v>
      </c>
      <c r="G274" t="s">
        <v>772</v>
      </c>
      <c r="H274" t="s">
        <v>3569</v>
      </c>
      <c r="I274" t="s">
        <v>980</v>
      </c>
      <c r="J274" t="s">
        <v>2657</v>
      </c>
      <c r="K274" t="s">
        <v>1636</v>
      </c>
      <c r="L274" t="s">
        <v>1637</v>
      </c>
      <c r="M274" t="s">
        <v>1625</v>
      </c>
      <c r="N274" t="s">
        <v>310</v>
      </c>
      <c r="O274" t="s">
        <v>3116</v>
      </c>
      <c r="P274" t="s">
        <v>847</v>
      </c>
      <c r="Q274" t="s">
        <v>765</v>
      </c>
      <c r="R274" t="s">
        <v>1638</v>
      </c>
      <c r="S274">
        <v>528</v>
      </c>
      <c r="T274" t="s">
        <v>794</v>
      </c>
      <c r="U274">
        <v>1270006</v>
      </c>
      <c r="V274" t="s">
        <v>1118</v>
      </c>
      <c r="W274" t="s">
        <v>1639</v>
      </c>
      <c r="X274" t="s">
        <v>766</v>
      </c>
      <c r="Y274" t="s">
        <v>34</v>
      </c>
      <c r="Z274" t="s">
        <v>1640</v>
      </c>
      <c r="AA274" t="s">
        <v>2661</v>
      </c>
      <c r="AB274" t="s">
        <v>766</v>
      </c>
      <c r="AC274" t="s">
        <v>34</v>
      </c>
      <c r="AD274" t="s">
        <v>767</v>
      </c>
      <c r="AE274" t="s">
        <v>768</v>
      </c>
      <c r="AF274" t="s">
        <v>585</v>
      </c>
      <c r="AG274">
        <v>25</v>
      </c>
      <c r="AH274">
        <v>8</v>
      </c>
      <c r="AI274">
        <v>385</v>
      </c>
      <c r="AJ274" t="s">
        <v>2400</v>
      </c>
      <c r="AK274" t="s">
        <v>34</v>
      </c>
      <c r="AL274" t="s">
        <v>2261</v>
      </c>
      <c r="AM274" t="s">
        <v>2864</v>
      </c>
    </row>
    <row r="275" spans="1:39" x14ac:dyDescent="0.2">
      <c r="A275">
        <v>1667018</v>
      </c>
      <c r="B275">
        <v>57709</v>
      </c>
      <c r="C275" t="s">
        <v>2658</v>
      </c>
      <c r="D275" t="s">
        <v>725</v>
      </c>
      <c r="E275" t="s">
        <v>696</v>
      </c>
      <c r="F275" t="s">
        <v>34</v>
      </c>
      <c r="G275" t="s">
        <v>772</v>
      </c>
      <c r="H275" t="s">
        <v>3577</v>
      </c>
      <c r="I275" t="s">
        <v>980</v>
      </c>
      <c r="J275" t="s">
        <v>2659</v>
      </c>
      <c r="K275" t="s">
        <v>1636</v>
      </c>
      <c r="L275" t="s">
        <v>1637</v>
      </c>
      <c r="M275" t="s">
        <v>1625</v>
      </c>
      <c r="N275" t="s">
        <v>1602</v>
      </c>
      <c r="O275" t="s">
        <v>3116</v>
      </c>
      <c r="P275" t="s">
        <v>847</v>
      </c>
      <c r="Q275" t="s">
        <v>765</v>
      </c>
      <c r="R275" t="s">
        <v>1638</v>
      </c>
      <c r="S275">
        <v>528</v>
      </c>
      <c r="T275" t="s">
        <v>649</v>
      </c>
      <c r="U275">
        <v>1270006</v>
      </c>
      <c r="V275" t="s">
        <v>1118</v>
      </c>
      <c r="W275" t="s">
        <v>1639</v>
      </c>
      <c r="X275" t="s">
        <v>766</v>
      </c>
      <c r="Y275" t="s">
        <v>34</v>
      </c>
      <c r="Z275" t="s">
        <v>1640</v>
      </c>
      <c r="AA275" t="s">
        <v>2661</v>
      </c>
      <c r="AB275" t="s">
        <v>766</v>
      </c>
      <c r="AC275" t="s">
        <v>34</v>
      </c>
      <c r="AD275" t="s">
        <v>767</v>
      </c>
      <c r="AE275" t="s">
        <v>768</v>
      </c>
      <c r="AF275" t="s">
        <v>585</v>
      </c>
      <c r="AG275">
        <v>25</v>
      </c>
      <c r="AH275">
        <v>8</v>
      </c>
      <c r="AI275">
        <v>385</v>
      </c>
      <c r="AJ275" t="s">
        <v>2400</v>
      </c>
      <c r="AK275" t="s">
        <v>34</v>
      </c>
      <c r="AL275" t="s">
        <v>2261</v>
      </c>
      <c r="AM275" t="s">
        <v>2878</v>
      </c>
    </row>
    <row r="276" spans="1:39" x14ac:dyDescent="0.2">
      <c r="A276">
        <v>1651247</v>
      </c>
      <c r="B276">
        <v>57709</v>
      </c>
      <c r="C276" t="s">
        <v>1113</v>
      </c>
      <c r="D276" t="s">
        <v>725</v>
      </c>
      <c r="E276" t="s">
        <v>696</v>
      </c>
      <c r="F276" t="s">
        <v>34</v>
      </c>
      <c r="G276" t="s">
        <v>772</v>
      </c>
      <c r="H276" t="s">
        <v>3601</v>
      </c>
      <c r="I276" t="s">
        <v>980</v>
      </c>
      <c r="J276" t="s">
        <v>1867</v>
      </c>
      <c r="K276" t="s">
        <v>2850</v>
      </c>
      <c r="L276" t="s">
        <v>2851</v>
      </c>
      <c r="M276" t="s">
        <v>2852</v>
      </c>
      <c r="N276" t="s">
        <v>3573</v>
      </c>
      <c r="O276" t="s">
        <v>1569</v>
      </c>
      <c r="P276" t="s">
        <v>2916</v>
      </c>
      <c r="Q276" t="s">
        <v>2579</v>
      </c>
      <c r="R276" t="s">
        <v>3127</v>
      </c>
      <c r="S276">
        <v>692.5</v>
      </c>
      <c r="T276" t="s">
        <v>792</v>
      </c>
      <c r="U276">
        <v>1651275</v>
      </c>
      <c r="V276" t="s">
        <v>1118</v>
      </c>
      <c r="W276" t="s">
        <v>2854</v>
      </c>
      <c r="X276" t="s">
        <v>2917</v>
      </c>
      <c r="Y276" t="s">
        <v>34</v>
      </c>
      <c r="Z276" t="s">
        <v>1640</v>
      </c>
      <c r="AA276">
        <v>19134057</v>
      </c>
      <c r="AB276" t="s">
        <v>2917</v>
      </c>
      <c r="AC276" t="s">
        <v>34</v>
      </c>
      <c r="AD276" t="s">
        <v>767</v>
      </c>
      <c r="AE276" t="s">
        <v>768</v>
      </c>
      <c r="AF276" t="s">
        <v>585</v>
      </c>
      <c r="AG276">
        <v>25.6</v>
      </c>
      <c r="AH276">
        <v>8</v>
      </c>
      <c r="AI276">
        <v>385</v>
      </c>
      <c r="AL276" t="s">
        <v>34</v>
      </c>
      <c r="AM276" t="s">
        <v>2861</v>
      </c>
    </row>
    <row r="277" spans="1:39" x14ac:dyDescent="0.2">
      <c r="A277">
        <v>1651290</v>
      </c>
      <c r="B277">
        <v>57709</v>
      </c>
      <c r="C277" t="s">
        <v>2855</v>
      </c>
      <c r="D277" t="s">
        <v>725</v>
      </c>
      <c r="E277" t="s">
        <v>696</v>
      </c>
      <c r="F277" t="s">
        <v>34</v>
      </c>
      <c r="G277" t="s">
        <v>772</v>
      </c>
      <c r="H277" t="s">
        <v>3601</v>
      </c>
      <c r="I277" t="s">
        <v>980</v>
      </c>
      <c r="J277" t="s">
        <v>1867</v>
      </c>
      <c r="K277" t="s">
        <v>2850</v>
      </c>
      <c r="L277" t="s">
        <v>2851</v>
      </c>
      <c r="M277" t="s">
        <v>2852</v>
      </c>
      <c r="N277" t="s">
        <v>1602</v>
      </c>
      <c r="O277" t="s">
        <v>1569</v>
      </c>
      <c r="P277" t="s">
        <v>847</v>
      </c>
      <c r="Q277" t="s">
        <v>2579</v>
      </c>
      <c r="R277" t="s">
        <v>2853</v>
      </c>
      <c r="S277">
        <v>722.1</v>
      </c>
      <c r="T277" t="s">
        <v>649</v>
      </c>
      <c r="U277">
        <v>1651275</v>
      </c>
      <c r="V277" t="s">
        <v>1118</v>
      </c>
      <c r="W277" t="s">
        <v>2854</v>
      </c>
      <c r="X277" t="s">
        <v>766</v>
      </c>
      <c r="Y277" t="s">
        <v>34</v>
      </c>
      <c r="Z277" t="s">
        <v>1640</v>
      </c>
      <c r="AA277">
        <v>19134057</v>
      </c>
      <c r="AB277" t="s">
        <v>766</v>
      </c>
      <c r="AC277" t="s">
        <v>2827</v>
      </c>
      <c r="AD277" t="s">
        <v>767</v>
      </c>
      <c r="AE277" t="s">
        <v>768</v>
      </c>
      <c r="AF277" t="s">
        <v>585</v>
      </c>
      <c r="AG277">
        <v>25.6</v>
      </c>
      <c r="AH277">
        <v>8</v>
      </c>
      <c r="AI277">
        <v>385</v>
      </c>
      <c r="AL277" t="s">
        <v>34</v>
      </c>
      <c r="AM277" t="s">
        <v>2878</v>
      </c>
    </row>
    <row r="278" spans="1:39" x14ac:dyDescent="0.2">
      <c r="B278">
        <v>57709</v>
      </c>
      <c r="C278" t="s">
        <v>3001</v>
      </c>
      <c r="D278" t="s">
        <v>725</v>
      </c>
      <c r="E278" t="s">
        <v>696</v>
      </c>
      <c r="F278" t="s">
        <v>34</v>
      </c>
      <c r="G278" t="s">
        <v>772</v>
      </c>
      <c r="H278" t="s">
        <v>3601</v>
      </c>
      <c r="I278" t="s">
        <v>980</v>
      </c>
      <c r="J278" t="s">
        <v>1867</v>
      </c>
      <c r="K278" t="s">
        <v>2850</v>
      </c>
      <c r="L278" t="s">
        <v>3002</v>
      </c>
      <c r="M278" t="s">
        <v>3003</v>
      </c>
      <c r="N278" t="s">
        <v>1602</v>
      </c>
      <c r="O278" t="s">
        <v>1569</v>
      </c>
      <c r="P278" t="s">
        <v>2916</v>
      </c>
      <c r="Q278" t="s">
        <v>2579</v>
      </c>
      <c r="R278" t="s">
        <v>3004</v>
      </c>
      <c r="S278">
        <v>781.4</v>
      </c>
      <c r="T278" t="s">
        <v>649</v>
      </c>
      <c r="U278">
        <v>1750138</v>
      </c>
      <c r="V278" t="s">
        <v>1118</v>
      </c>
      <c r="W278" t="s">
        <v>3005</v>
      </c>
      <c r="X278" t="s">
        <v>2917</v>
      </c>
      <c r="Y278" t="s">
        <v>34</v>
      </c>
      <c r="Z278" t="s">
        <v>3006</v>
      </c>
      <c r="AA278">
        <v>16455738</v>
      </c>
      <c r="AB278" t="s">
        <v>2917</v>
      </c>
      <c r="AC278" t="s">
        <v>3007</v>
      </c>
      <c r="AD278" t="s">
        <v>767</v>
      </c>
      <c r="AE278" t="s">
        <v>768</v>
      </c>
      <c r="AF278" t="s">
        <v>585</v>
      </c>
      <c r="AG278">
        <v>25</v>
      </c>
      <c r="AH278">
        <v>8</v>
      </c>
      <c r="AI278">
        <v>385</v>
      </c>
      <c r="AJ278" t="s">
        <v>3008</v>
      </c>
      <c r="AL278" t="s">
        <v>34</v>
      </c>
      <c r="AM278" t="s">
        <v>3009</v>
      </c>
    </row>
    <row r="279" spans="1:39" x14ac:dyDescent="0.2">
      <c r="A279">
        <v>1750136</v>
      </c>
      <c r="B279">
        <v>57709</v>
      </c>
      <c r="C279" t="s">
        <v>1109</v>
      </c>
      <c r="D279" t="s">
        <v>725</v>
      </c>
      <c r="E279" t="s">
        <v>696</v>
      </c>
      <c r="F279" t="s">
        <v>34</v>
      </c>
      <c r="G279" t="s">
        <v>772</v>
      </c>
      <c r="H279" t="s">
        <v>3601</v>
      </c>
      <c r="I279" t="s">
        <v>980</v>
      </c>
      <c r="J279" t="s">
        <v>1867</v>
      </c>
      <c r="K279" t="s">
        <v>2850</v>
      </c>
      <c r="L279" t="s">
        <v>3002</v>
      </c>
      <c r="M279" t="s">
        <v>3003</v>
      </c>
      <c r="N279" t="s">
        <v>3573</v>
      </c>
      <c r="O279" t="s">
        <v>1569</v>
      </c>
      <c r="P279" t="s">
        <v>2916</v>
      </c>
      <c r="Q279" t="s">
        <v>2579</v>
      </c>
      <c r="R279" t="s">
        <v>3004</v>
      </c>
      <c r="S279">
        <v>781.4</v>
      </c>
      <c r="T279" t="s">
        <v>792</v>
      </c>
      <c r="U279">
        <v>1750138</v>
      </c>
      <c r="V279" t="s">
        <v>1118</v>
      </c>
      <c r="W279" t="s">
        <v>3005</v>
      </c>
      <c r="X279" t="s">
        <v>2917</v>
      </c>
      <c r="Y279" t="s">
        <v>34</v>
      </c>
      <c r="Z279" t="s">
        <v>3006</v>
      </c>
      <c r="AA279" t="s">
        <v>3092</v>
      </c>
      <c r="AB279" t="s">
        <v>2917</v>
      </c>
      <c r="AC279" t="s">
        <v>3007</v>
      </c>
      <c r="AD279" t="s">
        <v>767</v>
      </c>
      <c r="AE279" t="s">
        <v>768</v>
      </c>
      <c r="AF279" t="s">
        <v>585</v>
      </c>
      <c r="AG279">
        <v>25</v>
      </c>
      <c r="AH279">
        <v>8</v>
      </c>
      <c r="AI279">
        <v>385</v>
      </c>
      <c r="AJ279" t="s">
        <v>3008</v>
      </c>
      <c r="AL279" t="s">
        <v>34</v>
      </c>
      <c r="AM279" t="s">
        <v>2861</v>
      </c>
    </row>
    <row r="280" spans="1:39" x14ac:dyDescent="0.2">
      <c r="B280">
        <v>57709</v>
      </c>
      <c r="C280">
        <v>11303</v>
      </c>
      <c r="D280" t="s">
        <v>725</v>
      </c>
      <c r="E280" t="s">
        <v>696</v>
      </c>
      <c r="F280" t="s">
        <v>34</v>
      </c>
      <c r="G280" t="s">
        <v>772</v>
      </c>
      <c r="H280" t="s">
        <v>3569</v>
      </c>
      <c r="I280" t="s">
        <v>1293</v>
      </c>
      <c r="J280" t="s">
        <v>1298</v>
      </c>
      <c r="K280" t="s">
        <v>1623</v>
      </c>
      <c r="L280">
        <v>11303</v>
      </c>
      <c r="M280">
        <v>11303</v>
      </c>
      <c r="N280" t="s">
        <v>310</v>
      </c>
      <c r="O280" t="s">
        <v>1092</v>
      </c>
      <c r="P280" t="s">
        <v>847</v>
      </c>
      <c r="Q280" t="s">
        <v>828</v>
      </c>
      <c r="R280" t="s">
        <v>1624</v>
      </c>
      <c r="S280">
        <v>0.125</v>
      </c>
      <c r="T280" t="s">
        <v>649</v>
      </c>
      <c r="U280">
        <v>1270011</v>
      </c>
      <c r="V280" t="s">
        <v>1313</v>
      </c>
      <c r="W280">
        <v>7329</v>
      </c>
      <c r="X280" t="s">
        <v>766</v>
      </c>
      <c r="AC280" t="s">
        <v>34</v>
      </c>
      <c r="AD280" t="s">
        <v>767</v>
      </c>
      <c r="AE280" t="s">
        <v>768</v>
      </c>
      <c r="AF280" t="s">
        <v>585</v>
      </c>
      <c r="AG280" t="s">
        <v>1889</v>
      </c>
      <c r="AH280" t="s">
        <v>34</v>
      </c>
      <c r="AI280" t="s">
        <v>34</v>
      </c>
      <c r="AJ280" t="s">
        <v>34</v>
      </c>
      <c r="AK280" t="s">
        <v>34</v>
      </c>
      <c r="AL280" t="s">
        <v>2261</v>
      </c>
      <c r="AM280" t="s">
        <v>2861</v>
      </c>
    </row>
    <row r="281" spans="1:39" x14ac:dyDescent="0.2">
      <c r="A281">
        <v>1289070</v>
      </c>
      <c r="B281">
        <v>57709</v>
      </c>
      <c r="C281" t="s">
        <v>2732</v>
      </c>
      <c r="D281" t="s">
        <v>725</v>
      </c>
      <c r="E281" t="s">
        <v>696</v>
      </c>
      <c r="F281" t="s">
        <v>34</v>
      </c>
      <c r="G281" t="s">
        <v>772</v>
      </c>
      <c r="H281" t="s">
        <v>3577</v>
      </c>
      <c r="I281" t="s">
        <v>980</v>
      </c>
      <c r="J281" t="s">
        <v>2733</v>
      </c>
      <c r="K281" t="s">
        <v>890</v>
      </c>
      <c r="L281">
        <v>411620</v>
      </c>
      <c r="M281" t="s">
        <v>2733</v>
      </c>
      <c r="N281" t="s">
        <v>2706</v>
      </c>
      <c r="O281" t="s">
        <v>3394</v>
      </c>
      <c r="P281" t="s">
        <v>847</v>
      </c>
      <c r="Q281" t="s">
        <v>828</v>
      </c>
      <c r="R281" t="s">
        <v>2734</v>
      </c>
      <c r="S281">
        <v>56.1</v>
      </c>
      <c r="T281" t="s">
        <v>649</v>
      </c>
      <c r="U281">
        <v>1270005</v>
      </c>
      <c r="V281" t="s">
        <v>2735</v>
      </c>
      <c r="W281">
        <v>391488</v>
      </c>
      <c r="X281" t="s">
        <v>766</v>
      </c>
      <c r="Y281" t="s">
        <v>34</v>
      </c>
      <c r="Z281" t="s">
        <v>1640</v>
      </c>
      <c r="AA281" t="s">
        <v>2736</v>
      </c>
      <c r="AB281" t="s">
        <v>766</v>
      </c>
      <c r="AC281" t="s">
        <v>34</v>
      </c>
      <c r="AD281" t="s">
        <v>767</v>
      </c>
      <c r="AE281" t="s">
        <v>768</v>
      </c>
      <c r="AF281" t="s">
        <v>585</v>
      </c>
      <c r="AG281" t="s">
        <v>2677</v>
      </c>
      <c r="AH281" t="s">
        <v>34</v>
      </c>
      <c r="AI281" t="s">
        <v>34</v>
      </c>
      <c r="AJ281" t="s">
        <v>34</v>
      </c>
      <c r="AK281" t="s">
        <v>34</v>
      </c>
      <c r="AL281" t="s">
        <v>2261</v>
      </c>
      <c r="AM281" t="s">
        <v>2878</v>
      </c>
    </row>
    <row r="282" spans="1:39" x14ac:dyDescent="0.2">
      <c r="A282">
        <v>1743826</v>
      </c>
      <c r="B282">
        <v>57709</v>
      </c>
      <c r="C282" t="s">
        <v>2705</v>
      </c>
      <c r="D282" t="s">
        <v>725</v>
      </c>
      <c r="E282" t="s">
        <v>696</v>
      </c>
      <c r="F282" t="s">
        <v>34</v>
      </c>
      <c r="G282" t="s">
        <v>772</v>
      </c>
      <c r="H282" t="s">
        <v>3577</v>
      </c>
      <c r="I282" t="s">
        <v>980</v>
      </c>
      <c r="J282" t="s">
        <v>2681</v>
      </c>
      <c r="K282" t="s">
        <v>880</v>
      </c>
      <c r="L282" t="s">
        <v>2680</v>
      </c>
      <c r="M282" t="s">
        <v>2680</v>
      </c>
      <c r="N282" t="s">
        <v>2706</v>
      </c>
      <c r="O282" t="s">
        <v>1780</v>
      </c>
      <c r="P282" t="s">
        <v>847</v>
      </c>
      <c r="Q282" t="s">
        <v>828</v>
      </c>
      <c r="R282" t="s">
        <v>3514</v>
      </c>
      <c r="S282">
        <v>826.67</v>
      </c>
      <c r="T282" t="s">
        <v>649</v>
      </c>
      <c r="U282">
        <v>1500355</v>
      </c>
      <c r="V282" t="s">
        <v>2682</v>
      </c>
      <c r="W282">
        <v>188905</v>
      </c>
      <c r="X282" t="s">
        <v>766</v>
      </c>
      <c r="Y282" t="s">
        <v>34</v>
      </c>
      <c r="Z282" t="s">
        <v>2683</v>
      </c>
      <c r="AA282">
        <v>16386514</v>
      </c>
      <c r="AB282" t="s">
        <v>766</v>
      </c>
      <c r="AC282" t="s">
        <v>34</v>
      </c>
      <c r="AD282" t="s">
        <v>767</v>
      </c>
      <c r="AE282" t="s">
        <v>768</v>
      </c>
      <c r="AF282" t="s">
        <v>585</v>
      </c>
      <c r="AG282" t="s">
        <v>2677</v>
      </c>
      <c r="AH282" t="s">
        <v>34</v>
      </c>
      <c r="AI282" t="s">
        <v>34</v>
      </c>
      <c r="AJ282" t="s">
        <v>34</v>
      </c>
      <c r="AK282" t="s">
        <v>34</v>
      </c>
      <c r="AL282" t="s">
        <v>2261</v>
      </c>
      <c r="AM282" t="s">
        <v>2878</v>
      </c>
    </row>
    <row r="283" spans="1:39" x14ac:dyDescent="0.2">
      <c r="A283">
        <v>1500354</v>
      </c>
      <c r="B283">
        <v>57709</v>
      </c>
      <c r="C283" t="s">
        <v>2680</v>
      </c>
      <c r="D283" t="s">
        <v>725</v>
      </c>
      <c r="E283" t="s">
        <v>696</v>
      </c>
      <c r="F283" t="s">
        <v>34</v>
      </c>
      <c r="G283" t="s">
        <v>772</v>
      </c>
      <c r="H283" t="s">
        <v>3569</v>
      </c>
      <c r="I283" t="s">
        <v>980</v>
      </c>
      <c r="J283" t="s">
        <v>2681</v>
      </c>
      <c r="K283" t="s">
        <v>880</v>
      </c>
      <c r="L283" t="s">
        <v>2680</v>
      </c>
      <c r="M283" t="s">
        <v>2680</v>
      </c>
      <c r="N283" t="s">
        <v>310</v>
      </c>
      <c r="O283" t="s">
        <v>1780</v>
      </c>
      <c r="P283" t="s">
        <v>847</v>
      </c>
      <c r="Q283" t="s">
        <v>828</v>
      </c>
      <c r="R283" t="s">
        <v>3514</v>
      </c>
      <c r="S283">
        <v>826.67</v>
      </c>
      <c r="T283" t="s">
        <v>793</v>
      </c>
      <c r="U283">
        <v>1500355</v>
      </c>
      <c r="V283" t="s">
        <v>2682</v>
      </c>
      <c r="W283">
        <v>188905</v>
      </c>
      <c r="X283" t="s">
        <v>766</v>
      </c>
      <c r="Y283" t="s">
        <v>34</v>
      </c>
      <c r="Z283" t="s">
        <v>2683</v>
      </c>
      <c r="AA283">
        <v>16386514</v>
      </c>
      <c r="AB283" t="s">
        <v>766</v>
      </c>
      <c r="AC283" t="s">
        <v>34</v>
      </c>
      <c r="AD283" t="s">
        <v>767</v>
      </c>
      <c r="AE283" t="s">
        <v>768</v>
      </c>
      <c r="AF283" t="s">
        <v>585</v>
      </c>
      <c r="AG283" t="s">
        <v>2677</v>
      </c>
      <c r="AH283" t="s">
        <v>34</v>
      </c>
      <c r="AI283" t="s">
        <v>34</v>
      </c>
      <c r="AJ283" t="s">
        <v>34</v>
      </c>
      <c r="AK283" t="s">
        <v>34</v>
      </c>
      <c r="AL283" t="s">
        <v>2261</v>
      </c>
      <c r="AM283" t="s">
        <v>2862</v>
      </c>
    </row>
    <row r="284" spans="1:39" x14ac:dyDescent="0.2">
      <c r="A284">
        <v>1507203</v>
      </c>
      <c r="B284">
        <v>57709</v>
      </c>
      <c r="C284" t="s">
        <v>2693</v>
      </c>
      <c r="D284" t="s">
        <v>725</v>
      </c>
      <c r="E284" t="s">
        <v>696</v>
      </c>
      <c r="F284" t="s">
        <v>34</v>
      </c>
      <c r="G284" t="s">
        <v>772</v>
      </c>
      <c r="H284" t="s">
        <v>3569</v>
      </c>
      <c r="I284" t="s">
        <v>980</v>
      </c>
      <c r="J284" t="s">
        <v>2681</v>
      </c>
      <c r="K284" t="s">
        <v>880</v>
      </c>
      <c r="L284" t="s">
        <v>2694</v>
      </c>
      <c r="M284" t="s">
        <v>2694</v>
      </c>
      <c r="N284" t="s">
        <v>3573</v>
      </c>
      <c r="O284" t="s">
        <v>1780</v>
      </c>
      <c r="P284" t="s">
        <v>2916</v>
      </c>
      <c r="Q284" t="s">
        <v>828</v>
      </c>
      <c r="R284" t="s">
        <v>2695</v>
      </c>
      <c r="S284">
        <v>1178.5999999999999</v>
      </c>
      <c r="T284" t="s">
        <v>792</v>
      </c>
      <c r="U284" t="s">
        <v>34</v>
      </c>
      <c r="V284" t="s">
        <v>1459</v>
      </c>
      <c r="W284">
        <v>43420</v>
      </c>
      <c r="X284" t="s">
        <v>2917</v>
      </c>
      <c r="Y284" t="s">
        <v>34</v>
      </c>
      <c r="Z284" t="s">
        <v>3441</v>
      </c>
      <c r="AA284">
        <v>16461118</v>
      </c>
      <c r="AB284" t="s">
        <v>2917</v>
      </c>
      <c r="AC284" t="s">
        <v>34</v>
      </c>
      <c r="AD284" t="s">
        <v>767</v>
      </c>
      <c r="AE284" t="s">
        <v>768</v>
      </c>
      <c r="AF284" t="s">
        <v>585</v>
      </c>
      <c r="AG284">
        <v>7</v>
      </c>
      <c r="AH284">
        <v>0.28999999999999998</v>
      </c>
      <c r="AI284">
        <v>0.09</v>
      </c>
      <c r="AJ284" t="s">
        <v>34</v>
      </c>
      <c r="AK284" t="s">
        <v>34</v>
      </c>
      <c r="AL284" t="s">
        <v>2261</v>
      </c>
      <c r="AM284" t="s">
        <v>2862</v>
      </c>
    </row>
    <row r="285" spans="1:39" x14ac:dyDescent="0.2">
      <c r="A285">
        <v>1507205</v>
      </c>
      <c r="B285">
        <v>57709</v>
      </c>
      <c r="C285" t="s">
        <v>2696</v>
      </c>
      <c r="D285" t="s">
        <v>725</v>
      </c>
      <c r="E285" t="s">
        <v>696</v>
      </c>
      <c r="F285" t="s">
        <v>34</v>
      </c>
      <c r="G285" t="s">
        <v>772</v>
      </c>
      <c r="H285" t="s">
        <v>3569</v>
      </c>
      <c r="I285" t="s">
        <v>980</v>
      </c>
      <c r="J285" t="s">
        <v>2681</v>
      </c>
      <c r="K285" t="s">
        <v>880</v>
      </c>
      <c r="L285" t="s">
        <v>2694</v>
      </c>
      <c r="M285" t="s">
        <v>2694</v>
      </c>
      <c r="N285" t="s">
        <v>1602</v>
      </c>
      <c r="O285" t="s">
        <v>1780</v>
      </c>
      <c r="P285" t="s">
        <v>847</v>
      </c>
      <c r="Q285" t="s">
        <v>828</v>
      </c>
      <c r="R285" t="s">
        <v>2695</v>
      </c>
      <c r="S285">
        <v>1178.5999999999999</v>
      </c>
      <c r="T285" t="s">
        <v>649</v>
      </c>
      <c r="U285" t="s">
        <v>34</v>
      </c>
      <c r="V285" t="s">
        <v>1459</v>
      </c>
      <c r="W285">
        <v>43420</v>
      </c>
      <c r="X285" t="s">
        <v>766</v>
      </c>
      <c r="Y285" t="s">
        <v>34</v>
      </c>
      <c r="Z285" t="s">
        <v>2683</v>
      </c>
      <c r="AA285">
        <v>16446054</v>
      </c>
      <c r="AB285" t="s">
        <v>766</v>
      </c>
      <c r="AC285" t="s">
        <v>34</v>
      </c>
      <c r="AD285" t="s">
        <v>767</v>
      </c>
      <c r="AE285" t="s">
        <v>768</v>
      </c>
      <c r="AF285" t="s">
        <v>585</v>
      </c>
      <c r="AG285">
        <v>7</v>
      </c>
      <c r="AH285">
        <v>0.28999999999999998</v>
      </c>
      <c r="AI285">
        <v>0.09</v>
      </c>
      <c r="AJ285" t="s">
        <v>34</v>
      </c>
      <c r="AK285" t="s">
        <v>34</v>
      </c>
      <c r="AL285" t="s">
        <v>2261</v>
      </c>
      <c r="AM285" t="s">
        <v>2878</v>
      </c>
    </row>
    <row r="286" spans="1:39" x14ac:dyDescent="0.2">
      <c r="A286">
        <v>1712414</v>
      </c>
      <c r="B286">
        <v>57709</v>
      </c>
      <c r="C286" t="s">
        <v>2957</v>
      </c>
      <c r="D286" t="s">
        <v>725</v>
      </c>
      <c r="E286" t="s">
        <v>696</v>
      </c>
      <c r="F286" t="s">
        <v>34</v>
      </c>
      <c r="G286" t="s">
        <v>772</v>
      </c>
      <c r="H286" t="s">
        <v>1635</v>
      </c>
      <c r="I286" t="s">
        <v>980</v>
      </c>
      <c r="J286" t="s">
        <v>2681</v>
      </c>
      <c r="K286" t="s">
        <v>2958</v>
      </c>
      <c r="L286">
        <v>144582</v>
      </c>
      <c r="M286" t="s">
        <v>2959</v>
      </c>
      <c r="N286" t="s">
        <v>1602</v>
      </c>
      <c r="O286" t="s">
        <v>2960</v>
      </c>
      <c r="P286" t="s">
        <v>847</v>
      </c>
      <c r="Q286" t="s">
        <v>828</v>
      </c>
      <c r="R286" t="s">
        <v>2961</v>
      </c>
      <c r="S286">
        <v>25.5</v>
      </c>
      <c r="T286" t="s">
        <v>649</v>
      </c>
      <c r="U286" t="s">
        <v>34</v>
      </c>
      <c r="V286" t="s">
        <v>2962</v>
      </c>
      <c r="W286" t="s">
        <v>2963</v>
      </c>
      <c r="X286" t="s">
        <v>766</v>
      </c>
      <c r="Y286" t="s">
        <v>34</v>
      </c>
      <c r="Z286" t="s">
        <v>2964</v>
      </c>
      <c r="AA286" t="s">
        <v>2965</v>
      </c>
      <c r="AB286" t="s">
        <v>766</v>
      </c>
      <c r="AC286" t="s">
        <v>34</v>
      </c>
      <c r="AD286" t="s">
        <v>767</v>
      </c>
      <c r="AE286" t="s">
        <v>768</v>
      </c>
      <c r="AF286" t="s">
        <v>585</v>
      </c>
      <c r="AG286" t="s">
        <v>1889</v>
      </c>
      <c r="AH286" t="s">
        <v>34</v>
      </c>
      <c r="AI286" t="s">
        <v>34</v>
      </c>
      <c r="AJ286" t="s">
        <v>34</v>
      </c>
      <c r="AK286" t="s">
        <v>34</v>
      </c>
      <c r="AL286" t="s">
        <v>2261</v>
      </c>
      <c r="AM286" t="s">
        <v>2878</v>
      </c>
    </row>
    <row r="287" spans="1:39" x14ac:dyDescent="0.2">
      <c r="A287">
        <v>1592003</v>
      </c>
      <c r="B287">
        <v>57709</v>
      </c>
      <c r="C287" t="s">
        <v>2792</v>
      </c>
      <c r="D287" t="s">
        <v>725</v>
      </c>
      <c r="E287" t="s">
        <v>696</v>
      </c>
      <c r="F287" t="s">
        <v>34</v>
      </c>
      <c r="G287" t="s">
        <v>772</v>
      </c>
      <c r="H287" t="s">
        <v>3569</v>
      </c>
      <c r="I287" t="s">
        <v>980</v>
      </c>
      <c r="J287" t="s">
        <v>2681</v>
      </c>
      <c r="K287" t="s">
        <v>880</v>
      </c>
      <c r="L287" t="s">
        <v>2793</v>
      </c>
      <c r="M287" t="s">
        <v>2794</v>
      </c>
      <c r="N287" t="s">
        <v>1602</v>
      </c>
      <c r="O287" t="s">
        <v>882</v>
      </c>
      <c r="P287" t="s">
        <v>847</v>
      </c>
      <c r="Q287" t="s">
        <v>828</v>
      </c>
      <c r="R287" t="s">
        <v>2795</v>
      </c>
      <c r="S287">
        <v>73.900000000000006</v>
      </c>
      <c r="T287" t="s">
        <v>649</v>
      </c>
      <c r="U287">
        <v>1592008</v>
      </c>
      <c r="V287" t="s">
        <v>2796</v>
      </c>
      <c r="W287" t="s">
        <v>2797</v>
      </c>
      <c r="X287" t="s">
        <v>766</v>
      </c>
      <c r="Y287" t="s">
        <v>34</v>
      </c>
      <c r="Z287" t="s">
        <v>2683</v>
      </c>
      <c r="AA287">
        <v>16279345</v>
      </c>
      <c r="AB287" t="s">
        <v>766</v>
      </c>
      <c r="AC287" t="s">
        <v>34</v>
      </c>
      <c r="AD287" t="s">
        <v>767</v>
      </c>
      <c r="AE287" t="s">
        <v>768</v>
      </c>
      <c r="AF287" t="s">
        <v>585</v>
      </c>
      <c r="AG287">
        <v>1</v>
      </c>
      <c r="AH287">
        <v>1</v>
      </c>
      <c r="AI287">
        <v>4</v>
      </c>
      <c r="AJ287" t="s">
        <v>2798</v>
      </c>
      <c r="AK287" t="s">
        <v>34</v>
      </c>
      <c r="AL287" t="s">
        <v>2261</v>
      </c>
      <c r="AM287" t="s">
        <v>2878</v>
      </c>
    </row>
    <row r="288" spans="1:39" x14ac:dyDescent="0.2">
      <c r="A288">
        <v>1619999</v>
      </c>
      <c r="B288">
        <v>57709</v>
      </c>
      <c r="C288" t="s">
        <v>2831</v>
      </c>
      <c r="D288" t="s">
        <v>725</v>
      </c>
      <c r="E288" t="s">
        <v>696</v>
      </c>
      <c r="F288" t="s">
        <v>34</v>
      </c>
      <c r="G288" t="s">
        <v>772</v>
      </c>
      <c r="H288" t="s">
        <v>1635</v>
      </c>
      <c r="I288" t="s">
        <v>980</v>
      </c>
      <c r="J288" t="s">
        <v>1460</v>
      </c>
      <c r="K288" t="s">
        <v>2832</v>
      </c>
      <c r="L288" t="s">
        <v>2833</v>
      </c>
      <c r="M288" t="s">
        <v>2834</v>
      </c>
      <c r="N288" t="s">
        <v>1602</v>
      </c>
      <c r="O288" t="s">
        <v>1588</v>
      </c>
      <c r="P288" t="s">
        <v>847</v>
      </c>
      <c r="Q288" t="s">
        <v>765</v>
      </c>
      <c r="R288" t="s">
        <v>1463</v>
      </c>
      <c r="S288">
        <v>378</v>
      </c>
      <c r="T288" t="s">
        <v>649</v>
      </c>
      <c r="U288" t="s">
        <v>34</v>
      </c>
      <c r="V288" t="s">
        <v>1459</v>
      </c>
      <c r="W288">
        <v>19259</v>
      </c>
      <c r="X288" t="s">
        <v>766</v>
      </c>
      <c r="Y288" t="s">
        <v>34</v>
      </c>
      <c r="Z288" t="s">
        <v>2583</v>
      </c>
      <c r="AA288" t="s">
        <v>2835</v>
      </c>
      <c r="AB288" t="s">
        <v>766</v>
      </c>
      <c r="AC288" t="s">
        <v>34</v>
      </c>
      <c r="AD288" t="s">
        <v>767</v>
      </c>
      <c r="AE288" t="s">
        <v>768</v>
      </c>
      <c r="AF288" t="s">
        <v>585</v>
      </c>
      <c r="AG288" t="s">
        <v>2836</v>
      </c>
      <c r="AH288" t="s">
        <v>34</v>
      </c>
      <c r="AI288" t="s">
        <v>34</v>
      </c>
      <c r="AJ288" t="s">
        <v>34</v>
      </c>
      <c r="AK288" t="s">
        <v>34</v>
      </c>
      <c r="AL288" t="s">
        <v>34</v>
      </c>
      <c r="AM288" t="s">
        <v>2878</v>
      </c>
    </row>
    <row r="289" spans="1:41" x14ac:dyDescent="0.2">
      <c r="A289">
        <v>1619978</v>
      </c>
      <c r="B289">
        <v>57709</v>
      </c>
      <c r="C289" t="s">
        <v>2834</v>
      </c>
      <c r="D289" t="s">
        <v>725</v>
      </c>
      <c r="E289" t="s">
        <v>696</v>
      </c>
      <c r="F289" t="s">
        <v>34</v>
      </c>
      <c r="G289" t="s">
        <v>772</v>
      </c>
      <c r="H289" t="s">
        <v>3569</v>
      </c>
      <c r="I289" t="s">
        <v>980</v>
      </c>
      <c r="J289" t="s">
        <v>1460</v>
      </c>
      <c r="K289" t="s">
        <v>2832</v>
      </c>
      <c r="L289" t="s">
        <v>2833</v>
      </c>
      <c r="M289" t="s">
        <v>2834</v>
      </c>
      <c r="N289" t="s">
        <v>3599</v>
      </c>
      <c r="O289" t="s">
        <v>1588</v>
      </c>
      <c r="P289" t="s">
        <v>2916</v>
      </c>
      <c r="Q289" t="s">
        <v>765</v>
      </c>
      <c r="R289" t="s">
        <v>3602</v>
      </c>
      <c r="S289">
        <v>378</v>
      </c>
      <c r="T289" t="s">
        <v>793</v>
      </c>
      <c r="U289">
        <v>1620128</v>
      </c>
      <c r="V289" t="s">
        <v>1459</v>
      </c>
      <c r="W289" t="s">
        <v>2843</v>
      </c>
      <c r="X289" t="s">
        <v>2917</v>
      </c>
      <c r="Y289" t="s">
        <v>34</v>
      </c>
      <c r="Z289" t="s">
        <v>2583</v>
      </c>
      <c r="AA289" t="s">
        <v>2835</v>
      </c>
      <c r="AB289" t="s">
        <v>2917</v>
      </c>
      <c r="AC289" t="s">
        <v>34</v>
      </c>
      <c r="AD289" t="s">
        <v>767</v>
      </c>
      <c r="AE289" t="s">
        <v>768</v>
      </c>
      <c r="AF289" t="s">
        <v>585</v>
      </c>
      <c r="AG289" t="s">
        <v>2836</v>
      </c>
      <c r="AH289" t="s">
        <v>34</v>
      </c>
      <c r="AI289" t="s">
        <v>34</v>
      </c>
      <c r="AJ289" t="s">
        <v>34</v>
      </c>
      <c r="AK289" t="s">
        <v>34</v>
      </c>
      <c r="AL289" t="s">
        <v>34</v>
      </c>
      <c r="AM289" t="s">
        <v>2861</v>
      </c>
    </row>
    <row r="290" spans="1:41" x14ac:dyDescent="0.2">
      <c r="A290">
        <v>2713153</v>
      </c>
      <c r="B290">
        <v>57709</v>
      </c>
      <c r="C290" t="s">
        <v>3658</v>
      </c>
      <c r="D290" t="s">
        <v>725</v>
      </c>
      <c r="E290" t="s">
        <v>696</v>
      </c>
      <c r="G290" t="s">
        <v>772</v>
      </c>
      <c r="H290" t="s">
        <v>3569</v>
      </c>
      <c r="I290" t="s">
        <v>980</v>
      </c>
      <c r="J290" t="s">
        <v>775</v>
      </c>
      <c r="K290" t="s">
        <v>1471</v>
      </c>
      <c r="L290" t="s">
        <v>1503</v>
      </c>
      <c r="M290" t="s">
        <v>3658</v>
      </c>
      <c r="N290" t="s">
        <v>310</v>
      </c>
      <c r="O290" t="s">
        <v>1569</v>
      </c>
      <c r="P290" t="s">
        <v>847</v>
      </c>
      <c r="Q290" t="s">
        <v>765</v>
      </c>
      <c r="R290" t="s">
        <v>3659</v>
      </c>
      <c r="S290">
        <v>1150</v>
      </c>
      <c r="T290" t="s">
        <v>649</v>
      </c>
      <c r="U290" t="s">
        <v>34</v>
      </c>
      <c r="V290" t="s">
        <v>1118</v>
      </c>
      <c r="W290" t="s">
        <v>1506</v>
      </c>
      <c r="X290" t="s">
        <v>766</v>
      </c>
      <c r="AD290" t="s">
        <v>767</v>
      </c>
      <c r="AE290" t="s">
        <v>768</v>
      </c>
      <c r="AF290" t="s">
        <v>585</v>
      </c>
      <c r="AG290" t="s">
        <v>1889</v>
      </c>
      <c r="AM290" t="s">
        <v>2861</v>
      </c>
    </row>
    <row r="291" spans="1:41" x14ac:dyDescent="0.2">
      <c r="A291">
        <v>1270681</v>
      </c>
      <c r="B291">
        <v>57836</v>
      </c>
      <c r="C291" t="s">
        <v>660</v>
      </c>
      <c r="D291" t="s">
        <v>726</v>
      </c>
      <c r="E291" t="s">
        <v>727</v>
      </c>
      <c r="F291" t="s">
        <v>34</v>
      </c>
      <c r="G291" t="s">
        <v>772</v>
      </c>
      <c r="H291" t="s">
        <v>3569</v>
      </c>
      <c r="I291" t="s">
        <v>980</v>
      </c>
      <c r="J291" t="s">
        <v>660</v>
      </c>
      <c r="K291" t="s">
        <v>660</v>
      </c>
      <c r="L291" t="s">
        <v>1667</v>
      </c>
      <c r="M291" t="s">
        <v>660</v>
      </c>
      <c r="N291" t="s">
        <v>3575</v>
      </c>
      <c r="O291" t="s">
        <v>1668</v>
      </c>
      <c r="P291" t="s">
        <v>2914</v>
      </c>
      <c r="Q291" t="s">
        <v>828</v>
      </c>
      <c r="R291" t="s">
        <v>1669</v>
      </c>
      <c r="S291">
        <v>5.7</v>
      </c>
      <c r="T291" t="s">
        <v>793</v>
      </c>
      <c r="U291">
        <v>1270077</v>
      </c>
      <c r="V291" t="s">
        <v>1670</v>
      </c>
      <c r="W291" t="s">
        <v>1671</v>
      </c>
      <c r="X291" t="s">
        <v>3011</v>
      </c>
      <c r="Y291" t="s">
        <v>34</v>
      </c>
      <c r="Z291" t="s">
        <v>927</v>
      </c>
      <c r="AA291" t="s">
        <v>1672</v>
      </c>
      <c r="AB291" t="s">
        <v>3011</v>
      </c>
      <c r="AC291" t="s">
        <v>34</v>
      </c>
      <c r="AD291" t="s">
        <v>767</v>
      </c>
      <c r="AE291" t="s">
        <v>768</v>
      </c>
      <c r="AF291" t="s">
        <v>585</v>
      </c>
      <c r="AG291" t="s">
        <v>2350</v>
      </c>
      <c r="AH291">
        <v>0.99</v>
      </c>
      <c r="AI291">
        <v>0.5</v>
      </c>
      <c r="AJ291" t="s">
        <v>34</v>
      </c>
      <c r="AK291" t="s">
        <v>34</v>
      </c>
      <c r="AL291" t="s">
        <v>2261</v>
      </c>
      <c r="AM291" t="s">
        <v>2861</v>
      </c>
    </row>
    <row r="292" spans="1:41" x14ac:dyDescent="0.2">
      <c r="A292">
        <v>1270683</v>
      </c>
      <c r="B292">
        <v>57836</v>
      </c>
      <c r="C292" t="s">
        <v>436</v>
      </c>
      <c r="D292" t="s">
        <v>726</v>
      </c>
      <c r="E292" t="s">
        <v>727</v>
      </c>
      <c r="F292" t="s">
        <v>34</v>
      </c>
      <c r="G292" t="s">
        <v>772</v>
      </c>
      <c r="H292" t="s">
        <v>3569</v>
      </c>
      <c r="I292" t="s">
        <v>980</v>
      </c>
      <c r="J292" t="s">
        <v>1673</v>
      </c>
      <c r="K292" t="s">
        <v>1676</v>
      </c>
      <c r="L292" t="s">
        <v>1677</v>
      </c>
      <c r="M292" t="s">
        <v>436</v>
      </c>
      <c r="N292" t="s">
        <v>3575</v>
      </c>
      <c r="O292" t="s">
        <v>1668</v>
      </c>
      <c r="P292" t="s">
        <v>2914</v>
      </c>
      <c r="Q292" t="s">
        <v>765</v>
      </c>
      <c r="R292" t="s">
        <v>1678</v>
      </c>
      <c r="S292">
        <v>17.5</v>
      </c>
      <c r="T292" t="s">
        <v>793</v>
      </c>
      <c r="U292">
        <v>1270074</v>
      </c>
      <c r="V292" t="s">
        <v>1049</v>
      </c>
      <c r="W292" t="s">
        <v>1679</v>
      </c>
      <c r="X292" t="s">
        <v>2939</v>
      </c>
      <c r="Y292" t="s">
        <v>34</v>
      </c>
      <c r="Z292" t="s">
        <v>927</v>
      </c>
      <c r="AA292" t="s">
        <v>1672</v>
      </c>
      <c r="AB292" t="s">
        <v>2939</v>
      </c>
      <c r="AC292" t="s">
        <v>34</v>
      </c>
      <c r="AD292" t="s">
        <v>767</v>
      </c>
      <c r="AE292" t="s">
        <v>768</v>
      </c>
      <c r="AF292" t="s">
        <v>585</v>
      </c>
      <c r="AG292">
        <v>3</v>
      </c>
      <c r="AH292">
        <v>2</v>
      </c>
      <c r="AI292">
        <v>0.2</v>
      </c>
      <c r="AJ292" t="s">
        <v>34</v>
      </c>
      <c r="AK292" t="s">
        <v>34</v>
      </c>
      <c r="AL292" t="s">
        <v>2261</v>
      </c>
      <c r="AM292" t="s">
        <v>2864</v>
      </c>
    </row>
    <row r="293" spans="1:41" x14ac:dyDescent="0.2">
      <c r="A293">
        <v>1270682</v>
      </c>
      <c r="B293">
        <v>57836</v>
      </c>
      <c r="C293" t="s">
        <v>289</v>
      </c>
      <c r="D293" t="s">
        <v>726</v>
      </c>
      <c r="E293" t="s">
        <v>727</v>
      </c>
      <c r="F293" t="s">
        <v>34</v>
      </c>
      <c r="G293" t="s">
        <v>772</v>
      </c>
      <c r="H293" t="s">
        <v>3569</v>
      </c>
      <c r="I293" t="s">
        <v>980</v>
      </c>
      <c r="J293" t="s">
        <v>1673</v>
      </c>
      <c r="K293">
        <v>332</v>
      </c>
      <c r="L293">
        <v>3</v>
      </c>
      <c r="M293" t="s">
        <v>289</v>
      </c>
      <c r="N293" t="s">
        <v>3575</v>
      </c>
      <c r="O293" t="s">
        <v>1674</v>
      </c>
      <c r="P293" t="s">
        <v>2914</v>
      </c>
      <c r="Q293" t="s">
        <v>903</v>
      </c>
      <c r="R293" t="s">
        <v>3156</v>
      </c>
      <c r="S293">
        <v>0.7</v>
      </c>
      <c r="T293" t="s">
        <v>794</v>
      </c>
      <c r="U293" t="s">
        <v>34</v>
      </c>
      <c r="V293" t="s">
        <v>1675</v>
      </c>
      <c r="W293">
        <v>12199403014</v>
      </c>
      <c r="X293" t="s">
        <v>2939</v>
      </c>
      <c r="Y293" t="s">
        <v>34</v>
      </c>
      <c r="Z293" t="s">
        <v>927</v>
      </c>
      <c r="AA293" t="s">
        <v>1672</v>
      </c>
      <c r="AB293" t="s">
        <v>2939</v>
      </c>
      <c r="AC293" t="s">
        <v>34</v>
      </c>
      <c r="AD293" t="s">
        <v>767</v>
      </c>
      <c r="AE293" t="s">
        <v>768</v>
      </c>
      <c r="AF293" t="s">
        <v>585</v>
      </c>
      <c r="AG293" t="s">
        <v>1889</v>
      </c>
      <c r="AH293" t="s">
        <v>34</v>
      </c>
      <c r="AI293" t="s">
        <v>34</v>
      </c>
      <c r="AJ293" t="s">
        <v>34</v>
      </c>
      <c r="AK293" t="s">
        <v>34</v>
      </c>
      <c r="AL293" t="s">
        <v>2261</v>
      </c>
      <c r="AM293" t="s">
        <v>2861</v>
      </c>
    </row>
    <row r="294" spans="1:41" x14ac:dyDescent="0.2">
      <c r="A294">
        <v>1270718</v>
      </c>
      <c r="B294">
        <v>57825</v>
      </c>
      <c r="C294" t="s">
        <v>320</v>
      </c>
      <c r="D294" t="s">
        <v>728</v>
      </c>
      <c r="E294" t="s">
        <v>677</v>
      </c>
      <c r="F294" t="s">
        <v>34</v>
      </c>
      <c r="G294" t="s">
        <v>772</v>
      </c>
      <c r="H294" t="s">
        <v>3603</v>
      </c>
      <c r="I294" t="s">
        <v>1293</v>
      </c>
      <c r="J294" t="s">
        <v>409</v>
      </c>
      <c r="K294" t="s">
        <v>1705</v>
      </c>
      <c r="L294">
        <v>896034</v>
      </c>
      <c r="M294" t="s">
        <v>320</v>
      </c>
      <c r="N294" t="s">
        <v>310</v>
      </c>
      <c r="O294" t="s">
        <v>1706</v>
      </c>
      <c r="P294" t="s">
        <v>764</v>
      </c>
      <c r="Q294" t="s">
        <v>765</v>
      </c>
      <c r="R294" t="s">
        <v>1707</v>
      </c>
      <c r="S294">
        <v>22.2</v>
      </c>
      <c r="T294" t="s">
        <v>793</v>
      </c>
      <c r="U294" t="s">
        <v>34</v>
      </c>
      <c r="V294" t="s">
        <v>1708</v>
      </c>
      <c r="W294">
        <v>5890</v>
      </c>
      <c r="X294" t="s">
        <v>764</v>
      </c>
      <c r="AC294" t="s">
        <v>1709</v>
      </c>
      <c r="AD294" t="s">
        <v>767</v>
      </c>
      <c r="AE294" t="s">
        <v>768</v>
      </c>
      <c r="AF294" t="s">
        <v>585</v>
      </c>
      <c r="AG294" t="s">
        <v>1889</v>
      </c>
      <c r="AH294" t="s">
        <v>34</v>
      </c>
      <c r="AI294" t="s">
        <v>34</v>
      </c>
      <c r="AJ294" t="s">
        <v>34</v>
      </c>
      <c r="AK294" t="s">
        <v>34</v>
      </c>
      <c r="AL294" t="s">
        <v>34</v>
      </c>
      <c r="AM294" t="s">
        <v>2861</v>
      </c>
    </row>
    <row r="295" spans="1:41" x14ac:dyDescent="0.2">
      <c r="A295">
        <v>1270717</v>
      </c>
      <c r="B295">
        <v>57825</v>
      </c>
      <c r="C295" t="s">
        <v>319</v>
      </c>
      <c r="D295" t="s">
        <v>728</v>
      </c>
      <c r="E295" t="s">
        <v>677</v>
      </c>
      <c r="F295" t="s">
        <v>34</v>
      </c>
      <c r="G295" t="s">
        <v>772</v>
      </c>
      <c r="H295" t="s">
        <v>3604</v>
      </c>
      <c r="I295" t="s">
        <v>1293</v>
      </c>
      <c r="J295" t="s">
        <v>1710</v>
      </c>
      <c r="K295" t="s">
        <v>1051</v>
      </c>
      <c r="L295" t="s">
        <v>319</v>
      </c>
      <c r="M295" t="s">
        <v>319</v>
      </c>
      <c r="N295" t="s">
        <v>310</v>
      </c>
      <c r="O295" t="s">
        <v>1706</v>
      </c>
      <c r="P295" t="s">
        <v>764</v>
      </c>
      <c r="Q295" t="s">
        <v>903</v>
      </c>
      <c r="R295" t="s">
        <v>1711</v>
      </c>
      <c r="S295">
        <v>87.5</v>
      </c>
      <c r="T295" t="s">
        <v>793</v>
      </c>
      <c r="U295" t="s">
        <v>34</v>
      </c>
      <c r="V295" t="s">
        <v>3338</v>
      </c>
      <c r="W295" t="s">
        <v>3339</v>
      </c>
      <c r="X295" t="s">
        <v>764</v>
      </c>
      <c r="AC295" t="s">
        <v>1712</v>
      </c>
      <c r="AD295" t="s">
        <v>767</v>
      </c>
      <c r="AE295" t="s">
        <v>768</v>
      </c>
      <c r="AF295" t="s">
        <v>585</v>
      </c>
      <c r="AG295">
        <v>1</v>
      </c>
      <c r="AH295">
        <v>0.08</v>
      </c>
      <c r="AI295">
        <v>0.32</v>
      </c>
      <c r="AJ295" t="s">
        <v>2368</v>
      </c>
      <c r="AK295" t="s">
        <v>34</v>
      </c>
      <c r="AL295" t="s">
        <v>34</v>
      </c>
      <c r="AM295" t="s">
        <v>2861</v>
      </c>
    </row>
    <row r="296" spans="1:41" x14ac:dyDescent="0.2">
      <c r="A296">
        <v>1270694</v>
      </c>
      <c r="B296">
        <v>57825</v>
      </c>
      <c r="C296" t="s">
        <v>316</v>
      </c>
      <c r="D296" t="s">
        <v>728</v>
      </c>
      <c r="E296" t="s">
        <v>677</v>
      </c>
      <c r="F296" t="s">
        <v>34</v>
      </c>
      <c r="G296" t="s">
        <v>772</v>
      </c>
      <c r="H296" t="s">
        <v>3569</v>
      </c>
      <c r="I296" t="s">
        <v>980</v>
      </c>
      <c r="J296" t="s">
        <v>1686</v>
      </c>
      <c r="K296" t="s">
        <v>1687</v>
      </c>
      <c r="L296" t="s">
        <v>1688</v>
      </c>
      <c r="M296" t="s">
        <v>316</v>
      </c>
      <c r="N296" t="s">
        <v>3570</v>
      </c>
      <c r="O296" t="s">
        <v>1005</v>
      </c>
      <c r="P296" t="s">
        <v>2916</v>
      </c>
      <c r="Q296" t="s">
        <v>903</v>
      </c>
      <c r="R296" t="s">
        <v>1689</v>
      </c>
      <c r="S296">
        <v>302.5</v>
      </c>
      <c r="T296" t="s">
        <v>793</v>
      </c>
      <c r="U296" t="s">
        <v>34</v>
      </c>
      <c r="V296" t="s">
        <v>1870</v>
      </c>
      <c r="W296" t="s">
        <v>3395</v>
      </c>
      <c r="X296" t="s">
        <v>2917</v>
      </c>
      <c r="Y296" t="s">
        <v>34</v>
      </c>
      <c r="Z296" t="s">
        <v>1870</v>
      </c>
      <c r="AA296" t="s">
        <v>3395</v>
      </c>
      <c r="AB296" t="s">
        <v>2917</v>
      </c>
      <c r="AC296" t="s">
        <v>34</v>
      </c>
      <c r="AD296" t="s">
        <v>767</v>
      </c>
      <c r="AE296" t="s">
        <v>768</v>
      </c>
      <c r="AF296" t="s">
        <v>585</v>
      </c>
      <c r="AG296">
        <v>31.4</v>
      </c>
      <c r="AH296">
        <v>11</v>
      </c>
      <c r="AI296">
        <v>68</v>
      </c>
      <c r="AJ296" t="s">
        <v>34</v>
      </c>
      <c r="AK296" t="s">
        <v>34</v>
      </c>
      <c r="AL296" t="s">
        <v>34</v>
      </c>
      <c r="AM296" t="s">
        <v>2861</v>
      </c>
    </row>
    <row r="297" spans="1:41" x14ac:dyDescent="0.2">
      <c r="A297">
        <v>1270696</v>
      </c>
      <c r="B297">
        <v>57825</v>
      </c>
      <c r="C297" t="s">
        <v>325</v>
      </c>
      <c r="D297" t="s">
        <v>728</v>
      </c>
      <c r="E297" t="s">
        <v>677</v>
      </c>
      <c r="F297" t="s">
        <v>34</v>
      </c>
      <c r="G297" t="s">
        <v>772</v>
      </c>
      <c r="H297" t="s">
        <v>3569</v>
      </c>
      <c r="I297" t="s">
        <v>980</v>
      </c>
      <c r="J297" t="s">
        <v>1404</v>
      </c>
      <c r="K297" t="s">
        <v>1690</v>
      </c>
      <c r="L297" t="s">
        <v>1691</v>
      </c>
      <c r="M297" t="s">
        <v>325</v>
      </c>
      <c r="N297" t="s">
        <v>3570</v>
      </c>
      <c r="O297" t="s">
        <v>1692</v>
      </c>
      <c r="P297" t="s">
        <v>2916</v>
      </c>
      <c r="Q297" t="s">
        <v>903</v>
      </c>
      <c r="R297" t="s">
        <v>1693</v>
      </c>
      <c r="S297">
        <v>196</v>
      </c>
      <c r="T297" t="s">
        <v>793</v>
      </c>
      <c r="U297" t="s">
        <v>34</v>
      </c>
      <c r="V297" t="s">
        <v>1694</v>
      </c>
      <c r="W297" t="s">
        <v>839</v>
      </c>
      <c r="X297" t="s">
        <v>2917</v>
      </c>
      <c r="Y297" t="s">
        <v>34</v>
      </c>
      <c r="Z297" t="s">
        <v>1694</v>
      </c>
      <c r="AA297" t="s">
        <v>839</v>
      </c>
      <c r="AB297" t="s">
        <v>2917</v>
      </c>
      <c r="AC297" t="s">
        <v>34</v>
      </c>
      <c r="AD297" t="s">
        <v>767</v>
      </c>
      <c r="AE297" t="s">
        <v>768</v>
      </c>
      <c r="AF297" t="s">
        <v>585</v>
      </c>
      <c r="AG297">
        <v>30000</v>
      </c>
      <c r="AH297">
        <v>1000</v>
      </c>
      <c r="AI297">
        <v>10</v>
      </c>
      <c r="AJ297" t="s">
        <v>34</v>
      </c>
      <c r="AK297" t="s">
        <v>34</v>
      </c>
      <c r="AL297" t="s">
        <v>34</v>
      </c>
      <c r="AM297" t="s">
        <v>2864</v>
      </c>
      <c r="AN297">
        <v>1.4583333333333332E-2</v>
      </c>
    </row>
    <row r="298" spans="1:41" x14ac:dyDescent="0.2">
      <c r="A298">
        <v>1270680</v>
      </c>
      <c r="B298">
        <v>57825</v>
      </c>
      <c r="C298" t="s">
        <v>321</v>
      </c>
      <c r="D298" t="s">
        <v>728</v>
      </c>
      <c r="E298" t="s">
        <v>677</v>
      </c>
      <c r="F298" t="s">
        <v>34</v>
      </c>
      <c r="G298" t="s">
        <v>772</v>
      </c>
      <c r="H298" t="s">
        <v>3569</v>
      </c>
      <c r="I298" t="s">
        <v>980</v>
      </c>
      <c r="J298" t="s">
        <v>1717</v>
      </c>
      <c r="K298" t="s">
        <v>1718</v>
      </c>
      <c r="L298" t="s">
        <v>321</v>
      </c>
      <c r="M298" t="s">
        <v>321</v>
      </c>
      <c r="N298" t="s">
        <v>3069</v>
      </c>
      <c r="O298" t="s">
        <v>1719</v>
      </c>
      <c r="P298" t="s">
        <v>2914</v>
      </c>
      <c r="Q298" t="s">
        <v>903</v>
      </c>
      <c r="R298" t="s">
        <v>1720</v>
      </c>
      <c r="S298">
        <v>390</v>
      </c>
      <c r="T298" t="s">
        <v>793</v>
      </c>
      <c r="U298">
        <v>1270088</v>
      </c>
      <c r="V298" t="s">
        <v>3340</v>
      </c>
      <c r="W298" t="s">
        <v>3341</v>
      </c>
      <c r="X298" t="s">
        <v>2917</v>
      </c>
      <c r="Y298" t="s">
        <v>34</v>
      </c>
      <c r="Z298" t="s">
        <v>3340</v>
      </c>
      <c r="AA298" t="s">
        <v>3341</v>
      </c>
      <c r="AB298" t="s">
        <v>2917</v>
      </c>
      <c r="AC298" t="s">
        <v>34</v>
      </c>
      <c r="AD298" t="s">
        <v>767</v>
      </c>
      <c r="AE298" t="s">
        <v>768</v>
      </c>
      <c r="AF298" t="s">
        <v>585</v>
      </c>
      <c r="AG298" t="s">
        <v>1889</v>
      </c>
      <c r="AH298" t="s">
        <v>34</v>
      </c>
      <c r="AI298" t="s">
        <v>34</v>
      </c>
      <c r="AJ298" t="s">
        <v>34</v>
      </c>
      <c r="AK298" t="s">
        <v>34</v>
      </c>
      <c r="AL298" t="s">
        <v>34</v>
      </c>
      <c r="AM298" t="s">
        <v>2861</v>
      </c>
      <c r="AO298">
        <v>2.1527777777777781E-2</v>
      </c>
    </row>
    <row r="299" spans="1:41" x14ac:dyDescent="0.2">
      <c r="A299">
        <v>1270679</v>
      </c>
      <c r="B299">
        <v>57825</v>
      </c>
      <c r="C299" t="s">
        <v>322</v>
      </c>
      <c r="D299" t="s">
        <v>728</v>
      </c>
      <c r="E299" t="s">
        <v>677</v>
      </c>
      <c r="F299" t="s">
        <v>34</v>
      </c>
      <c r="G299" t="s">
        <v>772</v>
      </c>
      <c r="H299" t="s">
        <v>3569</v>
      </c>
      <c r="I299" t="s">
        <v>980</v>
      </c>
      <c r="J299" t="s">
        <v>1721</v>
      </c>
      <c r="K299" t="s">
        <v>1718</v>
      </c>
      <c r="L299" t="s">
        <v>322</v>
      </c>
      <c r="M299" t="s">
        <v>322</v>
      </c>
      <c r="N299" t="s">
        <v>3605</v>
      </c>
      <c r="O299" t="s">
        <v>1722</v>
      </c>
      <c r="P299" t="s">
        <v>2914</v>
      </c>
      <c r="Q299" t="s">
        <v>903</v>
      </c>
      <c r="R299" t="s">
        <v>1723</v>
      </c>
      <c r="S299">
        <v>382.3</v>
      </c>
      <c r="T299" t="s">
        <v>793</v>
      </c>
      <c r="U299">
        <v>1270086</v>
      </c>
      <c r="V299" t="s">
        <v>3340</v>
      </c>
      <c r="W299" t="s">
        <v>3342</v>
      </c>
      <c r="X299" t="s">
        <v>2917</v>
      </c>
      <c r="Y299" t="s">
        <v>34</v>
      </c>
      <c r="Z299" t="s">
        <v>3340</v>
      </c>
      <c r="AA299" t="s">
        <v>3342</v>
      </c>
      <c r="AB299" t="s">
        <v>2917</v>
      </c>
      <c r="AC299" t="s">
        <v>34</v>
      </c>
      <c r="AD299" t="s">
        <v>767</v>
      </c>
      <c r="AE299" t="s">
        <v>768</v>
      </c>
      <c r="AF299" t="s">
        <v>585</v>
      </c>
      <c r="AG299" t="s">
        <v>1889</v>
      </c>
      <c r="AH299" t="s">
        <v>34</v>
      </c>
      <c r="AI299" t="s">
        <v>34</v>
      </c>
      <c r="AJ299" t="s">
        <v>34</v>
      </c>
      <c r="AK299" t="s">
        <v>34</v>
      </c>
      <c r="AL299" t="s">
        <v>34</v>
      </c>
      <c r="AM299" t="s">
        <v>2861</v>
      </c>
    </row>
    <row r="300" spans="1:41" x14ac:dyDescent="0.2">
      <c r="A300">
        <v>1270678</v>
      </c>
      <c r="B300">
        <v>57825</v>
      </c>
      <c r="C300" t="s">
        <v>323</v>
      </c>
      <c r="D300" t="s">
        <v>728</v>
      </c>
      <c r="E300" t="s">
        <v>677</v>
      </c>
      <c r="F300" t="s">
        <v>34</v>
      </c>
      <c r="G300" t="s">
        <v>772</v>
      </c>
      <c r="H300" t="s">
        <v>3603</v>
      </c>
      <c r="I300" t="s">
        <v>980</v>
      </c>
      <c r="J300" t="s">
        <v>1703</v>
      </c>
      <c r="K300" t="s">
        <v>890</v>
      </c>
      <c r="L300" t="s">
        <v>323</v>
      </c>
      <c r="M300" t="s">
        <v>323</v>
      </c>
      <c r="O300" t="s">
        <v>882</v>
      </c>
      <c r="P300" t="s">
        <v>770</v>
      </c>
      <c r="Q300" t="s">
        <v>1702</v>
      </c>
      <c r="R300" t="s">
        <v>1704</v>
      </c>
      <c r="S300">
        <v>100</v>
      </c>
      <c r="T300" t="s">
        <v>793</v>
      </c>
      <c r="U300">
        <v>2693666</v>
      </c>
      <c r="V300" t="s">
        <v>3332</v>
      </c>
      <c r="W300" t="s">
        <v>3627</v>
      </c>
      <c r="X300" t="s">
        <v>766</v>
      </c>
      <c r="Y300" t="s">
        <v>34</v>
      </c>
      <c r="Z300" t="s">
        <v>3332</v>
      </c>
      <c r="AA300" t="s">
        <v>3627</v>
      </c>
      <c r="AB300" t="s">
        <v>766</v>
      </c>
      <c r="AC300" t="s">
        <v>3628</v>
      </c>
      <c r="AD300" t="s">
        <v>767</v>
      </c>
      <c r="AE300" t="s">
        <v>768</v>
      </c>
      <c r="AF300" t="s">
        <v>585</v>
      </c>
      <c r="AG300" t="s">
        <v>1889</v>
      </c>
      <c r="AH300" t="s">
        <v>34</v>
      </c>
      <c r="AI300" t="s">
        <v>34</v>
      </c>
      <c r="AJ300" t="s">
        <v>34</v>
      </c>
      <c r="AK300" t="s">
        <v>34</v>
      </c>
      <c r="AL300" t="s">
        <v>34</v>
      </c>
      <c r="AM300" t="s">
        <v>2879</v>
      </c>
    </row>
    <row r="301" spans="1:41" x14ac:dyDescent="0.2">
      <c r="B301">
        <v>57825</v>
      </c>
      <c r="C301" t="s">
        <v>324</v>
      </c>
      <c r="D301" t="s">
        <v>728</v>
      </c>
      <c r="E301" t="s">
        <v>677</v>
      </c>
      <c r="F301" t="s">
        <v>34</v>
      </c>
      <c r="G301" t="s">
        <v>772</v>
      </c>
      <c r="H301" t="s">
        <v>3569</v>
      </c>
      <c r="I301" t="s">
        <v>980</v>
      </c>
      <c r="J301" t="s">
        <v>1695</v>
      </c>
      <c r="K301" t="s">
        <v>1696</v>
      </c>
      <c r="L301" t="s">
        <v>1697</v>
      </c>
      <c r="M301" t="s">
        <v>324</v>
      </c>
      <c r="N301" t="s">
        <v>2966</v>
      </c>
      <c r="O301" t="s">
        <v>1698</v>
      </c>
      <c r="P301" t="s">
        <v>2928</v>
      </c>
      <c r="Q301" t="s">
        <v>903</v>
      </c>
      <c r="R301" t="s">
        <v>1699</v>
      </c>
      <c r="S301">
        <v>270</v>
      </c>
      <c r="T301" t="s">
        <v>793</v>
      </c>
      <c r="U301" t="s">
        <v>34</v>
      </c>
      <c r="V301" t="s">
        <v>1352</v>
      </c>
      <c r="W301" t="s">
        <v>1700</v>
      </c>
      <c r="X301" t="s">
        <v>2917</v>
      </c>
      <c r="Y301" t="s">
        <v>34</v>
      </c>
      <c r="Z301" t="s">
        <v>1532</v>
      </c>
      <c r="AA301" t="s">
        <v>1701</v>
      </c>
      <c r="AB301" t="s">
        <v>2917</v>
      </c>
      <c r="AC301" t="s">
        <v>34</v>
      </c>
      <c r="AD301" t="s">
        <v>767</v>
      </c>
      <c r="AE301" t="s">
        <v>768</v>
      </c>
      <c r="AF301" t="s">
        <v>585</v>
      </c>
      <c r="AG301" t="s">
        <v>2351</v>
      </c>
      <c r="AH301" t="s">
        <v>2407</v>
      </c>
      <c r="AI301" t="s">
        <v>2352</v>
      </c>
      <c r="AJ301" t="s">
        <v>2408</v>
      </c>
      <c r="AK301" t="s">
        <v>2409</v>
      </c>
      <c r="AL301" t="s">
        <v>34</v>
      </c>
      <c r="AM301" t="s">
        <v>2864</v>
      </c>
    </row>
    <row r="302" spans="1:41" x14ac:dyDescent="0.2">
      <c r="A302">
        <v>1270676</v>
      </c>
      <c r="B302">
        <v>57825</v>
      </c>
      <c r="C302" t="s">
        <v>2302</v>
      </c>
      <c r="D302" t="s">
        <v>728</v>
      </c>
      <c r="E302" t="s">
        <v>677</v>
      </c>
      <c r="F302" t="s">
        <v>34</v>
      </c>
      <c r="G302" t="s">
        <v>772</v>
      </c>
      <c r="H302" t="s">
        <v>3569</v>
      </c>
      <c r="I302" t="s">
        <v>762</v>
      </c>
      <c r="J302" t="s">
        <v>2566</v>
      </c>
      <c r="K302" t="s">
        <v>310</v>
      </c>
      <c r="L302" t="s">
        <v>2302</v>
      </c>
      <c r="M302" t="s">
        <v>2302</v>
      </c>
      <c r="N302" t="s">
        <v>310</v>
      </c>
      <c r="O302" t="s">
        <v>1324</v>
      </c>
      <c r="P302" t="s">
        <v>844</v>
      </c>
      <c r="Q302" t="s">
        <v>765</v>
      </c>
      <c r="R302" t="s">
        <v>1680</v>
      </c>
      <c r="S302">
        <v>189</v>
      </c>
      <c r="T302" t="s">
        <v>794</v>
      </c>
      <c r="U302" t="s">
        <v>34</v>
      </c>
      <c r="V302" t="s">
        <v>880</v>
      </c>
      <c r="W302" t="s">
        <v>2567</v>
      </c>
      <c r="X302" t="s">
        <v>892</v>
      </c>
      <c r="AC302" t="s">
        <v>1682</v>
      </c>
      <c r="AD302" t="s">
        <v>767</v>
      </c>
      <c r="AE302" t="s">
        <v>768</v>
      </c>
      <c r="AF302" t="s">
        <v>585</v>
      </c>
      <c r="AG302" t="s">
        <v>34</v>
      </c>
      <c r="AH302" t="s">
        <v>34</v>
      </c>
      <c r="AI302" t="s">
        <v>34</v>
      </c>
      <c r="AJ302" t="s">
        <v>34</v>
      </c>
      <c r="AK302" t="s">
        <v>34</v>
      </c>
      <c r="AL302" t="s">
        <v>34</v>
      </c>
      <c r="AM302" t="s">
        <v>2861</v>
      </c>
    </row>
    <row r="303" spans="1:41" x14ac:dyDescent="0.2">
      <c r="A303">
        <v>1270716</v>
      </c>
      <c r="B303">
        <v>57825</v>
      </c>
      <c r="C303" t="s">
        <v>641</v>
      </c>
      <c r="D303" t="s">
        <v>728</v>
      </c>
      <c r="E303" t="s">
        <v>677</v>
      </c>
      <c r="F303" t="s">
        <v>34</v>
      </c>
      <c r="G303" t="s">
        <v>772</v>
      </c>
      <c r="H303" t="s">
        <v>3604</v>
      </c>
      <c r="I303" t="s">
        <v>1293</v>
      </c>
      <c r="J303" t="s">
        <v>1713</v>
      </c>
      <c r="K303" t="s">
        <v>890</v>
      </c>
      <c r="L303" t="s">
        <v>641</v>
      </c>
      <c r="M303" t="s">
        <v>641</v>
      </c>
      <c r="N303" t="s">
        <v>310</v>
      </c>
      <c r="O303" t="s">
        <v>1714</v>
      </c>
      <c r="P303" t="s">
        <v>847</v>
      </c>
      <c r="Q303" t="s">
        <v>765</v>
      </c>
      <c r="R303" t="s">
        <v>1715</v>
      </c>
      <c r="S303">
        <v>346.5</v>
      </c>
      <c r="T303" t="s">
        <v>794</v>
      </c>
      <c r="U303" t="s">
        <v>34</v>
      </c>
      <c r="V303" t="s">
        <v>890</v>
      </c>
      <c r="W303" t="s">
        <v>1716</v>
      </c>
      <c r="X303" t="s">
        <v>894</v>
      </c>
      <c r="AC303" t="s">
        <v>1682</v>
      </c>
      <c r="AD303" t="s">
        <v>767</v>
      </c>
      <c r="AE303" t="s">
        <v>768</v>
      </c>
      <c r="AF303" t="s">
        <v>585</v>
      </c>
      <c r="AG303" t="s">
        <v>1889</v>
      </c>
      <c r="AH303" t="s">
        <v>34</v>
      </c>
      <c r="AI303" t="s">
        <v>34</v>
      </c>
      <c r="AJ303" t="s">
        <v>34</v>
      </c>
      <c r="AK303" t="s">
        <v>34</v>
      </c>
      <c r="AL303" t="s">
        <v>34</v>
      </c>
      <c r="AM303" t="s">
        <v>2861</v>
      </c>
    </row>
    <row r="304" spans="1:41" x14ac:dyDescent="0.2">
      <c r="A304">
        <v>1270677</v>
      </c>
      <c r="B304">
        <v>57825</v>
      </c>
      <c r="C304" t="s">
        <v>2303</v>
      </c>
      <c r="D304" t="s">
        <v>728</v>
      </c>
      <c r="E304" t="s">
        <v>677</v>
      </c>
      <c r="F304" t="s">
        <v>34</v>
      </c>
      <c r="G304" t="s">
        <v>772</v>
      </c>
      <c r="H304" t="s">
        <v>3569</v>
      </c>
      <c r="I304" t="s">
        <v>1293</v>
      </c>
      <c r="J304" t="s">
        <v>2471</v>
      </c>
      <c r="K304" t="s">
        <v>890</v>
      </c>
      <c r="L304" t="s">
        <v>2303</v>
      </c>
      <c r="M304" t="s">
        <v>2303</v>
      </c>
      <c r="N304" t="s">
        <v>310</v>
      </c>
      <c r="O304" t="s">
        <v>3606</v>
      </c>
      <c r="P304" t="s">
        <v>847</v>
      </c>
      <c r="Q304" t="s">
        <v>765</v>
      </c>
      <c r="R304" t="s">
        <v>1715</v>
      </c>
      <c r="S304">
        <v>346.5</v>
      </c>
      <c r="T304" t="s">
        <v>794</v>
      </c>
      <c r="U304" t="s">
        <v>34</v>
      </c>
      <c r="V304" t="s">
        <v>890</v>
      </c>
      <c r="W304" t="s">
        <v>2472</v>
      </c>
      <c r="X304" t="s">
        <v>834</v>
      </c>
      <c r="AC304" t="s">
        <v>3607</v>
      </c>
      <c r="AD304" t="s">
        <v>767</v>
      </c>
      <c r="AE304" t="s">
        <v>768</v>
      </c>
      <c r="AF304" t="s">
        <v>585</v>
      </c>
      <c r="AG304" t="s">
        <v>1889</v>
      </c>
      <c r="AH304" t="s">
        <v>34</v>
      </c>
      <c r="AI304" t="s">
        <v>34</v>
      </c>
      <c r="AJ304" t="s">
        <v>34</v>
      </c>
      <c r="AK304" t="s">
        <v>34</v>
      </c>
      <c r="AL304" t="s">
        <v>34</v>
      </c>
      <c r="AM304" t="s">
        <v>2861</v>
      </c>
    </row>
    <row r="305" spans="1:39" x14ac:dyDescent="0.2">
      <c r="A305">
        <v>1270674</v>
      </c>
      <c r="B305">
        <v>57825</v>
      </c>
      <c r="C305" t="s">
        <v>318</v>
      </c>
      <c r="D305" t="s">
        <v>728</v>
      </c>
      <c r="E305" t="s">
        <v>677</v>
      </c>
      <c r="F305" t="s">
        <v>34</v>
      </c>
      <c r="G305" t="s">
        <v>772</v>
      </c>
      <c r="H305" t="s">
        <v>3569</v>
      </c>
      <c r="I305" t="s">
        <v>980</v>
      </c>
      <c r="J305" t="s">
        <v>1328</v>
      </c>
      <c r="K305" t="s">
        <v>310</v>
      </c>
      <c r="L305" t="s">
        <v>318</v>
      </c>
      <c r="M305" t="s">
        <v>318</v>
      </c>
      <c r="N305" t="s">
        <v>310</v>
      </c>
      <c r="O305" t="s">
        <v>1128</v>
      </c>
      <c r="P305" t="s">
        <v>2916</v>
      </c>
      <c r="Q305" t="s">
        <v>765</v>
      </c>
      <c r="R305" t="s">
        <v>1680</v>
      </c>
      <c r="S305">
        <v>189</v>
      </c>
      <c r="T305" t="s">
        <v>794</v>
      </c>
      <c r="U305" t="s">
        <v>34</v>
      </c>
      <c r="V305" t="s">
        <v>880</v>
      </c>
      <c r="W305" t="s">
        <v>1681</v>
      </c>
      <c r="X305" t="s">
        <v>2923</v>
      </c>
      <c r="AC305" t="s">
        <v>1682</v>
      </c>
      <c r="AD305" t="s">
        <v>767</v>
      </c>
      <c r="AE305" t="s">
        <v>768</v>
      </c>
      <c r="AF305" t="s">
        <v>585</v>
      </c>
      <c r="AG305" t="s">
        <v>34</v>
      </c>
      <c r="AH305" t="s">
        <v>34</v>
      </c>
      <c r="AI305" t="s">
        <v>34</v>
      </c>
      <c r="AJ305" t="s">
        <v>34</v>
      </c>
      <c r="AK305" t="s">
        <v>34</v>
      </c>
      <c r="AL305" t="s">
        <v>34</v>
      </c>
      <c r="AM305" t="s">
        <v>2861</v>
      </c>
    </row>
    <row r="306" spans="1:39" x14ac:dyDescent="0.2">
      <c r="A306">
        <v>1270673</v>
      </c>
      <c r="B306">
        <v>57825</v>
      </c>
      <c r="C306" t="s">
        <v>317</v>
      </c>
      <c r="D306" t="s">
        <v>728</v>
      </c>
      <c r="E306" t="s">
        <v>677</v>
      </c>
      <c r="F306" t="s">
        <v>34</v>
      </c>
      <c r="G306" t="s">
        <v>772</v>
      </c>
      <c r="H306" t="s">
        <v>3569</v>
      </c>
      <c r="I306" t="s">
        <v>980</v>
      </c>
      <c r="J306" t="s">
        <v>1683</v>
      </c>
      <c r="K306" t="s">
        <v>310</v>
      </c>
      <c r="L306" t="s">
        <v>317</v>
      </c>
      <c r="M306" t="s">
        <v>317</v>
      </c>
      <c r="N306" t="s">
        <v>310</v>
      </c>
      <c r="O306" t="s">
        <v>1684</v>
      </c>
      <c r="P306" t="s">
        <v>844</v>
      </c>
      <c r="Q306" t="s">
        <v>765</v>
      </c>
      <c r="R306" t="s">
        <v>1680</v>
      </c>
      <c r="S306">
        <v>189</v>
      </c>
      <c r="T306" t="s">
        <v>794</v>
      </c>
      <c r="U306" t="s">
        <v>34</v>
      </c>
      <c r="V306" t="s">
        <v>880</v>
      </c>
      <c r="W306" t="s">
        <v>1685</v>
      </c>
      <c r="X306" t="s">
        <v>892</v>
      </c>
      <c r="AC306" t="s">
        <v>1682</v>
      </c>
      <c r="AD306" t="s">
        <v>767</v>
      </c>
      <c r="AE306" t="s">
        <v>768</v>
      </c>
      <c r="AF306" t="s">
        <v>585</v>
      </c>
      <c r="AG306" t="s">
        <v>34</v>
      </c>
      <c r="AH306" t="s">
        <v>34</v>
      </c>
      <c r="AI306" t="s">
        <v>34</v>
      </c>
      <c r="AJ306" t="s">
        <v>34</v>
      </c>
      <c r="AK306" t="s">
        <v>34</v>
      </c>
      <c r="AL306" t="s">
        <v>34</v>
      </c>
      <c r="AM306" t="s">
        <v>2861</v>
      </c>
    </row>
    <row r="307" spans="1:39" x14ac:dyDescent="0.2">
      <c r="A307">
        <v>1270715</v>
      </c>
      <c r="B307">
        <v>57843</v>
      </c>
      <c r="C307">
        <v>3037</v>
      </c>
      <c r="D307" t="s">
        <v>729</v>
      </c>
      <c r="E307" t="s">
        <v>730</v>
      </c>
      <c r="F307" t="s">
        <v>34</v>
      </c>
      <c r="G307" t="s">
        <v>772</v>
      </c>
      <c r="H307" t="s">
        <v>3569</v>
      </c>
      <c r="I307" t="s">
        <v>980</v>
      </c>
      <c r="J307" t="s">
        <v>367</v>
      </c>
      <c r="K307" t="s">
        <v>1732</v>
      </c>
      <c r="L307">
        <v>82216</v>
      </c>
      <c r="M307">
        <v>3037</v>
      </c>
      <c r="N307" t="s">
        <v>3586</v>
      </c>
      <c r="O307" t="s">
        <v>1726</v>
      </c>
      <c r="P307" t="s">
        <v>2914</v>
      </c>
      <c r="Q307" t="s">
        <v>765</v>
      </c>
      <c r="R307" t="s">
        <v>1733</v>
      </c>
      <c r="S307">
        <v>248.9</v>
      </c>
      <c r="T307" t="s">
        <v>793</v>
      </c>
      <c r="U307">
        <v>1270081</v>
      </c>
      <c r="V307" t="s">
        <v>1877</v>
      </c>
      <c r="W307">
        <v>305939</v>
      </c>
      <c r="X307" t="s">
        <v>2917</v>
      </c>
      <c r="Y307" t="s">
        <v>34</v>
      </c>
      <c r="Z307" t="s">
        <v>3396</v>
      </c>
      <c r="AA307" t="s">
        <v>3397</v>
      </c>
      <c r="AB307" t="s">
        <v>2917</v>
      </c>
      <c r="AC307" t="s">
        <v>34</v>
      </c>
      <c r="AD307" t="s">
        <v>767</v>
      </c>
      <c r="AE307" t="s">
        <v>768</v>
      </c>
      <c r="AF307" t="s">
        <v>585</v>
      </c>
      <c r="AG307">
        <v>6</v>
      </c>
      <c r="AH307">
        <v>0.28000000000000003</v>
      </c>
      <c r="AI307">
        <v>0.17</v>
      </c>
      <c r="AJ307" t="s">
        <v>34</v>
      </c>
      <c r="AK307" t="s">
        <v>34</v>
      </c>
      <c r="AL307" t="s">
        <v>34</v>
      </c>
      <c r="AM307" t="s">
        <v>2864</v>
      </c>
    </row>
    <row r="308" spans="1:39" x14ac:dyDescent="0.2">
      <c r="A308">
        <v>1270714</v>
      </c>
      <c r="B308">
        <v>57843</v>
      </c>
      <c r="C308" t="s">
        <v>438</v>
      </c>
      <c r="D308" t="s">
        <v>729</v>
      </c>
      <c r="E308" t="s">
        <v>730</v>
      </c>
      <c r="F308" t="s">
        <v>34</v>
      </c>
      <c r="G308" t="s">
        <v>772</v>
      </c>
      <c r="H308" t="s">
        <v>3569</v>
      </c>
      <c r="I308" t="s">
        <v>980</v>
      </c>
      <c r="J308" t="s">
        <v>367</v>
      </c>
      <c r="K308" t="s">
        <v>1724</v>
      </c>
      <c r="L308" t="s">
        <v>1725</v>
      </c>
      <c r="M308" t="s">
        <v>438</v>
      </c>
      <c r="N308" t="s">
        <v>3586</v>
      </c>
      <c r="O308" t="s">
        <v>1726</v>
      </c>
      <c r="P308" t="s">
        <v>2914</v>
      </c>
      <c r="Q308" t="s">
        <v>765</v>
      </c>
      <c r="R308" t="s">
        <v>1727</v>
      </c>
      <c r="S308">
        <v>292.5</v>
      </c>
      <c r="T308" t="s">
        <v>794</v>
      </c>
      <c r="U308">
        <v>1270079</v>
      </c>
      <c r="V308" t="s">
        <v>1728</v>
      </c>
      <c r="W308" t="s">
        <v>1729</v>
      </c>
      <c r="X308" t="s">
        <v>2917</v>
      </c>
      <c r="Y308" t="s">
        <v>34</v>
      </c>
      <c r="Z308" t="s">
        <v>1730</v>
      </c>
      <c r="AA308" t="s">
        <v>1731</v>
      </c>
      <c r="AB308" t="s">
        <v>2917</v>
      </c>
      <c r="AC308" t="s">
        <v>34</v>
      </c>
      <c r="AD308" t="s">
        <v>767</v>
      </c>
      <c r="AE308" t="s">
        <v>768</v>
      </c>
      <c r="AF308" t="s">
        <v>585</v>
      </c>
      <c r="AG308" t="s">
        <v>1889</v>
      </c>
      <c r="AH308" t="s">
        <v>34</v>
      </c>
      <c r="AI308" t="s">
        <v>34</v>
      </c>
      <c r="AJ308" t="s">
        <v>34</v>
      </c>
      <c r="AK308" t="s">
        <v>34</v>
      </c>
      <c r="AL308" t="s">
        <v>34</v>
      </c>
      <c r="AM308" t="s">
        <v>2864</v>
      </c>
    </row>
    <row r="309" spans="1:39" x14ac:dyDescent="0.2">
      <c r="A309">
        <v>1270645</v>
      </c>
      <c r="B309">
        <v>57855</v>
      </c>
      <c r="C309" t="s">
        <v>453</v>
      </c>
      <c r="D309" t="s">
        <v>1790</v>
      </c>
      <c r="E309" t="s">
        <v>683</v>
      </c>
      <c r="F309" t="s">
        <v>34</v>
      </c>
      <c r="G309" t="s">
        <v>772</v>
      </c>
      <c r="H309" t="s">
        <v>3569</v>
      </c>
      <c r="I309" t="s">
        <v>1293</v>
      </c>
      <c r="J309" t="s">
        <v>1791</v>
      </c>
      <c r="K309" t="s">
        <v>1792</v>
      </c>
      <c r="L309" t="s">
        <v>1793</v>
      </c>
      <c r="M309" t="s">
        <v>453</v>
      </c>
      <c r="N309" t="s">
        <v>310</v>
      </c>
      <c r="O309" t="s">
        <v>1794</v>
      </c>
      <c r="P309" t="s">
        <v>847</v>
      </c>
      <c r="Q309" t="s">
        <v>903</v>
      </c>
      <c r="R309" t="s">
        <v>1795</v>
      </c>
      <c r="S309">
        <v>840</v>
      </c>
      <c r="T309" t="s">
        <v>793</v>
      </c>
      <c r="U309">
        <v>1270103</v>
      </c>
      <c r="V309" t="s">
        <v>1670</v>
      </c>
      <c r="W309" t="s">
        <v>1796</v>
      </c>
      <c r="X309" t="s">
        <v>766</v>
      </c>
      <c r="Y309" t="s">
        <v>34</v>
      </c>
      <c r="Z309" t="s">
        <v>1347</v>
      </c>
      <c r="AA309" t="s">
        <v>1797</v>
      </c>
      <c r="AB309" t="s">
        <v>766</v>
      </c>
      <c r="AC309" t="s">
        <v>34</v>
      </c>
      <c r="AD309" t="s">
        <v>767</v>
      </c>
      <c r="AE309" t="s">
        <v>768</v>
      </c>
      <c r="AF309" t="s">
        <v>585</v>
      </c>
      <c r="AG309" t="s">
        <v>2530</v>
      </c>
      <c r="AH309">
        <v>1</v>
      </c>
      <c r="AI309">
        <v>1</v>
      </c>
      <c r="AJ309" t="s">
        <v>2531</v>
      </c>
      <c r="AK309" t="s">
        <v>34</v>
      </c>
      <c r="AL309" t="s">
        <v>34</v>
      </c>
      <c r="AM309" t="s">
        <v>2863</v>
      </c>
    </row>
    <row r="310" spans="1:39" x14ac:dyDescent="0.2">
      <c r="A310">
        <v>1290505</v>
      </c>
      <c r="B310">
        <v>57855</v>
      </c>
      <c r="C310" t="s">
        <v>622</v>
      </c>
      <c r="D310" t="s">
        <v>1790</v>
      </c>
      <c r="E310" t="s">
        <v>683</v>
      </c>
      <c r="F310" t="s">
        <v>34</v>
      </c>
      <c r="G310" t="s">
        <v>772</v>
      </c>
      <c r="H310" t="s">
        <v>3569</v>
      </c>
      <c r="I310" t="s">
        <v>1293</v>
      </c>
      <c r="J310" t="s">
        <v>1791</v>
      </c>
      <c r="K310" t="s">
        <v>1025</v>
      </c>
      <c r="L310" t="s">
        <v>1803</v>
      </c>
      <c r="M310" t="s">
        <v>1804</v>
      </c>
      <c r="N310" t="s">
        <v>310</v>
      </c>
      <c r="O310" t="s">
        <v>1749</v>
      </c>
      <c r="P310" t="s">
        <v>847</v>
      </c>
      <c r="Q310" t="s">
        <v>898</v>
      </c>
      <c r="R310" t="s">
        <v>1805</v>
      </c>
      <c r="S310">
        <v>1481</v>
      </c>
      <c r="T310" t="s">
        <v>793</v>
      </c>
      <c r="U310" t="s">
        <v>34</v>
      </c>
      <c r="V310" t="s">
        <v>1806</v>
      </c>
      <c r="W310" t="s">
        <v>1807</v>
      </c>
      <c r="X310" t="s">
        <v>897</v>
      </c>
      <c r="AC310" t="s">
        <v>1808</v>
      </c>
      <c r="AD310" t="s">
        <v>767</v>
      </c>
      <c r="AE310" t="s">
        <v>768</v>
      </c>
      <c r="AF310" t="s">
        <v>585</v>
      </c>
      <c r="AG310" t="s">
        <v>34</v>
      </c>
      <c r="AH310" t="s">
        <v>34</v>
      </c>
      <c r="AI310" t="s">
        <v>34</v>
      </c>
      <c r="AJ310" t="s">
        <v>34</v>
      </c>
      <c r="AK310" t="s">
        <v>34</v>
      </c>
      <c r="AL310" t="s">
        <v>34</v>
      </c>
      <c r="AM310" t="s">
        <v>2863</v>
      </c>
    </row>
    <row r="311" spans="1:39" x14ac:dyDescent="0.2">
      <c r="A311">
        <v>1290511</v>
      </c>
      <c r="B311">
        <v>57855</v>
      </c>
      <c r="C311" t="s">
        <v>452</v>
      </c>
      <c r="D311" t="s">
        <v>1790</v>
      </c>
      <c r="E311" t="s">
        <v>683</v>
      </c>
      <c r="F311" t="s">
        <v>34</v>
      </c>
      <c r="G311" t="s">
        <v>772</v>
      </c>
      <c r="H311" t="s">
        <v>3569</v>
      </c>
      <c r="I311" t="s">
        <v>980</v>
      </c>
      <c r="J311" t="s">
        <v>367</v>
      </c>
      <c r="K311" t="s">
        <v>1798</v>
      </c>
      <c r="L311">
        <v>92063</v>
      </c>
      <c r="M311" t="s">
        <v>452</v>
      </c>
      <c r="N311" t="s">
        <v>310</v>
      </c>
      <c r="O311" t="s">
        <v>1794</v>
      </c>
      <c r="P311" t="s">
        <v>2914</v>
      </c>
      <c r="Q311" t="s">
        <v>898</v>
      </c>
      <c r="R311" t="s">
        <v>1799</v>
      </c>
      <c r="S311">
        <v>742.5</v>
      </c>
      <c r="T311" t="s">
        <v>794</v>
      </c>
      <c r="U311">
        <v>1270101</v>
      </c>
      <c r="V311" t="s">
        <v>1800</v>
      </c>
      <c r="W311" t="s">
        <v>1801</v>
      </c>
      <c r="X311" t="s">
        <v>2917</v>
      </c>
      <c r="Y311" t="s">
        <v>34</v>
      </c>
      <c r="Z311" t="s">
        <v>1347</v>
      </c>
      <c r="AA311" t="s">
        <v>1802</v>
      </c>
      <c r="AB311" t="s">
        <v>2917</v>
      </c>
      <c r="AC311" t="s">
        <v>34</v>
      </c>
      <c r="AD311" t="s">
        <v>767</v>
      </c>
      <c r="AE311" t="s">
        <v>768</v>
      </c>
      <c r="AF311" t="s">
        <v>585</v>
      </c>
      <c r="AG311">
        <v>5</v>
      </c>
      <c r="AI311">
        <v>5</v>
      </c>
      <c r="AJ311">
        <v>30</v>
      </c>
      <c r="AK311" t="s">
        <v>34</v>
      </c>
      <c r="AL311" t="s">
        <v>34</v>
      </c>
      <c r="AM311" t="s">
        <v>2863</v>
      </c>
    </row>
    <row r="312" spans="1:39" x14ac:dyDescent="0.2">
      <c r="A312">
        <v>1270713</v>
      </c>
      <c r="B312">
        <v>57856</v>
      </c>
      <c r="C312" t="s">
        <v>440</v>
      </c>
      <c r="D312" t="s">
        <v>731</v>
      </c>
      <c r="E312" t="s">
        <v>671</v>
      </c>
      <c r="F312" t="s">
        <v>34</v>
      </c>
      <c r="G312" t="s">
        <v>772</v>
      </c>
      <c r="H312" t="s">
        <v>3569</v>
      </c>
      <c r="I312" t="s">
        <v>1293</v>
      </c>
      <c r="J312" t="s">
        <v>366</v>
      </c>
      <c r="K312" t="s">
        <v>1738</v>
      </c>
      <c r="L312" t="s">
        <v>440</v>
      </c>
      <c r="M312" t="s">
        <v>440</v>
      </c>
      <c r="N312" t="s">
        <v>310</v>
      </c>
      <c r="O312" t="s">
        <v>1462</v>
      </c>
      <c r="P312" t="s">
        <v>847</v>
      </c>
      <c r="Q312" t="s">
        <v>828</v>
      </c>
      <c r="R312" t="s">
        <v>1739</v>
      </c>
      <c r="S312">
        <v>0.3</v>
      </c>
      <c r="T312" t="s">
        <v>649</v>
      </c>
      <c r="U312" t="s">
        <v>34</v>
      </c>
      <c r="V312" t="s">
        <v>1740</v>
      </c>
      <c r="W312" t="s">
        <v>1741</v>
      </c>
      <c r="X312" t="s">
        <v>2560</v>
      </c>
      <c r="AC312" t="s">
        <v>3246</v>
      </c>
      <c r="AD312" t="s">
        <v>767</v>
      </c>
      <c r="AE312" t="s">
        <v>768</v>
      </c>
      <c r="AF312" t="s">
        <v>585</v>
      </c>
      <c r="AG312" t="s">
        <v>1889</v>
      </c>
      <c r="AH312" t="s">
        <v>34</v>
      </c>
      <c r="AI312" t="s">
        <v>34</v>
      </c>
      <c r="AJ312" t="s">
        <v>34</v>
      </c>
      <c r="AK312" t="s">
        <v>34</v>
      </c>
      <c r="AL312" t="s">
        <v>34</v>
      </c>
      <c r="AM312" t="s">
        <v>2880</v>
      </c>
    </row>
    <row r="313" spans="1:39" x14ac:dyDescent="0.2">
      <c r="A313">
        <v>1270712</v>
      </c>
      <c r="B313">
        <v>57856</v>
      </c>
      <c r="C313" t="s">
        <v>450</v>
      </c>
      <c r="D313" t="s">
        <v>731</v>
      </c>
      <c r="E313" t="s">
        <v>671</v>
      </c>
      <c r="F313" t="s">
        <v>34</v>
      </c>
      <c r="G313" t="s">
        <v>772</v>
      </c>
      <c r="H313" t="s">
        <v>3569</v>
      </c>
      <c r="I313" t="s">
        <v>980</v>
      </c>
      <c r="J313" t="s">
        <v>366</v>
      </c>
      <c r="K313" t="s">
        <v>1734</v>
      </c>
      <c r="L313" t="s">
        <v>1735</v>
      </c>
      <c r="M313" t="s">
        <v>450</v>
      </c>
      <c r="N313" t="s">
        <v>310</v>
      </c>
      <c r="O313" t="s">
        <v>1041</v>
      </c>
      <c r="P313" t="s">
        <v>847</v>
      </c>
      <c r="Q313" t="s">
        <v>903</v>
      </c>
      <c r="R313" t="s">
        <v>1736</v>
      </c>
      <c r="S313">
        <v>120</v>
      </c>
      <c r="T313" t="s">
        <v>793</v>
      </c>
      <c r="U313">
        <v>1270118</v>
      </c>
      <c r="V313" t="s">
        <v>3398</v>
      </c>
      <c r="W313" t="s">
        <v>3399</v>
      </c>
      <c r="X313" t="s">
        <v>766</v>
      </c>
      <c r="Y313" t="s">
        <v>34</v>
      </c>
      <c r="Z313" t="s">
        <v>3398</v>
      </c>
      <c r="AA313" t="s">
        <v>3399</v>
      </c>
      <c r="AC313" t="s">
        <v>34</v>
      </c>
      <c r="AD313" t="s">
        <v>767</v>
      </c>
      <c r="AE313" t="s">
        <v>768</v>
      </c>
      <c r="AF313" t="s">
        <v>585</v>
      </c>
      <c r="AG313" t="s">
        <v>2353</v>
      </c>
      <c r="AH313">
        <v>0.75</v>
      </c>
      <c r="AI313">
        <v>0.5</v>
      </c>
      <c r="AJ313" t="s">
        <v>34</v>
      </c>
      <c r="AK313" t="s">
        <v>34</v>
      </c>
      <c r="AL313" t="s">
        <v>34</v>
      </c>
      <c r="AM313" t="s">
        <v>2861</v>
      </c>
    </row>
    <row r="314" spans="1:39" x14ac:dyDescent="0.2">
      <c r="B314">
        <v>57856</v>
      </c>
      <c r="C314" t="s">
        <v>2971</v>
      </c>
      <c r="D314" t="s">
        <v>731</v>
      </c>
      <c r="E314" t="s">
        <v>671</v>
      </c>
      <c r="F314" t="s">
        <v>34</v>
      </c>
      <c r="G314" t="s">
        <v>772</v>
      </c>
      <c r="H314" t="s">
        <v>3569</v>
      </c>
      <c r="I314" t="s">
        <v>980</v>
      </c>
      <c r="J314" t="s">
        <v>366</v>
      </c>
      <c r="K314" t="s">
        <v>2972</v>
      </c>
      <c r="L314" t="s">
        <v>2973</v>
      </c>
      <c r="M314" t="s">
        <v>2971</v>
      </c>
      <c r="N314" t="s">
        <v>310</v>
      </c>
      <c r="O314" t="s">
        <v>1041</v>
      </c>
      <c r="P314" t="s">
        <v>847</v>
      </c>
      <c r="Q314" t="s">
        <v>2609</v>
      </c>
      <c r="R314" t="s">
        <v>2974</v>
      </c>
      <c r="S314">
        <v>395</v>
      </c>
      <c r="T314" t="s">
        <v>793</v>
      </c>
      <c r="U314">
        <v>1726031</v>
      </c>
      <c r="V314" t="s">
        <v>3143</v>
      </c>
      <c r="W314" t="s">
        <v>3144</v>
      </c>
      <c r="X314" t="s">
        <v>766</v>
      </c>
      <c r="Y314" t="s">
        <v>34</v>
      </c>
      <c r="Z314" t="s">
        <v>3143</v>
      </c>
      <c r="AA314" t="s">
        <v>3144</v>
      </c>
      <c r="AB314" t="s">
        <v>766</v>
      </c>
      <c r="AC314" t="s">
        <v>34</v>
      </c>
      <c r="AD314" t="s">
        <v>767</v>
      </c>
      <c r="AE314" t="s">
        <v>768</v>
      </c>
      <c r="AF314" t="s">
        <v>585</v>
      </c>
      <c r="AG314">
        <v>21.5</v>
      </c>
      <c r="AH314" t="s">
        <v>3145</v>
      </c>
      <c r="AI314">
        <v>230</v>
      </c>
      <c r="AJ314" t="s">
        <v>3146</v>
      </c>
      <c r="AK314" t="s">
        <v>3147</v>
      </c>
      <c r="AL314" t="s">
        <v>34</v>
      </c>
      <c r="AM314" t="s">
        <v>2861</v>
      </c>
    </row>
    <row r="315" spans="1:39" x14ac:dyDescent="0.2">
      <c r="A315">
        <v>1270720</v>
      </c>
      <c r="B315">
        <v>57856</v>
      </c>
      <c r="C315" t="s">
        <v>441</v>
      </c>
      <c r="D315" t="s">
        <v>731</v>
      </c>
      <c r="E315" t="s">
        <v>671</v>
      </c>
      <c r="F315" t="s">
        <v>34</v>
      </c>
      <c r="G315" t="s">
        <v>772</v>
      </c>
      <c r="H315" t="s">
        <v>3569</v>
      </c>
      <c r="I315" t="s">
        <v>980</v>
      </c>
      <c r="J315" t="s">
        <v>366</v>
      </c>
      <c r="K315" t="s">
        <v>1742</v>
      </c>
      <c r="L315" t="s">
        <v>1743</v>
      </c>
      <c r="M315" t="s">
        <v>441</v>
      </c>
      <c r="N315" t="s">
        <v>310</v>
      </c>
      <c r="O315" t="s">
        <v>1744</v>
      </c>
      <c r="P315" t="s">
        <v>2928</v>
      </c>
      <c r="Q315" t="s">
        <v>765</v>
      </c>
      <c r="R315" t="s">
        <v>1745</v>
      </c>
      <c r="S315">
        <v>4.5999999999999996</v>
      </c>
      <c r="T315" t="s">
        <v>793</v>
      </c>
      <c r="U315" t="s">
        <v>34</v>
      </c>
      <c r="V315" t="s">
        <v>3122</v>
      </c>
      <c r="W315" t="s">
        <v>3123</v>
      </c>
      <c r="X315" t="s">
        <v>2917</v>
      </c>
      <c r="Y315" t="s">
        <v>34</v>
      </c>
      <c r="Z315" t="s">
        <v>3223</v>
      </c>
      <c r="AA315" t="s">
        <v>3343</v>
      </c>
      <c r="AB315" t="s">
        <v>2917</v>
      </c>
      <c r="AC315" t="s">
        <v>34</v>
      </c>
      <c r="AD315" t="s">
        <v>767</v>
      </c>
      <c r="AE315" t="s">
        <v>768</v>
      </c>
      <c r="AF315" t="s">
        <v>585</v>
      </c>
      <c r="AG315">
        <v>10</v>
      </c>
      <c r="AH315">
        <v>0.1</v>
      </c>
      <c r="AI315">
        <v>1</v>
      </c>
      <c r="AJ315" t="s">
        <v>2410</v>
      </c>
      <c r="AK315" t="s">
        <v>2388</v>
      </c>
      <c r="AL315" t="s">
        <v>34</v>
      </c>
      <c r="AM315" t="s">
        <v>2861</v>
      </c>
    </row>
    <row r="316" spans="1:39" x14ac:dyDescent="0.2">
      <c r="A316">
        <v>1270706</v>
      </c>
      <c r="B316">
        <v>57856</v>
      </c>
      <c r="C316" t="s">
        <v>442</v>
      </c>
      <c r="D316" t="s">
        <v>731</v>
      </c>
      <c r="E316" t="s">
        <v>671</v>
      </c>
      <c r="F316" t="s">
        <v>34</v>
      </c>
      <c r="G316" t="s">
        <v>772</v>
      </c>
      <c r="H316" t="s">
        <v>3569</v>
      </c>
      <c r="I316" t="s">
        <v>980</v>
      </c>
      <c r="J316" t="s">
        <v>366</v>
      </c>
      <c r="K316" t="s">
        <v>1746</v>
      </c>
      <c r="L316">
        <v>54064</v>
      </c>
      <c r="M316" t="s">
        <v>442</v>
      </c>
      <c r="N316" t="s">
        <v>310</v>
      </c>
      <c r="O316" t="s">
        <v>1747</v>
      </c>
      <c r="P316" t="s">
        <v>2914</v>
      </c>
      <c r="Q316" t="s">
        <v>765</v>
      </c>
      <c r="R316" t="s">
        <v>1748</v>
      </c>
      <c r="S316">
        <v>5.3</v>
      </c>
      <c r="T316" t="s">
        <v>794</v>
      </c>
      <c r="U316">
        <v>1270095</v>
      </c>
      <c r="V316" t="s">
        <v>3327</v>
      </c>
      <c r="W316" t="s">
        <v>3328</v>
      </c>
      <c r="X316" t="s">
        <v>2917</v>
      </c>
      <c r="AC316" t="s">
        <v>34</v>
      </c>
      <c r="AD316" t="s">
        <v>767</v>
      </c>
      <c r="AE316" t="s">
        <v>768</v>
      </c>
      <c r="AF316" t="s">
        <v>585</v>
      </c>
      <c r="AG316">
        <v>20</v>
      </c>
      <c r="AH316">
        <v>60</v>
      </c>
      <c r="AI316">
        <v>360</v>
      </c>
      <c r="AJ316" t="s">
        <v>34</v>
      </c>
      <c r="AK316" t="s">
        <v>34</v>
      </c>
      <c r="AL316" t="s">
        <v>34</v>
      </c>
      <c r="AM316" t="s">
        <v>2861</v>
      </c>
    </row>
    <row r="317" spans="1:39" x14ac:dyDescent="0.2">
      <c r="A317">
        <v>1270705</v>
      </c>
      <c r="B317">
        <v>57856</v>
      </c>
      <c r="C317" t="s">
        <v>443</v>
      </c>
      <c r="D317" t="s">
        <v>731</v>
      </c>
      <c r="E317" t="s">
        <v>671</v>
      </c>
      <c r="F317" t="s">
        <v>34</v>
      </c>
      <c r="G317" t="s">
        <v>772</v>
      </c>
      <c r="H317" t="s">
        <v>3569</v>
      </c>
      <c r="I317" t="s">
        <v>1293</v>
      </c>
      <c r="J317" t="s">
        <v>366</v>
      </c>
      <c r="K317" t="s">
        <v>1690</v>
      </c>
      <c r="L317" t="s">
        <v>1763</v>
      </c>
      <c r="M317" t="s">
        <v>443</v>
      </c>
      <c r="N317" t="s">
        <v>310</v>
      </c>
      <c r="O317" t="s">
        <v>1099</v>
      </c>
      <c r="P317" t="s">
        <v>847</v>
      </c>
      <c r="Q317" t="s">
        <v>828</v>
      </c>
      <c r="R317" t="s">
        <v>1764</v>
      </c>
      <c r="S317">
        <v>232.9</v>
      </c>
      <c r="T317" t="s">
        <v>793</v>
      </c>
      <c r="U317">
        <v>1270110</v>
      </c>
      <c r="V317" t="s">
        <v>1765</v>
      </c>
      <c r="W317" t="s">
        <v>1766</v>
      </c>
      <c r="X317" t="s">
        <v>766</v>
      </c>
      <c r="Y317" t="s">
        <v>34</v>
      </c>
      <c r="Z317" t="s">
        <v>1206</v>
      </c>
      <c r="AA317" t="s">
        <v>1767</v>
      </c>
      <c r="AB317" t="s">
        <v>766</v>
      </c>
      <c r="AC317" t="s">
        <v>34</v>
      </c>
      <c r="AD317" t="s">
        <v>767</v>
      </c>
      <c r="AE317" t="s">
        <v>768</v>
      </c>
      <c r="AF317" t="s">
        <v>585</v>
      </c>
      <c r="AG317">
        <v>1.3</v>
      </c>
      <c r="AH317">
        <v>0.17</v>
      </c>
      <c r="AI317">
        <v>1.08</v>
      </c>
      <c r="AJ317" t="s">
        <v>2386</v>
      </c>
      <c r="AK317" t="s">
        <v>2413</v>
      </c>
      <c r="AL317" t="s">
        <v>34</v>
      </c>
      <c r="AM317" t="s">
        <v>2861</v>
      </c>
    </row>
    <row r="318" spans="1:39" x14ac:dyDescent="0.2">
      <c r="A318">
        <v>1270704</v>
      </c>
      <c r="B318">
        <v>57856</v>
      </c>
      <c r="C318" t="s">
        <v>444</v>
      </c>
      <c r="D318" t="s">
        <v>731</v>
      </c>
      <c r="E318" t="s">
        <v>671</v>
      </c>
      <c r="F318" t="s">
        <v>34</v>
      </c>
      <c r="G318" t="s">
        <v>772</v>
      </c>
      <c r="H318" t="s">
        <v>3569</v>
      </c>
      <c r="I318" t="s">
        <v>1293</v>
      </c>
      <c r="J318" t="s">
        <v>366</v>
      </c>
      <c r="K318" t="s">
        <v>1768</v>
      </c>
      <c r="L318" t="s">
        <v>1769</v>
      </c>
      <c r="M318" t="s">
        <v>444</v>
      </c>
      <c r="N318" t="s">
        <v>310</v>
      </c>
      <c r="O318" t="s">
        <v>1099</v>
      </c>
      <c r="P318" t="s">
        <v>847</v>
      </c>
      <c r="Q318" t="s">
        <v>828</v>
      </c>
      <c r="R318" t="s">
        <v>1770</v>
      </c>
      <c r="S318">
        <v>8.25</v>
      </c>
      <c r="T318" t="s">
        <v>793</v>
      </c>
      <c r="U318">
        <v>1270120</v>
      </c>
      <c r="V318" t="s">
        <v>1771</v>
      </c>
      <c r="W318" t="s">
        <v>1772</v>
      </c>
      <c r="X318" t="s">
        <v>766</v>
      </c>
      <c r="Y318" t="s">
        <v>34</v>
      </c>
      <c r="Z318" t="s">
        <v>1206</v>
      </c>
      <c r="AA318" t="s">
        <v>1773</v>
      </c>
      <c r="AB318" t="s">
        <v>766</v>
      </c>
      <c r="AC318" t="s">
        <v>34</v>
      </c>
      <c r="AD318" t="s">
        <v>767</v>
      </c>
      <c r="AE318" t="s">
        <v>768</v>
      </c>
      <c r="AF318" t="s">
        <v>585</v>
      </c>
      <c r="AG318">
        <v>5</v>
      </c>
      <c r="AH318">
        <v>0.1</v>
      </c>
      <c r="AI318">
        <v>2</v>
      </c>
      <c r="AJ318" t="s">
        <v>2410</v>
      </c>
      <c r="AK318" t="s">
        <v>2414</v>
      </c>
      <c r="AL318" t="s">
        <v>34</v>
      </c>
      <c r="AM318" t="s">
        <v>2861</v>
      </c>
    </row>
    <row r="319" spans="1:39" x14ac:dyDescent="0.2">
      <c r="A319">
        <v>1270701</v>
      </c>
      <c r="B319">
        <v>57856</v>
      </c>
      <c r="C319" t="s">
        <v>447</v>
      </c>
      <c r="D319" t="s">
        <v>731</v>
      </c>
      <c r="E319" t="s">
        <v>671</v>
      </c>
      <c r="F319" t="s">
        <v>34</v>
      </c>
      <c r="G319" t="s">
        <v>772</v>
      </c>
      <c r="H319" t="s">
        <v>3569</v>
      </c>
      <c r="I319" t="s">
        <v>1293</v>
      </c>
      <c r="J319" t="s">
        <v>1783</v>
      </c>
      <c r="K319" t="s">
        <v>1784</v>
      </c>
      <c r="L319" t="s">
        <v>1785</v>
      </c>
      <c r="M319" t="s">
        <v>447</v>
      </c>
      <c r="N319" t="s">
        <v>310</v>
      </c>
      <c r="O319" t="s">
        <v>1041</v>
      </c>
      <c r="P319" t="s">
        <v>764</v>
      </c>
      <c r="Q319" t="s">
        <v>828</v>
      </c>
      <c r="R319" t="s">
        <v>1786</v>
      </c>
      <c r="S319">
        <v>10.4</v>
      </c>
      <c r="T319" t="s">
        <v>793</v>
      </c>
      <c r="U319" t="s">
        <v>34</v>
      </c>
      <c r="V319" t="s">
        <v>1787</v>
      </c>
      <c r="W319" t="s">
        <v>1788</v>
      </c>
      <c r="X319" t="s">
        <v>766</v>
      </c>
      <c r="Y319" t="s">
        <v>34</v>
      </c>
      <c r="Z319" t="s">
        <v>1789</v>
      </c>
      <c r="AA319">
        <v>7961820</v>
      </c>
      <c r="AB319" t="s">
        <v>891</v>
      </c>
      <c r="AC319" t="s">
        <v>835</v>
      </c>
      <c r="AD319" t="s">
        <v>767</v>
      </c>
      <c r="AE319" t="s">
        <v>768</v>
      </c>
      <c r="AF319" t="s">
        <v>585</v>
      </c>
      <c r="AG319" t="s">
        <v>1889</v>
      </c>
      <c r="AH319" t="s">
        <v>34</v>
      </c>
      <c r="AI319" t="s">
        <v>34</v>
      </c>
      <c r="AJ319" t="s">
        <v>34</v>
      </c>
      <c r="AK319" t="s">
        <v>34</v>
      </c>
      <c r="AL319" t="s">
        <v>34</v>
      </c>
      <c r="AM319" t="s">
        <v>2862</v>
      </c>
    </row>
    <row r="320" spans="1:39" x14ac:dyDescent="0.2">
      <c r="A320">
        <v>1270703</v>
      </c>
      <c r="B320">
        <v>57856</v>
      </c>
      <c r="C320" t="s">
        <v>445</v>
      </c>
      <c r="D320" t="s">
        <v>731</v>
      </c>
      <c r="E320" t="s">
        <v>671</v>
      </c>
      <c r="F320" t="s">
        <v>34</v>
      </c>
      <c r="G320" t="s">
        <v>772</v>
      </c>
      <c r="H320" t="s">
        <v>3569</v>
      </c>
      <c r="I320" t="s">
        <v>1293</v>
      </c>
      <c r="J320" t="s">
        <v>775</v>
      </c>
      <c r="K320" t="s">
        <v>1774</v>
      </c>
      <c r="L320">
        <v>87914</v>
      </c>
      <c r="M320" t="s">
        <v>445</v>
      </c>
      <c r="N320" t="s">
        <v>310</v>
      </c>
      <c r="O320" t="s">
        <v>1775</v>
      </c>
      <c r="P320" t="s">
        <v>847</v>
      </c>
      <c r="Q320" t="s">
        <v>828</v>
      </c>
      <c r="R320" t="s">
        <v>1776</v>
      </c>
      <c r="S320">
        <v>42.7</v>
      </c>
      <c r="T320" t="s">
        <v>794</v>
      </c>
      <c r="U320" t="s">
        <v>34</v>
      </c>
      <c r="V320" t="s">
        <v>1777</v>
      </c>
      <c r="W320">
        <v>97.39</v>
      </c>
      <c r="X320" t="s">
        <v>766</v>
      </c>
      <c r="Y320" t="s">
        <v>34</v>
      </c>
      <c r="Z320" t="s">
        <v>1206</v>
      </c>
      <c r="AA320" t="s">
        <v>1778</v>
      </c>
      <c r="AB320" t="s">
        <v>766</v>
      </c>
      <c r="AC320" t="s">
        <v>34</v>
      </c>
      <c r="AD320" t="s">
        <v>767</v>
      </c>
      <c r="AE320" t="s">
        <v>768</v>
      </c>
      <c r="AF320" t="s">
        <v>585</v>
      </c>
      <c r="AG320">
        <v>6.5</v>
      </c>
      <c r="AH320">
        <v>0.08</v>
      </c>
      <c r="AI320">
        <v>0.3</v>
      </c>
      <c r="AJ320" t="s">
        <v>2395</v>
      </c>
      <c r="AK320" t="s">
        <v>2415</v>
      </c>
      <c r="AL320" t="s">
        <v>34</v>
      </c>
      <c r="AM320" t="s">
        <v>2864</v>
      </c>
    </row>
    <row r="321" spans="1:39" x14ac:dyDescent="0.2">
      <c r="A321">
        <v>2500277</v>
      </c>
      <c r="B321">
        <v>57856</v>
      </c>
      <c r="C321" t="s">
        <v>3400</v>
      </c>
      <c r="D321" t="s">
        <v>731</v>
      </c>
      <c r="E321" t="s">
        <v>671</v>
      </c>
      <c r="G321" t="s">
        <v>772</v>
      </c>
      <c r="H321" t="s">
        <v>3068</v>
      </c>
      <c r="I321" t="s">
        <v>980</v>
      </c>
      <c r="J321" t="s">
        <v>366</v>
      </c>
      <c r="K321" t="s">
        <v>3401</v>
      </c>
      <c r="L321">
        <v>630195</v>
      </c>
      <c r="M321" t="s">
        <v>3400</v>
      </c>
      <c r="N321" t="s">
        <v>310</v>
      </c>
      <c r="O321" t="s">
        <v>1041</v>
      </c>
      <c r="P321" t="s">
        <v>847</v>
      </c>
      <c r="Q321" t="s">
        <v>2609</v>
      </c>
      <c r="R321" t="s">
        <v>3402</v>
      </c>
      <c r="S321">
        <v>70.83</v>
      </c>
      <c r="T321" t="s">
        <v>793</v>
      </c>
      <c r="U321">
        <v>2500279</v>
      </c>
      <c r="V321" t="s">
        <v>3122</v>
      </c>
      <c r="W321" t="s">
        <v>3403</v>
      </c>
      <c r="X321" t="s">
        <v>766</v>
      </c>
      <c r="Y321" t="s">
        <v>34</v>
      </c>
      <c r="Z321" t="s">
        <v>3398</v>
      </c>
      <c r="AA321" t="s">
        <v>3403</v>
      </c>
      <c r="AB321" t="s">
        <v>766</v>
      </c>
      <c r="AD321" t="s">
        <v>767</v>
      </c>
      <c r="AE321" t="s">
        <v>768</v>
      </c>
      <c r="AF321" t="s">
        <v>585</v>
      </c>
      <c r="AG321">
        <v>14.1</v>
      </c>
      <c r="AH321" t="s">
        <v>2527</v>
      </c>
      <c r="AI321">
        <v>189</v>
      </c>
      <c r="AJ321" t="s">
        <v>3404</v>
      </c>
      <c r="AM321" t="s">
        <v>2861</v>
      </c>
    </row>
    <row r="322" spans="1:39" x14ac:dyDescent="0.2">
      <c r="A322">
        <v>1290335</v>
      </c>
      <c r="B322">
        <v>57856</v>
      </c>
      <c r="C322" t="s">
        <v>446</v>
      </c>
      <c r="D322" t="s">
        <v>731</v>
      </c>
      <c r="E322" t="s">
        <v>671</v>
      </c>
      <c r="F322" t="s">
        <v>34</v>
      </c>
      <c r="G322" t="s">
        <v>772</v>
      </c>
      <c r="H322" t="s">
        <v>3569</v>
      </c>
      <c r="I322" t="s">
        <v>1293</v>
      </c>
      <c r="J322" t="s">
        <v>887</v>
      </c>
      <c r="K322" t="s">
        <v>1779</v>
      </c>
      <c r="L322">
        <v>122026</v>
      </c>
      <c r="M322" t="s">
        <v>446</v>
      </c>
      <c r="N322" t="s">
        <v>310</v>
      </c>
      <c r="O322" t="s">
        <v>1780</v>
      </c>
      <c r="P322" t="s">
        <v>770</v>
      </c>
      <c r="Q322" t="s">
        <v>903</v>
      </c>
      <c r="R322" t="s">
        <v>1781</v>
      </c>
      <c r="S322">
        <v>1380</v>
      </c>
      <c r="T322" t="s">
        <v>794</v>
      </c>
      <c r="U322">
        <v>1270094</v>
      </c>
      <c r="V322" t="s">
        <v>1782</v>
      </c>
      <c r="W322">
        <v>133569</v>
      </c>
      <c r="X322" t="s">
        <v>766</v>
      </c>
      <c r="AC322" t="s">
        <v>34</v>
      </c>
      <c r="AD322" t="s">
        <v>767</v>
      </c>
      <c r="AE322" t="s">
        <v>768</v>
      </c>
      <c r="AF322" t="s">
        <v>585</v>
      </c>
      <c r="AG322">
        <v>25</v>
      </c>
      <c r="AI322">
        <v>180</v>
      </c>
      <c r="AJ322" t="s">
        <v>2416</v>
      </c>
      <c r="AK322" t="s">
        <v>34</v>
      </c>
      <c r="AL322" t="s">
        <v>34</v>
      </c>
      <c r="AM322" t="s">
        <v>2863</v>
      </c>
    </row>
    <row r="323" spans="1:39" x14ac:dyDescent="0.2">
      <c r="A323">
        <v>1290333</v>
      </c>
      <c r="B323">
        <v>57856</v>
      </c>
      <c r="C323" t="s">
        <v>448</v>
      </c>
      <c r="D323" t="s">
        <v>731</v>
      </c>
      <c r="E323" t="s">
        <v>671</v>
      </c>
      <c r="F323" t="s">
        <v>34</v>
      </c>
      <c r="G323" t="s">
        <v>772</v>
      </c>
      <c r="H323" t="s">
        <v>3569</v>
      </c>
      <c r="I323" t="s">
        <v>980</v>
      </c>
      <c r="J323" t="s">
        <v>367</v>
      </c>
      <c r="K323" t="s">
        <v>1757</v>
      </c>
      <c r="L323">
        <v>18318</v>
      </c>
      <c r="M323" t="s">
        <v>448</v>
      </c>
      <c r="N323" t="s">
        <v>310</v>
      </c>
      <c r="O323" t="s">
        <v>1110</v>
      </c>
      <c r="P323" t="s">
        <v>2914</v>
      </c>
      <c r="Q323" t="s">
        <v>898</v>
      </c>
      <c r="R323" t="s">
        <v>1758</v>
      </c>
      <c r="S323">
        <v>1440</v>
      </c>
      <c r="T323" t="s">
        <v>794</v>
      </c>
      <c r="U323" t="s">
        <v>34</v>
      </c>
      <c r="V323" t="s">
        <v>1759</v>
      </c>
      <c r="W323" t="s">
        <v>1760</v>
      </c>
      <c r="X323" t="s">
        <v>2917</v>
      </c>
      <c r="Y323" t="s">
        <v>34</v>
      </c>
      <c r="Z323" t="s">
        <v>1761</v>
      </c>
      <c r="AA323" t="s">
        <v>1762</v>
      </c>
      <c r="AB323" t="s">
        <v>2917</v>
      </c>
      <c r="AC323" t="s">
        <v>34</v>
      </c>
      <c r="AD323" t="s">
        <v>767</v>
      </c>
      <c r="AE323" t="s">
        <v>768</v>
      </c>
      <c r="AF323" t="s">
        <v>585</v>
      </c>
      <c r="AG323" t="s">
        <v>1889</v>
      </c>
      <c r="AH323" t="s">
        <v>34</v>
      </c>
      <c r="AI323" t="s">
        <v>34</v>
      </c>
      <c r="AJ323" t="s">
        <v>34</v>
      </c>
      <c r="AK323" t="s">
        <v>34</v>
      </c>
      <c r="AL323" t="s">
        <v>34</v>
      </c>
      <c r="AM323" t="s">
        <v>2863</v>
      </c>
    </row>
    <row r="324" spans="1:39" x14ac:dyDescent="0.2">
      <c r="A324">
        <v>2247469</v>
      </c>
      <c r="B324">
        <v>57856</v>
      </c>
      <c r="C324" t="s">
        <v>901</v>
      </c>
      <c r="D324" t="s">
        <v>731</v>
      </c>
      <c r="E324" t="s">
        <v>671</v>
      </c>
      <c r="F324" t="s">
        <v>34</v>
      </c>
      <c r="G324" t="s">
        <v>772</v>
      </c>
      <c r="H324" t="s">
        <v>3569</v>
      </c>
      <c r="I324" t="s">
        <v>586</v>
      </c>
      <c r="J324" t="s">
        <v>3218</v>
      </c>
      <c r="K324" t="s">
        <v>3219</v>
      </c>
      <c r="L324" t="s">
        <v>3220</v>
      </c>
      <c r="M324" t="s">
        <v>901</v>
      </c>
      <c r="N324" t="s">
        <v>983</v>
      </c>
      <c r="O324" t="s">
        <v>3221</v>
      </c>
      <c r="P324" t="s">
        <v>2914</v>
      </c>
      <c r="Q324" t="s">
        <v>765</v>
      </c>
      <c r="R324" t="s">
        <v>3222</v>
      </c>
      <c r="S324">
        <v>154.04</v>
      </c>
      <c r="T324" t="s">
        <v>3174</v>
      </c>
      <c r="U324">
        <v>2247471</v>
      </c>
      <c r="V324" t="s">
        <v>3223</v>
      </c>
      <c r="W324" t="s">
        <v>3224</v>
      </c>
      <c r="X324" t="s">
        <v>2917</v>
      </c>
      <c r="AC324" t="s">
        <v>34</v>
      </c>
      <c r="AD324" t="s">
        <v>767</v>
      </c>
      <c r="AE324" t="s">
        <v>3225</v>
      </c>
      <c r="AF324" t="s">
        <v>584</v>
      </c>
      <c r="AG324">
        <v>26.9</v>
      </c>
      <c r="AH324" t="s">
        <v>2339</v>
      </c>
      <c r="AI324">
        <v>377</v>
      </c>
      <c r="AJ324" t="s">
        <v>3226</v>
      </c>
      <c r="AK324" t="s">
        <v>3227</v>
      </c>
      <c r="AL324" t="s">
        <v>34</v>
      </c>
      <c r="AM324" t="s">
        <v>2864</v>
      </c>
    </row>
    <row r="325" spans="1:39" x14ac:dyDescent="0.2">
      <c r="A325">
        <v>1270671</v>
      </c>
      <c r="B325">
        <v>57856</v>
      </c>
      <c r="C325" t="s">
        <v>282</v>
      </c>
      <c r="D325" t="s">
        <v>731</v>
      </c>
      <c r="E325" t="s">
        <v>671</v>
      </c>
      <c r="F325" t="s">
        <v>34</v>
      </c>
      <c r="G325" t="s">
        <v>772</v>
      </c>
      <c r="H325" t="s">
        <v>3569</v>
      </c>
      <c r="I325" t="s">
        <v>586</v>
      </c>
      <c r="J325" t="s">
        <v>383</v>
      </c>
      <c r="K325" t="s">
        <v>1750</v>
      </c>
      <c r="L325">
        <v>380028</v>
      </c>
      <c r="M325" t="s">
        <v>282</v>
      </c>
      <c r="N325" t="s">
        <v>310</v>
      </c>
      <c r="O325" t="s">
        <v>3176</v>
      </c>
      <c r="P325" t="s">
        <v>2914</v>
      </c>
      <c r="Q325" t="s">
        <v>828</v>
      </c>
      <c r="R325" t="s">
        <v>3177</v>
      </c>
      <c r="S325">
        <v>10</v>
      </c>
      <c r="T325" t="s">
        <v>794</v>
      </c>
      <c r="U325" t="s">
        <v>34</v>
      </c>
      <c r="V325" t="s">
        <v>1439</v>
      </c>
      <c r="W325" t="s">
        <v>1751</v>
      </c>
      <c r="X325" t="s">
        <v>2917</v>
      </c>
      <c r="AC325" t="s">
        <v>34</v>
      </c>
      <c r="AD325" t="s">
        <v>767</v>
      </c>
      <c r="AE325" t="s">
        <v>768</v>
      </c>
      <c r="AF325" t="s">
        <v>585</v>
      </c>
      <c r="AG325">
        <v>2</v>
      </c>
      <c r="AH325">
        <v>0.05</v>
      </c>
      <c r="AI325">
        <v>0.05</v>
      </c>
      <c r="AJ325" t="s">
        <v>2411</v>
      </c>
      <c r="AK325" t="s">
        <v>2412</v>
      </c>
      <c r="AL325" t="s">
        <v>34</v>
      </c>
      <c r="AM325" t="s">
        <v>2861</v>
      </c>
    </row>
    <row r="326" spans="1:39" x14ac:dyDescent="0.2">
      <c r="A326">
        <v>1270698</v>
      </c>
      <c r="B326">
        <v>57856</v>
      </c>
      <c r="C326" t="s">
        <v>449</v>
      </c>
      <c r="D326" t="s">
        <v>731</v>
      </c>
      <c r="E326" t="s">
        <v>671</v>
      </c>
      <c r="F326" t="s">
        <v>34</v>
      </c>
      <c r="G326" t="s">
        <v>772</v>
      </c>
      <c r="H326" t="s">
        <v>3569</v>
      </c>
      <c r="I326" t="s">
        <v>980</v>
      </c>
      <c r="J326" t="s">
        <v>367</v>
      </c>
      <c r="K326" t="s">
        <v>880</v>
      </c>
      <c r="L326" t="s">
        <v>1752</v>
      </c>
      <c r="M326" t="s">
        <v>449</v>
      </c>
      <c r="N326" t="s">
        <v>310</v>
      </c>
      <c r="O326" t="s">
        <v>1434</v>
      </c>
      <c r="P326" t="s">
        <v>770</v>
      </c>
      <c r="Q326" t="s">
        <v>771</v>
      </c>
      <c r="R326" t="s">
        <v>1753</v>
      </c>
      <c r="S326">
        <v>840</v>
      </c>
      <c r="T326" t="s">
        <v>794</v>
      </c>
      <c r="U326">
        <v>1270107</v>
      </c>
      <c r="V326" t="s">
        <v>1754</v>
      </c>
      <c r="W326" t="s">
        <v>1755</v>
      </c>
      <c r="X326" t="s">
        <v>766</v>
      </c>
      <c r="Y326" t="s">
        <v>34</v>
      </c>
      <c r="Z326" t="s">
        <v>1756</v>
      </c>
      <c r="AA326">
        <v>4303967</v>
      </c>
      <c r="AB326" t="s">
        <v>844</v>
      </c>
      <c r="AC326" t="s">
        <v>34</v>
      </c>
      <c r="AD326" t="s">
        <v>767</v>
      </c>
      <c r="AE326" t="s">
        <v>768</v>
      </c>
      <c r="AF326" t="s">
        <v>585</v>
      </c>
      <c r="AG326" t="s">
        <v>1889</v>
      </c>
      <c r="AH326" t="s">
        <v>34</v>
      </c>
      <c r="AI326" t="s">
        <v>34</v>
      </c>
      <c r="AJ326" t="s">
        <v>34</v>
      </c>
      <c r="AK326" t="s">
        <v>34</v>
      </c>
      <c r="AL326" t="s">
        <v>34</v>
      </c>
      <c r="AM326" t="s">
        <v>2863</v>
      </c>
    </row>
    <row r="327" spans="1:39" x14ac:dyDescent="0.2">
      <c r="A327">
        <v>1270670</v>
      </c>
      <c r="B327">
        <v>57856</v>
      </c>
      <c r="C327" t="s">
        <v>2636</v>
      </c>
      <c r="D327" t="s">
        <v>731</v>
      </c>
      <c r="E327" t="s">
        <v>671</v>
      </c>
      <c r="F327" t="s">
        <v>34</v>
      </c>
      <c r="G327" t="s">
        <v>772</v>
      </c>
      <c r="H327" t="s">
        <v>3569</v>
      </c>
      <c r="I327" t="s">
        <v>586</v>
      </c>
      <c r="J327" t="s">
        <v>367</v>
      </c>
      <c r="K327" t="s">
        <v>2637</v>
      </c>
      <c r="L327" t="s">
        <v>2638</v>
      </c>
      <c r="M327" t="s">
        <v>2639</v>
      </c>
      <c r="N327" t="s">
        <v>310</v>
      </c>
      <c r="O327" t="s">
        <v>2640</v>
      </c>
      <c r="P327" t="s">
        <v>770</v>
      </c>
      <c r="Q327" t="s">
        <v>898</v>
      </c>
      <c r="R327" t="s">
        <v>2641</v>
      </c>
      <c r="S327">
        <v>1771</v>
      </c>
      <c r="T327" t="s">
        <v>794</v>
      </c>
      <c r="U327" t="s">
        <v>34</v>
      </c>
      <c r="V327" t="s">
        <v>899</v>
      </c>
      <c r="W327" t="s">
        <v>2642</v>
      </c>
      <c r="X327" t="s">
        <v>1291</v>
      </c>
      <c r="Y327" t="s">
        <v>34</v>
      </c>
      <c r="Z327" t="s">
        <v>1347</v>
      </c>
      <c r="AA327" t="s">
        <v>2803</v>
      </c>
      <c r="AB327" t="s">
        <v>766</v>
      </c>
      <c r="AC327" t="s">
        <v>2804</v>
      </c>
      <c r="AD327" t="s">
        <v>767</v>
      </c>
      <c r="AE327" t="s">
        <v>768</v>
      </c>
      <c r="AF327" t="s">
        <v>585</v>
      </c>
      <c r="AG327" t="s">
        <v>1889</v>
      </c>
      <c r="AH327" t="s">
        <v>34</v>
      </c>
      <c r="AI327" t="s">
        <v>34</v>
      </c>
      <c r="AJ327" t="s">
        <v>34</v>
      </c>
      <c r="AK327" t="s">
        <v>34</v>
      </c>
      <c r="AL327" t="s">
        <v>34</v>
      </c>
      <c r="AM327" t="s">
        <v>2863</v>
      </c>
    </row>
    <row r="328" spans="1:39" x14ac:dyDescent="0.2">
      <c r="A328">
        <v>2240877</v>
      </c>
      <c r="B328">
        <v>57856</v>
      </c>
      <c r="C328" t="s">
        <v>289</v>
      </c>
      <c r="D328" t="s">
        <v>731</v>
      </c>
      <c r="E328" t="s">
        <v>671</v>
      </c>
      <c r="F328" t="s">
        <v>34</v>
      </c>
      <c r="G328" t="s">
        <v>772</v>
      </c>
      <c r="H328" t="s">
        <v>3569</v>
      </c>
      <c r="I328" t="s">
        <v>586</v>
      </c>
      <c r="J328" t="s">
        <v>383</v>
      </c>
      <c r="K328" t="s">
        <v>3247</v>
      </c>
      <c r="L328">
        <v>330453</v>
      </c>
      <c r="M328" t="s">
        <v>289</v>
      </c>
      <c r="N328" t="s">
        <v>310</v>
      </c>
      <c r="O328" t="s">
        <v>3248</v>
      </c>
      <c r="P328" t="s">
        <v>2914</v>
      </c>
      <c r="Q328" t="s">
        <v>828</v>
      </c>
      <c r="R328" t="s">
        <v>1339</v>
      </c>
      <c r="S328">
        <v>10</v>
      </c>
      <c r="T328" t="s">
        <v>794</v>
      </c>
      <c r="U328">
        <v>2240837</v>
      </c>
      <c r="V328" t="s">
        <v>3249</v>
      </c>
      <c r="W328" t="s">
        <v>3250</v>
      </c>
      <c r="X328" t="s">
        <v>2917</v>
      </c>
      <c r="AC328" t="s">
        <v>34</v>
      </c>
      <c r="AD328" t="s">
        <v>767</v>
      </c>
      <c r="AE328" t="s">
        <v>768</v>
      </c>
      <c r="AF328" t="s">
        <v>585</v>
      </c>
      <c r="AG328">
        <v>2</v>
      </c>
      <c r="AH328">
        <v>0.05</v>
      </c>
      <c r="AI328">
        <v>0.05</v>
      </c>
      <c r="AJ328" t="s">
        <v>2411</v>
      </c>
      <c r="AK328" t="s">
        <v>2412</v>
      </c>
      <c r="AL328" t="s">
        <v>34</v>
      </c>
      <c r="AM328" t="s">
        <v>2861</v>
      </c>
    </row>
    <row r="329" spans="1:39" x14ac:dyDescent="0.2">
      <c r="A329">
        <v>1270641</v>
      </c>
      <c r="B329">
        <v>57779</v>
      </c>
      <c r="C329" t="s">
        <v>455</v>
      </c>
      <c r="D329" t="s">
        <v>732</v>
      </c>
      <c r="E329" t="s">
        <v>677</v>
      </c>
      <c r="F329" t="s">
        <v>34</v>
      </c>
      <c r="G329" t="s">
        <v>772</v>
      </c>
      <c r="H329" t="s">
        <v>3569</v>
      </c>
      <c r="I329" t="s">
        <v>586</v>
      </c>
      <c r="J329" t="s">
        <v>775</v>
      </c>
      <c r="K329" t="s">
        <v>1809</v>
      </c>
      <c r="L329">
        <v>112047</v>
      </c>
      <c r="M329" t="s">
        <v>455</v>
      </c>
      <c r="N329" t="s">
        <v>310</v>
      </c>
      <c r="O329" t="s">
        <v>2568</v>
      </c>
      <c r="P329" t="s">
        <v>847</v>
      </c>
      <c r="Q329" t="s">
        <v>903</v>
      </c>
      <c r="R329" t="s">
        <v>2952</v>
      </c>
      <c r="S329">
        <v>143.75</v>
      </c>
      <c r="T329" t="s">
        <v>649</v>
      </c>
      <c r="U329" t="s">
        <v>34</v>
      </c>
      <c r="V329" t="s">
        <v>2569</v>
      </c>
      <c r="W329">
        <v>2009104701</v>
      </c>
      <c r="X329" t="s">
        <v>766</v>
      </c>
      <c r="Y329" t="s">
        <v>34</v>
      </c>
      <c r="Z329" t="s">
        <v>2569</v>
      </c>
      <c r="AA329">
        <v>2009104701</v>
      </c>
      <c r="AB329" t="s">
        <v>766</v>
      </c>
      <c r="AC329" t="s">
        <v>34</v>
      </c>
      <c r="AD329" t="s">
        <v>767</v>
      </c>
      <c r="AE329" t="s">
        <v>768</v>
      </c>
      <c r="AF329" t="s">
        <v>585</v>
      </c>
      <c r="AG329">
        <v>10.5</v>
      </c>
      <c r="AH329">
        <v>8</v>
      </c>
      <c r="AI329">
        <v>400</v>
      </c>
      <c r="AJ329" t="s">
        <v>34</v>
      </c>
      <c r="AK329" t="s">
        <v>34</v>
      </c>
      <c r="AL329" t="s">
        <v>34</v>
      </c>
      <c r="AM329" t="s">
        <v>2861</v>
      </c>
    </row>
    <row r="330" spans="1:39" x14ac:dyDescent="0.2">
      <c r="A330">
        <v>1290794</v>
      </c>
      <c r="B330">
        <v>57779</v>
      </c>
      <c r="C330" t="s">
        <v>2570</v>
      </c>
      <c r="D330" t="s">
        <v>732</v>
      </c>
      <c r="E330" t="s">
        <v>677</v>
      </c>
      <c r="F330" t="s">
        <v>34</v>
      </c>
      <c r="G330" t="s">
        <v>772</v>
      </c>
      <c r="H330" t="s">
        <v>3577</v>
      </c>
      <c r="I330" t="s">
        <v>586</v>
      </c>
      <c r="J330" t="s">
        <v>775</v>
      </c>
      <c r="K330" t="s">
        <v>1809</v>
      </c>
      <c r="L330">
        <v>112047</v>
      </c>
      <c r="M330" t="s">
        <v>455</v>
      </c>
      <c r="N330" t="s">
        <v>310</v>
      </c>
      <c r="O330" t="s">
        <v>2604</v>
      </c>
      <c r="P330" t="s">
        <v>847</v>
      </c>
      <c r="Q330" t="s">
        <v>903</v>
      </c>
      <c r="R330" t="s">
        <v>2017</v>
      </c>
      <c r="S330">
        <v>402.3</v>
      </c>
      <c r="T330" t="s">
        <v>649</v>
      </c>
      <c r="U330" t="s">
        <v>34</v>
      </c>
      <c r="V330" t="s">
        <v>2605</v>
      </c>
      <c r="W330">
        <v>2009104701</v>
      </c>
      <c r="X330" t="s">
        <v>766</v>
      </c>
      <c r="Y330" t="s">
        <v>34</v>
      </c>
      <c r="Z330" t="s">
        <v>2605</v>
      </c>
      <c r="AA330">
        <v>2009104701</v>
      </c>
      <c r="AB330" t="s">
        <v>766</v>
      </c>
      <c r="AC330" t="s">
        <v>34</v>
      </c>
      <c r="AD330" t="s">
        <v>767</v>
      </c>
      <c r="AE330" t="s">
        <v>768</v>
      </c>
      <c r="AF330" t="s">
        <v>585</v>
      </c>
      <c r="AG330">
        <v>10.5</v>
      </c>
      <c r="AH330">
        <v>8</v>
      </c>
      <c r="AI330">
        <v>400</v>
      </c>
      <c r="AJ330" t="s">
        <v>34</v>
      </c>
      <c r="AK330" t="s">
        <v>34</v>
      </c>
      <c r="AL330" t="s">
        <v>34</v>
      </c>
      <c r="AM330" t="s">
        <v>2878</v>
      </c>
    </row>
    <row r="331" spans="1:39" x14ac:dyDescent="0.2">
      <c r="A331">
        <v>1290801</v>
      </c>
      <c r="B331">
        <v>57779</v>
      </c>
      <c r="C331" t="s">
        <v>635</v>
      </c>
      <c r="D331" t="s">
        <v>732</v>
      </c>
      <c r="E331" t="s">
        <v>677</v>
      </c>
      <c r="F331" t="s">
        <v>34</v>
      </c>
      <c r="G331" t="s">
        <v>772</v>
      </c>
      <c r="H331" t="s">
        <v>3569</v>
      </c>
      <c r="I331" t="s">
        <v>586</v>
      </c>
      <c r="J331" t="s">
        <v>1816</v>
      </c>
      <c r="K331" t="s">
        <v>1817</v>
      </c>
      <c r="L331" t="s">
        <v>635</v>
      </c>
      <c r="M331" t="s">
        <v>635</v>
      </c>
      <c r="N331" t="s">
        <v>983</v>
      </c>
      <c r="O331" t="s">
        <v>2020</v>
      </c>
      <c r="P331" t="s">
        <v>2020</v>
      </c>
      <c r="Q331" t="s">
        <v>896</v>
      </c>
      <c r="R331" t="s">
        <v>2021</v>
      </c>
      <c r="S331">
        <v>3168</v>
      </c>
      <c r="T331" t="s">
        <v>649</v>
      </c>
      <c r="Y331" t="s">
        <v>34</v>
      </c>
      <c r="Z331" t="s">
        <v>1818</v>
      </c>
      <c r="AA331" t="s">
        <v>1810</v>
      </c>
      <c r="AB331" t="s">
        <v>766</v>
      </c>
      <c r="AC331" t="s">
        <v>34</v>
      </c>
      <c r="AD331" t="s">
        <v>767</v>
      </c>
      <c r="AE331" t="s">
        <v>768</v>
      </c>
      <c r="AF331" t="s">
        <v>585</v>
      </c>
      <c r="AG331" t="s">
        <v>1889</v>
      </c>
      <c r="AH331" t="s">
        <v>34</v>
      </c>
      <c r="AI331" t="s">
        <v>34</v>
      </c>
      <c r="AJ331" t="s">
        <v>34</v>
      </c>
      <c r="AK331" t="s">
        <v>34</v>
      </c>
      <c r="AL331" t="s">
        <v>34</v>
      </c>
      <c r="AM331" t="s">
        <v>2877</v>
      </c>
    </row>
    <row r="332" spans="1:39" x14ac:dyDescent="0.2">
      <c r="A332">
        <v>1270640</v>
      </c>
      <c r="B332">
        <v>57779</v>
      </c>
      <c r="C332" t="s">
        <v>661</v>
      </c>
      <c r="D332" t="s">
        <v>732</v>
      </c>
      <c r="E332" t="s">
        <v>677</v>
      </c>
      <c r="F332" t="s">
        <v>34</v>
      </c>
      <c r="G332" t="s">
        <v>772</v>
      </c>
      <c r="H332" t="s">
        <v>3569</v>
      </c>
      <c r="I332" t="s">
        <v>586</v>
      </c>
      <c r="J332" t="s">
        <v>1811</v>
      </c>
      <c r="K332" t="s">
        <v>1812</v>
      </c>
      <c r="L332" t="s">
        <v>661</v>
      </c>
      <c r="M332" t="s">
        <v>661</v>
      </c>
      <c r="N332" t="s">
        <v>983</v>
      </c>
      <c r="O332" t="s">
        <v>2018</v>
      </c>
      <c r="P332" t="s">
        <v>847</v>
      </c>
      <c r="Q332" t="s">
        <v>765</v>
      </c>
      <c r="R332" t="s">
        <v>2019</v>
      </c>
      <c r="S332">
        <v>96</v>
      </c>
      <c r="T332" t="s">
        <v>649</v>
      </c>
      <c r="U332" t="s">
        <v>34</v>
      </c>
      <c r="V332" t="s">
        <v>1813</v>
      </c>
      <c r="W332" t="s">
        <v>1814</v>
      </c>
      <c r="X332" t="s">
        <v>1815</v>
      </c>
      <c r="AC332" t="s">
        <v>34</v>
      </c>
      <c r="AD332" t="s">
        <v>767</v>
      </c>
      <c r="AE332" t="s">
        <v>768</v>
      </c>
      <c r="AF332" t="s">
        <v>585</v>
      </c>
      <c r="AG332" t="s">
        <v>1889</v>
      </c>
      <c r="AH332" t="s">
        <v>34</v>
      </c>
      <c r="AI332" t="s">
        <v>34</v>
      </c>
      <c r="AJ332" t="s">
        <v>34</v>
      </c>
      <c r="AK332" t="s">
        <v>34</v>
      </c>
      <c r="AL332" t="s">
        <v>34</v>
      </c>
      <c r="AM332" t="s">
        <v>2861</v>
      </c>
    </row>
    <row r="333" spans="1:39" x14ac:dyDescent="0.2">
      <c r="A333">
        <v>2537195</v>
      </c>
      <c r="B333">
        <v>57779</v>
      </c>
      <c r="C333" t="s">
        <v>3476</v>
      </c>
      <c r="D333" t="s">
        <v>3477</v>
      </c>
      <c r="E333" t="s">
        <v>687</v>
      </c>
      <c r="G333" t="s">
        <v>772</v>
      </c>
      <c r="H333" t="s">
        <v>3622</v>
      </c>
      <c r="I333" t="s">
        <v>762</v>
      </c>
      <c r="J333" t="s">
        <v>2657</v>
      </c>
      <c r="K333" t="s">
        <v>3478</v>
      </c>
      <c r="L333" t="s">
        <v>3479</v>
      </c>
      <c r="M333" t="s">
        <v>3476</v>
      </c>
      <c r="N333" t="s">
        <v>1602</v>
      </c>
      <c r="O333" t="s">
        <v>3480</v>
      </c>
      <c r="P333" t="s">
        <v>847</v>
      </c>
      <c r="Q333" t="s">
        <v>2839</v>
      </c>
      <c r="R333" t="s">
        <v>3481</v>
      </c>
      <c r="S333">
        <v>1067.2</v>
      </c>
      <c r="T333" t="s">
        <v>649</v>
      </c>
      <c r="U333">
        <v>2537197</v>
      </c>
      <c r="V333" t="s">
        <v>1118</v>
      </c>
      <c r="W333" t="s">
        <v>3482</v>
      </c>
      <c r="X333" t="s">
        <v>766</v>
      </c>
      <c r="Y333" t="s">
        <v>34</v>
      </c>
      <c r="Z333" t="s">
        <v>2686</v>
      </c>
      <c r="AA333" t="s">
        <v>3483</v>
      </c>
      <c r="AB333" t="s">
        <v>766</v>
      </c>
      <c r="AD333" t="s">
        <v>767</v>
      </c>
      <c r="AE333" t="s">
        <v>3484</v>
      </c>
      <c r="AF333" t="s">
        <v>585</v>
      </c>
      <c r="AG333" t="s">
        <v>1889</v>
      </c>
      <c r="AM333" t="s">
        <v>3009</v>
      </c>
    </row>
    <row r="334" spans="1:39" x14ac:dyDescent="0.2">
      <c r="A334">
        <v>1270638</v>
      </c>
      <c r="B334">
        <v>57802</v>
      </c>
      <c r="C334" t="s">
        <v>303</v>
      </c>
      <c r="D334" t="s">
        <v>733</v>
      </c>
      <c r="E334" t="s">
        <v>675</v>
      </c>
      <c r="F334" t="s">
        <v>34</v>
      </c>
      <c r="G334" t="s">
        <v>772</v>
      </c>
      <c r="H334" t="s">
        <v>3569</v>
      </c>
      <c r="I334" t="s">
        <v>586</v>
      </c>
      <c r="J334" t="s">
        <v>912</v>
      </c>
      <c r="K334" t="s">
        <v>1819</v>
      </c>
      <c r="L334">
        <v>9261</v>
      </c>
      <c r="M334" t="s">
        <v>303</v>
      </c>
      <c r="N334" t="s">
        <v>310</v>
      </c>
      <c r="O334" t="s">
        <v>931</v>
      </c>
      <c r="P334" t="s">
        <v>847</v>
      </c>
      <c r="Q334" t="s">
        <v>765</v>
      </c>
      <c r="R334" t="s">
        <v>2022</v>
      </c>
      <c r="S334">
        <v>339.3</v>
      </c>
      <c r="T334" t="s">
        <v>649</v>
      </c>
      <c r="U334" t="s">
        <v>34</v>
      </c>
      <c r="V334" t="s">
        <v>1819</v>
      </c>
      <c r="W334" t="s">
        <v>880</v>
      </c>
      <c r="X334" t="s">
        <v>766</v>
      </c>
      <c r="Y334" t="s">
        <v>34</v>
      </c>
      <c r="Z334" t="s">
        <v>1819</v>
      </c>
      <c r="AA334" t="s">
        <v>880</v>
      </c>
      <c r="AB334" t="s">
        <v>766</v>
      </c>
      <c r="AC334" t="s">
        <v>34</v>
      </c>
      <c r="AD334" t="s">
        <v>767</v>
      </c>
      <c r="AE334" t="s">
        <v>768</v>
      </c>
      <c r="AF334" t="s">
        <v>585</v>
      </c>
      <c r="AG334" t="s">
        <v>1889</v>
      </c>
      <c r="AH334" t="s">
        <v>34</v>
      </c>
      <c r="AI334" t="s">
        <v>34</v>
      </c>
      <c r="AJ334" t="s">
        <v>34</v>
      </c>
      <c r="AK334" t="s">
        <v>34</v>
      </c>
      <c r="AL334" t="s">
        <v>34</v>
      </c>
      <c r="AM334" t="s">
        <v>2861</v>
      </c>
    </row>
    <row r="335" spans="1:39" x14ac:dyDescent="0.2">
      <c r="A335">
        <v>1291229</v>
      </c>
      <c r="B335">
        <v>57802</v>
      </c>
      <c r="C335" t="s">
        <v>642</v>
      </c>
      <c r="D335" t="s">
        <v>733</v>
      </c>
      <c r="E335" t="s">
        <v>675</v>
      </c>
      <c r="F335" t="s">
        <v>34</v>
      </c>
      <c r="G335" t="s">
        <v>772</v>
      </c>
      <c r="H335" t="s">
        <v>3569</v>
      </c>
      <c r="I335" t="s">
        <v>586</v>
      </c>
      <c r="J335" t="s">
        <v>642</v>
      </c>
      <c r="K335" t="s">
        <v>1819</v>
      </c>
      <c r="L335">
        <v>17160</v>
      </c>
      <c r="M335" t="s">
        <v>642</v>
      </c>
      <c r="N335" t="s">
        <v>983</v>
      </c>
      <c r="O335" t="s">
        <v>931</v>
      </c>
      <c r="P335" t="s">
        <v>847</v>
      </c>
      <c r="Q335" t="s">
        <v>765</v>
      </c>
      <c r="R335" t="s">
        <v>2022</v>
      </c>
      <c r="S335">
        <v>339.3</v>
      </c>
      <c r="T335" t="s">
        <v>649</v>
      </c>
      <c r="U335" t="s">
        <v>34</v>
      </c>
      <c r="V335" t="s">
        <v>1819</v>
      </c>
      <c r="W335" t="s">
        <v>890</v>
      </c>
      <c r="X335" t="s">
        <v>766</v>
      </c>
      <c r="Y335" t="s">
        <v>34</v>
      </c>
      <c r="Z335" t="s">
        <v>1819</v>
      </c>
      <c r="AA335" t="s">
        <v>890</v>
      </c>
      <c r="AB335" t="s">
        <v>766</v>
      </c>
      <c r="AC335" t="s">
        <v>34</v>
      </c>
      <c r="AD335" t="s">
        <v>767</v>
      </c>
      <c r="AE335" t="s">
        <v>768</v>
      </c>
      <c r="AF335" t="s">
        <v>585</v>
      </c>
      <c r="AG335" t="s">
        <v>1889</v>
      </c>
      <c r="AH335" t="s">
        <v>34</v>
      </c>
      <c r="AI335" t="s">
        <v>34</v>
      </c>
      <c r="AJ335" t="s">
        <v>34</v>
      </c>
      <c r="AK335" t="s">
        <v>34</v>
      </c>
      <c r="AL335" t="s">
        <v>34</v>
      </c>
      <c r="AM335" t="s">
        <v>2861</v>
      </c>
    </row>
    <row r="336" spans="1:39" x14ac:dyDescent="0.2">
      <c r="A336">
        <v>1291232</v>
      </c>
      <c r="B336">
        <v>57802</v>
      </c>
      <c r="C336" t="s">
        <v>461</v>
      </c>
      <c r="D336" t="s">
        <v>733</v>
      </c>
      <c r="E336" t="s">
        <v>675</v>
      </c>
      <c r="F336" t="s">
        <v>34</v>
      </c>
      <c r="G336" t="s">
        <v>772</v>
      </c>
      <c r="H336" t="s">
        <v>3582</v>
      </c>
      <c r="I336" t="s">
        <v>762</v>
      </c>
      <c r="J336" t="s">
        <v>913</v>
      </c>
      <c r="K336" t="s">
        <v>1828</v>
      </c>
      <c r="L336" t="s">
        <v>461</v>
      </c>
      <c r="M336" t="s">
        <v>461</v>
      </c>
      <c r="N336" t="s">
        <v>1829</v>
      </c>
      <c r="O336" t="s">
        <v>955</v>
      </c>
      <c r="P336" t="s">
        <v>847</v>
      </c>
      <c r="Q336" t="s">
        <v>896</v>
      </c>
      <c r="R336" t="s">
        <v>2023</v>
      </c>
      <c r="S336">
        <v>2744</v>
      </c>
      <c r="T336" t="s">
        <v>649</v>
      </c>
      <c r="U336">
        <v>1291232</v>
      </c>
      <c r="V336" t="s">
        <v>1830</v>
      </c>
      <c r="W336" t="s">
        <v>461</v>
      </c>
      <c r="X336" t="s">
        <v>867</v>
      </c>
      <c r="Y336" t="s">
        <v>34</v>
      </c>
      <c r="Z336" t="s">
        <v>1831</v>
      </c>
      <c r="AA336">
        <v>500445</v>
      </c>
      <c r="AB336" t="s">
        <v>766</v>
      </c>
      <c r="AC336" t="s">
        <v>2898</v>
      </c>
      <c r="AD336" t="s">
        <v>767</v>
      </c>
      <c r="AE336" t="s">
        <v>768</v>
      </c>
      <c r="AF336" t="s">
        <v>585</v>
      </c>
      <c r="AG336" t="s">
        <v>1889</v>
      </c>
      <c r="AH336" t="s">
        <v>34</v>
      </c>
      <c r="AI336" t="s">
        <v>34</v>
      </c>
      <c r="AJ336" t="s">
        <v>34</v>
      </c>
      <c r="AK336" t="s">
        <v>34</v>
      </c>
      <c r="AL336" t="s">
        <v>34</v>
      </c>
      <c r="AM336" t="s">
        <v>2877</v>
      </c>
    </row>
    <row r="337" spans="1:39" x14ac:dyDescent="0.2">
      <c r="A337">
        <v>1270635</v>
      </c>
      <c r="B337">
        <v>57802</v>
      </c>
      <c r="C337" t="s">
        <v>458</v>
      </c>
      <c r="D337" t="s">
        <v>733</v>
      </c>
      <c r="E337" t="s">
        <v>675</v>
      </c>
      <c r="F337" t="s">
        <v>34</v>
      </c>
      <c r="G337" t="s">
        <v>772</v>
      </c>
      <c r="H337" t="s">
        <v>3569</v>
      </c>
      <c r="I337" t="s">
        <v>586</v>
      </c>
      <c r="J337" t="s">
        <v>775</v>
      </c>
      <c r="K337" t="s">
        <v>1356</v>
      </c>
      <c r="L337" t="s">
        <v>1822</v>
      </c>
      <c r="M337" t="s">
        <v>458</v>
      </c>
      <c r="O337" t="s">
        <v>1230</v>
      </c>
      <c r="P337" t="s">
        <v>847</v>
      </c>
      <c r="Q337" t="s">
        <v>765</v>
      </c>
      <c r="R337" t="s">
        <v>2027</v>
      </c>
      <c r="S337">
        <v>19.3</v>
      </c>
      <c r="T337" t="s">
        <v>649</v>
      </c>
      <c r="U337">
        <v>1270031</v>
      </c>
      <c r="V337" t="s">
        <v>1459</v>
      </c>
      <c r="W337" t="s">
        <v>1823</v>
      </c>
      <c r="X337" t="s">
        <v>766</v>
      </c>
      <c r="AC337" t="s">
        <v>34</v>
      </c>
      <c r="AD337" t="s">
        <v>767</v>
      </c>
      <c r="AE337" t="s">
        <v>768</v>
      </c>
      <c r="AF337" t="s">
        <v>585</v>
      </c>
      <c r="AG337">
        <v>10</v>
      </c>
      <c r="AH337">
        <v>0.15</v>
      </c>
      <c r="AI337">
        <v>0.1</v>
      </c>
      <c r="AJ337" t="s">
        <v>34</v>
      </c>
      <c r="AK337" t="s">
        <v>34</v>
      </c>
      <c r="AL337" t="s">
        <v>34</v>
      </c>
      <c r="AM337" t="s">
        <v>2864</v>
      </c>
    </row>
    <row r="338" spans="1:39" x14ac:dyDescent="0.2">
      <c r="A338">
        <v>1270634</v>
      </c>
      <c r="B338">
        <v>57802</v>
      </c>
      <c r="C338" t="s">
        <v>459</v>
      </c>
      <c r="D338" t="s">
        <v>733</v>
      </c>
      <c r="E338" t="s">
        <v>675</v>
      </c>
      <c r="F338" t="s">
        <v>34</v>
      </c>
      <c r="G338" t="s">
        <v>772</v>
      </c>
      <c r="H338" t="s">
        <v>3569</v>
      </c>
      <c r="I338" t="s">
        <v>586</v>
      </c>
      <c r="J338" t="s">
        <v>775</v>
      </c>
      <c r="K338" t="s">
        <v>1824</v>
      </c>
      <c r="L338" t="s">
        <v>1825</v>
      </c>
      <c r="M338" t="s">
        <v>459</v>
      </c>
      <c r="N338" t="s">
        <v>983</v>
      </c>
      <c r="O338" t="s">
        <v>2028</v>
      </c>
      <c r="P338" t="s">
        <v>847</v>
      </c>
      <c r="Q338" t="s">
        <v>765</v>
      </c>
      <c r="R338" t="s">
        <v>2029</v>
      </c>
      <c r="S338">
        <v>169</v>
      </c>
      <c r="T338" t="s">
        <v>649</v>
      </c>
      <c r="U338" t="s">
        <v>34</v>
      </c>
      <c r="V338" t="s">
        <v>1826</v>
      </c>
      <c r="W338">
        <v>156602</v>
      </c>
      <c r="X338" t="s">
        <v>766</v>
      </c>
      <c r="Y338" t="s">
        <v>34</v>
      </c>
      <c r="Z338" t="s">
        <v>1826</v>
      </c>
      <c r="AA338">
        <v>156602</v>
      </c>
      <c r="AB338" t="s">
        <v>766</v>
      </c>
      <c r="AC338" t="s">
        <v>34</v>
      </c>
      <c r="AD338" t="s">
        <v>767</v>
      </c>
      <c r="AE338" t="s">
        <v>768</v>
      </c>
      <c r="AF338" t="s">
        <v>585</v>
      </c>
      <c r="AG338" t="s">
        <v>1889</v>
      </c>
      <c r="AH338" t="s">
        <v>34</v>
      </c>
      <c r="AI338" t="s">
        <v>34</v>
      </c>
      <c r="AJ338" t="s">
        <v>34</v>
      </c>
      <c r="AK338" t="s">
        <v>34</v>
      </c>
      <c r="AL338" t="s">
        <v>34</v>
      </c>
      <c r="AM338" t="s">
        <v>2864</v>
      </c>
    </row>
    <row r="339" spans="1:39" x14ac:dyDescent="0.2">
      <c r="A339">
        <v>1270632</v>
      </c>
      <c r="B339">
        <v>57802</v>
      </c>
      <c r="C339" t="s">
        <v>460</v>
      </c>
      <c r="D339" t="s">
        <v>733</v>
      </c>
      <c r="E339" t="s">
        <v>675</v>
      </c>
      <c r="F339" t="s">
        <v>34</v>
      </c>
      <c r="G339" t="s">
        <v>772</v>
      </c>
      <c r="H339" t="s">
        <v>3569</v>
      </c>
      <c r="I339" t="s">
        <v>586</v>
      </c>
      <c r="J339" t="s">
        <v>775</v>
      </c>
      <c r="K339" t="s">
        <v>1824</v>
      </c>
      <c r="L339" t="s">
        <v>1827</v>
      </c>
      <c r="M339" t="s">
        <v>460</v>
      </c>
      <c r="N339" t="s">
        <v>983</v>
      </c>
      <c r="O339" t="s">
        <v>2028</v>
      </c>
      <c r="P339" t="s">
        <v>847</v>
      </c>
      <c r="Q339" t="s">
        <v>765</v>
      </c>
      <c r="R339" t="s">
        <v>2029</v>
      </c>
      <c r="S339">
        <v>169</v>
      </c>
      <c r="T339" t="s">
        <v>649</v>
      </c>
      <c r="U339" t="s">
        <v>34</v>
      </c>
      <c r="V339" t="s">
        <v>1826</v>
      </c>
      <c r="W339">
        <v>156603002</v>
      </c>
      <c r="X339" t="s">
        <v>766</v>
      </c>
      <c r="Y339" t="s">
        <v>34</v>
      </c>
      <c r="Z339" t="s">
        <v>1826</v>
      </c>
      <c r="AA339">
        <v>156603002</v>
      </c>
      <c r="AB339" t="s">
        <v>766</v>
      </c>
      <c r="AC339" t="s">
        <v>34</v>
      </c>
      <c r="AD339" t="s">
        <v>767</v>
      </c>
      <c r="AE339" t="s">
        <v>768</v>
      </c>
      <c r="AF339" t="s">
        <v>585</v>
      </c>
      <c r="AG339" t="s">
        <v>1889</v>
      </c>
      <c r="AH339" t="s">
        <v>34</v>
      </c>
      <c r="AI339" t="s">
        <v>34</v>
      </c>
      <c r="AJ339" t="s">
        <v>34</v>
      </c>
      <c r="AK339" t="s">
        <v>34</v>
      </c>
      <c r="AL339" t="s">
        <v>34</v>
      </c>
      <c r="AM339" t="s">
        <v>2864</v>
      </c>
    </row>
    <row r="340" spans="1:39" x14ac:dyDescent="0.2">
      <c r="A340">
        <v>1529373</v>
      </c>
      <c r="B340">
        <v>57802</v>
      </c>
      <c r="C340" t="s">
        <v>2716</v>
      </c>
      <c r="D340" t="s">
        <v>733</v>
      </c>
      <c r="E340" t="s">
        <v>675</v>
      </c>
      <c r="F340" t="s">
        <v>34</v>
      </c>
      <c r="G340" t="s">
        <v>772</v>
      </c>
      <c r="H340" t="s">
        <v>3569</v>
      </c>
      <c r="I340" t="s">
        <v>586</v>
      </c>
      <c r="J340" t="s">
        <v>2716</v>
      </c>
      <c r="K340" t="s">
        <v>890</v>
      </c>
      <c r="L340">
        <v>1234</v>
      </c>
      <c r="M340" t="s">
        <v>2716</v>
      </c>
      <c r="N340" t="s">
        <v>983</v>
      </c>
      <c r="O340" t="s">
        <v>2717</v>
      </c>
      <c r="P340" t="s">
        <v>2717</v>
      </c>
      <c r="Q340" t="s">
        <v>765</v>
      </c>
      <c r="R340" t="s">
        <v>2718</v>
      </c>
      <c r="S340">
        <v>800</v>
      </c>
      <c r="T340" t="s">
        <v>649</v>
      </c>
      <c r="Y340" t="s">
        <v>34</v>
      </c>
      <c r="Z340" t="s">
        <v>2719</v>
      </c>
      <c r="AA340">
        <v>50048</v>
      </c>
      <c r="AB340" t="s">
        <v>844</v>
      </c>
      <c r="AC340" t="s">
        <v>34</v>
      </c>
      <c r="AD340" t="s">
        <v>767</v>
      </c>
      <c r="AE340" t="s">
        <v>768</v>
      </c>
      <c r="AF340" t="s">
        <v>585</v>
      </c>
      <c r="AG340" t="s">
        <v>34</v>
      </c>
      <c r="AH340" t="s">
        <v>34</v>
      </c>
      <c r="AI340" t="s">
        <v>34</v>
      </c>
      <c r="AJ340" t="s">
        <v>34</v>
      </c>
      <c r="AK340" t="s">
        <v>34</v>
      </c>
      <c r="AL340" t="s">
        <v>34</v>
      </c>
      <c r="AM340" t="s">
        <v>2877</v>
      </c>
    </row>
    <row r="341" spans="1:39" x14ac:dyDescent="0.2">
      <c r="A341">
        <v>1291233</v>
      </c>
      <c r="B341">
        <v>57802</v>
      </c>
      <c r="C341" t="s">
        <v>457</v>
      </c>
      <c r="D341" t="s">
        <v>733</v>
      </c>
      <c r="E341" t="s">
        <v>675</v>
      </c>
      <c r="F341" t="s">
        <v>34</v>
      </c>
      <c r="G341" t="s">
        <v>772</v>
      </c>
      <c r="H341" t="s">
        <v>3569</v>
      </c>
      <c r="I341" t="s">
        <v>586</v>
      </c>
      <c r="J341" t="s">
        <v>912</v>
      </c>
      <c r="K341" t="s">
        <v>1819</v>
      </c>
      <c r="L341">
        <v>9139</v>
      </c>
      <c r="M341" t="s">
        <v>457</v>
      </c>
      <c r="N341" t="s">
        <v>983</v>
      </c>
      <c r="O341" t="s">
        <v>1005</v>
      </c>
      <c r="P341" t="s">
        <v>847</v>
      </c>
      <c r="Q341" t="s">
        <v>765</v>
      </c>
      <c r="R341" t="s">
        <v>2024</v>
      </c>
      <c r="S341">
        <v>42.4</v>
      </c>
      <c r="T341" t="s">
        <v>649</v>
      </c>
      <c r="U341" t="s">
        <v>34</v>
      </c>
      <c r="V341" t="s">
        <v>1820</v>
      </c>
      <c r="W341" t="s">
        <v>880</v>
      </c>
      <c r="X341" t="s">
        <v>1291</v>
      </c>
      <c r="Y341" t="s">
        <v>34</v>
      </c>
      <c r="Z341" t="s">
        <v>1820</v>
      </c>
      <c r="AA341" t="s">
        <v>880</v>
      </c>
      <c r="AB341" t="s">
        <v>1291</v>
      </c>
      <c r="AC341" t="s">
        <v>2532</v>
      </c>
      <c r="AD341" t="s">
        <v>767</v>
      </c>
      <c r="AE341" t="s">
        <v>768</v>
      </c>
      <c r="AF341" t="s">
        <v>585</v>
      </c>
      <c r="AG341" t="s">
        <v>2354</v>
      </c>
      <c r="AH341" t="s">
        <v>34</v>
      </c>
      <c r="AI341" t="s">
        <v>2355</v>
      </c>
      <c r="AJ341" t="s">
        <v>34</v>
      </c>
      <c r="AK341" t="s">
        <v>34</v>
      </c>
      <c r="AL341" t="s">
        <v>34</v>
      </c>
      <c r="AM341" t="s">
        <v>2881</v>
      </c>
    </row>
    <row r="342" spans="1:39" x14ac:dyDescent="0.2">
      <c r="A342">
        <v>2261264</v>
      </c>
      <c r="B342">
        <v>57931</v>
      </c>
      <c r="C342" t="s">
        <v>3252</v>
      </c>
      <c r="D342" t="s">
        <v>3253</v>
      </c>
      <c r="E342" t="s">
        <v>3254</v>
      </c>
      <c r="F342" t="s">
        <v>34</v>
      </c>
      <c r="G342" t="s">
        <v>772</v>
      </c>
      <c r="H342" t="s">
        <v>3569</v>
      </c>
      <c r="I342" t="s">
        <v>586</v>
      </c>
      <c r="J342" t="s">
        <v>3252</v>
      </c>
      <c r="K342" t="s">
        <v>3255</v>
      </c>
      <c r="L342" t="s">
        <v>3256</v>
      </c>
      <c r="M342" t="s">
        <v>3252</v>
      </c>
      <c r="N342" t="s">
        <v>983</v>
      </c>
      <c r="O342" t="s">
        <v>2717</v>
      </c>
      <c r="P342" t="s">
        <v>2717</v>
      </c>
      <c r="Q342" t="s">
        <v>765</v>
      </c>
      <c r="R342" t="s">
        <v>3257</v>
      </c>
      <c r="S342">
        <v>4725.9526999999998</v>
      </c>
      <c r="T342" t="s">
        <v>649</v>
      </c>
      <c r="Y342" t="s">
        <v>34</v>
      </c>
      <c r="Z342" t="s">
        <v>3258</v>
      </c>
      <c r="AA342" t="s">
        <v>3259</v>
      </c>
      <c r="AB342" t="s">
        <v>844</v>
      </c>
      <c r="AC342" t="s">
        <v>34</v>
      </c>
      <c r="AD342" t="s">
        <v>767</v>
      </c>
      <c r="AE342" t="s">
        <v>768</v>
      </c>
      <c r="AF342" t="s">
        <v>585</v>
      </c>
      <c r="AH342" t="s">
        <v>34</v>
      </c>
      <c r="AI342" t="s">
        <v>34</v>
      </c>
      <c r="AJ342" t="s">
        <v>34</v>
      </c>
      <c r="AK342" t="s">
        <v>34</v>
      </c>
      <c r="AL342" t="s">
        <v>34</v>
      </c>
      <c r="AM342" t="s">
        <v>2877</v>
      </c>
    </row>
    <row r="343" spans="1:39" x14ac:dyDescent="0.2">
      <c r="A343">
        <v>1291512</v>
      </c>
      <c r="B343">
        <v>57932</v>
      </c>
      <c r="C343" t="s">
        <v>662</v>
      </c>
      <c r="D343" t="s">
        <v>734</v>
      </c>
      <c r="E343" t="s">
        <v>735</v>
      </c>
      <c r="F343" t="s">
        <v>34</v>
      </c>
      <c r="G343" t="s">
        <v>772</v>
      </c>
      <c r="H343" t="s">
        <v>3569</v>
      </c>
      <c r="I343" t="s">
        <v>586</v>
      </c>
      <c r="J343" t="s">
        <v>1832</v>
      </c>
      <c r="K343" t="s">
        <v>1833</v>
      </c>
      <c r="L343">
        <v>127568</v>
      </c>
      <c r="M343" t="s">
        <v>662</v>
      </c>
      <c r="N343" t="s">
        <v>983</v>
      </c>
      <c r="O343" t="s">
        <v>2030</v>
      </c>
      <c r="P343" t="s">
        <v>847</v>
      </c>
      <c r="Q343" t="s">
        <v>765</v>
      </c>
      <c r="R343" t="s">
        <v>2031</v>
      </c>
      <c r="S343">
        <v>35.299999999999997</v>
      </c>
      <c r="T343" t="s">
        <v>649</v>
      </c>
      <c r="U343" t="s">
        <v>34</v>
      </c>
      <c r="V343" t="s">
        <v>1834</v>
      </c>
      <c r="W343">
        <v>152326</v>
      </c>
      <c r="X343" t="s">
        <v>766</v>
      </c>
      <c r="Y343" t="s">
        <v>34</v>
      </c>
      <c r="Z343" t="s">
        <v>1835</v>
      </c>
      <c r="AA343">
        <v>12758</v>
      </c>
      <c r="AB343" t="s">
        <v>766</v>
      </c>
      <c r="AC343" t="s">
        <v>34</v>
      </c>
      <c r="AD343" t="s">
        <v>767</v>
      </c>
      <c r="AE343" t="s">
        <v>768</v>
      </c>
      <c r="AF343" t="s">
        <v>585</v>
      </c>
      <c r="AG343" t="s">
        <v>1889</v>
      </c>
      <c r="AH343" t="s">
        <v>34</v>
      </c>
      <c r="AI343" t="s">
        <v>34</v>
      </c>
      <c r="AJ343" t="s">
        <v>34</v>
      </c>
      <c r="AK343" t="s">
        <v>34</v>
      </c>
      <c r="AL343" t="s">
        <v>34</v>
      </c>
      <c r="AM343" t="s">
        <v>2861</v>
      </c>
    </row>
    <row r="344" spans="1:39" x14ac:dyDescent="0.2">
      <c r="B344">
        <v>57932</v>
      </c>
      <c r="C344" t="s">
        <v>464</v>
      </c>
      <c r="D344" t="s">
        <v>734</v>
      </c>
      <c r="E344" t="s">
        <v>735</v>
      </c>
      <c r="F344" t="s">
        <v>34</v>
      </c>
      <c r="G344" t="s">
        <v>772</v>
      </c>
      <c r="H344" t="s">
        <v>3569</v>
      </c>
      <c r="I344" t="s">
        <v>586</v>
      </c>
      <c r="J344" t="s">
        <v>1836</v>
      </c>
      <c r="K344" t="s">
        <v>1837</v>
      </c>
      <c r="L344" t="s">
        <v>464</v>
      </c>
      <c r="M344" t="s">
        <v>464</v>
      </c>
      <c r="N344" t="s">
        <v>983</v>
      </c>
      <c r="O344" t="s">
        <v>2032</v>
      </c>
      <c r="P344" t="s">
        <v>770</v>
      </c>
      <c r="Q344" t="s">
        <v>765</v>
      </c>
      <c r="R344" t="s">
        <v>2033</v>
      </c>
      <c r="S344">
        <v>2.6</v>
      </c>
      <c r="T344" t="s">
        <v>649</v>
      </c>
      <c r="U344">
        <v>1349197</v>
      </c>
      <c r="V344" t="s">
        <v>1838</v>
      </c>
      <c r="W344" t="s">
        <v>464</v>
      </c>
      <c r="X344" t="s">
        <v>844</v>
      </c>
      <c r="AC344" t="s">
        <v>1545</v>
      </c>
      <c r="AD344" t="s">
        <v>767</v>
      </c>
      <c r="AE344" t="s">
        <v>768</v>
      </c>
      <c r="AF344" t="s">
        <v>585</v>
      </c>
      <c r="AG344" t="s">
        <v>1889</v>
      </c>
      <c r="AH344" t="s">
        <v>34</v>
      </c>
      <c r="AI344" t="s">
        <v>34</v>
      </c>
      <c r="AJ344" t="s">
        <v>34</v>
      </c>
      <c r="AK344" t="s">
        <v>34</v>
      </c>
      <c r="AL344" t="s">
        <v>34</v>
      </c>
      <c r="AM344" t="s">
        <v>2861</v>
      </c>
    </row>
    <row r="345" spans="1:39" x14ac:dyDescent="0.2">
      <c r="A345">
        <v>1661697</v>
      </c>
      <c r="B345">
        <v>57932</v>
      </c>
      <c r="C345">
        <v>411462</v>
      </c>
      <c r="D345" t="s">
        <v>734</v>
      </c>
      <c r="E345" t="s">
        <v>735</v>
      </c>
      <c r="F345" t="s">
        <v>34</v>
      </c>
      <c r="G345" t="s">
        <v>772</v>
      </c>
      <c r="H345" t="s">
        <v>3569</v>
      </c>
      <c r="I345" t="s">
        <v>586</v>
      </c>
      <c r="J345" t="s">
        <v>775</v>
      </c>
      <c r="K345" t="s">
        <v>1821</v>
      </c>
      <c r="L345">
        <v>411462</v>
      </c>
      <c r="M345">
        <v>411462</v>
      </c>
      <c r="N345" t="s">
        <v>310</v>
      </c>
      <c r="O345" t="s">
        <v>1666</v>
      </c>
      <c r="P345" t="s">
        <v>847</v>
      </c>
      <c r="Q345" t="s">
        <v>828</v>
      </c>
      <c r="R345" t="s">
        <v>2026</v>
      </c>
      <c r="S345">
        <v>117.1</v>
      </c>
      <c r="T345" t="s">
        <v>649</v>
      </c>
      <c r="U345" t="s">
        <v>34</v>
      </c>
      <c r="V345" t="s">
        <v>1903</v>
      </c>
      <c r="W345">
        <v>411462</v>
      </c>
      <c r="X345" t="s">
        <v>894</v>
      </c>
      <c r="Y345" t="s">
        <v>34</v>
      </c>
      <c r="Z345" t="s">
        <v>1903</v>
      </c>
      <c r="AA345">
        <v>411462</v>
      </c>
      <c r="AB345" t="s">
        <v>894</v>
      </c>
      <c r="AC345" t="s">
        <v>2495</v>
      </c>
      <c r="AD345" t="s">
        <v>767</v>
      </c>
      <c r="AE345" t="s">
        <v>768</v>
      </c>
      <c r="AF345" t="s">
        <v>585</v>
      </c>
      <c r="AG345" t="s">
        <v>1889</v>
      </c>
      <c r="AH345" t="s">
        <v>34</v>
      </c>
      <c r="AI345" t="s">
        <v>34</v>
      </c>
      <c r="AJ345" t="s">
        <v>34</v>
      </c>
      <c r="AK345" t="s">
        <v>34</v>
      </c>
      <c r="AL345" t="s">
        <v>34</v>
      </c>
      <c r="AM345" t="s">
        <v>2864</v>
      </c>
    </row>
    <row r="346" spans="1:39" x14ac:dyDescent="0.2">
      <c r="A346">
        <v>1291515</v>
      </c>
      <c r="B346">
        <v>57932</v>
      </c>
      <c r="C346" t="s">
        <v>463</v>
      </c>
      <c r="D346" t="s">
        <v>734</v>
      </c>
      <c r="E346" t="s">
        <v>735</v>
      </c>
      <c r="F346" t="s">
        <v>34</v>
      </c>
      <c r="G346" t="s">
        <v>772</v>
      </c>
      <c r="H346" t="s">
        <v>3569</v>
      </c>
      <c r="I346" t="s">
        <v>586</v>
      </c>
      <c r="J346" t="s">
        <v>632</v>
      </c>
      <c r="K346" t="s">
        <v>1839</v>
      </c>
      <c r="L346" t="s">
        <v>463</v>
      </c>
      <c r="M346" t="s">
        <v>463</v>
      </c>
      <c r="N346" t="s">
        <v>310</v>
      </c>
      <c r="O346" t="s">
        <v>2844</v>
      </c>
      <c r="P346" t="s">
        <v>770</v>
      </c>
      <c r="Q346" t="s">
        <v>765</v>
      </c>
      <c r="R346" t="s">
        <v>2034</v>
      </c>
      <c r="S346">
        <v>5.6</v>
      </c>
      <c r="T346" t="s">
        <v>649</v>
      </c>
      <c r="U346">
        <v>1291515</v>
      </c>
      <c r="V346" t="s">
        <v>1840</v>
      </c>
      <c r="W346" t="s">
        <v>463</v>
      </c>
      <c r="X346" t="s">
        <v>1562</v>
      </c>
      <c r="Y346" t="s">
        <v>34</v>
      </c>
      <c r="AC346" t="s">
        <v>1841</v>
      </c>
      <c r="AD346" t="s">
        <v>767</v>
      </c>
      <c r="AE346" t="s">
        <v>768</v>
      </c>
      <c r="AF346" t="s">
        <v>585</v>
      </c>
      <c r="AG346" t="s">
        <v>1889</v>
      </c>
      <c r="AH346" t="s">
        <v>34</v>
      </c>
      <c r="AI346" t="s">
        <v>34</v>
      </c>
      <c r="AJ346" t="s">
        <v>34</v>
      </c>
      <c r="AK346" t="s">
        <v>34</v>
      </c>
      <c r="AL346" t="s">
        <v>34</v>
      </c>
      <c r="AM346" t="s">
        <v>2864</v>
      </c>
    </row>
    <row r="347" spans="1:39" x14ac:dyDescent="0.2">
      <c r="B347">
        <v>57953</v>
      </c>
      <c r="C347" t="s">
        <v>3405</v>
      </c>
      <c r="D347" t="s">
        <v>2035</v>
      </c>
      <c r="E347" t="s">
        <v>736</v>
      </c>
      <c r="F347" t="s">
        <v>34</v>
      </c>
      <c r="G347" t="s">
        <v>772</v>
      </c>
      <c r="H347" t="s">
        <v>3569</v>
      </c>
      <c r="I347" t="s">
        <v>762</v>
      </c>
      <c r="J347" t="s">
        <v>3405</v>
      </c>
      <c r="K347" t="s">
        <v>3148</v>
      </c>
      <c r="L347" t="s">
        <v>3149</v>
      </c>
      <c r="M347" t="s">
        <v>3405</v>
      </c>
      <c r="N347" t="s">
        <v>983</v>
      </c>
      <c r="O347" t="s">
        <v>1027</v>
      </c>
      <c r="P347" t="s">
        <v>844</v>
      </c>
      <c r="Q347" t="s">
        <v>765</v>
      </c>
      <c r="R347" t="s">
        <v>3150</v>
      </c>
      <c r="S347">
        <v>5730.7</v>
      </c>
      <c r="T347" t="s">
        <v>793</v>
      </c>
      <c r="U347">
        <v>2493919</v>
      </c>
      <c r="V347" t="s">
        <v>3151</v>
      </c>
      <c r="W347" t="s">
        <v>3152</v>
      </c>
      <c r="X347" t="s">
        <v>1291</v>
      </c>
      <c r="Y347" t="s">
        <v>34</v>
      </c>
      <c r="Z347" t="s">
        <v>3153</v>
      </c>
      <c r="AA347" t="s">
        <v>3154</v>
      </c>
      <c r="AB347" t="s">
        <v>766</v>
      </c>
      <c r="AC347" t="s">
        <v>1545</v>
      </c>
      <c r="AD347" t="s">
        <v>767</v>
      </c>
      <c r="AE347" t="s">
        <v>768</v>
      </c>
      <c r="AF347" t="s">
        <v>585</v>
      </c>
      <c r="AG347" t="s">
        <v>3155</v>
      </c>
      <c r="AH347" t="s">
        <v>34</v>
      </c>
      <c r="AI347" t="s">
        <v>34</v>
      </c>
      <c r="AJ347" t="s">
        <v>34</v>
      </c>
      <c r="AK347" t="s">
        <v>34</v>
      </c>
      <c r="AL347" t="s">
        <v>34</v>
      </c>
      <c r="AM347" t="s">
        <v>2861</v>
      </c>
    </row>
    <row r="348" spans="1:39" x14ac:dyDescent="0.2">
      <c r="B348">
        <v>57952</v>
      </c>
      <c r="C348" t="s">
        <v>611</v>
      </c>
      <c r="D348" t="s">
        <v>2035</v>
      </c>
      <c r="E348" t="s">
        <v>736</v>
      </c>
      <c r="F348" t="s">
        <v>34</v>
      </c>
      <c r="G348" t="s">
        <v>772</v>
      </c>
      <c r="H348" t="s">
        <v>3569</v>
      </c>
      <c r="I348" t="s">
        <v>586</v>
      </c>
      <c r="J348" t="s">
        <v>1863</v>
      </c>
      <c r="K348" t="s">
        <v>890</v>
      </c>
      <c r="L348" t="s">
        <v>611</v>
      </c>
      <c r="M348" t="s">
        <v>611</v>
      </c>
      <c r="N348" t="s">
        <v>983</v>
      </c>
      <c r="O348" t="s">
        <v>2051</v>
      </c>
      <c r="P348" t="s">
        <v>844</v>
      </c>
      <c r="Q348" t="s">
        <v>828</v>
      </c>
      <c r="R348" t="s">
        <v>2052</v>
      </c>
      <c r="S348">
        <v>1220</v>
      </c>
      <c r="U348" t="s">
        <v>34</v>
      </c>
      <c r="V348" t="s">
        <v>1847</v>
      </c>
      <c r="W348" t="s">
        <v>1848</v>
      </c>
      <c r="X348" t="s">
        <v>766</v>
      </c>
      <c r="Y348" t="s">
        <v>34</v>
      </c>
      <c r="Z348" t="s">
        <v>1847</v>
      </c>
      <c r="AA348" t="s">
        <v>1848</v>
      </c>
      <c r="AB348" t="s">
        <v>766</v>
      </c>
      <c r="AC348" t="s">
        <v>34</v>
      </c>
      <c r="AD348" t="s">
        <v>767</v>
      </c>
      <c r="AE348" t="s">
        <v>768</v>
      </c>
      <c r="AF348" t="s">
        <v>585</v>
      </c>
      <c r="AG348" t="s">
        <v>34</v>
      </c>
      <c r="AH348" t="s">
        <v>34</v>
      </c>
      <c r="AI348" t="s">
        <v>34</v>
      </c>
      <c r="AJ348" t="s">
        <v>34</v>
      </c>
      <c r="AK348" t="s">
        <v>34</v>
      </c>
      <c r="AL348" t="s">
        <v>34</v>
      </c>
      <c r="AM348" t="s">
        <v>2861</v>
      </c>
    </row>
    <row r="349" spans="1:39" x14ac:dyDescent="0.2">
      <c r="A349">
        <v>1270664</v>
      </c>
      <c r="B349">
        <v>57952</v>
      </c>
      <c r="C349" t="s">
        <v>606</v>
      </c>
      <c r="D349" t="s">
        <v>2035</v>
      </c>
      <c r="E349" t="s">
        <v>736</v>
      </c>
      <c r="F349" t="s">
        <v>34</v>
      </c>
      <c r="G349" t="s">
        <v>772</v>
      </c>
      <c r="H349" t="s">
        <v>3569</v>
      </c>
      <c r="I349" t="s">
        <v>586</v>
      </c>
      <c r="J349" t="s">
        <v>1849</v>
      </c>
      <c r="K349" t="s">
        <v>1850</v>
      </c>
      <c r="L349">
        <v>42118153</v>
      </c>
      <c r="M349" t="s">
        <v>606</v>
      </c>
      <c r="N349" t="s">
        <v>983</v>
      </c>
      <c r="O349" t="s">
        <v>2038</v>
      </c>
      <c r="P349" t="s">
        <v>2039</v>
      </c>
      <c r="Q349" t="s">
        <v>765</v>
      </c>
      <c r="R349" t="s">
        <v>2040</v>
      </c>
      <c r="S349">
        <v>0.98</v>
      </c>
      <c r="T349" t="s">
        <v>793</v>
      </c>
      <c r="U349" t="s">
        <v>34</v>
      </c>
      <c r="V349" t="s">
        <v>839</v>
      </c>
      <c r="W349" t="s">
        <v>606</v>
      </c>
      <c r="X349" t="s">
        <v>1851</v>
      </c>
      <c r="AC349" t="s">
        <v>1852</v>
      </c>
      <c r="AD349" t="s">
        <v>767</v>
      </c>
      <c r="AE349" t="s">
        <v>768</v>
      </c>
      <c r="AF349" t="s">
        <v>585</v>
      </c>
      <c r="AG349" t="s">
        <v>34</v>
      </c>
      <c r="AH349" t="s">
        <v>34</v>
      </c>
      <c r="AI349" t="s">
        <v>34</v>
      </c>
      <c r="AJ349" t="s">
        <v>34</v>
      </c>
      <c r="AK349" t="s">
        <v>34</v>
      </c>
      <c r="AL349" t="s">
        <v>34</v>
      </c>
      <c r="AM349" t="s">
        <v>2861</v>
      </c>
    </row>
    <row r="350" spans="1:39" x14ac:dyDescent="0.2">
      <c r="A350">
        <v>1270662</v>
      </c>
      <c r="B350">
        <v>57952</v>
      </c>
      <c r="C350" t="s">
        <v>608</v>
      </c>
      <c r="D350" t="s">
        <v>2035</v>
      </c>
      <c r="E350" t="s">
        <v>736</v>
      </c>
      <c r="F350" t="s">
        <v>34</v>
      </c>
      <c r="G350" t="s">
        <v>772</v>
      </c>
      <c r="H350" t="s">
        <v>3569</v>
      </c>
      <c r="I350" t="s">
        <v>586</v>
      </c>
      <c r="J350" t="s">
        <v>2041</v>
      </c>
      <c r="K350" t="s">
        <v>2042</v>
      </c>
      <c r="L350" t="s">
        <v>2043</v>
      </c>
      <c r="M350" t="s">
        <v>608</v>
      </c>
      <c r="N350" t="s">
        <v>983</v>
      </c>
      <c r="O350" t="s">
        <v>1027</v>
      </c>
      <c r="P350" t="s">
        <v>764</v>
      </c>
      <c r="Q350" t="s">
        <v>765</v>
      </c>
      <c r="R350" t="s">
        <v>2044</v>
      </c>
      <c r="S350">
        <v>1517</v>
      </c>
      <c r="T350" t="s">
        <v>793</v>
      </c>
      <c r="U350">
        <v>1270063</v>
      </c>
      <c r="V350" t="s">
        <v>2045</v>
      </c>
      <c r="W350" t="s">
        <v>2046</v>
      </c>
      <c r="X350" t="s">
        <v>766</v>
      </c>
      <c r="AC350" t="s">
        <v>2047</v>
      </c>
      <c r="AD350" t="s">
        <v>767</v>
      </c>
      <c r="AE350" t="s">
        <v>768</v>
      </c>
      <c r="AF350" t="s">
        <v>585</v>
      </c>
      <c r="AG350" t="s">
        <v>34</v>
      </c>
      <c r="AH350" t="s">
        <v>34</v>
      </c>
      <c r="AI350" t="s">
        <v>34</v>
      </c>
      <c r="AJ350" t="s">
        <v>34</v>
      </c>
      <c r="AK350" t="s">
        <v>34</v>
      </c>
      <c r="AL350" t="s">
        <v>34</v>
      </c>
      <c r="AM350" t="s">
        <v>2864</v>
      </c>
    </row>
    <row r="351" spans="1:39" x14ac:dyDescent="0.2">
      <c r="A351">
        <v>1270667</v>
      </c>
      <c r="B351">
        <v>57952</v>
      </c>
      <c r="C351" t="s">
        <v>607</v>
      </c>
      <c r="D351" t="s">
        <v>2035</v>
      </c>
      <c r="E351" t="s">
        <v>736</v>
      </c>
      <c r="F351" t="s">
        <v>34</v>
      </c>
      <c r="G351" t="s">
        <v>772</v>
      </c>
      <c r="H351" t="s">
        <v>3569</v>
      </c>
      <c r="I351" t="s">
        <v>586</v>
      </c>
      <c r="J351" t="s">
        <v>1842</v>
      </c>
      <c r="K351" t="s">
        <v>1843</v>
      </c>
      <c r="L351" t="s">
        <v>607</v>
      </c>
      <c r="M351" t="s">
        <v>607</v>
      </c>
      <c r="N351" t="s">
        <v>983</v>
      </c>
      <c r="O351" t="s">
        <v>831</v>
      </c>
      <c r="P351" t="s">
        <v>770</v>
      </c>
      <c r="Q351" t="s">
        <v>828</v>
      </c>
      <c r="R351" t="s">
        <v>2036</v>
      </c>
      <c r="S351">
        <v>4719</v>
      </c>
      <c r="T351" t="s">
        <v>793</v>
      </c>
      <c r="U351">
        <v>1270067</v>
      </c>
      <c r="V351" t="s">
        <v>2496</v>
      </c>
      <c r="W351" t="s">
        <v>1853</v>
      </c>
      <c r="X351" t="s">
        <v>766</v>
      </c>
      <c r="Y351" t="s">
        <v>34</v>
      </c>
      <c r="Z351" t="s">
        <v>2496</v>
      </c>
      <c r="AA351" t="s">
        <v>1853</v>
      </c>
      <c r="AB351" t="s">
        <v>766</v>
      </c>
      <c r="AC351" t="s">
        <v>1854</v>
      </c>
      <c r="AD351" t="s">
        <v>767</v>
      </c>
      <c r="AE351" t="s">
        <v>768</v>
      </c>
      <c r="AF351" t="s">
        <v>585</v>
      </c>
      <c r="AG351" t="s">
        <v>34</v>
      </c>
      <c r="AH351" t="s">
        <v>34</v>
      </c>
      <c r="AI351" t="s">
        <v>34</v>
      </c>
      <c r="AJ351" t="s">
        <v>34</v>
      </c>
      <c r="AK351" t="s">
        <v>34</v>
      </c>
      <c r="AL351" t="s">
        <v>34</v>
      </c>
      <c r="AM351" t="s">
        <v>2863</v>
      </c>
    </row>
    <row r="352" spans="1:39" x14ac:dyDescent="0.2">
      <c r="A352">
        <v>1270666</v>
      </c>
      <c r="B352">
        <v>57952</v>
      </c>
      <c r="C352" t="s">
        <v>604</v>
      </c>
      <c r="D352" t="s">
        <v>2035</v>
      </c>
      <c r="E352" t="s">
        <v>736</v>
      </c>
      <c r="F352" t="s">
        <v>34</v>
      </c>
      <c r="G352" t="s">
        <v>772</v>
      </c>
      <c r="H352" t="s">
        <v>3569</v>
      </c>
      <c r="I352" t="s">
        <v>586</v>
      </c>
      <c r="J352" t="s">
        <v>1842</v>
      </c>
      <c r="K352" t="s">
        <v>1843</v>
      </c>
      <c r="L352" t="s">
        <v>604</v>
      </c>
      <c r="M352" t="s">
        <v>604</v>
      </c>
      <c r="N352" t="s">
        <v>983</v>
      </c>
      <c r="O352" t="s">
        <v>831</v>
      </c>
      <c r="P352" t="s">
        <v>770</v>
      </c>
      <c r="Q352" t="s">
        <v>828</v>
      </c>
      <c r="R352" t="s">
        <v>2036</v>
      </c>
      <c r="S352">
        <v>4719</v>
      </c>
      <c r="T352" t="s">
        <v>793</v>
      </c>
      <c r="U352">
        <v>1270068</v>
      </c>
      <c r="V352" t="s">
        <v>2496</v>
      </c>
      <c r="W352" t="s">
        <v>1844</v>
      </c>
      <c r="X352" t="s">
        <v>766</v>
      </c>
      <c r="Y352" t="s">
        <v>34</v>
      </c>
      <c r="Z352" t="s">
        <v>2496</v>
      </c>
      <c r="AA352" t="s">
        <v>1844</v>
      </c>
      <c r="AB352" t="s">
        <v>766</v>
      </c>
      <c r="AC352" t="s">
        <v>1845</v>
      </c>
      <c r="AD352" t="s">
        <v>767</v>
      </c>
      <c r="AE352" t="s">
        <v>768</v>
      </c>
      <c r="AF352" t="s">
        <v>585</v>
      </c>
      <c r="AG352" t="s">
        <v>34</v>
      </c>
      <c r="AH352" t="s">
        <v>34</v>
      </c>
      <c r="AI352" t="s">
        <v>34</v>
      </c>
      <c r="AJ352" t="s">
        <v>34</v>
      </c>
      <c r="AK352" t="s">
        <v>34</v>
      </c>
      <c r="AL352" t="s">
        <v>34</v>
      </c>
      <c r="AM352" t="s">
        <v>2863</v>
      </c>
    </row>
    <row r="353" spans="1:41" x14ac:dyDescent="0.2">
      <c r="A353">
        <v>1270665</v>
      </c>
      <c r="B353">
        <v>57952</v>
      </c>
      <c r="C353" t="s">
        <v>610</v>
      </c>
      <c r="D353" t="s">
        <v>2035</v>
      </c>
      <c r="E353" t="s">
        <v>736</v>
      </c>
      <c r="F353" t="s">
        <v>34</v>
      </c>
      <c r="G353" t="s">
        <v>772</v>
      </c>
      <c r="H353" t="s">
        <v>3569</v>
      </c>
      <c r="I353" t="s">
        <v>586</v>
      </c>
      <c r="J353" t="s">
        <v>1842</v>
      </c>
      <c r="K353" t="s">
        <v>1843</v>
      </c>
      <c r="L353" t="s">
        <v>610</v>
      </c>
      <c r="M353" t="s">
        <v>610</v>
      </c>
      <c r="N353" t="s">
        <v>983</v>
      </c>
      <c r="O353" t="s">
        <v>831</v>
      </c>
      <c r="P353" t="s">
        <v>770</v>
      </c>
      <c r="Q353" t="s">
        <v>828</v>
      </c>
      <c r="R353" t="s">
        <v>2048</v>
      </c>
      <c r="S353">
        <v>1917</v>
      </c>
      <c r="T353" t="s">
        <v>793</v>
      </c>
      <c r="U353">
        <v>1270066</v>
      </c>
      <c r="V353" t="s">
        <v>2496</v>
      </c>
      <c r="W353" t="s">
        <v>1855</v>
      </c>
      <c r="X353" t="s">
        <v>766</v>
      </c>
      <c r="Y353" t="s">
        <v>34</v>
      </c>
      <c r="Z353" t="s">
        <v>2496</v>
      </c>
      <c r="AA353" t="s">
        <v>1855</v>
      </c>
      <c r="AB353" t="s">
        <v>766</v>
      </c>
      <c r="AC353" t="s">
        <v>34</v>
      </c>
      <c r="AD353" t="s">
        <v>767</v>
      </c>
      <c r="AE353" t="s">
        <v>768</v>
      </c>
      <c r="AF353" t="s">
        <v>585</v>
      </c>
      <c r="AG353" t="s">
        <v>34</v>
      </c>
      <c r="AH353" t="s">
        <v>34</v>
      </c>
      <c r="AI353" t="s">
        <v>34</v>
      </c>
      <c r="AJ353" t="s">
        <v>34</v>
      </c>
      <c r="AK353" t="s">
        <v>34</v>
      </c>
      <c r="AL353" t="s">
        <v>34</v>
      </c>
      <c r="AM353" t="s">
        <v>2863</v>
      </c>
    </row>
    <row r="354" spans="1:41" x14ac:dyDescent="0.2">
      <c r="A354">
        <v>1270660</v>
      </c>
      <c r="B354">
        <v>57952</v>
      </c>
      <c r="C354" t="s">
        <v>609</v>
      </c>
      <c r="D354" t="s">
        <v>2035</v>
      </c>
      <c r="E354" t="s">
        <v>736</v>
      </c>
      <c r="F354" t="s">
        <v>34</v>
      </c>
      <c r="G354" t="s">
        <v>772</v>
      </c>
      <c r="H354" t="s">
        <v>3569</v>
      </c>
      <c r="I354" t="s">
        <v>762</v>
      </c>
      <c r="J354" t="s">
        <v>1856</v>
      </c>
      <c r="K354" t="s">
        <v>1857</v>
      </c>
      <c r="L354" t="s">
        <v>1858</v>
      </c>
      <c r="M354" t="s">
        <v>2533</v>
      </c>
      <c r="N354" t="s">
        <v>1859</v>
      </c>
      <c r="O354" t="s">
        <v>1027</v>
      </c>
      <c r="P354" t="s">
        <v>764</v>
      </c>
      <c r="Q354" t="s">
        <v>765</v>
      </c>
      <c r="R354" t="s">
        <v>2049</v>
      </c>
      <c r="S354">
        <v>61.6</v>
      </c>
      <c r="T354" t="s">
        <v>793</v>
      </c>
      <c r="U354">
        <v>1270064</v>
      </c>
      <c r="V354" t="s">
        <v>1860</v>
      </c>
      <c r="W354" t="s">
        <v>1861</v>
      </c>
      <c r="X354" t="s">
        <v>766</v>
      </c>
      <c r="AC354" t="s">
        <v>34</v>
      </c>
      <c r="AD354" t="s">
        <v>767</v>
      </c>
      <c r="AE354" t="s">
        <v>768</v>
      </c>
      <c r="AF354" t="s">
        <v>585</v>
      </c>
      <c r="AG354" t="s">
        <v>34</v>
      </c>
      <c r="AH354" t="s">
        <v>34</v>
      </c>
      <c r="AI354" t="s">
        <v>34</v>
      </c>
      <c r="AJ354" t="s">
        <v>34</v>
      </c>
      <c r="AK354" t="s">
        <v>34</v>
      </c>
      <c r="AL354" t="s">
        <v>34</v>
      </c>
      <c r="AM354" t="s">
        <v>2861</v>
      </c>
    </row>
    <row r="355" spans="1:41" x14ac:dyDescent="0.2">
      <c r="A355">
        <v>1270658</v>
      </c>
      <c r="B355">
        <v>57952</v>
      </c>
      <c r="C355" t="s">
        <v>2304</v>
      </c>
      <c r="D355" t="s">
        <v>2490</v>
      </c>
      <c r="E355" t="s">
        <v>736</v>
      </c>
      <c r="F355" t="s">
        <v>34</v>
      </c>
      <c r="G355" t="s">
        <v>772</v>
      </c>
      <c r="H355" t="s">
        <v>3569</v>
      </c>
      <c r="I355" t="s">
        <v>586</v>
      </c>
      <c r="J355" t="s">
        <v>1842</v>
      </c>
      <c r="K355" t="s">
        <v>1843</v>
      </c>
      <c r="L355" t="s">
        <v>2304</v>
      </c>
      <c r="M355" t="s">
        <v>2304</v>
      </c>
      <c r="N355" t="s">
        <v>983</v>
      </c>
      <c r="O355" t="s">
        <v>831</v>
      </c>
      <c r="P355" t="s">
        <v>2491</v>
      </c>
      <c r="Q355" t="s">
        <v>828</v>
      </c>
      <c r="R355" t="s">
        <v>1115</v>
      </c>
      <c r="S355">
        <v>4900</v>
      </c>
      <c r="T355" t="s">
        <v>793</v>
      </c>
      <c r="U355">
        <v>1532742</v>
      </c>
      <c r="V355" t="s">
        <v>2496</v>
      </c>
      <c r="W355" t="s">
        <v>2492</v>
      </c>
      <c r="X355" t="s">
        <v>766</v>
      </c>
      <c r="Y355" t="s">
        <v>34</v>
      </c>
      <c r="Z355" t="s">
        <v>2496</v>
      </c>
      <c r="AA355" t="s">
        <v>2492</v>
      </c>
      <c r="AB355" t="s">
        <v>766</v>
      </c>
      <c r="AC355" t="s">
        <v>34</v>
      </c>
      <c r="AD355" t="s">
        <v>767</v>
      </c>
      <c r="AE355" t="s">
        <v>2493</v>
      </c>
      <c r="AF355" t="s">
        <v>585</v>
      </c>
      <c r="AG355" t="s">
        <v>34</v>
      </c>
      <c r="AH355" t="s">
        <v>34</v>
      </c>
      <c r="AI355" t="s">
        <v>34</v>
      </c>
      <c r="AJ355" t="s">
        <v>34</v>
      </c>
      <c r="AK355" t="s">
        <v>34</v>
      </c>
      <c r="AL355" t="s">
        <v>34</v>
      </c>
      <c r="AM355" t="s">
        <v>2863</v>
      </c>
    </row>
    <row r="356" spans="1:41" x14ac:dyDescent="0.2">
      <c r="B356">
        <v>57952</v>
      </c>
      <c r="C356" t="s">
        <v>636</v>
      </c>
      <c r="D356" t="s">
        <v>2035</v>
      </c>
      <c r="E356" t="s">
        <v>736</v>
      </c>
      <c r="F356" t="s">
        <v>34</v>
      </c>
      <c r="G356" t="s">
        <v>772</v>
      </c>
      <c r="H356" t="s">
        <v>3569</v>
      </c>
      <c r="I356" t="s">
        <v>586</v>
      </c>
      <c r="J356" t="s">
        <v>1862</v>
      </c>
      <c r="K356" t="s">
        <v>890</v>
      </c>
      <c r="L356" t="s">
        <v>1862</v>
      </c>
      <c r="M356" t="s">
        <v>636</v>
      </c>
      <c r="N356" t="s">
        <v>983</v>
      </c>
      <c r="O356" t="s">
        <v>1324</v>
      </c>
      <c r="P356" t="s">
        <v>844</v>
      </c>
      <c r="Q356" t="s">
        <v>771</v>
      </c>
      <c r="R356" t="s">
        <v>2050</v>
      </c>
      <c r="S356">
        <v>1200</v>
      </c>
      <c r="T356" t="s">
        <v>649</v>
      </c>
      <c r="U356" t="s">
        <v>34</v>
      </c>
      <c r="V356" t="s">
        <v>1847</v>
      </c>
      <c r="X356" t="s">
        <v>892</v>
      </c>
      <c r="Y356" t="s">
        <v>34</v>
      </c>
      <c r="Z356" t="s">
        <v>1847</v>
      </c>
      <c r="AB356" t="s">
        <v>892</v>
      </c>
      <c r="AC356" t="s">
        <v>1634</v>
      </c>
      <c r="AD356" t="s">
        <v>767</v>
      </c>
      <c r="AE356" t="s">
        <v>768</v>
      </c>
      <c r="AF356" t="s">
        <v>585</v>
      </c>
      <c r="AG356" t="s">
        <v>34</v>
      </c>
      <c r="AH356" t="s">
        <v>34</v>
      </c>
      <c r="AI356" t="s">
        <v>34</v>
      </c>
      <c r="AJ356" t="s">
        <v>34</v>
      </c>
      <c r="AK356" t="s">
        <v>34</v>
      </c>
      <c r="AL356" t="s">
        <v>34</v>
      </c>
      <c r="AM356" t="s">
        <v>2861</v>
      </c>
    </row>
    <row r="357" spans="1:41" x14ac:dyDescent="0.2">
      <c r="B357">
        <v>57952</v>
      </c>
      <c r="C357" t="s">
        <v>605</v>
      </c>
      <c r="D357" t="s">
        <v>2035</v>
      </c>
      <c r="E357" t="s">
        <v>736</v>
      </c>
      <c r="F357" t="s">
        <v>34</v>
      </c>
      <c r="G357" t="s">
        <v>772</v>
      </c>
      <c r="H357" t="s">
        <v>3569</v>
      </c>
      <c r="I357" t="s">
        <v>586</v>
      </c>
      <c r="J357" t="s">
        <v>1846</v>
      </c>
      <c r="K357" t="s">
        <v>890</v>
      </c>
      <c r="L357" t="s">
        <v>605</v>
      </c>
      <c r="M357" t="s">
        <v>605</v>
      </c>
      <c r="N357" t="s">
        <v>983</v>
      </c>
      <c r="O357" t="s">
        <v>1311</v>
      </c>
      <c r="P357" t="s">
        <v>770</v>
      </c>
      <c r="Q357" t="s">
        <v>765</v>
      </c>
      <c r="R357" t="s">
        <v>2037</v>
      </c>
      <c r="S357">
        <v>262.5</v>
      </c>
      <c r="U357" t="s">
        <v>34</v>
      </c>
      <c r="V357" t="s">
        <v>1847</v>
      </c>
      <c r="W357" t="s">
        <v>1848</v>
      </c>
      <c r="Y357" t="s">
        <v>34</v>
      </c>
      <c r="Z357" t="s">
        <v>1847</v>
      </c>
      <c r="AA357" t="s">
        <v>1848</v>
      </c>
      <c r="AC357" t="s">
        <v>34</v>
      </c>
      <c r="AD357" t="s">
        <v>767</v>
      </c>
      <c r="AE357" t="s">
        <v>768</v>
      </c>
      <c r="AF357" t="s">
        <v>585</v>
      </c>
      <c r="AG357" t="s">
        <v>34</v>
      </c>
      <c r="AH357" t="s">
        <v>34</v>
      </c>
      <c r="AI357" t="s">
        <v>34</v>
      </c>
      <c r="AJ357" t="s">
        <v>34</v>
      </c>
      <c r="AK357" t="s">
        <v>34</v>
      </c>
      <c r="AL357" t="s">
        <v>34</v>
      </c>
      <c r="AM357" t="s">
        <v>2861</v>
      </c>
    </row>
    <row r="358" spans="1:41" x14ac:dyDescent="0.2">
      <c r="A358">
        <v>1270657</v>
      </c>
      <c r="B358">
        <v>57948</v>
      </c>
      <c r="C358" t="s">
        <v>467</v>
      </c>
      <c r="D358" t="s">
        <v>737</v>
      </c>
      <c r="E358" t="s">
        <v>702</v>
      </c>
      <c r="F358" t="s">
        <v>34</v>
      </c>
      <c r="G358" t="s">
        <v>772</v>
      </c>
      <c r="H358" t="s">
        <v>3569</v>
      </c>
      <c r="I358" t="s">
        <v>762</v>
      </c>
      <c r="J358" t="s">
        <v>1197</v>
      </c>
      <c r="K358" t="s">
        <v>1121</v>
      </c>
      <c r="L358">
        <v>41745</v>
      </c>
      <c r="M358" t="s">
        <v>467</v>
      </c>
      <c r="N358" t="s">
        <v>3570</v>
      </c>
      <c r="O358" t="s">
        <v>2054</v>
      </c>
      <c r="P358" t="s">
        <v>2916</v>
      </c>
      <c r="Q358" t="s">
        <v>903</v>
      </c>
      <c r="R358" t="s">
        <v>2055</v>
      </c>
      <c r="S358">
        <v>147</v>
      </c>
      <c r="T358" t="s">
        <v>791</v>
      </c>
      <c r="U358">
        <v>1270058</v>
      </c>
      <c r="V358" t="s">
        <v>1049</v>
      </c>
      <c r="W358" t="s">
        <v>1866</v>
      </c>
      <c r="X358" t="s">
        <v>2917</v>
      </c>
      <c r="Y358" t="s">
        <v>34</v>
      </c>
      <c r="Z358" t="s">
        <v>1049</v>
      </c>
      <c r="AA358" t="s">
        <v>1866</v>
      </c>
      <c r="AB358" t="s">
        <v>2917</v>
      </c>
      <c r="AC358" t="s">
        <v>34</v>
      </c>
      <c r="AD358" t="s">
        <v>767</v>
      </c>
      <c r="AE358" t="s">
        <v>768</v>
      </c>
      <c r="AF358" t="s">
        <v>585</v>
      </c>
      <c r="AG358" t="s">
        <v>2356</v>
      </c>
      <c r="AH358">
        <v>0.8</v>
      </c>
      <c r="AI358">
        <v>10</v>
      </c>
      <c r="AJ358" t="s">
        <v>34</v>
      </c>
      <c r="AK358" t="s">
        <v>34</v>
      </c>
      <c r="AL358" t="s">
        <v>34</v>
      </c>
      <c r="AM358" t="s">
        <v>2864</v>
      </c>
      <c r="AN358">
        <v>0.21</v>
      </c>
    </row>
    <row r="359" spans="1:41" x14ac:dyDescent="0.2">
      <c r="A359">
        <v>1270656</v>
      </c>
      <c r="B359">
        <v>57948</v>
      </c>
      <c r="C359" t="s">
        <v>466</v>
      </c>
      <c r="D359" t="s">
        <v>737</v>
      </c>
      <c r="E359" t="s">
        <v>702</v>
      </c>
      <c r="F359" t="s">
        <v>34</v>
      </c>
      <c r="G359" t="s">
        <v>772</v>
      </c>
      <c r="H359" t="s">
        <v>3569</v>
      </c>
      <c r="I359" t="s">
        <v>762</v>
      </c>
      <c r="J359" t="s">
        <v>934</v>
      </c>
      <c r="K359" t="s">
        <v>763</v>
      </c>
      <c r="L359" t="s">
        <v>466</v>
      </c>
      <c r="M359" t="s">
        <v>466</v>
      </c>
      <c r="N359" t="s">
        <v>3570</v>
      </c>
      <c r="O359" t="s">
        <v>935</v>
      </c>
      <c r="P359" t="s">
        <v>2916</v>
      </c>
      <c r="Q359" t="s">
        <v>898</v>
      </c>
      <c r="R359" t="s">
        <v>2053</v>
      </c>
      <c r="S359">
        <v>112</v>
      </c>
      <c r="T359" t="s">
        <v>791</v>
      </c>
      <c r="U359" t="s">
        <v>34</v>
      </c>
      <c r="V359" t="s">
        <v>1864</v>
      </c>
      <c r="W359" t="s">
        <v>1865</v>
      </c>
      <c r="X359" t="s">
        <v>2917</v>
      </c>
      <c r="Y359" t="s">
        <v>34</v>
      </c>
      <c r="Z359" t="s">
        <v>1864</v>
      </c>
      <c r="AA359" t="s">
        <v>1865</v>
      </c>
      <c r="AB359" t="s">
        <v>2917</v>
      </c>
      <c r="AC359" t="s">
        <v>34</v>
      </c>
      <c r="AD359" t="s">
        <v>767</v>
      </c>
      <c r="AE359" t="s">
        <v>768</v>
      </c>
      <c r="AF359" t="s">
        <v>585</v>
      </c>
      <c r="AG359">
        <v>1</v>
      </c>
      <c r="AH359">
        <v>1</v>
      </c>
      <c r="AI359">
        <v>6</v>
      </c>
      <c r="AJ359" t="s">
        <v>34</v>
      </c>
      <c r="AK359" t="s">
        <v>34</v>
      </c>
      <c r="AL359" t="s">
        <v>34</v>
      </c>
      <c r="AM359" t="s">
        <v>2861</v>
      </c>
      <c r="AN359">
        <v>1.4583333333333332E-2</v>
      </c>
    </row>
    <row r="360" spans="1:41" x14ac:dyDescent="0.2">
      <c r="A360">
        <v>2302682</v>
      </c>
      <c r="B360">
        <v>57891</v>
      </c>
      <c r="C360" t="s">
        <v>3300</v>
      </c>
      <c r="D360" t="s">
        <v>738</v>
      </c>
      <c r="E360" t="s">
        <v>671</v>
      </c>
      <c r="F360" t="s">
        <v>34</v>
      </c>
      <c r="G360" t="s">
        <v>772</v>
      </c>
      <c r="H360" t="s">
        <v>3569</v>
      </c>
      <c r="I360" t="s">
        <v>586</v>
      </c>
      <c r="J360" t="s">
        <v>1867</v>
      </c>
      <c r="K360" t="s">
        <v>890</v>
      </c>
      <c r="L360" t="s">
        <v>3300</v>
      </c>
      <c r="M360" t="s">
        <v>3300</v>
      </c>
      <c r="N360" t="s">
        <v>983</v>
      </c>
      <c r="O360" t="s">
        <v>829</v>
      </c>
      <c r="P360" t="s">
        <v>764</v>
      </c>
      <c r="Q360" t="s">
        <v>828</v>
      </c>
      <c r="R360" t="s">
        <v>3301</v>
      </c>
      <c r="S360">
        <v>382.4</v>
      </c>
      <c r="T360" t="s">
        <v>793</v>
      </c>
      <c r="U360" t="s">
        <v>34</v>
      </c>
      <c r="V360" t="s">
        <v>3302</v>
      </c>
      <c r="W360" t="s">
        <v>2950</v>
      </c>
      <c r="X360" t="s">
        <v>891</v>
      </c>
      <c r="Y360" t="s">
        <v>34</v>
      </c>
      <c r="Z360" t="s">
        <v>1870</v>
      </c>
      <c r="AA360" t="s">
        <v>1871</v>
      </c>
      <c r="AB360" t="s">
        <v>891</v>
      </c>
      <c r="AC360" t="s">
        <v>2523</v>
      </c>
      <c r="AD360" t="s">
        <v>767</v>
      </c>
      <c r="AE360" t="s">
        <v>768</v>
      </c>
      <c r="AF360" t="s">
        <v>585</v>
      </c>
      <c r="AG360" t="s">
        <v>1889</v>
      </c>
      <c r="AH360" t="s">
        <v>34</v>
      </c>
      <c r="AI360" t="s">
        <v>34</v>
      </c>
      <c r="AJ360" t="s">
        <v>34</v>
      </c>
      <c r="AK360" t="s">
        <v>34</v>
      </c>
      <c r="AL360" t="s">
        <v>34</v>
      </c>
      <c r="AM360" t="s">
        <v>2864</v>
      </c>
    </row>
    <row r="361" spans="1:41" x14ac:dyDescent="0.2">
      <c r="A361">
        <v>1270655</v>
      </c>
      <c r="B361">
        <v>57891</v>
      </c>
      <c r="C361" t="s">
        <v>595</v>
      </c>
      <c r="D361" t="s">
        <v>738</v>
      </c>
      <c r="E361" t="s">
        <v>671</v>
      </c>
      <c r="F361" t="s">
        <v>34</v>
      </c>
      <c r="G361" t="s">
        <v>772</v>
      </c>
      <c r="H361" t="s">
        <v>3569</v>
      </c>
      <c r="I361" t="s">
        <v>586</v>
      </c>
      <c r="J361" t="s">
        <v>1867</v>
      </c>
      <c r="K361" t="s">
        <v>1868</v>
      </c>
      <c r="L361" t="s">
        <v>595</v>
      </c>
      <c r="M361" t="s">
        <v>595</v>
      </c>
      <c r="N361" t="s">
        <v>983</v>
      </c>
      <c r="O361" t="s">
        <v>829</v>
      </c>
      <c r="P361" t="s">
        <v>764</v>
      </c>
      <c r="Q361" t="s">
        <v>828</v>
      </c>
      <c r="R361" t="s">
        <v>2056</v>
      </c>
      <c r="S361">
        <v>78</v>
      </c>
      <c r="T361" t="s">
        <v>793</v>
      </c>
      <c r="U361" t="s">
        <v>34</v>
      </c>
      <c r="V361" t="s">
        <v>1868</v>
      </c>
      <c r="W361" t="s">
        <v>1869</v>
      </c>
      <c r="X361" t="s">
        <v>891</v>
      </c>
      <c r="Y361" t="s">
        <v>34</v>
      </c>
      <c r="Z361" t="s">
        <v>1870</v>
      </c>
      <c r="AA361" t="s">
        <v>1871</v>
      </c>
      <c r="AB361" t="s">
        <v>891</v>
      </c>
      <c r="AC361" t="s">
        <v>2523</v>
      </c>
      <c r="AD361" t="s">
        <v>767</v>
      </c>
      <c r="AE361" t="s">
        <v>768</v>
      </c>
      <c r="AF361" t="s">
        <v>585</v>
      </c>
      <c r="AG361">
        <v>0.15</v>
      </c>
      <c r="AH361">
        <v>1.5</v>
      </c>
      <c r="AI361" t="s">
        <v>2357</v>
      </c>
      <c r="AJ361" t="s">
        <v>2417</v>
      </c>
      <c r="AK361" t="s">
        <v>34</v>
      </c>
      <c r="AL361" t="s">
        <v>34</v>
      </c>
      <c r="AM361" t="s">
        <v>2864</v>
      </c>
      <c r="AO361">
        <v>2.1527777777777781E-2</v>
      </c>
    </row>
    <row r="362" spans="1:41" x14ac:dyDescent="0.2">
      <c r="A362">
        <v>1270653</v>
      </c>
      <c r="B362">
        <v>57890</v>
      </c>
      <c r="C362" t="s">
        <v>471</v>
      </c>
      <c r="D362" t="s">
        <v>2057</v>
      </c>
      <c r="E362" t="s">
        <v>671</v>
      </c>
      <c r="F362" t="s">
        <v>34</v>
      </c>
      <c r="G362" t="s">
        <v>772</v>
      </c>
      <c r="H362" t="s">
        <v>1275</v>
      </c>
      <c r="I362" t="s">
        <v>586</v>
      </c>
      <c r="J362" t="s">
        <v>900</v>
      </c>
      <c r="K362" t="s">
        <v>890</v>
      </c>
      <c r="L362">
        <v>1</v>
      </c>
      <c r="M362" t="s">
        <v>3515</v>
      </c>
      <c r="N362" t="s">
        <v>983</v>
      </c>
      <c r="O362" t="s">
        <v>1027</v>
      </c>
      <c r="P362" t="s">
        <v>847</v>
      </c>
      <c r="Q362" t="s">
        <v>2839</v>
      </c>
      <c r="R362" t="s">
        <v>2059</v>
      </c>
      <c r="S362">
        <v>2730</v>
      </c>
      <c r="T362" t="s">
        <v>794</v>
      </c>
      <c r="U362" t="s">
        <v>34</v>
      </c>
      <c r="V362" t="s">
        <v>2796</v>
      </c>
      <c r="W362" t="s">
        <v>3516</v>
      </c>
      <c r="X362" t="s">
        <v>892</v>
      </c>
      <c r="Y362" t="s">
        <v>34</v>
      </c>
      <c r="Z362" t="s">
        <v>3517</v>
      </c>
      <c r="AA362" t="s">
        <v>3518</v>
      </c>
      <c r="AB362" t="s">
        <v>892</v>
      </c>
      <c r="AC362" t="s">
        <v>3519</v>
      </c>
      <c r="AD362" t="s">
        <v>767</v>
      </c>
      <c r="AE362" t="s">
        <v>2493</v>
      </c>
      <c r="AF362" t="s">
        <v>585</v>
      </c>
      <c r="AG362" t="s">
        <v>1889</v>
      </c>
      <c r="AH362" t="s">
        <v>34</v>
      </c>
      <c r="AI362" t="s">
        <v>34</v>
      </c>
      <c r="AJ362" t="s">
        <v>34</v>
      </c>
      <c r="AK362" t="s">
        <v>34</v>
      </c>
      <c r="AL362" t="s">
        <v>34</v>
      </c>
      <c r="AM362" t="s">
        <v>2861</v>
      </c>
    </row>
    <row r="363" spans="1:41" x14ac:dyDescent="0.2">
      <c r="A363">
        <v>1270652</v>
      </c>
      <c r="B363">
        <v>57890</v>
      </c>
      <c r="C363" t="s">
        <v>327</v>
      </c>
      <c r="D363" t="s">
        <v>2057</v>
      </c>
      <c r="E363" t="s">
        <v>671</v>
      </c>
      <c r="F363" t="s">
        <v>34</v>
      </c>
      <c r="G363" t="s">
        <v>772</v>
      </c>
      <c r="H363" t="s">
        <v>1275</v>
      </c>
      <c r="I363" t="s">
        <v>586</v>
      </c>
      <c r="J363" t="s">
        <v>900</v>
      </c>
      <c r="K363" t="s">
        <v>890</v>
      </c>
      <c r="L363">
        <v>2</v>
      </c>
      <c r="M363" t="s">
        <v>3520</v>
      </c>
      <c r="N363" t="s">
        <v>983</v>
      </c>
      <c r="O363" t="s">
        <v>1027</v>
      </c>
      <c r="P363" t="s">
        <v>847</v>
      </c>
      <c r="Q363" t="s">
        <v>2839</v>
      </c>
      <c r="R363" t="s">
        <v>3521</v>
      </c>
      <c r="S363">
        <v>3290</v>
      </c>
      <c r="T363" t="s">
        <v>794</v>
      </c>
      <c r="U363" t="s">
        <v>34</v>
      </c>
      <c r="V363" t="s">
        <v>3522</v>
      </c>
      <c r="W363" t="s">
        <v>3523</v>
      </c>
      <c r="X363" t="s">
        <v>892</v>
      </c>
      <c r="Y363" t="s">
        <v>34</v>
      </c>
      <c r="Z363" t="s">
        <v>3517</v>
      </c>
      <c r="AA363" t="s">
        <v>3518</v>
      </c>
      <c r="AB363" t="s">
        <v>892</v>
      </c>
      <c r="AC363" t="s">
        <v>3524</v>
      </c>
      <c r="AD363" t="s">
        <v>767</v>
      </c>
      <c r="AE363" t="s">
        <v>2493</v>
      </c>
      <c r="AF363" t="s">
        <v>585</v>
      </c>
      <c r="AG363" t="s">
        <v>1889</v>
      </c>
      <c r="AH363" t="s">
        <v>34</v>
      </c>
      <c r="AI363" t="s">
        <v>34</v>
      </c>
      <c r="AJ363" t="s">
        <v>34</v>
      </c>
      <c r="AK363" t="s">
        <v>34</v>
      </c>
      <c r="AL363" t="s">
        <v>34</v>
      </c>
      <c r="AM363" t="s">
        <v>2861</v>
      </c>
    </row>
    <row r="364" spans="1:41" x14ac:dyDescent="0.2">
      <c r="A364">
        <v>1270651</v>
      </c>
      <c r="B364">
        <v>57890</v>
      </c>
      <c r="C364" t="s">
        <v>469</v>
      </c>
      <c r="D364" t="s">
        <v>2057</v>
      </c>
      <c r="E364" t="s">
        <v>671</v>
      </c>
      <c r="F364" t="s">
        <v>34</v>
      </c>
      <c r="G364" t="s">
        <v>772</v>
      </c>
      <c r="H364" t="s">
        <v>1275</v>
      </c>
      <c r="I364" t="s">
        <v>586</v>
      </c>
      <c r="J364" t="s">
        <v>900</v>
      </c>
      <c r="K364" t="s">
        <v>1051</v>
      </c>
      <c r="L364">
        <v>3</v>
      </c>
      <c r="M364" t="s">
        <v>469</v>
      </c>
      <c r="N364" t="s">
        <v>983</v>
      </c>
      <c r="O364" t="s">
        <v>829</v>
      </c>
      <c r="P364" t="s">
        <v>764</v>
      </c>
      <c r="Q364" t="s">
        <v>828</v>
      </c>
      <c r="R364" t="s">
        <v>2058</v>
      </c>
      <c r="S364">
        <v>294</v>
      </c>
      <c r="U364" t="s">
        <v>34</v>
      </c>
      <c r="Y364" t="s">
        <v>34</v>
      </c>
      <c r="AC364" t="s">
        <v>34</v>
      </c>
      <c r="AD364" t="s">
        <v>767</v>
      </c>
      <c r="AE364" t="s">
        <v>768</v>
      </c>
      <c r="AF364" t="s">
        <v>585</v>
      </c>
      <c r="AG364" t="s">
        <v>34</v>
      </c>
      <c r="AH364" t="s">
        <v>34</v>
      </c>
      <c r="AI364" t="s">
        <v>34</v>
      </c>
      <c r="AJ364" t="s">
        <v>34</v>
      </c>
      <c r="AK364" t="s">
        <v>34</v>
      </c>
      <c r="AL364" t="s">
        <v>34</v>
      </c>
      <c r="AM364" t="s">
        <v>2861</v>
      </c>
    </row>
    <row r="365" spans="1:41" x14ac:dyDescent="0.2">
      <c r="A365">
        <v>2213127</v>
      </c>
      <c r="B365">
        <v>57890</v>
      </c>
      <c r="C365" t="s">
        <v>3172</v>
      </c>
      <c r="D365" t="s">
        <v>2057</v>
      </c>
      <c r="E365" t="s">
        <v>671</v>
      </c>
      <c r="F365" t="s">
        <v>34</v>
      </c>
      <c r="G365" t="s">
        <v>772</v>
      </c>
      <c r="H365" t="s">
        <v>1275</v>
      </c>
      <c r="I365" t="s">
        <v>586</v>
      </c>
      <c r="J365" t="s">
        <v>900</v>
      </c>
      <c r="K365" t="s">
        <v>1051</v>
      </c>
      <c r="L365">
        <v>4</v>
      </c>
      <c r="M365" t="s">
        <v>3172</v>
      </c>
      <c r="N365" t="s">
        <v>983</v>
      </c>
      <c r="O365" t="s">
        <v>1027</v>
      </c>
      <c r="P365" t="s">
        <v>847</v>
      </c>
      <c r="Q365" t="s">
        <v>828</v>
      </c>
      <c r="R365" t="s">
        <v>3173</v>
      </c>
      <c r="S365">
        <v>3872</v>
      </c>
      <c r="T365" t="s">
        <v>3174</v>
      </c>
      <c r="U365" t="s">
        <v>34</v>
      </c>
      <c r="Y365" t="s">
        <v>34</v>
      </c>
      <c r="AC365" t="s">
        <v>34</v>
      </c>
      <c r="AD365" t="s">
        <v>767</v>
      </c>
      <c r="AE365" t="s">
        <v>768</v>
      </c>
      <c r="AF365" t="s">
        <v>585</v>
      </c>
      <c r="AG365" t="s">
        <v>34</v>
      </c>
      <c r="AH365" t="s">
        <v>34</v>
      </c>
      <c r="AI365" t="s">
        <v>34</v>
      </c>
      <c r="AJ365" t="s">
        <v>34</v>
      </c>
      <c r="AK365" t="s">
        <v>34</v>
      </c>
      <c r="AL365" t="s">
        <v>34</v>
      </c>
      <c r="AM365" t="s">
        <v>2861</v>
      </c>
    </row>
    <row r="366" spans="1:41" x14ac:dyDescent="0.2">
      <c r="B366">
        <v>57890</v>
      </c>
      <c r="C366" t="s">
        <v>470</v>
      </c>
      <c r="D366" t="s">
        <v>2057</v>
      </c>
      <c r="E366" t="s">
        <v>671</v>
      </c>
      <c r="F366" t="s">
        <v>34</v>
      </c>
      <c r="G366" t="s">
        <v>772</v>
      </c>
      <c r="H366" t="s">
        <v>1275</v>
      </c>
      <c r="U366" t="s">
        <v>34</v>
      </c>
      <c r="Y366" t="s">
        <v>34</v>
      </c>
      <c r="AC366" t="s">
        <v>34</v>
      </c>
      <c r="AD366" t="s">
        <v>767</v>
      </c>
      <c r="AE366" t="s">
        <v>768</v>
      </c>
      <c r="AF366" t="s">
        <v>585</v>
      </c>
      <c r="AG366" t="s">
        <v>34</v>
      </c>
      <c r="AH366" t="s">
        <v>34</v>
      </c>
      <c r="AI366" t="s">
        <v>34</v>
      </c>
      <c r="AJ366" t="s">
        <v>34</v>
      </c>
      <c r="AK366" t="s">
        <v>34</v>
      </c>
      <c r="AL366" t="s">
        <v>34</v>
      </c>
      <c r="AM366" t="s">
        <v>2861</v>
      </c>
    </row>
    <row r="367" spans="1:41" x14ac:dyDescent="0.2">
      <c r="A367">
        <v>1270650</v>
      </c>
      <c r="B367">
        <v>57890</v>
      </c>
      <c r="C367" t="s">
        <v>409</v>
      </c>
      <c r="D367" t="s">
        <v>2057</v>
      </c>
      <c r="E367" t="s">
        <v>671</v>
      </c>
      <c r="F367" t="s">
        <v>34</v>
      </c>
      <c r="G367" t="s">
        <v>772</v>
      </c>
      <c r="H367" t="s">
        <v>1275</v>
      </c>
      <c r="I367" t="s">
        <v>586</v>
      </c>
      <c r="J367" t="s">
        <v>1867</v>
      </c>
      <c r="K367" t="s">
        <v>890</v>
      </c>
      <c r="L367" t="s">
        <v>3550</v>
      </c>
      <c r="M367" t="s">
        <v>3525</v>
      </c>
      <c r="N367" t="s">
        <v>983</v>
      </c>
      <c r="O367" t="s">
        <v>829</v>
      </c>
      <c r="P367" t="s">
        <v>764</v>
      </c>
      <c r="Q367" t="s">
        <v>2839</v>
      </c>
      <c r="R367" t="s">
        <v>2060</v>
      </c>
      <c r="S367">
        <v>1470</v>
      </c>
      <c r="T367" t="s">
        <v>794</v>
      </c>
      <c r="U367" t="s">
        <v>34</v>
      </c>
      <c r="V367" t="s">
        <v>3526</v>
      </c>
      <c r="W367" t="s">
        <v>3527</v>
      </c>
      <c r="X367" t="s">
        <v>892</v>
      </c>
      <c r="Y367" t="s">
        <v>34</v>
      </c>
      <c r="Z367" t="s">
        <v>2686</v>
      </c>
      <c r="AA367" t="s">
        <v>3528</v>
      </c>
      <c r="AB367" t="s">
        <v>892</v>
      </c>
      <c r="AC367" t="s">
        <v>3524</v>
      </c>
      <c r="AD367" t="s">
        <v>767</v>
      </c>
      <c r="AE367" t="s">
        <v>2493</v>
      </c>
      <c r="AF367" t="s">
        <v>585</v>
      </c>
      <c r="AG367" t="s">
        <v>1889</v>
      </c>
      <c r="AH367" t="s">
        <v>34</v>
      </c>
      <c r="AI367" t="s">
        <v>34</v>
      </c>
      <c r="AJ367" t="s">
        <v>34</v>
      </c>
      <c r="AK367" t="s">
        <v>34</v>
      </c>
      <c r="AL367" t="s">
        <v>34</v>
      </c>
      <c r="AM367" t="s">
        <v>2861</v>
      </c>
    </row>
    <row r="368" spans="1:41" x14ac:dyDescent="0.2">
      <c r="A368">
        <v>1593995</v>
      </c>
      <c r="B368">
        <v>57890</v>
      </c>
      <c r="C368" t="s">
        <v>3529</v>
      </c>
      <c r="D368" t="s">
        <v>2057</v>
      </c>
      <c r="E368" t="s">
        <v>671</v>
      </c>
      <c r="F368" t="s">
        <v>34</v>
      </c>
      <c r="G368" t="s">
        <v>772</v>
      </c>
      <c r="H368" t="s">
        <v>1275</v>
      </c>
      <c r="I368" t="s">
        <v>586</v>
      </c>
      <c r="J368" t="s">
        <v>3530</v>
      </c>
      <c r="K368" t="s">
        <v>3531</v>
      </c>
      <c r="L368" t="s">
        <v>3551</v>
      </c>
      <c r="M368" t="s">
        <v>3532</v>
      </c>
      <c r="N368" t="s">
        <v>983</v>
      </c>
      <c r="O368" t="s">
        <v>3533</v>
      </c>
      <c r="P368" t="s">
        <v>764</v>
      </c>
      <c r="Q368" t="s">
        <v>2839</v>
      </c>
      <c r="R368" t="s">
        <v>3534</v>
      </c>
      <c r="S368">
        <v>390</v>
      </c>
      <c r="T368" t="s">
        <v>794</v>
      </c>
      <c r="U368" t="s">
        <v>34</v>
      </c>
      <c r="V368" t="s">
        <v>2796</v>
      </c>
      <c r="W368" t="s">
        <v>1889</v>
      </c>
      <c r="X368" t="s">
        <v>892</v>
      </c>
      <c r="Y368" t="s">
        <v>34</v>
      </c>
      <c r="Z368" t="s">
        <v>2686</v>
      </c>
      <c r="AA368" t="s">
        <v>3528</v>
      </c>
      <c r="AB368" t="s">
        <v>894</v>
      </c>
      <c r="AC368" t="s">
        <v>3535</v>
      </c>
      <c r="AD368" t="s">
        <v>767</v>
      </c>
      <c r="AE368" t="s">
        <v>2493</v>
      </c>
      <c r="AF368" t="s">
        <v>585</v>
      </c>
      <c r="AG368" t="s">
        <v>1889</v>
      </c>
      <c r="AH368" t="s">
        <v>34</v>
      </c>
      <c r="AI368" t="s">
        <v>34</v>
      </c>
      <c r="AJ368" t="s">
        <v>34</v>
      </c>
      <c r="AK368" t="s">
        <v>34</v>
      </c>
      <c r="AL368" t="s">
        <v>34</v>
      </c>
      <c r="AM368" t="s">
        <v>2861</v>
      </c>
    </row>
    <row r="369" spans="1:39" x14ac:dyDescent="0.2">
      <c r="A369">
        <v>1593996</v>
      </c>
      <c r="B369">
        <v>57890</v>
      </c>
      <c r="C369" t="s">
        <v>3536</v>
      </c>
      <c r="D369" t="s">
        <v>2057</v>
      </c>
      <c r="E369" t="s">
        <v>671</v>
      </c>
      <c r="F369" t="s">
        <v>34</v>
      </c>
      <c r="G369" t="s">
        <v>772</v>
      </c>
      <c r="H369" t="s">
        <v>1275</v>
      </c>
      <c r="I369" t="s">
        <v>586</v>
      </c>
      <c r="J369" t="s">
        <v>3537</v>
      </c>
      <c r="K369" t="s">
        <v>3531</v>
      </c>
      <c r="L369" t="s">
        <v>3552</v>
      </c>
      <c r="M369" t="s">
        <v>3536</v>
      </c>
      <c r="N369" t="s">
        <v>983</v>
      </c>
      <c r="O369" t="s">
        <v>3538</v>
      </c>
      <c r="P369" t="s">
        <v>764</v>
      </c>
      <c r="Q369" t="s">
        <v>2839</v>
      </c>
      <c r="R369" t="s">
        <v>3534</v>
      </c>
      <c r="S369">
        <v>390</v>
      </c>
      <c r="T369" t="s">
        <v>794</v>
      </c>
      <c r="U369" t="s">
        <v>34</v>
      </c>
      <c r="V369" t="s">
        <v>2796</v>
      </c>
      <c r="W369" t="s">
        <v>1889</v>
      </c>
      <c r="X369" t="s">
        <v>892</v>
      </c>
      <c r="Y369" t="s">
        <v>34</v>
      </c>
      <c r="Z369" t="s">
        <v>2686</v>
      </c>
      <c r="AA369" t="s">
        <v>3528</v>
      </c>
      <c r="AB369" t="s">
        <v>894</v>
      </c>
      <c r="AC369" t="s">
        <v>3539</v>
      </c>
      <c r="AD369" t="s">
        <v>767</v>
      </c>
      <c r="AE369" t="s">
        <v>2493</v>
      </c>
      <c r="AF369" t="s">
        <v>585</v>
      </c>
      <c r="AG369" t="s">
        <v>1889</v>
      </c>
      <c r="AH369" t="s">
        <v>34</v>
      </c>
      <c r="AI369" t="s">
        <v>34</v>
      </c>
      <c r="AJ369" t="s">
        <v>34</v>
      </c>
      <c r="AK369" t="s">
        <v>34</v>
      </c>
      <c r="AL369" t="s">
        <v>34</v>
      </c>
      <c r="AM369" t="s">
        <v>2861</v>
      </c>
    </row>
    <row r="370" spans="1:39" x14ac:dyDescent="0.2">
      <c r="A370">
        <v>1270654</v>
      </c>
      <c r="B370">
        <v>57890</v>
      </c>
      <c r="C370" t="s">
        <v>3540</v>
      </c>
      <c r="D370" t="s">
        <v>2057</v>
      </c>
      <c r="E370" t="s">
        <v>671</v>
      </c>
      <c r="F370" t="s">
        <v>34</v>
      </c>
      <c r="G370" t="s">
        <v>772</v>
      </c>
      <c r="H370" t="s">
        <v>1275</v>
      </c>
      <c r="I370" t="s">
        <v>586</v>
      </c>
      <c r="J370" t="s">
        <v>3541</v>
      </c>
      <c r="K370" t="s">
        <v>3531</v>
      </c>
      <c r="L370" t="s">
        <v>470</v>
      </c>
      <c r="M370" t="s">
        <v>3540</v>
      </c>
      <c r="N370" t="s">
        <v>983</v>
      </c>
      <c r="O370" t="s">
        <v>3542</v>
      </c>
      <c r="P370" t="s">
        <v>764</v>
      </c>
      <c r="Q370" t="s">
        <v>2839</v>
      </c>
      <c r="R370" t="s">
        <v>3534</v>
      </c>
      <c r="S370">
        <v>390</v>
      </c>
      <c r="T370" t="s">
        <v>794</v>
      </c>
      <c r="U370" t="s">
        <v>34</v>
      </c>
      <c r="V370" t="s">
        <v>2796</v>
      </c>
      <c r="W370" t="s">
        <v>1889</v>
      </c>
      <c r="X370" t="s">
        <v>892</v>
      </c>
      <c r="Y370" t="s">
        <v>34</v>
      </c>
      <c r="Z370" t="s">
        <v>2686</v>
      </c>
      <c r="AA370" t="s">
        <v>3528</v>
      </c>
      <c r="AB370" t="s">
        <v>894</v>
      </c>
      <c r="AC370" t="s">
        <v>3539</v>
      </c>
      <c r="AD370" t="s">
        <v>767</v>
      </c>
      <c r="AE370" t="s">
        <v>2493</v>
      </c>
      <c r="AF370" t="s">
        <v>585</v>
      </c>
      <c r="AG370" t="s">
        <v>1889</v>
      </c>
      <c r="AH370" t="s">
        <v>34</v>
      </c>
      <c r="AI370" t="s">
        <v>34</v>
      </c>
      <c r="AJ370" t="s">
        <v>34</v>
      </c>
      <c r="AK370" t="s">
        <v>34</v>
      </c>
      <c r="AL370" t="s">
        <v>34</v>
      </c>
      <c r="AM370" t="s">
        <v>2861</v>
      </c>
    </row>
    <row r="371" spans="1:39" x14ac:dyDescent="0.2">
      <c r="B371">
        <v>57890</v>
      </c>
      <c r="C371" t="s">
        <v>3543</v>
      </c>
      <c r="D371" t="s">
        <v>2057</v>
      </c>
      <c r="E371" t="s">
        <v>671</v>
      </c>
      <c r="F371" t="s">
        <v>34</v>
      </c>
      <c r="G371" t="s">
        <v>772</v>
      </c>
      <c r="H371" t="s">
        <v>1275</v>
      </c>
      <c r="I371" t="s">
        <v>586</v>
      </c>
      <c r="J371" t="s">
        <v>3544</v>
      </c>
      <c r="K371" t="s">
        <v>3531</v>
      </c>
      <c r="L371" t="s">
        <v>3543</v>
      </c>
      <c r="M371" t="s">
        <v>3543</v>
      </c>
      <c r="N371" t="s">
        <v>983</v>
      </c>
      <c r="O371" t="s">
        <v>3545</v>
      </c>
      <c r="P371" t="s">
        <v>764</v>
      </c>
      <c r="Q371" t="s">
        <v>2839</v>
      </c>
      <c r="R371" t="s">
        <v>3534</v>
      </c>
      <c r="S371">
        <v>390</v>
      </c>
      <c r="T371" t="s">
        <v>794</v>
      </c>
      <c r="U371" t="s">
        <v>34</v>
      </c>
      <c r="V371" t="s">
        <v>2796</v>
      </c>
      <c r="W371" t="s">
        <v>1889</v>
      </c>
      <c r="X371" t="s">
        <v>892</v>
      </c>
      <c r="Y371" t="s">
        <v>34</v>
      </c>
      <c r="Z371" t="s">
        <v>2686</v>
      </c>
      <c r="AA371" t="s">
        <v>3528</v>
      </c>
      <c r="AB371" t="s">
        <v>894</v>
      </c>
      <c r="AC371" t="s">
        <v>3546</v>
      </c>
      <c r="AD371" t="s">
        <v>767</v>
      </c>
      <c r="AE371" t="s">
        <v>2493</v>
      </c>
      <c r="AF371" t="s">
        <v>585</v>
      </c>
      <c r="AG371" t="s">
        <v>1889</v>
      </c>
      <c r="AH371" t="s">
        <v>34</v>
      </c>
      <c r="AI371" t="s">
        <v>34</v>
      </c>
      <c r="AJ371" t="s">
        <v>34</v>
      </c>
      <c r="AK371" t="s">
        <v>34</v>
      </c>
      <c r="AL371" t="s">
        <v>34</v>
      </c>
      <c r="AM371" t="s">
        <v>2861</v>
      </c>
    </row>
    <row r="372" spans="1:39" x14ac:dyDescent="0.2">
      <c r="A372">
        <v>1593998</v>
      </c>
      <c r="B372">
        <v>57890</v>
      </c>
      <c r="C372" t="s">
        <v>3547</v>
      </c>
      <c r="D372" t="s">
        <v>2057</v>
      </c>
      <c r="E372" t="s">
        <v>671</v>
      </c>
      <c r="F372" t="s">
        <v>34</v>
      </c>
      <c r="G372" t="s">
        <v>772</v>
      </c>
      <c r="H372" t="s">
        <v>1275</v>
      </c>
      <c r="I372" t="s">
        <v>586</v>
      </c>
      <c r="J372" t="s">
        <v>3548</v>
      </c>
      <c r="K372" t="s">
        <v>3531</v>
      </c>
      <c r="L372" t="s">
        <v>3553</v>
      </c>
      <c r="M372" t="s">
        <v>3547</v>
      </c>
      <c r="N372" t="s">
        <v>983</v>
      </c>
      <c r="O372" t="s">
        <v>3538</v>
      </c>
      <c r="P372" t="s">
        <v>764</v>
      </c>
      <c r="Q372" t="s">
        <v>2839</v>
      </c>
      <c r="R372" t="s">
        <v>3549</v>
      </c>
      <c r="S372">
        <v>78</v>
      </c>
      <c r="T372" t="s">
        <v>794</v>
      </c>
      <c r="U372" t="s">
        <v>34</v>
      </c>
      <c r="V372" t="s">
        <v>2796</v>
      </c>
      <c r="W372" t="s">
        <v>1889</v>
      </c>
      <c r="X372" t="s">
        <v>892</v>
      </c>
      <c r="Y372" t="s">
        <v>34</v>
      </c>
      <c r="Z372" t="s">
        <v>2686</v>
      </c>
      <c r="AA372" t="s">
        <v>3528</v>
      </c>
      <c r="AB372" t="s">
        <v>894</v>
      </c>
      <c r="AC372" t="s">
        <v>3539</v>
      </c>
      <c r="AD372" t="s">
        <v>767</v>
      </c>
      <c r="AE372" t="s">
        <v>2493</v>
      </c>
      <c r="AF372" t="s">
        <v>585</v>
      </c>
      <c r="AG372" t="s">
        <v>1889</v>
      </c>
      <c r="AH372" t="s">
        <v>34</v>
      </c>
      <c r="AI372" t="s">
        <v>34</v>
      </c>
      <c r="AJ372" t="s">
        <v>34</v>
      </c>
      <c r="AK372" t="s">
        <v>34</v>
      </c>
      <c r="AL372" t="s">
        <v>34</v>
      </c>
      <c r="AM372" t="s">
        <v>2861</v>
      </c>
    </row>
    <row r="373" spans="1:39" x14ac:dyDescent="0.2">
      <c r="A373">
        <v>1702567</v>
      </c>
      <c r="B373">
        <v>57889</v>
      </c>
      <c r="C373" t="s">
        <v>3406</v>
      </c>
      <c r="D373" t="s">
        <v>3407</v>
      </c>
      <c r="E373" t="s">
        <v>696</v>
      </c>
      <c r="F373" t="s">
        <v>34</v>
      </c>
      <c r="G373" t="s">
        <v>772</v>
      </c>
      <c r="H373" t="s">
        <v>1275</v>
      </c>
      <c r="I373" t="s">
        <v>586</v>
      </c>
      <c r="J373" t="s">
        <v>3408</v>
      </c>
      <c r="K373" t="s">
        <v>1051</v>
      </c>
      <c r="L373" t="s">
        <v>3409</v>
      </c>
      <c r="M373" t="s">
        <v>3408</v>
      </c>
      <c r="N373" t="s">
        <v>983</v>
      </c>
      <c r="O373" t="s">
        <v>3410</v>
      </c>
      <c r="P373" t="s">
        <v>764</v>
      </c>
      <c r="U373" t="s">
        <v>34</v>
      </c>
      <c r="Y373" t="s">
        <v>34</v>
      </c>
      <c r="AC373" t="s">
        <v>34</v>
      </c>
      <c r="AD373" t="s">
        <v>767</v>
      </c>
      <c r="AE373" t="s">
        <v>768</v>
      </c>
      <c r="AF373" t="s">
        <v>585</v>
      </c>
      <c r="AG373" t="s">
        <v>34</v>
      </c>
      <c r="AH373" t="s">
        <v>34</v>
      </c>
      <c r="AI373" t="s">
        <v>34</v>
      </c>
      <c r="AJ373" t="s">
        <v>34</v>
      </c>
      <c r="AK373" t="s">
        <v>34</v>
      </c>
      <c r="AL373" t="s">
        <v>34</v>
      </c>
      <c r="AM373" t="s">
        <v>2861</v>
      </c>
    </row>
    <row r="374" spans="1:39" x14ac:dyDescent="0.2">
      <c r="A374">
        <v>1702568</v>
      </c>
      <c r="B374">
        <v>57889</v>
      </c>
      <c r="C374" t="s">
        <v>3411</v>
      </c>
      <c r="D374" t="s">
        <v>3407</v>
      </c>
      <c r="E374" t="s">
        <v>696</v>
      </c>
      <c r="F374" t="s">
        <v>34</v>
      </c>
      <c r="G374" t="s">
        <v>772</v>
      </c>
      <c r="H374" t="s">
        <v>1275</v>
      </c>
      <c r="I374" t="s">
        <v>586</v>
      </c>
      <c r="J374" t="s">
        <v>3412</v>
      </c>
      <c r="K374" t="s">
        <v>1051</v>
      </c>
      <c r="L374" t="s">
        <v>3413</v>
      </c>
      <c r="M374" t="s">
        <v>3412</v>
      </c>
      <c r="N374" t="s">
        <v>983</v>
      </c>
      <c r="O374" t="s">
        <v>3414</v>
      </c>
      <c r="P374" t="s">
        <v>764</v>
      </c>
      <c r="U374" t="s">
        <v>34</v>
      </c>
      <c r="Y374" t="s">
        <v>34</v>
      </c>
      <c r="AC374" t="s">
        <v>34</v>
      </c>
      <c r="AD374" t="s">
        <v>767</v>
      </c>
      <c r="AE374" t="s">
        <v>768</v>
      </c>
      <c r="AF374" t="s">
        <v>585</v>
      </c>
      <c r="AG374" t="s">
        <v>34</v>
      </c>
      <c r="AH374" t="s">
        <v>34</v>
      </c>
      <c r="AI374" t="s">
        <v>34</v>
      </c>
      <c r="AJ374" t="s">
        <v>34</v>
      </c>
      <c r="AK374" t="s">
        <v>34</v>
      </c>
      <c r="AL374" t="s">
        <v>34</v>
      </c>
      <c r="AM374" t="s">
        <v>2861</v>
      </c>
    </row>
    <row r="375" spans="1:39" x14ac:dyDescent="0.2">
      <c r="A375">
        <v>1270721</v>
      </c>
      <c r="B375">
        <v>57888</v>
      </c>
      <c r="C375" t="s">
        <v>3018</v>
      </c>
      <c r="D375" t="s">
        <v>2061</v>
      </c>
      <c r="E375" t="s">
        <v>739</v>
      </c>
      <c r="F375" t="s">
        <v>34</v>
      </c>
      <c r="G375" t="s">
        <v>772</v>
      </c>
      <c r="H375" t="s">
        <v>3569</v>
      </c>
      <c r="I375" t="s">
        <v>586</v>
      </c>
      <c r="J375" t="s">
        <v>912</v>
      </c>
      <c r="K375" t="s">
        <v>1905</v>
      </c>
      <c r="L375">
        <v>10229</v>
      </c>
      <c r="M375" t="s">
        <v>328</v>
      </c>
      <c r="N375" t="s">
        <v>983</v>
      </c>
      <c r="O375" t="s">
        <v>2073</v>
      </c>
      <c r="P375" t="s">
        <v>847</v>
      </c>
      <c r="Q375" t="s">
        <v>765</v>
      </c>
      <c r="R375" t="s">
        <v>2075</v>
      </c>
      <c r="S375">
        <v>476.3</v>
      </c>
      <c r="T375" t="s">
        <v>794</v>
      </c>
      <c r="U375" t="s">
        <v>34</v>
      </c>
      <c r="V375" t="s">
        <v>1906</v>
      </c>
      <c r="W375" t="s">
        <v>1907</v>
      </c>
      <c r="X375" t="s">
        <v>766</v>
      </c>
      <c r="Y375" t="s">
        <v>34</v>
      </c>
      <c r="Z375" t="s">
        <v>1906</v>
      </c>
      <c r="AA375" t="s">
        <v>1908</v>
      </c>
      <c r="AB375" t="s">
        <v>766</v>
      </c>
      <c r="AC375" t="s">
        <v>34</v>
      </c>
      <c r="AD375" t="s">
        <v>767</v>
      </c>
      <c r="AE375" t="s">
        <v>768</v>
      </c>
      <c r="AF375" t="s">
        <v>585</v>
      </c>
      <c r="AG375" t="s">
        <v>1889</v>
      </c>
      <c r="AH375" t="s">
        <v>34</v>
      </c>
      <c r="AI375" t="s">
        <v>34</v>
      </c>
      <c r="AJ375" t="s">
        <v>34</v>
      </c>
      <c r="AK375" t="s">
        <v>34</v>
      </c>
      <c r="AL375" t="s">
        <v>34</v>
      </c>
      <c r="AM375" t="s">
        <v>2861</v>
      </c>
    </row>
    <row r="376" spans="1:39" x14ac:dyDescent="0.2">
      <c r="B376">
        <v>57888</v>
      </c>
      <c r="C376" t="s">
        <v>302</v>
      </c>
      <c r="D376" t="s">
        <v>2061</v>
      </c>
      <c r="E376" t="s">
        <v>739</v>
      </c>
      <c r="F376" t="s">
        <v>34</v>
      </c>
      <c r="G376" t="s">
        <v>772</v>
      </c>
      <c r="H376" t="s">
        <v>3569</v>
      </c>
      <c r="I376" t="s">
        <v>586</v>
      </c>
      <c r="J376" t="s">
        <v>912</v>
      </c>
      <c r="K376" t="s">
        <v>1901</v>
      </c>
      <c r="L376" t="s">
        <v>1902</v>
      </c>
      <c r="M376" t="s">
        <v>302</v>
      </c>
      <c r="N376" t="s">
        <v>310</v>
      </c>
      <c r="O376" t="s">
        <v>2025</v>
      </c>
      <c r="P376" t="s">
        <v>2916</v>
      </c>
      <c r="Q376" t="s">
        <v>765</v>
      </c>
      <c r="R376" t="s">
        <v>2074</v>
      </c>
      <c r="S376">
        <v>115.4</v>
      </c>
      <c r="T376" t="s">
        <v>794</v>
      </c>
      <c r="U376" t="s">
        <v>34</v>
      </c>
      <c r="V376" t="s">
        <v>1903</v>
      </c>
      <c r="W376" t="s">
        <v>1904</v>
      </c>
      <c r="X376" t="s">
        <v>2917</v>
      </c>
      <c r="Y376" t="s">
        <v>34</v>
      </c>
      <c r="Z376" t="s">
        <v>1903</v>
      </c>
      <c r="AA376" t="s">
        <v>1904</v>
      </c>
      <c r="AB376" t="s">
        <v>2917</v>
      </c>
      <c r="AC376" t="s">
        <v>34</v>
      </c>
      <c r="AD376" t="s">
        <v>767</v>
      </c>
      <c r="AE376" t="s">
        <v>768</v>
      </c>
      <c r="AF376" t="s">
        <v>585</v>
      </c>
      <c r="AG376" t="s">
        <v>1889</v>
      </c>
      <c r="AH376" t="s">
        <v>34</v>
      </c>
      <c r="AI376" t="s">
        <v>34</v>
      </c>
      <c r="AJ376" t="s">
        <v>34</v>
      </c>
      <c r="AK376" t="s">
        <v>34</v>
      </c>
      <c r="AL376" t="s">
        <v>34</v>
      </c>
      <c r="AM376" t="s">
        <v>2861</v>
      </c>
    </row>
    <row r="377" spans="1:39" x14ac:dyDescent="0.2">
      <c r="B377">
        <v>57888</v>
      </c>
      <c r="C377" t="s">
        <v>3019</v>
      </c>
      <c r="D377" t="s">
        <v>2061</v>
      </c>
      <c r="E377" t="s">
        <v>739</v>
      </c>
      <c r="F377" t="s">
        <v>34</v>
      </c>
      <c r="G377" t="s">
        <v>772</v>
      </c>
      <c r="H377" t="s">
        <v>3608</v>
      </c>
      <c r="I377" t="s">
        <v>762</v>
      </c>
      <c r="J377" t="s">
        <v>912</v>
      </c>
      <c r="K377" t="s">
        <v>1901</v>
      </c>
      <c r="L377" t="s">
        <v>1902</v>
      </c>
      <c r="M377" t="s">
        <v>302</v>
      </c>
      <c r="N377" t="s">
        <v>3609</v>
      </c>
      <c r="O377" t="s">
        <v>2073</v>
      </c>
      <c r="P377" t="s">
        <v>2916</v>
      </c>
      <c r="Q377" t="s">
        <v>765</v>
      </c>
      <c r="R377" t="s">
        <v>2074</v>
      </c>
      <c r="S377">
        <v>115.4</v>
      </c>
      <c r="T377" t="s">
        <v>794</v>
      </c>
      <c r="U377" t="s">
        <v>34</v>
      </c>
      <c r="V377" t="s">
        <v>1903</v>
      </c>
      <c r="W377" t="s">
        <v>1904</v>
      </c>
      <c r="X377" t="s">
        <v>2917</v>
      </c>
      <c r="Y377" t="s">
        <v>34</v>
      </c>
      <c r="Z377" t="s">
        <v>1903</v>
      </c>
      <c r="AA377" t="s">
        <v>1904</v>
      </c>
      <c r="AB377" t="s">
        <v>2917</v>
      </c>
      <c r="AC377" t="s">
        <v>34</v>
      </c>
      <c r="AD377" t="s">
        <v>767</v>
      </c>
      <c r="AE377" t="s">
        <v>768</v>
      </c>
      <c r="AF377" t="s">
        <v>585</v>
      </c>
      <c r="AG377" t="s">
        <v>1889</v>
      </c>
      <c r="AH377" t="s">
        <v>34</v>
      </c>
      <c r="AI377" t="s">
        <v>34</v>
      </c>
      <c r="AJ377" t="s">
        <v>34</v>
      </c>
      <c r="AK377" t="s">
        <v>34</v>
      </c>
      <c r="AL377" t="s">
        <v>34</v>
      </c>
      <c r="AM377" t="s">
        <v>2861</v>
      </c>
    </row>
    <row r="378" spans="1:39" x14ac:dyDescent="0.2">
      <c r="B378">
        <v>57888</v>
      </c>
      <c r="C378" t="s">
        <v>664</v>
      </c>
      <c r="D378" t="s">
        <v>2061</v>
      </c>
      <c r="E378" t="s">
        <v>739</v>
      </c>
      <c r="F378" t="s">
        <v>34</v>
      </c>
      <c r="G378" t="s">
        <v>772</v>
      </c>
      <c r="H378" t="s">
        <v>3569</v>
      </c>
      <c r="I378" t="s">
        <v>586</v>
      </c>
      <c r="J378" t="s">
        <v>664</v>
      </c>
      <c r="K378" t="s">
        <v>1872</v>
      </c>
      <c r="L378">
        <v>639997</v>
      </c>
      <c r="M378" t="s">
        <v>664</v>
      </c>
      <c r="N378" t="s">
        <v>983</v>
      </c>
      <c r="O378" t="s">
        <v>2690</v>
      </c>
      <c r="P378" t="s">
        <v>2005</v>
      </c>
      <c r="Q378" t="s">
        <v>828</v>
      </c>
      <c r="R378" t="s">
        <v>2062</v>
      </c>
      <c r="S378">
        <v>3.8</v>
      </c>
      <c r="T378" t="s">
        <v>649</v>
      </c>
      <c r="U378" t="s">
        <v>34</v>
      </c>
      <c r="V378" t="s">
        <v>1873</v>
      </c>
      <c r="W378">
        <v>639997</v>
      </c>
      <c r="X378" t="s">
        <v>1874</v>
      </c>
      <c r="AC378" t="s">
        <v>1875</v>
      </c>
      <c r="AD378" t="s">
        <v>767</v>
      </c>
      <c r="AE378" t="s">
        <v>768</v>
      </c>
      <c r="AF378" t="s">
        <v>585</v>
      </c>
      <c r="AG378" t="s">
        <v>34</v>
      </c>
      <c r="AH378" t="s">
        <v>34</v>
      </c>
      <c r="AI378" t="s">
        <v>34</v>
      </c>
      <c r="AJ378" t="s">
        <v>34</v>
      </c>
      <c r="AK378" t="s">
        <v>34</v>
      </c>
      <c r="AL378" t="s">
        <v>34</v>
      </c>
      <c r="AM378" t="s">
        <v>2861</v>
      </c>
    </row>
    <row r="379" spans="1:39" x14ac:dyDescent="0.2">
      <c r="B379">
        <v>57888</v>
      </c>
      <c r="C379" t="s">
        <v>643</v>
      </c>
      <c r="D379" t="s">
        <v>2061</v>
      </c>
      <c r="E379" t="s">
        <v>739</v>
      </c>
      <c r="F379" t="s">
        <v>34</v>
      </c>
      <c r="G379" t="s">
        <v>772</v>
      </c>
      <c r="H379" t="s">
        <v>3569</v>
      </c>
      <c r="I379" t="s">
        <v>586</v>
      </c>
      <c r="J379" t="s">
        <v>857</v>
      </c>
      <c r="K379" t="s">
        <v>1886</v>
      </c>
      <c r="L379">
        <v>89786</v>
      </c>
      <c r="M379" t="s">
        <v>643</v>
      </c>
      <c r="N379" t="s">
        <v>983</v>
      </c>
      <c r="O379" t="s">
        <v>2065</v>
      </c>
      <c r="P379" t="s">
        <v>2067</v>
      </c>
      <c r="Q379" t="s">
        <v>765</v>
      </c>
      <c r="R379" t="s">
        <v>2066</v>
      </c>
      <c r="S379">
        <v>0.37</v>
      </c>
      <c r="T379" t="s">
        <v>649</v>
      </c>
      <c r="U379">
        <v>1270049</v>
      </c>
      <c r="V379" t="s">
        <v>1007</v>
      </c>
      <c r="W379" t="s">
        <v>1887</v>
      </c>
      <c r="X379" t="s">
        <v>766</v>
      </c>
      <c r="AC379" t="s">
        <v>1888</v>
      </c>
      <c r="AD379" t="s">
        <v>767</v>
      </c>
      <c r="AE379" t="s">
        <v>768</v>
      </c>
      <c r="AF379" t="s">
        <v>585</v>
      </c>
      <c r="AG379">
        <v>5</v>
      </c>
      <c r="AH379">
        <v>14</v>
      </c>
      <c r="AI379">
        <v>87</v>
      </c>
      <c r="AJ379" t="s">
        <v>34</v>
      </c>
      <c r="AK379" t="s">
        <v>34</v>
      </c>
      <c r="AL379" t="s">
        <v>34</v>
      </c>
      <c r="AM379" t="s">
        <v>2861</v>
      </c>
    </row>
    <row r="380" spans="1:39" x14ac:dyDescent="0.2">
      <c r="A380">
        <v>1270785</v>
      </c>
      <c r="B380">
        <v>57888</v>
      </c>
      <c r="C380" t="s">
        <v>644</v>
      </c>
      <c r="D380" t="s">
        <v>2061</v>
      </c>
      <c r="E380" t="s">
        <v>739</v>
      </c>
      <c r="F380" t="s">
        <v>34</v>
      </c>
      <c r="G380" t="s">
        <v>772</v>
      </c>
      <c r="H380" t="s">
        <v>3569</v>
      </c>
      <c r="I380" t="s">
        <v>586</v>
      </c>
      <c r="J380" t="s">
        <v>857</v>
      </c>
      <c r="K380" t="s">
        <v>1886</v>
      </c>
      <c r="L380">
        <v>1111556</v>
      </c>
      <c r="M380" t="s">
        <v>644</v>
      </c>
      <c r="N380" t="s">
        <v>983</v>
      </c>
      <c r="O380" t="s">
        <v>2065</v>
      </c>
      <c r="P380" t="s">
        <v>2067</v>
      </c>
      <c r="Q380" t="s">
        <v>765</v>
      </c>
      <c r="R380" t="s">
        <v>2066</v>
      </c>
      <c r="S380">
        <v>0.37</v>
      </c>
      <c r="T380" t="s">
        <v>649</v>
      </c>
      <c r="U380" t="s">
        <v>34</v>
      </c>
      <c r="V380" t="s">
        <v>1007</v>
      </c>
      <c r="W380" t="s">
        <v>1889</v>
      </c>
      <c r="X380" t="s">
        <v>766</v>
      </c>
      <c r="AC380" t="s">
        <v>1888</v>
      </c>
      <c r="AD380" t="s">
        <v>767</v>
      </c>
      <c r="AE380" t="s">
        <v>768</v>
      </c>
      <c r="AF380" t="s">
        <v>585</v>
      </c>
      <c r="AG380" t="s">
        <v>3260</v>
      </c>
      <c r="AH380" t="s">
        <v>34</v>
      </c>
      <c r="AI380" t="s">
        <v>34</v>
      </c>
      <c r="AJ380" t="s">
        <v>34</v>
      </c>
      <c r="AK380" t="s">
        <v>34</v>
      </c>
      <c r="AL380" t="s">
        <v>34</v>
      </c>
      <c r="AM380" t="s">
        <v>2861</v>
      </c>
    </row>
    <row r="381" spans="1:39" x14ac:dyDescent="0.2">
      <c r="B381">
        <v>57888</v>
      </c>
      <c r="C381" t="s">
        <v>476</v>
      </c>
      <c r="D381" t="s">
        <v>2061</v>
      </c>
      <c r="E381" t="s">
        <v>739</v>
      </c>
      <c r="F381" t="s">
        <v>34</v>
      </c>
      <c r="G381" t="s">
        <v>772</v>
      </c>
      <c r="H381" t="s">
        <v>3569</v>
      </c>
      <c r="I381" t="s">
        <v>762</v>
      </c>
      <c r="J381" t="s">
        <v>775</v>
      </c>
      <c r="K381" t="s">
        <v>1898</v>
      </c>
      <c r="L381" t="s">
        <v>476</v>
      </c>
      <c r="M381" t="s">
        <v>476</v>
      </c>
      <c r="N381" t="s">
        <v>310</v>
      </c>
      <c r="O381" t="s">
        <v>1492</v>
      </c>
      <c r="P381" t="s">
        <v>847</v>
      </c>
      <c r="Q381" t="s">
        <v>765</v>
      </c>
      <c r="R381" t="s">
        <v>2072</v>
      </c>
      <c r="S381">
        <v>264.39999999999998</v>
      </c>
      <c r="T381" t="s">
        <v>649</v>
      </c>
      <c r="U381" t="s">
        <v>34</v>
      </c>
      <c r="V381" t="s">
        <v>987</v>
      </c>
      <c r="W381">
        <v>6233</v>
      </c>
      <c r="X381" t="s">
        <v>766</v>
      </c>
      <c r="Y381" t="s">
        <v>34</v>
      </c>
      <c r="Z381" t="s">
        <v>1049</v>
      </c>
      <c r="AA381" t="s">
        <v>1899</v>
      </c>
      <c r="AB381" t="s">
        <v>766</v>
      </c>
      <c r="AC381" t="s">
        <v>1900</v>
      </c>
      <c r="AD381" t="s">
        <v>767</v>
      </c>
      <c r="AE381" t="s">
        <v>768</v>
      </c>
      <c r="AF381" t="s">
        <v>585</v>
      </c>
      <c r="AG381" t="s">
        <v>34</v>
      </c>
      <c r="AH381" t="s">
        <v>34</v>
      </c>
      <c r="AI381" t="s">
        <v>34</v>
      </c>
      <c r="AJ381" t="s">
        <v>34</v>
      </c>
      <c r="AK381" t="s">
        <v>34</v>
      </c>
      <c r="AL381" t="s">
        <v>34</v>
      </c>
      <c r="AM381" t="s">
        <v>2861</v>
      </c>
    </row>
    <row r="382" spans="1:39" x14ac:dyDescent="0.2">
      <c r="A382">
        <v>1270789</v>
      </c>
      <c r="B382">
        <v>57888</v>
      </c>
      <c r="C382" t="s">
        <v>475</v>
      </c>
      <c r="D382" t="s">
        <v>2061</v>
      </c>
      <c r="E382" t="s">
        <v>739</v>
      </c>
      <c r="F382" t="s">
        <v>34</v>
      </c>
      <c r="G382" t="s">
        <v>772</v>
      </c>
      <c r="H382" t="s">
        <v>3569</v>
      </c>
      <c r="I382" t="s">
        <v>762</v>
      </c>
      <c r="J382" t="s">
        <v>1890</v>
      </c>
      <c r="K382" t="s">
        <v>1891</v>
      </c>
      <c r="L382">
        <v>64583</v>
      </c>
      <c r="M382" t="s">
        <v>475</v>
      </c>
      <c r="N382" t="s">
        <v>310</v>
      </c>
      <c r="O382" t="s">
        <v>2068</v>
      </c>
      <c r="P382" t="s">
        <v>847</v>
      </c>
      <c r="Q382" t="s">
        <v>898</v>
      </c>
      <c r="R382" t="s">
        <v>2069</v>
      </c>
      <c r="S382">
        <v>318.7</v>
      </c>
      <c r="T382" t="s">
        <v>649</v>
      </c>
      <c r="U382">
        <v>1270122</v>
      </c>
      <c r="V382" t="s">
        <v>1892</v>
      </c>
      <c r="W382" t="s">
        <v>2857</v>
      </c>
      <c r="X382" t="s">
        <v>766</v>
      </c>
      <c r="Y382" t="s">
        <v>34</v>
      </c>
      <c r="Z382" t="s">
        <v>1134</v>
      </c>
      <c r="AA382" t="s">
        <v>3100</v>
      </c>
      <c r="AB382" t="s">
        <v>766</v>
      </c>
      <c r="AC382" t="s">
        <v>34</v>
      </c>
      <c r="AD382" t="s">
        <v>767</v>
      </c>
      <c r="AE382" t="s">
        <v>768</v>
      </c>
      <c r="AF382" t="s">
        <v>585</v>
      </c>
      <c r="AG382" t="s">
        <v>2358</v>
      </c>
      <c r="AH382">
        <v>0.5</v>
      </c>
      <c r="AI382">
        <v>0.66</v>
      </c>
      <c r="AJ382" t="s">
        <v>2418</v>
      </c>
      <c r="AK382" t="s">
        <v>34</v>
      </c>
      <c r="AL382" t="s">
        <v>34</v>
      </c>
      <c r="AM382" t="s">
        <v>2861</v>
      </c>
    </row>
    <row r="383" spans="1:39" x14ac:dyDescent="0.2">
      <c r="A383">
        <v>1270784</v>
      </c>
      <c r="B383">
        <v>57888</v>
      </c>
      <c r="C383" t="s">
        <v>665</v>
      </c>
      <c r="D383" t="s">
        <v>2061</v>
      </c>
      <c r="E383" t="s">
        <v>739</v>
      </c>
      <c r="F383" t="s">
        <v>34</v>
      </c>
      <c r="G383" t="s">
        <v>772</v>
      </c>
      <c r="H383" t="s">
        <v>3569</v>
      </c>
      <c r="I383" t="s">
        <v>762</v>
      </c>
      <c r="J383" t="s">
        <v>632</v>
      </c>
      <c r="K383" t="s">
        <v>1876</v>
      </c>
      <c r="L383">
        <v>27265</v>
      </c>
      <c r="M383" t="s">
        <v>665</v>
      </c>
      <c r="N383" t="s">
        <v>983</v>
      </c>
      <c r="O383" t="s">
        <v>2707</v>
      </c>
      <c r="P383" t="s">
        <v>2587</v>
      </c>
      <c r="Q383" t="s">
        <v>903</v>
      </c>
      <c r="R383" t="s">
        <v>2063</v>
      </c>
      <c r="S383">
        <v>67.400000000000006</v>
      </c>
      <c r="T383" t="s">
        <v>649</v>
      </c>
      <c r="U383">
        <v>1270192</v>
      </c>
      <c r="V383" t="s">
        <v>1877</v>
      </c>
      <c r="W383" t="s">
        <v>1878</v>
      </c>
      <c r="X383" t="s">
        <v>766</v>
      </c>
      <c r="Y383" t="s">
        <v>34</v>
      </c>
      <c r="Z383" t="s">
        <v>1879</v>
      </c>
      <c r="AA383" t="s">
        <v>1880</v>
      </c>
      <c r="AB383" t="s">
        <v>766</v>
      </c>
      <c r="AC383" t="s">
        <v>34</v>
      </c>
      <c r="AD383" t="s">
        <v>767</v>
      </c>
      <c r="AE383" t="s">
        <v>768</v>
      </c>
      <c r="AF383" t="s">
        <v>585</v>
      </c>
      <c r="AG383">
        <v>20</v>
      </c>
      <c r="AI383">
        <v>0.98</v>
      </c>
      <c r="AJ383" t="s">
        <v>34</v>
      </c>
      <c r="AK383" t="s">
        <v>34</v>
      </c>
      <c r="AL383" t="s">
        <v>34</v>
      </c>
      <c r="AM383" t="s">
        <v>2861</v>
      </c>
    </row>
    <row r="384" spans="1:39" x14ac:dyDescent="0.2">
      <c r="A384">
        <v>1651429</v>
      </c>
      <c r="B384">
        <v>57888</v>
      </c>
      <c r="C384" t="s">
        <v>3072</v>
      </c>
      <c r="D384" t="s">
        <v>2061</v>
      </c>
      <c r="E384" t="s">
        <v>739</v>
      </c>
      <c r="F384" t="s">
        <v>34</v>
      </c>
      <c r="G384" t="s">
        <v>772</v>
      </c>
      <c r="H384" t="s">
        <v>3569</v>
      </c>
      <c r="I384" t="s">
        <v>586</v>
      </c>
      <c r="J384" t="s">
        <v>3072</v>
      </c>
      <c r="K384" t="s">
        <v>3073</v>
      </c>
      <c r="L384">
        <v>19008</v>
      </c>
      <c r="M384" t="s">
        <v>3072</v>
      </c>
      <c r="N384" t="s">
        <v>983</v>
      </c>
      <c r="O384" t="s">
        <v>3074</v>
      </c>
      <c r="P384" t="s">
        <v>847</v>
      </c>
      <c r="Q384" t="s">
        <v>765</v>
      </c>
      <c r="R384" t="s">
        <v>3075</v>
      </c>
      <c r="S384">
        <v>22.2</v>
      </c>
      <c r="T384" t="s">
        <v>649</v>
      </c>
      <c r="U384">
        <v>1651433</v>
      </c>
      <c r="V384" t="s">
        <v>1459</v>
      </c>
      <c r="W384" t="s">
        <v>3076</v>
      </c>
      <c r="X384" t="s">
        <v>766</v>
      </c>
      <c r="Y384" t="s">
        <v>34</v>
      </c>
      <c r="Z384" t="s">
        <v>2686</v>
      </c>
      <c r="AA384" t="s">
        <v>3077</v>
      </c>
      <c r="AB384" t="s">
        <v>766</v>
      </c>
      <c r="AC384" t="s">
        <v>2937</v>
      </c>
      <c r="AD384" t="s">
        <v>767</v>
      </c>
      <c r="AE384" t="s">
        <v>768</v>
      </c>
      <c r="AF384" t="s">
        <v>585</v>
      </c>
      <c r="AG384">
        <v>1</v>
      </c>
      <c r="AH384" t="s">
        <v>3078</v>
      </c>
      <c r="AI384" t="s">
        <v>3078</v>
      </c>
      <c r="AJ384" t="s">
        <v>34</v>
      </c>
      <c r="AK384" t="s">
        <v>34</v>
      </c>
      <c r="AL384" t="s">
        <v>34</v>
      </c>
      <c r="AM384" t="s">
        <v>2862</v>
      </c>
    </row>
    <row r="385" spans="1:39" x14ac:dyDescent="0.2">
      <c r="B385">
        <v>57888</v>
      </c>
      <c r="C385" t="s">
        <v>3124</v>
      </c>
      <c r="D385" t="s">
        <v>2061</v>
      </c>
      <c r="E385" t="s">
        <v>739</v>
      </c>
      <c r="F385" t="s">
        <v>34</v>
      </c>
      <c r="G385" t="s">
        <v>772</v>
      </c>
      <c r="H385" t="s">
        <v>3569</v>
      </c>
      <c r="I385" t="s">
        <v>586</v>
      </c>
      <c r="J385" t="s">
        <v>3124</v>
      </c>
      <c r="K385" t="s">
        <v>2930</v>
      </c>
      <c r="L385" t="s">
        <v>2931</v>
      </c>
      <c r="M385" t="s">
        <v>3124</v>
      </c>
      <c r="N385" t="s">
        <v>983</v>
      </c>
      <c r="O385" t="s">
        <v>2932</v>
      </c>
      <c r="P385" t="s">
        <v>847</v>
      </c>
      <c r="Q385" t="s">
        <v>2933</v>
      </c>
      <c r="R385" t="s">
        <v>2934</v>
      </c>
      <c r="S385">
        <v>306.94</v>
      </c>
      <c r="T385" t="s">
        <v>649</v>
      </c>
      <c r="U385">
        <v>1686405</v>
      </c>
      <c r="V385" t="s">
        <v>2935</v>
      </c>
      <c r="W385" t="s">
        <v>2936</v>
      </c>
      <c r="X385" t="s">
        <v>766</v>
      </c>
      <c r="AC385" t="s">
        <v>2937</v>
      </c>
      <c r="AD385" t="s">
        <v>767</v>
      </c>
      <c r="AE385" t="s">
        <v>768</v>
      </c>
      <c r="AF385" t="s">
        <v>585</v>
      </c>
      <c r="AH385" t="s">
        <v>34</v>
      </c>
      <c r="AI385" t="s">
        <v>34</v>
      </c>
      <c r="AJ385" t="s">
        <v>34</v>
      </c>
      <c r="AK385" t="s">
        <v>34</v>
      </c>
      <c r="AL385" t="s">
        <v>34</v>
      </c>
      <c r="AM385" t="s">
        <v>2861</v>
      </c>
    </row>
    <row r="386" spans="1:39" x14ac:dyDescent="0.2">
      <c r="B386">
        <v>57888</v>
      </c>
      <c r="C386" t="s">
        <v>2929</v>
      </c>
      <c r="D386" t="s">
        <v>2061</v>
      </c>
      <c r="E386" t="s">
        <v>739</v>
      </c>
      <c r="F386" t="s">
        <v>34</v>
      </c>
      <c r="G386" t="s">
        <v>772</v>
      </c>
      <c r="H386" t="s">
        <v>3569</v>
      </c>
      <c r="I386" t="s">
        <v>586</v>
      </c>
      <c r="J386" t="s">
        <v>2929</v>
      </c>
      <c r="K386" t="s">
        <v>2930</v>
      </c>
      <c r="L386" t="s">
        <v>2931</v>
      </c>
      <c r="M386" t="s">
        <v>2929</v>
      </c>
      <c r="N386" t="s">
        <v>983</v>
      </c>
      <c r="O386" t="s">
        <v>2932</v>
      </c>
      <c r="P386" t="s">
        <v>847</v>
      </c>
      <c r="Q386" t="s">
        <v>2933</v>
      </c>
      <c r="R386" t="s">
        <v>2934</v>
      </c>
      <c r="S386">
        <v>306.94</v>
      </c>
      <c r="T386" t="s">
        <v>649</v>
      </c>
      <c r="U386">
        <v>1686405</v>
      </c>
      <c r="V386" t="s">
        <v>2935</v>
      </c>
      <c r="W386" t="s">
        <v>2936</v>
      </c>
      <c r="X386" t="s">
        <v>766</v>
      </c>
      <c r="AC386" t="s">
        <v>2937</v>
      </c>
      <c r="AD386" t="s">
        <v>767</v>
      </c>
      <c r="AE386" t="s">
        <v>768</v>
      </c>
      <c r="AF386" t="s">
        <v>585</v>
      </c>
      <c r="AH386" t="s">
        <v>34</v>
      </c>
      <c r="AI386" t="s">
        <v>34</v>
      </c>
      <c r="AJ386" t="s">
        <v>34</v>
      </c>
      <c r="AK386" t="s">
        <v>34</v>
      </c>
      <c r="AL386" t="s">
        <v>34</v>
      </c>
      <c r="AM386" t="s">
        <v>2861</v>
      </c>
    </row>
    <row r="387" spans="1:39" x14ac:dyDescent="0.2">
      <c r="A387">
        <v>1270780</v>
      </c>
      <c r="B387">
        <v>57888</v>
      </c>
      <c r="C387" t="s">
        <v>2497</v>
      </c>
      <c r="D387" t="s">
        <v>2061</v>
      </c>
      <c r="E387" t="s">
        <v>739</v>
      </c>
      <c r="F387" t="s">
        <v>34</v>
      </c>
      <c r="G387" t="s">
        <v>772</v>
      </c>
      <c r="H387" t="s">
        <v>3569</v>
      </c>
      <c r="I387" t="s">
        <v>586</v>
      </c>
      <c r="J387" t="s">
        <v>1460</v>
      </c>
      <c r="K387" t="s">
        <v>2498</v>
      </c>
      <c r="L387">
        <v>113240809</v>
      </c>
      <c r="M387" t="s">
        <v>2497</v>
      </c>
      <c r="N387" t="s">
        <v>310</v>
      </c>
      <c r="O387" t="s">
        <v>2499</v>
      </c>
      <c r="P387" t="s">
        <v>847</v>
      </c>
      <c r="Q387" t="s">
        <v>765</v>
      </c>
      <c r="R387" t="s">
        <v>1115</v>
      </c>
      <c r="S387">
        <v>18</v>
      </c>
      <c r="T387" t="s">
        <v>649</v>
      </c>
      <c r="U387" t="s">
        <v>34</v>
      </c>
      <c r="V387" t="s">
        <v>2500</v>
      </c>
      <c r="W387">
        <v>113240809</v>
      </c>
      <c r="X387" t="s">
        <v>867</v>
      </c>
      <c r="AC387" t="s">
        <v>835</v>
      </c>
      <c r="AD387" t="s">
        <v>767</v>
      </c>
      <c r="AE387" t="s">
        <v>2501</v>
      </c>
      <c r="AF387" t="s">
        <v>585</v>
      </c>
      <c r="AG387">
        <v>10</v>
      </c>
      <c r="AH387">
        <v>1.1499999999999999</v>
      </c>
      <c r="AI387">
        <v>5</v>
      </c>
      <c r="AJ387" t="s">
        <v>34</v>
      </c>
      <c r="AK387" t="s">
        <v>34</v>
      </c>
      <c r="AL387" t="s">
        <v>34</v>
      </c>
      <c r="AM387" t="s">
        <v>2861</v>
      </c>
    </row>
    <row r="388" spans="1:39" x14ac:dyDescent="0.2">
      <c r="B388">
        <v>57888</v>
      </c>
      <c r="C388" t="s">
        <v>623</v>
      </c>
      <c r="D388" t="s">
        <v>2061</v>
      </c>
      <c r="E388" t="s">
        <v>739</v>
      </c>
      <c r="F388" t="s">
        <v>34</v>
      </c>
      <c r="G388" t="s">
        <v>772</v>
      </c>
      <c r="H388" t="s">
        <v>3569</v>
      </c>
      <c r="I388" t="s">
        <v>586</v>
      </c>
      <c r="J388" t="s">
        <v>775</v>
      </c>
      <c r="K388" t="s">
        <v>1460</v>
      </c>
      <c r="L388" t="s">
        <v>1881</v>
      </c>
      <c r="M388" t="s">
        <v>623</v>
      </c>
      <c r="N388" t="s">
        <v>983</v>
      </c>
      <c r="O388" t="s">
        <v>3026</v>
      </c>
      <c r="P388" t="s">
        <v>1188</v>
      </c>
      <c r="Q388" t="s">
        <v>898</v>
      </c>
      <c r="R388" t="s">
        <v>2064</v>
      </c>
      <c r="S388">
        <v>2893</v>
      </c>
      <c r="T388" t="s">
        <v>649</v>
      </c>
      <c r="U388">
        <v>1270191</v>
      </c>
      <c r="V388" t="s">
        <v>1882</v>
      </c>
      <c r="W388" t="s">
        <v>1883</v>
      </c>
      <c r="X388" t="s">
        <v>766</v>
      </c>
      <c r="Y388" t="s">
        <v>34</v>
      </c>
      <c r="Z388" t="s">
        <v>1884</v>
      </c>
      <c r="AA388" t="s">
        <v>890</v>
      </c>
      <c r="AB388" t="s">
        <v>766</v>
      </c>
      <c r="AC388" t="s">
        <v>1885</v>
      </c>
      <c r="AD388" t="s">
        <v>767</v>
      </c>
      <c r="AE388" t="s">
        <v>768</v>
      </c>
      <c r="AF388" t="s">
        <v>585</v>
      </c>
      <c r="AG388" t="s">
        <v>34</v>
      </c>
      <c r="AH388" t="s">
        <v>34</v>
      </c>
      <c r="AI388" t="s">
        <v>34</v>
      </c>
      <c r="AJ388" t="s">
        <v>34</v>
      </c>
      <c r="AK388" t="s">
        <v>34</v>
      </c>
      <c r="AL388" t="s">
        <v>34</v>
      </c>
      <c r="AM388" t="s">
        <v>2861</v>
      </c>
    </row>
    <row r="389" spans="1:39" x14ac:dyDescent="0.2">
      <c r="A389">
        <v>1270791</v>
      </c>
      <c r="B389">
        <v>57888</v>
      </c>
      <c r="C389" t="s">
        <v>473</v>
      </c>
      <c r="D389" t="s">
        <v>2061</v>
      </c>
      <c r="E389" t="s">
        <v>739</v>
      </c>
      <c r="F389" t="s">
        <v>34</v>
      </c>
      <c r="G389" t="s">
        <v>772</v>
      </c>
      <c r="H389" t="s">
        <v>3569</v>
      </c>
      <c r="I389" t="s">
        <v>586</v>
      </c>
      <c r="J389" t="s">
        <v>775</v>
      </c>
      <c r="K389" t="s">
        <v>1460</v>
      </c>
      <c r="L389" t="s">
        <v>1896</v>
      </c>
      <c r="M389" t="s">
        <v>473</v>
      </c>
      <c r="N389" t="s">
        <v>983</v>
      </c>
      <c r="O389" t="s">
        <v>3261</v>
      </c>
      <c r="P389" t="s">
        <v>847</v>
      </c>
      <c r="Q389" t="s">
        <v>898</v>
      </c>
      <c r="R389" t="s">
        <v>2071</v>
      </c>
      <c r="S389">
        <v>1584</v>
      </c>
      <c r="T389" t="s">
        <v>649</v>
      </c>
      <c r="U389">
        <v>1270191</v>
      </c>
      <c r="V389" t="s">
        <v>949</v>
      </c>
      <c r="W389" t="s">
        <v>1897</v>
      </c>
      <c r="X389" t="s">
        <v>766</v>
      </c>
      <c r="Y389" t="s">
        <v>34</v>
      </c>
      <c r="Z389" t="s">
        <v>1894</v>
      </c>
      <c r="AA389" t="s">
        <v>880</v>
      </c>
      <c r="AB389" t="s">
        <v>766</v>
      </c>
      <c r="AC389" t="s">
        <v>1895</v>
      </c>
      <c r="AD389" t="s">
        <v>767</v>
      </c>
      <c r="AE389" t="s">
        <v>768</v>
      </c>
      <c r="AF389" t="s">
        <v>585</v>
      </c>
      <c r="AG389" t="s">
        <v>1889</v>
      </c>
      <c r="AH389" t="s">
        <v>34</v>
      </c>
      <c r="AI389" t="s">
        <v>34</v>
      </c>
      <c r="AJ389" t="s">
        <v>34</v>
      </c>
      <c r="AK389" t="s">
        <v>34</v>
      </c>
      <c r="AL389" t="s">
        <v>34</v>
      </c>
      <c r="AM389" t="s">
        <v>2861</v>
      </c>
    </row>
    <row r="390" spans="1:39" x14ac:dyDescent="0.2">
      <c r="B390">
        <v>57888</v>
      </c>
      <c r="C390" t="s">
        <v>474</v>
      </c>
      <c r="D390" t="s">
        <v>2061</v>
      </c>
      <c r="E390" t="s">
        <v>739</v>
      </c>
      <c r="F390" t="s">
        <v>34</v>
      </c>
      <c r="G390" t="s">
        <v>772</v>
      </c>
      <c r="H390" t="s">
        <v>3569</v>
      </c>
      <c r="I390" t="s">
        <v>586</v>
      </c>
      <c r="J390" t="s">
        <v>775</v>
      </c>
      <c r="K390" t="s">
        <v>1460</v>
      </c>
      <c r="L390" t="s">
        <v>1881</v>
      </c>
      <c r="M390" t="s">
        <v>474</v>
      </c>
      <c r="N390" t="s">
        <v>983</v>
      </c>
      <c r="O390" t="s">
        <v>3262</v>
      </c>
      <c r="P390" t="s">
        <v>1188</v>
      </c>
      <c r="Q390" t="s">
        <v>898</v>
      </c>
      <c r="R390" t="s">
        <v>2070</v>
      </c>
      <c r="S390">
        <v>1254</v>
      </c>
      <c r="T390" t="s">
        <v>649</v>
      </c>
      <c r="U390">
        <v>1270189</v>
      </c>
      <c r="V390" t="s">
        <v>1893</v>
      </c>
      <c r="W390" t="s">
        <v>3263</v>
      </c>
      <c r="X390" t="s">
        <v>766</v>
      </c>
      <c r="Y390" t="s">
        <v>34</v>
      </c>
      <c r="Z390" t="s">
        <v>1894</v>
      </c>
      <c r="AA390" t="s">
        <v>880</v>
      </c>
      <c r="AB390" t="s">
        <v>766</v>
      </c>
      <c r="AC390" t="s">
        <v>1895</v>
      </c>
      <c r="AD390" t="s">
        <v>767</v>
      </c>
      <c r="AE390" t="s">
        <v>768</v>
      </c>
      <c r="AF390" t="s">
        <v>585</v>
      </c>
      <c r="AG390" t="s">
        <v>1889</v>
      </c>
      <c r="AH390" t="s">
        <v>34</v>
      </c>
      <c r="AI390" t="s">
        <v>34</v>
      </c>
      <c r="AJ390" t="s">
        <v>34</v>
      </c>
      <c r="AK390" t="s">
        <v>34</v>
      </c>
      <c r="AL390" t="s">
        <v>34</v>
      </c>
      <c r="AM390" t="s">
        <v>2861</v>
      </c>
    </row>
    <row r="391" spans="1:39" x14ac:dyDescent="0.2">
      <c r="B391">
        <v>57881</v>
      </c>
      <c r="C391" t="s">
        <v>478</v>
      </c>
      <c r="D391" t="s">
        <v>740</v>
      </c>
      <c r="E391" t="s">
        <v>683</v>
      </c>
      <c r="F391" t="s">
        <v>34</v>
      </c>
      <c r="G391" t="s">
        <v>772</v>
      </c>
      <c r="H391" t="s">
        <v>3569</v>
      </c>
      <c r="I391" t="s">
        <v>762</v>
      </c>
      <c r="J391" t="s">
        <v>1909</v>
      </c>
      <c r="K391" t="s">
        <v>1910</v>
      </c>
      <c r="L391" t="s">
        <v>1911</v>
      </c>
      <c r="M391" t="s">
        <v>478</v>
      </c>
      <c r="N391" t="s">
        <v>3586</v>
      </c>
      <c r="O391" t="s">
        <v>2076</v>
      </c>
      <c r="P391" t="s">
        <v>2914</v>
      </c>
      <c r="Q391" t="s">
        <v>828</v>
      </c>
      <c r="R391" t="s">
        <v>2077</v>
      </c>
      <c r="S391">
        <v>0.44</v>
      </c>
      <c r="T391" t="s">
        <v>794</v>
      </c>
      <c r="U391" t="s">
        <v>34</v>
      </c>
      <c r="V391" t="s">
        <v>1912</v>
      </c>
      <c r="W391">
        <v>4179702002</v>
      </c>
      <c r="X391" t="s">
        <v>2939</v>
      </c>
      <c r="Y391" t="s">
        <v>34</v>
      </c>
      <c r="Z391" t="s">
        <v>851</v>
      </c>
      <c r="AA391" t="s">
        <v>1913</v>
      </c>
      <c r="AB391" t="s">
        <v>2939</v>
      </c>
      <c r="AC391" t="s">
        <v>34</v>
      </c>
      <c r="AD391" t="s">
        <v>767</v>
      </c>
      <c r="AE391" t="s">
        <v>768</v>
      </c>
      <c r="AF391" t="s">
        <v>585</v>
      </c>
      <c r="AG391">
        <v>2.5</v>
      </c>
      <c r="AH391" t="s">
        <v>34</v>
      </c>
      <c r="AI391" t="s">
        <v>2359</v>
      </c>
      <c r="AJ391" t="s">
        <v>34</v>
      </c>
      <c r="AK391" t="s">
        <v>34</v>
      </c>
      <c r="AL391" t="s">
        <v>34</v>
      </c>
      <c r="AM391" t="s">
        <v>2861</v>
      </c>
    </row>
    <row r="392" spans="1:39" x14ac:dyDescent="0.2">
      <c r="B392">
        <v>57908</v>
      </c>
      <c r="C392" t="s">
        <v>480</v>
      </c>
      <c r="D392" t="s">
        <v>2078</v>
      </c>
      <c r="E392" t="s">
        <v>741</v>
      </c>
      <c r="F392" t="s">
        <v>34</v>
      </c>
      <c r="G392" t="s">
        <v>772</v>
      </c>
      <c r="H392" t="s">
        <v>3569</v>
      </c>
      <c r="I392" t="s">
        <v>586</v>
      </c>
      <c r="J392" t="s">
        <v>480</v>
      </c>
      <c r="K392" t="s">
        <v>1918</v>
      </c>
      <c r="L392" t="s">
        <v>1919</v>
      </c>
      <c r="M392" t="s">
        <v>480</v>
      </c>
      <c r="N392" t="s">
        <v>310</v>
      </c>
      <c r="O392" t="s">
        <v>1330</v>
      </c>
      <c r="P392" t="s">
        <v>847</v>
      </c>
      <c r="Q392" t="s">
        <v>765</v>
      </c>
      <c r="R392" t="s">
        <v>2080</v>
      </c>
      <c r="S392">
        <v>1290</v>
      </c>
      <c r="T392" t="s">
        <v>794</v>
      </c>
      <c r="U392">
        <v>1270185</v>
      </c>
      <c r="V392" t="s">
        <v>1800</v>
      </c>
      <c r="W392" t="s">
        <v>1920</v>
      </c>
      <c r="X392" t="s">
        <v>766</v>
      </c>
      <c r="Y392" t="s">
        <v>34</v>
      </c>
      <c r="Z392" t="s">
        <v>851</v>
      </c>
      <c r="AA392" t="s">
        <v>1921</v>
      </c>
      <c r="AB392" t="s">
        <v>766</v>
      </c>
      <c r="AC392" t="s">
        <v>34</v>
      </c>
      <c r="AD392" t="s">
        <v>767</v>
      </c>
      <c r="AE392" t="s">
        <v>768</v>
      </c>
      <c r="AF392" t="s">
        <v>585</v>
      </c>
      <c r="AG392">
        <v>10.199999999999999</v>
      </c>
      <c r="AH392">
        <v>1.36</v>
      </c>
      <c r="AI392" t="s">
        <v>2360</v>
      </c>
      <c r="AJ392" t="s">
        <v>2419</v>
      </c>
      <c r="AK392" t="s">
        <v>34</v>
      </c>
      <c r="AL392" t="s">
        <v>34</v>
      </c>
      <c r="AM392" t="s">
        <v>2863</v>
      </c>
    </row>
    <row r="393" spans="1:39" x14ac:dyDescent="0.2">
      <c r="B393">
        <v>57908</v>
      </c>
      <c r="C393" t="s">
        <v>3629</v>
      </c>
      <c r="D393" t="s">
        <v>2078</v>
      </c>
      <c r="E393" t="s">
        <v>741</v>
      </c>
      <c r="G393" t="s">
        <v>772</v>
      </c>
      <c r="H393" t="s">
        <v>3569</v>
      </c>
      <c r="I393" t="s">
        <v>586</v>
      </c>
      <c r="J393" t="s">
        <v>1842</v>
      </c>
      <c r="K393" t="s">
        <v>3630</v>
      </c>
      <c r="L393" t="s">
        <v>3631</v>
      </c>
      <c r="M393" t="s">
        <v>3632</v>
      </c>
      <c r="N393" t="s">
        <v>310</v>
      </c>
      <c r="O393" t="s">
        <v>3633</v>
      </c>
      <c r="P393" t="s">
        <v>847</v>
      </c>
      <c r="Q393" t="s">
        <v>903</v>
      </c>
      <c r="R393" t="s">
        <v>3634</v>
      </c>
      <c r="S393">
        <v>1959</v>
      </c>
      <c r="T393" t="s">
        <v>794</v>
      </c>
      <c r="U393" t="s">
        <v>34</v>
      </c>
      <c r="V393" t="s">
        <v>2016</v>
      </c>
      <c r="W393" t="s">
        <v>839</v>
      </c>
      <c r="X393" t="s">
        <v>1947</v>
      </c>
      <c r="AC393" t="s">
        <v>3635</v>
      </c>
      <c r="AD393" t="s">
        <v>767</v>
      </c>
      <c r="AE393" t="s">
        <v>768</v>
      </c>
      <c r="AF393" t="s">
        <v>585</v>
      </c>
      <c r="AG393" t="s">
        <v>3636</v>
      </c>
      <c r="AM393" t="s">
        <v>2861</v>
      </c>
    </row>
    <row r="394" spans="1:39" x14ac:dyDescent="0.2">
      <c r="A394">
        <v>1270776</v>
      </c>
      <c r="B394">
        <v>57908</v>
      </c>
      <c r="C394" t="s">
        <v>481</v>
      </c>
      <c r="D394" t="s">
        <v>2078</v>
      </c>
      <c r="E394" t="s">
        <v>741</v>
      </c>
      <c r="F394" t="s">
        <v>34</v>
      </c>
      <c r="G394" t="s">
        <v>772</v>
      </c>
      <c r="H394" t="s">
        <v>3569</v>
      </c>
      <c r="I394" t="s">
        <v>586</v>
      </c>
      <c r="J394" t="s">
        <v>1924</v>
      </c>
      <c r="K394" t="s">
        <v>1925</v>
      </c>
      <c r="L394" t="s">
        <v>481</v>
      </c>
      <c r="M394" t="s">
        <v>481</v>
      </c>
      <c r="N394" t="s">
        <v>310</v>
      </c>
      <c r="O394" t="s">
        <v>2082</v>
      </c>
      <c r="P394" t="s">
        <v>847</v>
      </c>
      <c r="Q394" t="s">
        <v>903</v>
      </c>
      <c r="R394" t="s">
        <v>2083</v>
      </c>
      <c r="S394">
        <v>702</v>
      </c>
      <c r="T394" t="s">
        <v>793</v>
      </c>
      <c r="U394">
        <v>1270776</v>
      </c>
      <c r="V394" t="s">
        <v>1926</v>
      </c>
      <c r="W394" t="s">
        <v>481</v>
      </c>
      <c r="X394" t="s">
        <v>897</v>
      </c>
      <c r="AC394" t="s">
        <v>1927</v>
      </c>
      <c r="AD394" t="s">
        <v>767</v>
      </c>
      <c r="AE394" t="s">
        <v>768</v>
      </c>
      <c r="AF394" t="s">
        <v>585</v>
      </c>
      <c r="AG394" t="s">
        <v>34</v>
      </c>
      <c r="AH394" t="s">
        <v>34</v>
      </c>
      <c r="AI394" t="s">
        <v>34</v>
      </c>
      <c r="AJ394" t="s">
        <v>34</v>
      </c>
      <c r="AK394" t="s">
        <v>34</v>
      </c>
      <c r="AL394" t="s">
        <v>34</v>
      </c>
      <c r="AM394" t="s">
        <v>2861</v>
      </c>
    </row>
    <row r="395" spans="1:39" x14ac:dyDescent="0.2">
      <c r="B395">
        <v>57908</v>
      </c>
      <c r="C395" t="s">
        <v>482</v>
      </c>
      <c r="D395" t="s">
        <v>2078</v>
      </c>
      <c r="E395" t="s">
        <v>741</v>
      </c>
      <c r="F395" t="s">
        <v>34</v>
      </c>
      <c r="G395" t="s">
        <v>772</v>
      </c>
      <c r="H395" t="s">
        <v>3569</v>
      </c>
      <c r="I395" t="s">
        <v>586</v>
      </c>
      <c r="J395" t="s">
        <v>398</v>
      </c>
      <c r="K395" t="s">
        <v>880</v>
      </c>
      <c r="L395" t="s">
        <v>1922</v>
      </c>
      <c r="M395" t="s">
        <v>482</v>
      </c>
      <c r="N395" t="s">
        <v>983</v>
      </c>
      <c r="O395" t="s">
        <v>1311</v>
      </c>
      <c r="P395" t="s">
        <v>764</v>
      </c>
      <c r="Q395" t="s">
        <v>765</v>
      </c>
      <c r="R395" t="s">
        <v>2081</v>
      </c>
      <c r="S395">
        <v>25.1</v>
      </c>
      <c r="T395" t="s">
        <v>793</v>
      </c>
      <c r="U395">
        <v>1270183</v>
      </c>
      <c r="V395" t="s">
        <v>1915</v>
      </c>
      <c r="W395" t="s">
        <v>1923</v>
      </c>
      <c r="X395" t="s">
        <v>766</v>
      </c>
      <c r="AC395" t="s">
        <v>34</v>
      </c>
      <c r="AD395" t="s">
        <v>767</v>
      </c>
      <c r="AE395" t="s">
        <v>768</v>
      </c>
      <c r="AF395" t="s">
        <v>585</v>
      </c>
      <c r="AG395">
        <v>25</v>
      </c>
      <c r="AH395" t="s">
        <v>2420</v>
      </c>
      <c r="AI395" t="s">
        <v>2361</v>
      </c>
      <c r="AJ395" t="s">
        <v>2421</v>
      </c>
      <c r="AK395" t="s">
        <v>34</v>
      </c>
      <c r="AL395" t="s">
        <v>34</v>
      </c>
      <c r="AM395" t="s">
        <v>2861</v>
      </c>
    </row>
    <row r="396" spans="1:39" x14ac:dyDescent="0.2">
      <c r="A396">
        <v>1270775</v>
      </c>
      <c r="B396">
        <v>57908</v>
      </c>
      <c r="C396" t="s">
        <v>666</v>
      </c>
      <c r="D396" t="s">
        <v>2078</v>
      </c>
      <c r="E396" t="s">
        <v>741</v>
      </c>
      <c r="F396" t="s">
        <v>34</v>
      </c>
      <c r="G396" t="s">
        <v>772</v>
      </c>
      <c r="H396" t="s">
        <v>3597</v>
      </c>
      <c r="I396" t="s">
        <v>762</v>
      </c>
      <c r="J396" t="s">
        <v>1914</v>
      </c>
      <c r="K396" t="s">
        <v>890</v>
      </c>
      <c r="L396" t="s">
        <v>666</v>
      </c>
      <c r="M396" t="s">
        <v>666</v>
      </c>
      <c r="N396" t="s">
        <v>2955</v>
      </c>
      <c r="O396" t="s">
        <v>1027</v>
      </c>
      <c r="P396" t="s">
        <v>764</v>
      </c>
      <c r="Q396" t="s">
        <v>828</v>
      </c>
      <c r="R396" t="s">
        <v>2079</v>
      </c>
      <c r="S396">
        <v>177.6</v>
      </c>
      <c r="T396" t="s">
        <v>793</v>
      </c>
      <c r="U396">
        <v>1349209</v>
      </c>
      <c r="V396" t="s">
        <v>1915</v>
      </c>
      <c r="W396" t="s">
        <v>1916</v>
      </c>
      <c r="X396" t="s">
        <v>847</v>
      </c>
      <c r="AC396" t="s">
        <v>1917</v>
      </c>
      <c r="AD396" t="s">
        <v>767</v>
      </c>
      <c r="AE396" t="s">
        <v>768</v>
      </c>
      <c r="AF396" t="s">
        <v>585</v>
      </c>
      <c r="AG396" t="s">
        <v>1889</v>
      </c>
      <c r="AH396" t="s">
        <v>34</v>
      </c>
      <c r="AI396" t="s">
        <v>34</v>
      </c>
      <c r="AJ396" t="s">
        <v>34</v>
      </c>
      <c r="AK396" t="s">
        <v>34</v>
      </c>
      <c r="AL396" t="s">
        <v>34</v>
      </c>
      <c r="AM396" t="s">
        <v>2861</v>
      </c>
    </row>
    <row r="397" spans="1:39" x14ac:dyDescent="0.2">
      <c r="B397">
        <v>57908</v>
      </c>
      <c r="C397" t="s">
        <v>3030</v>
      </c>
      <c r="D397" t="s">
        <v>2078</v>
      </c>
      <c r="E397" t="s">
        <v>741</v>
      </c>
      <c r="F397" t="s">
        <v>34</v>
      </c>
      <c r="G397" t="s">
        <v>772</v>
      </c>
      <c r="H397" t="s">
        <v>3569</v>
      </c>
      <c r="I397" t="s">
        <v>586</v>
      </c>
      <c r="J397" t="s">
        <v>3031</v>
      </c>
      <c r="K397" t="s">
        <v>3032</v>
      </c>
      <c r="L397" t="s">
        <v>3033</v>
      </c>
      <c r="M397" t="s">
        <v>3034</v>
      </c>
      <c r="N397" t="s">
        <v>3035</v>
      </c>
      <c r="O397" t="s">
        <v>831</v>
      </c>
      <c r="P397" t="s">
        <v>847</v>
      </c>
      <c r="Q397" t="s">
        <v>765</v>
      </c>
      <c r="R397" t="s">
        <v>3036</v>
      </c>
      <c r="S397">
        <v>2340.4</v>
      </c>
      <c r="T397" t="s">
        <v>794</v>
      </c>
      <c r="U397" t="s">
        <v>34</v>
      </c>
      <c r="V397" t="s">
        <v>1118</v>
      </c>
      <c r="W397" t="s">
        <v>3037</v>
      </c>
      <c r="X397" t="s">
        <v>766</v>
      </c>
      <c r="Y397" t="s">
        <v>34</v>
      </c>
      <c r="Z397" t="s">
        <v>2686</v>
      </c>
      <c r="AA397" t="s">
        <v>3038</v>
      </c>
      <c r="AB397" t="s">
        <v>766</v>
      </c>
      <c r="AC397" t="s">
        <v>34</v>
      </c>
      <c r="AD397" t="s">
        <v>767</v>
      </c>
      <c r="AE397" t="s">
        <v>768</v>
      </c>
      <c r="AF397" t="s">
        <v>585</v>
      </c>
      <c r="AG397" t="s">
        <v>1889</v>
      </c>
      <c r="AH397" t="s">
        <v>34</v>
      </c>
      <c r="AI397" t="s">
        <v>34</v>
      </c>
      <c r="AJ397" t="s">
        <v>34</v>
      </c>
      <c r="AK397" t="s">
        <v>34</v>
      </c>
      <c r="AL397" t="s">
        <v>34</v>
      </c>
      <c r="AM397" t="s">
        <v>2861</v>
      </c>
    </row>
    <row r="398" spans="1:39" x14ac:dyDescent="0.2">
      <c r="B398">
        <v>57908</v>
      </c>
      <c r="C398" t="s">
        <v>3672</v>
      </c>
      <c r="D398" t="s">
        <v>2078</v>
      </c>
      <c r="E398" t="s">
        <v>741</v>
      </c>
      <c r="G398" t="s">
        <v>772</v>
      </c>
      <c r="H398" t="s">
        <v>3569</v>
      </c>
      <c r="I398" t="s">
        <v>586</v>
      </c>
      <c r="J398" t="s">
        <v>3673</v>
      </c>
      <c r="K398" t="s">
        <v>3674</v>
      </c>
      <c r="L398" t="s">
        <v>3675</v>
      </c>
      <c r="M398" t="s">
        <v>3672</v>
      </c>
      <c r="N398" t="s">
        <v>983</v>
      </c>
      <c r="O398" t="s">
        <v>3676</v>
      </c>
      <c r="P398" t="s">
        <v>847</v>
      </c>
      <c r="Q398" t="s">
        <v>2839</v>
      </c>
      <c r="R398" t="s">
        <v>3677</v>
      </c>
      <c r="S398">
        <v>190.3</v>
      </c>
      <c r="U398" t="s">
        <v>34</v>
      </c>
      <c r="V398" t="s">
        <v>890</v>
      </c>
      <c r="W398" t="s">
        <v>3678</v>
      </c>
      <c r="X398" t="s">
        <v>766</v>
      </c>
      <c r="Y398" t="s">
        <v>34</v>
      </c>
      <c r="Z398" t="s">
        <v>890</v>
      </c>
      <c r="AA398" t="s">
        <v>3678</v>
      </c>
      <c r="AB398" t="s">
        <v>766</v>
      </c>
      <c r="AD398" t="s">
        <v>767</v>
      </c>
      <c r="AE398" t="s">
        <v>768</v>
      </c>
      <c r="AF398" t="s">
        <v>585</v>
      </c>
      <c r="AG398" t="s">
        <v>1889</v>
      </c>
      <c r="AM398" t="s">
        <v>2861</v>
      </c>
    </row>
    <row r="399" spans="1:39" x14ac:dyDescent="0.2">
      <c r="B399">
        <v>57908</v>
      </c>
      <c r="C399" t="s">
        <v>3679</v>
      </c>
      <c r="D399" t="s">
        <v>2078</v>
      </c>
      <c r="E399" t="s">
        <v>741</v>
      </c>
      <c r="G399" t="s">
        <v>772</v>
      </c>
      <c r="H399" t="s">
        <v>3569</v>
      </c>
      <c r="I399" t="s">
        <v>586</v>
      </c>
      <c r="J399" t="s">
        <v>3680</v>
      </c>
      <c r="K399" t="s">
        <v>3674</v>
      </c>
      <c r="L399" t="s">
        <v>3681</v>
      </c>
      <c r="M399" t="s">
        <v>3679</v>
      </c>
      <c r="N399" t="s">
        <v>983</v>
      </c>
      <c r="O399" t="s">
        <v>3676</v>
      </c>
      <c r="P399" t="s">
        <v>847</v>
      </c>
      <c r="Q399" t="s">
        <v>2839</v>
      </c>
      <c r="R399" t="s">
        <v>3677</v>
      </c>
      <c r="S399">
        <v>190.3</v>
      </c>
      <c r="U399" t="s">
        <v>34</v>
      </c>
      <c r="V399" t="s">
        <v>890</v>
      </c>
      <c r="W399" t="s">
        <v>3678</v>
      </c>
      <c r="X399" t="s">
        <v>766</v>
      </c>
      <c r="Y399" t="s">
        <v>34</v>
      </c>
      <c r="Z399" t="s">
        <v>890</v>
      </c>
      <c r="AA399" t="s">
        <v>3678</v>
      </c>
      <c r="AB399" t="s">
        <v>766</v>
      </c>
      <c r="AD399" t="s">
        <v>767</v>
      </c>
      <c r="AE399" t="s">
        <v>768</v>
      </c>
      <c r="AF399" t="s">
        <v>585</v>
      </c>
      <c r="AG399" t="s">
        <v>1889</v>
      </c>
      <c r="AM399" t="s">
        <v>2861</v>
      </c>
    </row>
    <row r="400" spans="1:39" x14ac:dyDescent="0.2">
      <c r="B400">
        <v>57908</v>
      </c>
      <c r="C400" t="s">
        <v>3682</v>
      </c>
      <c r="D400" t="s">
        <v>2078</v>
      </c>
      <c r="E400" t="s">
        <v>741</v>
      </c>
      <c r="G400" t="s">
        <v>772</v>
      </c>
      <c r="H400" t="s">
        <v>3569</v>
      </c>
      <c r="I400" t="s">
        <v>586</v>
      </c>
      <c r="J400" t="s">
        <v>3683</v>
      </c>
      <c r="K400" t="s">
        <v>3674</v>
      </c>
      <c r="L400" t="s">
        <v>3684</v>
      </c>
      <c r="M400" t="s">
        <v>3682</v>
      </c>
      <c r="N400" t="s">
        <v>983</v>
      </c>
      <c r="O400" t="s">
        <v>3685</v>
      </c>
      <c r="P400" t="s">
        <v>847</v>
      </c>
      <c r="Q400" t="s">
        <v>2839</v>
      </c>
      <c r="R400" t="s">
        <v>3677</v>
      </c>
      <c r="S400">
        <v>190.3</v>
      </c>
      <c r="U400" t="s">
        <v>34</v>
      </c>
      <c r="V400" t="s">
        <v>890</v>
      </c>
      <c r="W400" t="s">
        <v>3678</v>
      </c>
      <c r="X400" t="s">
        <v>766</v>
      </c>
      <c r="Y400" t="s">
        <v>34</v>
      </c>
      <c r="Z400" t="s">
        <v>890</v>
      </c>
      <c r="AA400" t="s">
        <v>3678</v>
      </c>
      <c r="AB400" t="s">
        <v>766</v>
      </c>
      <c r="AD400" t="s">
        <v>767</v>
      </c>
      <c r="AE400" t="s">
        <v>768</v>
      </c>
      <c r="AF400" t="s">
        <v>585</v>
      </c>
      <c r="AG400" t="s">
        <v>1889</v>
      </c>
      <c r="AM400" t="s">
        <v>2861</v>
      </c>
    </row>
    <row r="401" spans="1:39" x14ac:dyDescent="0.2">
      <c r="B401">
        <v>57908</v>
      </c>
      <c r="C401" t="s">
        <v>3686</v>
      </c>
      <c r="D401" t="s">
        <v>2078</v>
      </c>
      <c r="E401" t="s">
        <v>741</v>
      </c>
      <c r="G401" t="s">
        <v>772</v>
      </c>
      <c r="H401" t="s">
        <v>3569</v>
      </c>
      <c r="I401" t="s">
        <v>586</v>
      </c>
      <c r="J401" t="s">
        <v>3687</v>
      </c>
      <c r="K401" t="s">
        <v>3674</v>
      </c>
      <c r="L401" t="s">
        <v>3688</v>
      </c>
      <c r="M401" t="s">
        <v>3686</v>
      </c>
      <c r="N401" t="s">
        <v>983</v>
      </c>
      <c r="O401" t="s">
        <v>3685</v>
      </c>
      <c r="P401" t="s">
        <v>847</v>
      </c>
      <c r="Q401" t="s">
        <v>2839</v>
      </c>
      <c r="R401" t="s">
        <v>3677</v>
      </c>
      <c r="S401">
        <v>190.3</v>
      </c>
      <c r="U401" t="s">
        <v>34</v>
      </c>
      <c r="V401" t="s">
        <v>890</v>
      </c>
      <c r="W401" t="s">
        <v>3678</v>
      </c>
      <c r="X401" t="s">
        <v>766</v>
      </c>
      <c r="Y401" t="s">
        <v>34</v>
      </c>
      <c r="Z401" t="s">
        <v>890</v>
      </c>
      <c r="AA401" t="s">
        <v>3678</v>
      </c>
      <c r="AB401" t="s">
        <v>766</v>
      </c>
      <c r="AD401" t="s">
        <v>767</v>
      </c>
      <c r="AE401" t="s">
        <v>768</v>
      </c>
      <c r="AF401" t="s">
        <v>585</v>
      </c>
      <c r="AG401" t="s">
        <v>1889</v>
      </c>
      <c r="AM401" t="s">
        <v>2861</v>
      </c>
    </row>
    <row r="402" spans="1:39" x14ac:dyDescent="0.2">
      <c r="B402">
        <v>57908</v>
      </c>
      <c r="C402" t="s">
        <v>3689</v>
      </c>
      <c r="D402" t="s">
        <v>2078</v>
      </c>
      <c r="E402" t="s">
        <v>741</v>
      </c>
      <c r="G402" t="s">
        <v>772</v>
      </c>
      <c r="H402" t="s">
        <v>3569</v>
      </c>
      <c r="I402" t="s">
        <v>586</v>
      </c>
      <c r="J402" t="s">
        <v>3690</v>
      </c>
      <c r="K402" t="s">
        <v>3674</v>
      </c>
      <c r="L402" t="s">
        <v>3691</v>
      </c>
      <c r="M402" t="s">
        <v>3689</v>
      </c>
      <c r="N402" t="s">
        <v>983</v>
      </c>
      <c r="O402" t="s">
        <v>3692</v>
      </c>
      <c r="P402" t="s">
        <v>847</v>
      </c>
      <c r="Q402" t="s">
        <v>2839</v>
      </c>
      <c r="R402" t="s">
        <v>3677</v>
      </c>
      <c r="S402">
        <v>190.3</v>
      </c>
      <c r="U402" t="s">
        <v>34</v>
      </c>
      <c r="V402" t="s">
        <v>890</v>
      </c>
      <c r="W402" t="s">
        <v>3678</v>
      </c>
      <c r="X402" t="s">
        <v>766</v>
      </c>
      <c r="Y402" t="s">
        <v>34</v>
      </c>
      <c r="Z402" t="s">
        <v>890</v>
      </c>
      <c r="AA402" t="s">
        <v>3678</v>
      </c>
      <c r="AB402" t="s">
        <v>766</v>
      </c>
      <c r="AD402" t="s">
        <v>767</v>
      </c>
      <c r="AE402" t="s">
        <v>768</v>
      </c>
      <c r="AF402" t="s">
        <v>585</v>
      </c>
      <c r="AG402" t="s">
        <v>1889</v>
      </c>
      <c r="AM402" t="s">
        <v>2861</v>
      </c>
    </row>
    <row r="403" spans="1:39" x14ac:dyDescent="0.2">
      <c r="B403">
        <v>57908</v>
      </c>
      <c r="C403" t="s">
        <v>3693</v>
      </c>
      <c r="D403" t="s">
        <v>2078</v>
      </c>
      <c r="E403" t="s">
        <v>741</v>
      </c>
      <c r="G403" t="s">
        <v>772</v>
      </c>
      <c r="H403" t="s">
        <v>3569</v>
      </c>
      <c r="I403" t="s">
        <v>586</v>
      </c>
      <c r="J403" t="s">
        <v>3694</v>
      </c>
      <c r="K403" t="s">
        <v>3674</v>
      </c>
      <c r="L403" t="s">
        <v>3695</v>
      </c>
      <c r="M403" t="s">
        <v>3693</v>
      </c>
      <c r="N403" t="s">
        <v>983</v>
      </c>
      <c r="O403" t="s">
        <v>3696</v>
      </c>
      <c r="P403" t="s">
        <v>847</v>
      </c>
      <c r="Q403" t="s">
        <v>2839</v>
      </c>
      <c r="R403" t="s">
        <v>3677</v>
      </c>
      <c r="S403">
        <v>190.3</v>
      </c>
      <c r="U403" t="s">
        <v>34</v>
      </c>
      <c r="V403" t="s">
        <v>890</v>
      </c>
      <c r="W403" t="s">
        <v>3678</v>
      </c>
      <c r="X403" t="s">
        <v>766</v>
      </c>
      <c r="Y403" t="s">
        <v>34</v>
      </c>
      <c r="Z403" t="s">
        <v>890</v>
      </c>
      <c r="AA403" t="s">
        <v>3678</v>
      </c>
      <c r="AB403" t="s">
        <v>766</v>
      </c>
      <c r="AD403" t="s">
        <v>767</v>
      </c>
      <c r="AE403" t="s">
        <v>768</v>
      </c>
      <c r="AF403" t="s">
        <v>585</v>
      </c>
      <c r="AG403" t="s">
        <v>1889</v>
      </c>
      <c r="AM403" t="s">
        <v>2861</v>
      </c>
    </row>
    <row r="404" spans="1:39" x14ac:dyDescent="0.2">
      <c r="B404">
        <v>57908</v>
      </c>
      <c r="C404" t="s">
        <v>3697</v>
      </c>
      <c r="D404" t="s">
        <v>2078</v>
      </c>
      <c r="E404" t="s">
        <v>741</v>
      </c>
      <c r="G404" t="s">
        <v>772</v>
      </c>
      <c r="H404" t="s">
        <v>3569</v>
      </c>
      <c r="I404" t="s">
        <v>586</v>
      </c>
      <c r="J404" t="s">
        <v>3698</v>
      </c>
      <c r="K404" t="s">
        <v>3674</v>
      </c>
      <c r="L404" t="s">
        <v>3699</v>
      </c>
      <c r="M404" t="s">
        <v>3697</v>
      </c>
      <c r="N404" t="s">
        <v>983</v>
      </c>
      <c r="O404" t="s">
        <v>3692</v>
      </c>
      <c r="P404" t="s">
        <v>847</v>
      </c>
      <c r="Q404" t="s">
        <v>2839</v>
      </c>
      <c r="R404" t="s">
        <v>3677</v>
      </c>
      <c r="S404">
        <v>190.3</v>
      </c>
      <c r="U404" t="s">
        <v>34</v>
      </c>
      <c r="V404" t="s">
        <v>890</v>
      </c>
      <c r="W404" t="s">
        <v>3678</v>
      </c>
      <c r="X404" t="s">
        <v>766</v>
      </c>
      <c r="Y404" t="s">
        <v>34</v>
      </c>
      <c r="Z404" t="s">
        <v>890</v>
      </c>
      <c r="AA404" t="s">
        <v>3678</v>
      </c>
      <c r="AB404" t="s">
        <v>766</v>
      </c>
      <c r="AD404" t="s">
        <v>767</v>
      </c>
      <c r="AE404" t="s">
        <v>768</v>
      </c>
      <c r="AF404" t="s">
        <v>585</v>
      </c>
      <c r="AG404" t="s">
        <v>1889</v>
      </c>
      <c r="AM404" t="s">
        <v>2861</v>
      </c>
    </row>
    <row r="405" spans="1:39" x14ac:dyDescent="0.2">
      <c r="B405">
        <v>57908</v>
      </c>
      <c r="C405" t="s">
        <v>3700</v>
      </c>
      <c r="D405" t="s">
        <v>2078</v>
      </c>
      <c r="E405" t="s">
        <v>741</v>
      </c>
      <c r="G405" t="s">
        <v>772</v>
      </c>
      <c r="H405" t="s">
        <v>3569</v>
      </c>
      <c r="I405" t="s">
        <v>586</v>
      </c>
      <c r="J405" t="s">
        <v>3701</v>
      </c>
      <c r="K405" t="s">
        <v>3674</v>
      </c>
      <c r="L405" t="s">
        <v>3702</v>
      </c>
      <c r="M405" t="s">
        <v>3700</v>
      </c>
      <c r="N405" t="s">
        <v>983</v>
      </c>
      <c r="O405" t="s">
        <v>3676</v>
      </c>
      <c r="P405" t="s">
        <v>847</v>
      </c>
      <c r="Q405" t="s">
        <v>2839</v>
      </c>
      <c r="R405" t="s">
        <v>3677</v>
      </c>
      <c r="S405">
        <v>190.3</v>
      </c>
      <c r="U405" t="s">
        <v>34</v>
      </c>
      <c r="V405" t="s">
        <v>890</v>
      </c>
      <c r="W405" t="s">
        <v>3678</v>
      </c>
      <c r="X405" t="s">
        <v>766</v>
      </c>
      <c r="Y405" t="s">
        <v>34</v>
      </c>
      <c r="Z405" t="s">
        <v>890</v>
      </c>
      <c r="AA405" t="s">
        <v>3678</v>
      </c>
      <c r="AB405" t="s">
        <v>766</v>
      </c>
      <c r="AD405" t="s">
        <v>767</v>
      </c>
      <c r="AE405" t="s">
        <v>768</v>
      </c>
      <c r="AF405" t="s">
        <v>585</v>
      </c>
      <c r="AG405" t="s">
        <v>1889</v>
      </c>
      <c r="AM405" t="s">
        <v>2861</v>
      </c>
    </row>
    <row r="406" spans="1:39" x14ac:dyDescent="0.2">
      <c r="B406">
        <v>57908</v>
      </c>
      <c r="C406" t="s">
        <v>3703</v>
      </c>
      <c r="D406" t="s">
        <v>2078</v>
      </c>
      <c r="E406" t="s">
        <v>741</v>
      </c>
      <c r="G406" t="s">
        <v>772</v>
      </c>
      <c r="H406" t="s">
        <v>3569</v>
      </c>
      <c r="I406" t="s">
        <v>586</v>
      </c>
      <c r="J406" t="s">
        <v>3704</v>
      </c>
      <c r="K406" t="s">
        <v>3674</v>
      </c>
      <c r="L406" t="s">
        <v>3705</v>
      </c>
      <c r="M406" t="s">
        <v>3703</v>
      </c>
      <c r="N406" t="s">
        <v>983</v>
      </c>
      <c r="O406" t="s">
        <v>3676</v>
      </c>
      <c r="P406" t="s">
        <v>847</v>
      </c>
      <c r="Q406" t="s">
        <v>2839</v>
      </c>
      <c r="R406" t="s">
        <v>3677</v>
      </c>
      <c r="S406">
        <v>190.3</v>
      </c>
      <c r="U406" t="s">
        <v>34</v>
      </c>
      <c r="V406" t="s">
        <v>890</v>
      </c>
      <c r="W406" t="s">
        <v>3678</v>
      </c>
      <c r="X406" t="s">
        <v>766</v>
      </c>
      <c r="Y406" t="s">
        <v>34</v>
      </c>
      <c r="Z406" t="s">
        <v>890</v>
      </c>
      <c r="AA406" t="s">
        <v>3678</v>
      </c>
      <c r="AB406" t="s">
        <v>766</v>
      </c>
      <c r="AD406" t="s">
        <v>767</v>
      </c>
      <c r="AE406" t="s">
        <v>768</v>
      </c>
      <c r="AF406" t="s">
        <v>585</v>
      </c>
      <c r="AG406" t="s">
        <v>1889</v>
      </c>
      <c r="AM406" t="s">
        <v>2861</v>
      </c>
    </row>
    <row r="407" spans="1:39" x14ac:dyDescent="0.2">
      <c r="B407">
        <v>57908</v>
      </c>
      <c r="C407" t="s">
        <v>3706</v>
      </c>
      <c r="D407" t="s">
        <v>2078</v>
      </c>
      <c r="E407" t="s">
        <v>741</v>
      </c>
      <c r="G407" t="s">
        <v>772</v>
      </c>
      <c r="H407" t="s">
        <v>3569</v>
      </c>
      <c r="I407" t="s">
        <v>586</v>
      </c>
      <c r="J407" t="s">
        <v>3707</v>
      </c>
      <c r="K407" t="s">
        <v>3674</v>
      </c>
      <c r="L407" t="s">
        <v>3708</v>
      </c>
      <c r="M407" t="s">
        <v>3706</v>
      </c>
      <c r="N407" t="s">
        <v>983</v>
      </c>
      <c r="O407" t="s">
        <v>3709</v>
      </c>
      <c r="P407" t="s">
        <v>847</v>
      </c>
      <c r="Q407" t="s">
        <v>2839</v>
      </c>
      <c r="R407" t="s">
        <v>3677</v>
      </c>
      <c r="S407">
        <v>190.3</v>
      </c>
      <c r="U407" t="s">
        <v>34</v>
      </c>
      <c r="V407" t="s">
        <v>890</v>
      </c>
      <c r="W407" t="s">
        <v>3678</v>
      </c>
      <c r="X407" t="s">
        <v>766</v>
      </c>
      <c r="Y407" t="s">
        <v>34</v>
      </c>
      <c r="Z407" t="s">
        <v>890</v>
      </c>
      <c r="AA407" t="s">
        <v>3678</v>
      </c>
      <c r="AB407" t="s">
        <v>766</v>
      </c>
      <c r="AD407" t="s">
        <v>767</v>
      </c>
      <c r="AE407" t="s">
        <v>768</v>
      </c>
      <c r="AF407" t="s">
        <v>585</v>
      </c>
      <c r="AG407" t="s">
        <v>1889</v>
      </c>
      <c r="AM407" t="s">
        <v>2861</v>
      </c>
    </row>
    <row r="408" spans="1:39" x14ac:dyDescent="0.2">
      <c r="B408">
        <v>57908</v>
      </c>
      <c r="C408" t="s">
        <v>3710</v>
      </c>
      <c r="D408" t="s">
        <v>2078</v>
      </c>
      <c r="E408" t="s">
        <v>741</v>
      </c>
      <c r="G408" t="s">
        <v>772</v>
      </c>
      <c r="H408" t="s">
        <v>3569</v>
      </c>
      <c r="I408" t="s">
        <v>586</v>
      </c>
      <c r="J408" t="s">
        <v>3711</v>
      </c>
      <c r="K408" t="s">
        <v>3674</v>
      </c>
      <c r="L408" t="s">
        <v>3712</v>
      </c>
      <c r="M408" t="s">
        <v>3710</v>
      </c>
      <c r="N408" t="s">
        <v>983</v>
      </c>
      <c r="O408" t="s">
        <v>3713</v>
      </c>
      <c r="P408" t="s">
        <v>847</v>
      </c>
      <c r="Q408" t="s">
        <v>2839</v>
      </c>
      <c r="R408" t="s">
        <v>3677</v>
      </c>
      <c r="S408">
        <v>190.3</v>
      </c>
      <c r="U408" t="s">
        <v>34</v>
      </c>
      <c r="V408" t="s">
        <v>890</v>
      </c>
      <c r="W408" t="s">
        <v>3678</v>
      </c>
      <c r="X408" t="s">
        <v>766</v>
      </c>
      <c r="Y408" t="s">
        <v>34</v>
      </c>
      <c r="Z408" t="s">
        <v>890</v>
      </c>
      <c r="AA408" t="s">
        <v>3678</v>
      </c>
      <c r="AB408" t="s">
        <v>766</v>
      </c>
      <c r="AD408" t="s">
        <v>767</v>
      </c>
      <c r="AE408" t="s">
        <v>768</v>
      </c>
      <c r="AF408" t="s">
        <v>585</v>
      </c>
      <c r="AG408" t="s">
        <v>1889</v>
      </c>
      <c r="AM408" t="s">
        <v>2861</v>
      </c>
    </row>
    <row r="409" spans="1:39" x14ac:dyDescent="0.2">
      <c r="B409">
        <v>57908</v>
      </c>
      <c r="C409" t="s">
        <v>3714</v>
      </c>
      <c r="D409" t="s">
        <v>2078</v>
      </c>
      <c r="E409" t="s">
        <v>741</v>
      </c>
      <c r="G409" t="s">
        <v>772</v>
      </c>
      <c r="H409" t="s">
        <v>3569</v>
      </c>
      <c r="I409" t="s">
        <v>586</v>
      </c>
      <c r="J409" t="s">
        <v>3715</v>
      </c>
      <c r="K409" t="s">
        <v>3674</v>
      </c>
      <c r="L409" t="s">
        <v>3716</v>
      </c>
      <c r="M409" t="s">
        <v>3714</v>
      </c>
      <c r="N409" t="s">
        <v>983</v>
      </c>
      <c r="O409" t="s">
        <v>3713</v>
      </c>
      <c r="P409" t="s">
        <v>847</v>
      </c>
      <c r="Q409" t="s">
        <v>2839</v>
      </c>
      <c r="R409" t="s">
        <v>3677</v>
      </c>
      <c r="S409">
        <v>190.3</v>
      </c>
      <c r="U409" t="s">
        <v>34</v>
      </c>
      <c r="V409" t="s">
        <v>890</v>
      </c>
      <c r="W409" t="s">
        <v>3678</v>
      </c>
      <c r="X409" t="s">
        <v>766</v>
      </c>
      <c r="Y409" t="s">
        <v>34</v>
      </c>
      <c r="Z409" t="s">
        <v>890</v>
      </c>
      <c r="AA409" t="s">
        <v>3678</v>
      </c>
      <c r="AB409" t="s">
        <v>766</v>
      </c>
      <c r="AD409" t="s">
        <v>767</v>
      </c>
      <c r="AE409" t="s">
        <v>768</v>
      </c>
      <c r="AF409" t="s">
        <v>585</v>
      </c>
      <c r="AG409" t="s">
        <v>1889</v>
      </c>
      <c r="AM409" t="s">
        <v>2861</v>
      </c>
    </row>
    <row r="410" spans="1:39" x14ac:dyDescent="0.2">
      <c r="B410">
        <v>57908</v>
      </c>
      <c r="C410" t="s">
        <v>3717</v>
      </c>
      <c r="D410" t="s">
        <v>2078</v>
      </c>
      <c r="E410" t="s">
        <v>741</v>
      </c>
      <c r="G410" t="s">
        <v>772</v>
      </c>
      <c r="H410" t="s">
        <v>3569</v>
      </c>
      <c r="I410" t="s">
        <v>586</v>
      </c>
      <c r="J410" t="s">
        <v>3718</v>
      </c>
      <c r="K410" t="s">
        <v>3674</v>
      </c>
      <c r="L410" t="s">
        <v>3719</v>
      </c>
      <c r="M410" t="s">
        <v>3717</v>
      </c>
      <c r="N410" t="s">
        <v>983</v>
      </c>
      <c r="O410" t="s">
        <v>3720</v>
      </c>
      <c r="P410" t="s">
        <v>847</v>
      </c>
      <c r="Q410" t="s">
        <v>2839</v>
      </c>
      <c r="R410" t="s">
        <v>3677</v>
      </c>
      <c r="S410">
        <v>190.3</v>
      </c>
      <c r="U410" t="s">
        <v>34</v>
      </c>
      <c r="V410" t="s">
        <v>890</v>
      </c>
      <c r="W410" t="s">
        <v>3678</v>
      </c>
      <c r="X410" t="s">
        <v>766</v>
      </c>
      <c r="Y410" t="s">
        <v>34</v>
      </c>
      <c r="Z410" t="s">
        <v>890</v>
      </c>
      <c r="AA410" t="s">
        <v>3678</v>
      </c>
      <c r="AB410" t="s">
        <v>766</v>
      </c>
      <c r="AD410" t="s">
        <v>767</v>
      </c>
      <c r="AE410" t="s">
        <v>768</v>
      </c>
      <c r="AF410" t="s">
        <v>585</v>
      </c>
      <c r="AG410" t="s">
        <v>1889</v>
      </c>
      <c r="AM410" t="s">
        <v>2861</v>
      </c>
    </row>
    <row r="411" spans="1:39" x14ac:dyDescent="0.2">
      <c r="B411">
        <v>57908</v>
      </c>
      <c r="C411" t="s">
        <v>3721</v>
      </c>
      <c r="D411" t="s">
        <v>2078</v>
      </c>
      <c r="E411" t="s">
        <v>741</v>
      </c>
      <c r="G411" t="s">
        <v>772</v>
      </c>
      <c r="H411" t="s">
        <v>3569</v>
      </c>
      <c r="I411" t="s">
        <v>586</v>
      </c>
      <c r="J411" t="s">
        <v>3722</v>
      </c>
      <c r="K411" t="s">
        <v>3674</v>
      </c>
      <c r="L411" t="s">
        <v>3723</v>
      </c>
      <c r="M411" t="s">
        <v>3721</v>
      </c>
      <c r="N411" t="s">
        <v>983</v>
      </c>
      <c r="O411" t="s">
        <v>3724</v>
      </c>
      <c r="P411" t="s">
        <v>847</v>
      </c>
      <c r="Q411" t="s">
        <v>2839</v>
      </c>
      <c r="R411" t="s">
        <v>3677</v>
      </c>
      <c r="S411">
        <v>190.3</v>
      </c>
      <c r="U411" t="s">
        <v>34</v>
      </c>
      <c r="V411" t="s">
        <v>890</v>
      </c>
      <c r="W411" t="s">
        <v>3678</v>
      </c>
      <c r="X411" t="s">
        <v>766</v>
      </c>
      <c r="Y411" t="s">
        <v>34</v>
      </c>
      <c r="Z411" t="s">
        <v>890</v>
      </c>
      <c r="AA411" t="s">
        <v>3678</v>
      </c>
      <c r="AB411" t="s">
        <v>766</v>
      </c>
      <c r="AD411" t="s">
        <v>767</v>
      </c>
      <c r="AE411" t="s">
        <v>768</v>
      </c>
      <c r="AF411" t="s">
        <v>585</v>
      </c>
      <c r="AG411" t="s">
        <v>1889</v>
      </c>
      <c r="AM411" t="s">
        <v>2861</v>
      </c>
    </row>
    <row r="412" spans="1:39" x14ac:dyDescent="0.2">
      <c r="A412">
        <v>1647806</v>
      </c>
      <c r="B412">
        <v>57901</v>
      </c>
      <c r="C412">
        <v>330735</v>
      </c>
      <c r="D412" t="s">
        <v>2858</v>
      </c>
      <c r="E412" t="s">
        <v>709</v>
      </c>
      <c r="F412" t="s">
        <v>34</v>
      </c>
      <c r="G412" t="s">
        <v>772</v>
      </c>
      <c r="H412" t="s">
        <v>3569</v>
      </c>
      <c r="I412" t="s">
        <v>1293</v>
      </c>
      <c r="J412" t="s">
        <v>350</v>
      </c>
      <c r="K412" t="s">
        <v>1338</v>
      </c>
      <c r="L412">
        <v>330735</v>
      </c>
      <c r="M412">
        <v>330735</v>
      </c>
      <c r="N412" t="s">
        <v>310</v>
      </c>
      <c r="O412" t="s">
        <v>837</v>
      </c>
      <c r="P412" t="s">
        <v>844</v>
      </c>
      <c r="Q412" t="s">
        <v>828</v>
      </c>
      <c r="R412" t="s">
        <v>1339</v>
      </c>
      <c r="S412">
        <v>8</v>
      </c>
      <c r="T412" t="s">
        <v>649</v>
      </c>
      <c r="U412">
        <v>1746175</v>
      </c>
      <c r="V412" t="s">
        <v>3415</v>
      </c>
      <c r="W412" t="s">
        <v>3416</v>
      </c>
      <c r="X412" t="s">
        <v>766</v>
      </c>
      <c r="Y412" t="s">
        <v>34</v>
      </c>
      <c r="Z412" t="s">
        <v>3417</v>
      </c>
      <c r="AA412" t="s">
        <v>2507</v>
      </c>
      <c r="AB412" t="s">
        <v>766</v>
      </c>
      <c r="AC412" t="s">
        <v>34</v>
      </c>
      <c r="AD412" t="s">
        <v>767</v>
      </c>
      <c r="AE412" t="s">
        <v>768</v>
      </c>
      <c r="AF412" t="s">
        <v>585</v>
      </c>
      <c r="AG412">
        <v>0.5</v>
      </c>
      <c r="AH412" t="s">
        <v>34</v>
      </c>
      <c r="AI412">
        <v>15</v>
      </c>
      <c r="AJ412" t="s">
        <v>34</v>
      </c>
      <c r="AK412" t="s">
        <v>34</v>
      </c>
      <c r="AL412" t="s">
        <v>34</v>
      </c>
      <c r="AM412" t="s">
        <v>2861</v>
      </c>
    </row>
    <row r="413" spans="1:39" x14ac:dyDescent="0.2">
      <c r="A413">
        <v>1907627</v>
      </c>
      <c r="B413">
        <v>57901</v>
      </c>
      <c r="C413" t="s">
        <v>619</v>
      </c>
      <c r="D413" t="s">
        <v>742</v>
      </c>
      <c r="E413" t="s">
        <v>677</v>
      </c>
      <c r="F413" t="s">
        <v>34</v>
      </c>
      <c r="G413" t="s">
        <v>772</v>
      </c>
      <c r="H413" t="s">
        <v>3569</v>
      </c>
      <c r="I413" t="s">
        <v>586</v>
      </c>
      <c r="J413" t="s">
        <v>619</v>
      </c>
      <c r="K413" t="s">
        <v>3059</v>
      </c>
      <c r="L413" t="s">
        <v>1335</v>
      </c>
      <c r="M413" t="s">
        <v>619</v>
      </c>
      <c r="N413" t="s">
        <v>983</v>
      </c>
      <c r="O413" t="s">
        <v>3060</v>
      </c>
      <c r="P413" t="s">
        <v>847</v>
      </c>
      <c r="Q413" t="s">
        <v>2609</v>
      </c>
      <c r="R413" t="s">
        <v>2027</v>
      </c>
      <c r="S413">
        <v>19.28</v>
      </c>
      <c r="T413" t="s">
        <v>649</v>
      </c>
      <c r="U413" t="s">
        <v>34</v>
      </c>
      <c r="V413" t="s">
        <v>839</v>
      </c>
      <c r="W413" t="s">
        <v>3061</v>
      </c>
      <c r="X413" t="s">
        <v>766</v>
      </c>
      <c r="Y413" t="s">
        <v>34</v>
      </c>
      <c r="Z413" t="s">
        <v>839</v>
      </c>
      <c r="AA413" t="s">
        <v>3061</v>
      </c>
      <c r="AB413" t="s">
        <v>766</v>
      </c>
      <c r="AC413" t="s">
        <v>34</v>
      </c>
      <c r="AD413" t="s">
        <v>767</v>
      </c>
      <c r="AE413" t="s">
        <v>2613</v>
      </c>
      <c r="AF413" t="s">
        <v>585</v>
      </c>
      <c r="AG413" t="s">
        <v>1889</v>
      </c>
      <c r="AH413" t="s">
        <v>34</v>
      </c>
      <c r="AI413" t="s">
        <v>34</v>
      </c>
      <c r="AJ413" t="s">
        <v>34</v>
      </c>
      <c r="AK413" t="s">
        <v>34</v>
      </c>
      <c r="AL413" t="s">
        <v>34</v>
      </c>
      <c r="AM413" t="s">
        <v>2862</v>
      </c>
    </row>
    <row r="414" spans="1:39" x14ac:dyDescent="0.2">
      <c r="B414">
        <v>57901</v>
      </c>
      <c r="C414" t="s">
        <v>487</v>
      </c>
      <c r="D414" t="s">
        <v>742</v>
      </c>
      <c r="E414" t="s">
        <v>677</v>
      </c>
      <c r="F414" t="s">
        <v>34</v>
      </c>
      <c r="G414" t="s">
        <v>772</v>
      </c>
      <c r="H414" t="s">
        <v>3569</v>
      </c>
      <c r="I414" t="s">
        <v>586</v>
      </c>
      <c r="J414" t="s">
        <v>1957</v>
      </c>
      <c r="K414" t="s">
        <v>1958</v>
      </c>
      <c r="L414" t="s">
        <v>1959</v>
      </c>
      <c r="M414" t="s">
        <v>624</v>
      </c>
      <c r="O414" t="s">
        <v>2096</v>
      </c>
      <c r="P414" t="s">
        <v>2096</v>
      </c>
      <c r="Q414" t="s">
        <v>828</v>
      </c>
      <c r="R414" t="s">
        <v>2097</v>
      </c>
      <c r="S414">
        <v>13.6</v>
      </c>
      <c r="T414" t="s">
        <v>649</v>
      </c>
      <c r="U414">
        <v>1270814</v>
      </c>
      <c r="V414" t="s">
        <v>972</v>
      </c>
      <c r="W414" t="s">
        <v>1959</v>
      </c>
      <c r="Y414" t="s">
        <v>34</v>
      </c>
      <c r="AC414" t="s">
        <v>34</v>
      </c>
      <c r="AF414" t="s">
        <v>585</v>
      </c>
      <c r="AG414" t="s">
        <v>34</v>
      </c>
      <c r="AH414" t="s">
        <v>34</v>
      </c>
      <c r="AI414" t="s">
        <v>34</v>
      </c>
      <c r="AJ414" t="s">
        <v>34</v>
      </c>
      <c r="AK414" t="s">
        <v>34</v>
      </c>
      <c r="AL414" t="s">
        <v>34</v>
      </c>
      <c r="AM414" t="s">
        <v>2877</v>
      </c>
    </row>
    <row r="415" spans="1:39" x14ac:dyDescent="0.2">
      <c r="A415">
        <v>1294293</v>
      </c>
      <c r="B415">
        <v>57901</v>
      </c>
      <c r="C415" t="s">
        <v>2938</v>
      </c>
      <c r="D415" t="s">
        <v>742</v>
      </c>
      <c r="E415" t="s">
        <v>677</v>
      </c>
      <c r="F415" t="s">
        <v>34</v>
      </c>
      <c r="G415" t="s">
        <v>772</v>
      </c>
      <c r="H415" t="s">
        <v>3569</v>
      </c>
      <c r="I415" t="s">
        <v>586</v>
      </c>
      <c r="J415" t="s">
        <v>913</v>
      </c>
      <c r="K415" t="s">
        <v>1949</v>
      </c>
      <c r="L415" t="s">
        <v>1950</v>
      </c>
      <c r="M415" t="s">
        <v>2938</v>
      </c>
      <c r="O415" t="s">
        <v>3418</v>
      </c>
      <c r="P415" t="s">
        <v>3418</v>
      </c>
      <c r="Q415" t="s">
        <v>828</v>
      </c>
      <c r="R415" t="s">
        <v>2093</v>
      </c>
      <c r="S415">
        <v>136</v>
      </c>
      <c r="T415" t="s">
        <v>649</v>
      </c>
      <c r="U415">
        <v>1294293</v>
      </c>
      <c r="V415" t="s">
        <v>972</v>
      </c>
      <c r="W415" t="s">
        <v>1950</v>
      </c>
      <c r="X415" t="s">
        <v>1562</v>
      </c>
      <c r="Y415" t="s">
        <v>34</v>
      </c>
      <c r="Z415" t="s">
        <v>2899</v>
      </c>
      <c r="AA415" t="s">
        <v>2900</v>
      </c>
      <c r="AB415" t="s">
        <v>3419</v>
      </c>
      <c r="AC415" t="s">
        <v>2901</v>
      </c>
      <c r="AD415" t="s">
        <v>767</v>
      </c>
      <c r="AE415" t="s">
        <v>768</v>
      </c>
      <c r="AF415" t="s">
        <v>585</v>
      </c>
      <c r="AG415" t="s">
        <v>34</v>
      </c>
      <c r="AH415" t="s">
        <v>34</v>
      </c>
      <c r="AI415" t="s">
        <v>34</v>
      </c>
      <c r="AJ415" t="s">
        <v>34</v>
      </c>
      <c r="AK415" t="s">
        <v>34</v>
      </c>
      <c r="AL415" t="s">
        <v>34</v>
      </c>
      <c r="AM415" t="s">
        <v>2877</v>
      </c>
    </row>
    <row r="416" spans="1:39" x14ac:dyDescent="0.2">
      <c r="A416">
        <v>2490622</v>
      </c>
      <c r="B416">
        <v>57901</v>
      </c>
      <c r="C416" t="s">
        <v>3420</v>
      </c>
      <c r="D416" t="s">
        <v>742</v>
      </c>
      <c r="E416" t="s">
        <v>677</v>
      </c>
      <c r="F416" t="s">
        <v>34</v>
      </c>
      <c r="G416" t="s">
        <v>772</v>
      </c>
      <c r="H416" t="s">
        <v>3569</v>
      </c>
      <c r="I416" t="s">
        <v>586</v>
      </c>
      <c r="J416" t="s">
        <v>487</v>
      </c>
      <c r="K416" t="s">
        <v>3421</v>
      </c>
      <c r="L416" t="s">
        <v>3422</v>
      </c>
      <c r="M416" t="s">
        <v>3420</v>
      </c>
      <c r="O416" t="s">
        <v>2096</v>
      </c>
      <c r="P416" t="s">
        <v>2096</v>
      </c>
      <c r="Q416" t="s">
        <v>828</v>
      </c>
      <c r="R416" t="s">
        <v>3423</v>
      </c>
      <c r="S416">
        <v>56.25</v>
      </c>
      <c r="T416" t="s">
        <v>649</v>
      </c>
      <c r="U416" t="s">
        <v>34</v>
      </c>
      <c r="V416" t="s">
        <v>3424</v>
      </c>
      <c r="W416" t="s">
        <v>3425</v>
      </c>
      <c r="X416" t="s">
        <v>1291</v>
      </c>
      <c r="Y416" t="s">
        <v>34</v>
      </c>
      <c r="Z416" t="s">
        <v>3110</v>
      </c>
      <c r="AA416" t="s">
        <v>2950</v>
      </c>
      <c r="AB416" t="s">
        <v>3111</v>
      </c>
      <c r="AC416" t="s">
        <v>1948</v>
      </c>
      <c r="AD416" t="s">
        <v>767</v>
      </c>
      <c r="AE416" t="s">
        <v>3426</v>
      </c>
      <c r="AF416" t="s">
        <v>585</v>
      </c>
      <c r="AG416" t="s">
        <v>2513</v>
      </c>
      <c r="AH416" t="s">
        <v>34</v>
      </c>
      <c r="AI416" t="s">
        <v>34</v>
      </c>
      <c r="AJ416" t="s">
        <v>34</v>
      </c>
      <c r="AK416" t="s">
        <v>34</v>
      </c>
      <c r="AL416" t="s">
        <v>34</v>
      </c>
      <c r="AM416" t="s">
        <v>2877</v>
      </c>
    </row>
    <row r="417" spans="1:39" x14ac:dyDescent="0.2">
      <c r="A417">
        <v>1294387</v>
      </c>
      <c r="B417">
        <v>57901</v>
      </c>
      <c r="C417" t="s">
        <v>421</v>
      </c>
      <c r="D417" t="s">
        <v>742</v>
      </c>
      <c r="E417" t="s">
        <v>677</v>
      </c>
      <c r="F417" t="s">
        <v>34</v>
      </c>
      <c r="G417" t="s">
        <v>772</v>
      </c>
      <c r="H417" t="s">
        <v>3569</v>
      </c>
      <c r="I417" t="s">
        <v>586</v>
      </c>
      <c r="J417" t="s">
        <v>913</v>
      </c>
      <c r="K417" t="s">
        <v>1952</v>
      </c>
      <c r="L417" t="s">
        <v>1953</v>
      </c>
      <c r="M417" t="s">
        <v>421</v>
      </c>
      <c r="O417" t="s">
        <v>2090</v>
      </c>
      <c r="P417" t="s">
        <v>2090</v>
      </c>
      <c r="Q417" t="s">
        <v>828</v>
      </c>
      <c r="R417" t="s">
        <v>2094</v>
      </c>
      <c r="S417">
        <v>19.600000000000001</v>
      </c>
      <c r="T417" t="s">
        <v>649</v>
      </c>
      <c r="U417" t="s">
        <v>34</v>
      </c>
      <c r="V417" t="s">
        <v>972</v>
      </c>
      <c r="W417" t="s">
        <v>1953</v>
      </c>
      <c r="X417" t="s">
        <v>1291</v>
      </c>
      <c r="Y417" t="s">
        <v>34</v>
      </c>
      <c r="Z417" t="s">
        <v>3110</v>
      </c>
      <c r="AA417" t="s">
        <v>2507</v>
      </c>
      <c r="AB417" t="s">
        <v>3111</v>
      </c>
      <c r="AC417" t="s">
        <v>1948</v>
      </c>
      <c r="AD417" t="s">
        <v>767</v>
      </c>
      <c r="AE417" t="s">
        <v>768</v>
      </c>
      <c r="AF417" t="s">
        <v>585</v>
      </c>
      <c r="AG417" t="s">
        <v>34</v>
      </c>
      <c r="AH417" t="s">
        <v>34</v>
      </c>
      <c r="AI417" t="s">
        <v>34</v>
      </c>
      <c r="AJ417" t="s">
        <v>34</v>
      </c>
      <c r="AK417" t="s">
        <v>34</v>
      </c>
      <c r="AL417" t="s">
        <v>34</v>
      </c>
      <c r="AM417" t="s">
        <v>2877</v>
      </c>
    </row>
    <row r="418" spans="1:39" x14ac:dyDescent="0.2">
      <c r="B418">
        <v>57901</v>
      </c>
      <c r="C418" t="s">
        <v>488</v>
      </c>
      <c r="D418" t="s">
        <v>742</v>
      </c>
      <c r="E418" t="s">
        <v>677</v>
      </c>
      <c r="F418" t="s">
        <v>34</v>
      </c>
      <c r="G418" t="s">
        <v>772</v>
      </c>
      <c r="H418" t="s">
        <v>3569</v>
      </c>
      <c r="I418" t="s">
        <v>586</v>
      </c>
      <c r="J418" t="s">
        <v>913</v>
      </c>
      <c r="K418" t="s">
        <v>1954</v>
      </c>
      <c r="L418" t="s">
        <v>1955</v>
      </c>
      <c r="M418" t="s">
        <v>488</v>
      </c>
      <c r="O418" t="s">
        <v>2090</v>
      </c>
      <c r="P418" t="s">
        <v>2090</v>
      </c>
      <c r="Q418" t="s">
        <v>828</v>
      </c>
      <c r="R418" t="s">
        <v>2095</v>
      </c>
      <c r="S418">
        <v>19.899999999999999</v>
      </c>
      <c r="T418" t="s">
        <v>649</v>
      </c>
      <c r="U418" t="s">
        <v>34</v>
      </c>
      <c r="V418" t="s">
        <v>972</v>
      </c>
      <c r="W418" t="s">
        <v>1956</v>
      </c>
      <c r="X418" t="s">
        <v>1291</v>
      </c>
      <c r="Y418" t="s">
        <v>34</v>
      </c>
      <c r="Z418" t="s">
        <v>2524</v>
      </c>
      <c r="AA418" t="s">
        <v>2507</v>
      </c>
      <c r="AB418" t="s">
        <v>1947</v>
      </c>
      <c r="AC418" t="s">
        <v>1951</v>
      </c>
      <c r="AD418" t="s">
        <v>767</v>
      </c>
      <c r="AE418" t="s">
        <v>768</v>
      </c>
      <c r="AF418" t="s">
        <v>585</v>
      </c>
      <c r="AG418" t="s">
        <v>34</v>
      </c>
      <c r="AH418" t="s">
        <v>34</v>
      </c>
      <c r="AI418" t="s">
        <v>34</v>
      </c>
      <c r="AJ418" t="s">
        <v>34</v>
      </c>
      <c r="AK418" t="s">
        <v>34</v>
      </c>
      <c r="AL418" t="s">
        <v>34</v>
      </c>
      <c r="AM418" t="s">
        <v>2877</v>
      </c>
    </row>
    <row r="419" spans="1:39" x14ac:dyDescent="0.2">
      <c r="B419">
        <v>57901</v>
      </c>
      <c r="C419" t="s">
        <v>490</v>
      </c>
      <c r="D419" t="s">
        <v>742</v>
      </c>
      <c r="E419" t="s">
        <v>677</v>
      </c>
      <c r="F419" t="s">
        <v>34</v>
      </c>
      <c r="G419" t="s">
        <v>772</v>
      </c>
      <c r="H419" t="s">
        <v>3569</v>
      </c>
      <c r="I419" t="s">
        <v>586</v>
      </c>
      <c r="J419" t="s">
        <v>487</v>
      </c>
      <c r="K419" t="s">
        <v>1940</v>
      </c>
      <c r="L419" t="s">
        <v>1941</v>
      </c>
      <c r="M419" t="s">
        <v>490</v>
      </c>
      <c r="N419" t="s">
        <v>983</v>
      </c>
      <c r="O419" t="s">
        <v>2090</v>
      </c>
      <c r="P419" t="s">
        <v>2090</v>
      </c>
      <c r="Q419" t="s">
        <v>828</v>
      </c>
      <c r="R419" t="s">
        <v>2091</v>
      </c>
      <c r="S419">
        <v>34.9</v>
      </c>
      <c r="T419" t="s">
        <v>649</v>
      </c>
      <c r="U419" t="s">
        <v>34</v>
      </c>
      <c r="V419" t="s">
        <v>1942</v>
      </c>
      <c r="W419" t="s">
        <v>1943</v>
      </c>
      <c r="X419" t="s">
        <v>1562</v>
      </c>
      <c r="Y419" t="s">
        <v>34</v>
      </c>
      <c r="Z419" t="s">
        <v>1939</v>
      </c>
      <c r="AA419" t="s">
        <v>1944</v>
      </c>
      <c r="AB419" t="s">
        <v>844</v>
      </c>
      <c r="AC419" t="s">
        <v>1945</v>
      </c>
      <c r="AD419" t="s">
        <v>767</v>
      </c>
      <c r="AE419" t="s">
        <v>768</v>
      </c>
      <c r="AF419" t="s">
        <v>585</v>
      </c>
      <c r="AG419" t="s">
        <v>34</v>
      </c>
      <c r="AH419" t="s">
        <v>34</v>
      </c>
      <c r="AI419" t="s">
        <v>34</v>
      </c>
      <c r="AJ419" t="s">
        <v>34</v>
      </c>
      <c r="AK419" t="s">
        <v>34</v>
      </c>
      <c r="AL419" t="s">
        <v>34</v>
      </c>
      <c r="AM419" t="s">
        <v>2877</v>
      </c>
    </row>
    <row r="420" spans="1:39" x14ac:dyDescent="0.2">
      <c r="B420">
        <v>57901</v>
      </c>
      <c r="C420" t="s">
        <v>2902</v>
      </c>
      <c r="D420" t="s">
        <v>742</v>
      </c>
      <c r="E420" t="s">
        <v>677</v>
      </c>
      <c r="F420" t="s">
        <v>34</v>
      </c>
      <c r="G420" t="s">
        <v>772</v>
      </c>
      <c r="H420" t="s">
        <v>3569</v>
      </c>
      <c r="I420" t="s">
        <v>586</v>
      </c>
      <c r="J420" t="s">
        <v>2903</v>
      </c>
      <c r="K420" t="s">
        <v>3496</v>
      </c>
      <c r="L420" t="s">
        <v>1959</v>
      </c>
      <c r="M420" t="s">
        <v>2904</v>
      </c>
      <c r="O420" t="s">
        <v>955</v>
      </c>
      <c r="P420" t="s">
        <v>955</v>
      </c>
      <c r="Q420" t="s">
        <v>828</v>
      </c>
      <c r="R420" t="s">
        <v>2097</v>
      </c>
      <c r="S420">
        <v>13.6</v>
      </c>
      <c r="T420" t="s">
        <v>649</v>
      </c>
      <c r="U420" t="s">
        <v>34</v>
      </c>
      <c r="V420" t="s">
        <v>972</v>
      </c>
      <c r="X420" t="s">
        <v>1291</v>
      </c>
      <c r="Y420" t="s">
        <v>34</v>
      </c>
      <c r="Z420" t="s">
        <v>2899</v>
      </c>
      <c r="AA420" t="s">
        <v>2900</v>
      </c>
      <c r="AB420" t="s">
        <v>844</v>
      </c>
      <c r="AC420" t="s">
        <v>2905</v>
      </c>
      <c r="AD420" t="s">
        <v>2562</v>
      </c>
      <c r="AE420" t="s">
        <v>2493</v>
      </c>
      <c r="AF420" t="s">
        <v>585</v>
      </c>
      <c r="AG420" t="s">
        <v>2856</v>
      </c>
      <c r="AH420" t="s">
        <v>34</v>
      </c>
      <c r="AI420" t="s">
        <v>34</v>
      </c>
      <c r="AJ420" t="s">
        <v>34</v>
      </c>
      <c r="AK420" t="s">
        <v>34</v>
      </c>
      <c r="AL420" t="s">
        <v>34</v>
      </c>
      <c r="AM420" t="s">
        <v>2877</v>
      </c>
    </row>
    <row r="421" spans="1:39" x14ac:dyDescent="0.2">
      <c r="A421">
        <v>1294388</v>
      </c>
      <c r="B421">
        <v>57901</v>
      </c>
      <c r="C421" t="s">
        <v>489</v>
      </c>
      <c r="D421" t="s">
        <v>742</v>
      </c>
      <c r="E421" t="s">
        <v>677</v>
      </c>
      <c r="F421" t="s">
        <v>34</v>
      </c>
      <c r="G421" t="s">
        <v>772</v>
      </c>
      <c r="H421" t="s">
        <v>3569</v>
      </c>
      <c r="I421" t="s">
        <v>586</v>
      </c>
      <c r="J421" t="s">
        <v>487</v>
      </c>
      <c r="K421" t="s">
        <v>1935</v>
      </c>
      <c r="L421">
        <v>8091238</v>
      </c>
      <c r="M421" t="s">
        <v>489</v>
      </c>
      <c r="O421" t="s">
        <v>2092</v>
      </c>
      <c r="P421" t="s">
        <v>2092</v>
      </c>
      <c r="Q421" t="s">
        <v>765</v>
      </c>
      <c r="R421" t="s">
        <v>2089</v>
      </c>
      <c r="S421">
        <v>4.3</v>
      </c>
      <c r="T421" t="s">
        <v>649</v>
      </c>
      <c r="U421" t="s">
        <v>34</v>
      </c>
      <c r="V421" t="s">
        <v>1937</v>
      </c>
      <c r="W421" t="s">
        <v>1946</v>
      </c>
      <c r="X421" t="s">
        <v>1291</v>
      </c>
      <c r="Y421" t="s">
        <v>34</v>
      </c>
      <c r="Z421" t="s">
        <v>2524</v>
      </c>
      <c r="AA421" t="s">
        <v>2507</v>
      </c>
      <c r="AB421" t="s">
        <v>1947</v>
      </c>
      <c r="AC421" t="s">
        <v>1948</v>
      </c>
      <c r="AD421" t="s">
        <v>767</v>
      </c>
      <c r="AE421" t="s">
        <v>768</v>
      </c>
      <c r="AF421" t="s">
        <v>585</v>
      </c>
      <c r="AG421" t="s">
        <v>2347</v>
      </c>
      <c r="AH421" t="s">
        <v>34</v>
      </c>
      <c r="AI421" t="s">
        <v>34</v>
      </c>
      <c r="AJ421" t="s">
        <v>34</v>
      </c>
      <c r="AK421" t="s">
        <v>34</v>
      </c>
      <c r="AL421" t="s">
        <v>34</v>
      </c>
      <c r="AM421" t="s">
        <v>2877</v>
      </c>
    </row>
    <row r="422" spans="1:39" x14ac:dyDescent="0.2">
      <c r="A422">
        <v>1348865</v>
      </c>
      <c r="B422">
        <v>57901</v>
      </c>
      <c r="C422" t="s">
        <v>492</v>
      </c>
      <c r="D422" t="s">
        <v>742</v>
      </c>
      <c r="E422" t="s">
        <v>677</v>
      </c>
      <c r="F422" t="s">
        <v>34</v>
      </c>
      <c r="G422" t="s">
        <v>772</v>
      </c>
      <c r="H422" t="s">
        <v>3569</v>
      </c>
      <c r="I422" t="s">
        <v>586</v>
      </c>
      <c r="J422" t="s">
        <v>487</v>
      </c>
      <c r="K422" t="s">
        <v>1935</v>
      </c>
      <c r="L422">
        <v>910619</v>
      </c>
      <c r="M422" t="s">
        <v>492</v>
      </c>
      <c r="N422" t="s">
        <v>983</v>
      </c>
      <c r="O422" t="s">
        <v>2092</v>
      </c>
      <c r="P422" t="s">
        <v>2092</v>
      </c>
      <c r="Q422" t="s">
        <v>828</v>
      </c>
      <c r="R422" t="s">
        <v>2088</v>
      </c>
      <c r="S422">
        <v>7.5</v>
      </c>
      <c r="T422" t="s">
        <v>649</v>
      </c>
      <c r="U422">
        <v>1348865</v>
      </c>
      <c r="V422" t="s">
        <v>1936</v>
      </c>
      <c r="W422">
        <v>910619</v>
      </c>
      <c r="X422" t="s">
        <v>1562</v>
      </c>
      <c r="Y422" t="s">
        <v>34</v>
      </c>
      <c r="Z422" t="s">
        <v>2524</v>
      </c>
      <c r="AA422" t="s">
        <v>2507</v>
      </c>
      <c r="AB422" t="s">
        <v>3178</v>
      </c>
      <c r="AC422" t="s">
        <v>3179</v>
      </c>
      <c r="AD422" t="s">
        <v>767</v>
      </c>
      <c r="AE422" t="s">
        <v>768</v>
      </c>
      <c r="AF422" t="s">
        <v>585</v>
      </c>
      <c r="AH422" t="s">
        <v>34</v>
      </c>
      <c r="AI422" t="s">
        <v>34</v>
      </c>
      <c r="AJ422" t="s">
        <v>34</v>
      </c>
      <c r="AK422" t="s">
        <v>34</v>
      </c>
      <c r="AL422" t="s">
        <v>34</v>
      </c>
      <c r="AM422" t="s">
        <v>2877</v>
      </c>
    </row>
    <row r="423" spans="1:39" x14ac:dyDescent="0.2">
      <c r="B423">
        <v>57901</v>
      </c>
      <c r="C423" t="s">
        <v>491</v>
      </c>
      <c r="D423" t="s">
        <v>742</v>
      </c>
      <c r="E423" t="s">
        <v>677</v>
      </c>
      <c r="F423" t="s">
        <v>34</v>
      </c>
      <c r="G423" t="s">
        <v>772</v>
      </c>
      <c r="H423" t="s">
        <v>3569</v>
      </c>
      <c r="I423" t="s">
        <v>586</v>
      </c>
      <c r="J423" t="s">
        <v>487</v>
      </c>
      <c r="K423" t="s">
        <v>1935</v>
      </c>
      <c r="L423">
        <v>910620</v>
      </c>
      <c r="M423" t="s">
        <v>491</v>
      </c>
      <c r="O423" t="s">
        <v>2087</v>
      </c>
      <c r="P423" t="s">
        <v>2087</v>
      </c>
      <c r="Q423" t="s">
        <v>765</v>
      </c>
      <c r="R423" t="s">
        <v>2089</v>
      </c>
      <c r="S423">
        <v>4.3</v>
      </c>
      <c r="T423" t="s">
        <v>649</v>
      </c>
      <c r="U423" t="s">
        <v>34</v>
      </c>
      <c r="V423" t="s">
        <v>3344</v>
      </c>
      <c r="W423" t="s">
        <v>1938</v>
      </c>
      <c r="X423" t="s">
        <v>1291</v>
      </c>
      <c r="Y423" t="s">
        <v>34</v>
      </c>
      <c r="Z423" t="s">
        <v>2524</v>
      </c>
      <c r="AA423" t="s">
        <v>2507</v>
      </c>
      <c r="AB423" t="s">
        <v>3345</v>
      </c>
      <c r="AC423" t="s">
        <v>3346</v>
      </c>
      <c r="AD423" t="s">
        <v>767</v>
      </c>
      <c r="AE423" t="s">
        <v>768</v>
      </c>
      <c r="AF423" t="s">
        <v>585</v>
      </c>
      <c r="AG423" t="s">
        <v>34</v>
      </c>
      <c r="AH423" t="s">
        <v>34</v>
      </c>
      <c r="AI423" t="s">
        <v>34</v>
      </c>
      <c r="AJ423" t="s">
        <v>34</v>
      </c>
      <c r="AK423" t="s">
        <v>34</v>
      </c>
      <c r="AL423" t="s">
        <v>34</v>
      </c>
      <c r="AM423" t="s">
        <v>2877</v>
      </c>
    </row>
    <row r="424" spans="1:39" x14ac:dyDescent="0.2">
      <c r="B424">
        <v>57901</v>
      </c>
      <c r="C424" t="s">
        <v>3427</v>
      </c>
      <c r="D424" t="s">
        <v>742</v>
      </c>
      <c r="E424" t="s">
        <v>677</v>
      </c>
      <c r="F424" t="s">
        <v>34</v>
      </c>
      <c r="G424" t="s">
        <v>772</v>
      </c>
      <c r="H424" t="s">
        <v>3569</v>
      </c>
      <c r="I424" t="s">
        <v>586</v>
      </c>
      <c r="J424" t="s">
        <v>487</v>
      </c>
      <c r="K424" t="s">
        <v>3428</v>
      </c>
      <c r="L424">
        <v>506311</v>
      </c>
      <c r="M424" t="s">
        <v>3427</v>
      </c>
      <c r="O424" t="s">
        <v>2092</v>
      </c>
      <c r="P424" t="s">
        <v>3429</v>
      </c>
      <c r="Q424" t="s">
        <v>828</v>
      </c>
      <c r="R424" t="s">
        <v>3430</v>
      </c>
      <c r="S424">
        <v>14.35</v>
      </c>
      <c r="T424" t="s">
        <v>649</v>
      </c>
      <c r="U424" t="s">
        <v>34</v>
      </c>
      <c r="V424" t="s">
        <v>3344</v>
      </c>
      <c r="W424" t="s">
        <v>3431</v>
      </c>
      <c r="X424" t="s">
        <v>1291</v>
      </c>
      <c r="Y424" t="s">
        <v>34</v>
      </c>
      <c r="Z424" t="s">
        <v>3110</v>
      </c>
      <c r="AA424" t="s">
        <v>2950</v>
      </c>
      <c r="AB424" t="s">
        <v>3432</v>
      </c>
      <c r="AC424" t="s">
        <v>1948</v>
      </c>
      <c r="AD424" t="s">
        <v>767</v>
      </c>
      <c r="AE424" t="s">
        <v>3433</v>
      </c>
      <c r="AF424" t="s">
        <v>585</v>
      </c>
      <c r="AG424" t="s">
        <v>2513</v>
      </c>
      <c r="AH424" t="s">
        <v>34</v>
      </c>
      <c r="AI424" t="s">
        <v>34</v>
      </c>
      <c r="AJ424" t="s">
        <v>34</v>
      </c>
      <c r="AK424" t="s">
        <v>34</v>
      </c>
      <c r="AL424" t="s">
        <v>34</v>
      </c>
      <c r="AM424" t="s">
        <v>2877</v>
      </c>
    </row>
    <row r="425" spans="1:39" x14ac:dyDescent="0.2">
      <c r="B425">
        <v>57901</v>
      </c>
      <c r="C425" t="s">
        <v>493</v>
      </c>
      <c r="D425" t="s">
        <v>742</v>
      </c>
      <c r="E425" t="s">
        <v>677</v>
      </c>
      <c r="F425" t="s">
        <v>34</v>
      </c>
      <c r="G425" t="s">
        <v>772</v>
      </c>
      <c r="H425" t="s">
        <v>3569</v>
      </c>
      <c r="I425" t="s">
        <v>586</v>
      </c>
      <c r="J425" t="s">
        <v>350</v>
      </c>
      <c r="K425" t="s">
        <v>1978</v>
      </c>
      <c r="L425">
        <v>157157</v>
      </c>
      <c r="M425" t="s">
        <v>493</v>
      </c>
      <c r="N425" t="s">
        <v>983</v>
      </c>
      <c r="O425" t="s">
        <v>2103</v>
      </c>
      <c r="P425" t="s">
        <v>770</v>
      </c>
      <c r="Q425" t="s">
        <v>828</v>
      </c>
      <c r="R425" t="s">
        <v>2104</v>
      </c>
      <c r="S425">
        <v>12</v>
      </c>
      <c r="T425" t="s">
        <v>649</v>
      </c>
      <c r="U425">
        <v>1638921</v>
      </c>
      <c r="V425" t="s">
        <v>1979</v>
      </c>
      <c r="W425" t="s">
        <v>1051</v>
      </c>
      <c r="X425" t="s">
        <v>844</v>
      </c>
      <c r="Y425" t="s">
        <v>34</v>
      </c>
      <c r="Z425" t="s">
        <v>1980</v>
      </c>
      <c r="AA425" t="s">
        <v>1981</v>
      </c>
      <c r="AB425" t="s">
        <v>844</v>
      </c>
      <c r="AC425" t="s">
        <v>34</v>
      </c>
      <c r="AD425" t="s">
        <v>767</v>
      </c>
      <c r="AE425" t="s">
        <v>768</v>
      </c>
      <c r="AF425" t="s">
        <v>585</v>
      </c>
      <c r="AG425" t="s">
        <v>34</v>
      </c>
      <c r="AH425" t="s">
        <v>34</v>
      </c>
      <c r="AI425" t="s">
        <v>34</v>
      </c>
      <c r="AJ425" t="s">
        <v>34</v>
      </c>
      <c r="AK425" t="s">
        <v>34</v>
      </c>
      <c r="AL425" t="s">
        <v>34</v>
      </c>
      <c r="AM425" t="s">
        <v>2861</v>
      </c>
    </row>
    <row r="426" spans="1:39" x14ac:dyDescent="0.2">
      <c r="B426">
        <v>57901</v>
      </c>
      <c r="C426" t="s">
        <v>484</v>
      </c>
      <c r="D426" t="s">
        <v>742</v>
      </c>
      <c r="E426" t="s">
        <v>677</v>
      </c>
      <c r="F426" t="s">
        <v>34</v>
      </c>
      <c r="G426" t="s">
        <v>772</v>
      </c>
      <c r="H426" t="s">
        <v>3569</v>
      </c>
      <c r="I426" t="s">
        <v>762</v>
      </c>
      <c r="J426" t="s">
        <v>1960</v>
      </c>
      <c r="K426" t="s">
        <v>1961</v>
      </c>
      <c r="L426" t="s">
        <v>2452</v>
      </c>
      <c r="M426" t="s">
        <v>484</v>
      </c>
      <c r="N426" t="s">
        <v>983</v>
      </c>
      <c r="O426" t="s">
        <v>2098</v>
      </c>
      <c r="P426" t="s">
        <v>2039</v>
      </c>
      <c r="Q426" t="s">
        <v>765</v>
      </c>
      <c r="R426" t="s">
        <v>2099</v>
      </c>
      <c r="S426">
        <v>15.3</v>
      </c>
      <c r="T426" t="s">
        <v>649</v>
      </c>
      <c r="U426">
        <v>1638921</v>
      </c>
      <c r="V426" t="s">
        <v>1962</v>
      </c>
      <c r="W426" t="s">
        <v>1051</v>
      </c>
      <c r="X426" t="s">
        <v>1963</v>
      </c>
      <c r="Y426" t="s">
        <v>34</v>
      </c>
      <c r="Z426" t="s">
        <v>2453</v>
      </c>
      <c r="AA426" t="s">
        <v>2454</v>
      </c>
      <c r="AB426" t="s">
        <v>1963</v>
      </c>
      <c r="AC426" t="s">
        <v>1964</v>
      </c>
      <c r="AD426" t="s">
        <v>767</v>
      </c>
      <c r="AE426" t="s">
        <v>768</v>
      </c>
      <c r="AF426" t="s">
        <v>585</v>
      </c>
      <c r="AG426" t="s">
        <v>34</v>
      </c>
      <c r="AH426" t="s">
        <v>34</v>
      </c>
      <c r="AI426" t="s">
        <v>34</v>
      </c>
      <c r="AJ426" t="s">
        <v>34</v>
      </c>
      <c r="AK426" t="s">
        <v>34</v>
      </c>
      <c r="AL426" t="s">
        <v>34</v>
      </c>
      <c r="AM426" t="s">
        <v>2862</v>
      </c>
    </row>
    <row r="427" spans="1:39" x14ac:dyDescent="0.2">
      <c r="B427">
        <v>57901</v>
      </c>
      <c r="C427" t="s">
        <v>485</v>
      </c>
      <c r="D427" t="s">
        <v>742</v>
      </c>
      <c r="E427" t="s">
        <v>677</v>
      </c>
      <c r="F427" t="s">
        <v>34</v>
      </c>
      <c r="G427" t="s">
        <v>772</v>
      </c>
      <c r="U427" t="s">
        <v>34</v>
      </c>
      <c r="Y427" t="s">
        <v>34</v>
      </c>
      <c r="AC427" t="s">
        <v>34</v>
      </c>
      <c r="AD427" t="s">
        <v>767</v>
      </c>
      <c r="AE427" t="s">
        <v>768</v>
      </c>
      <c r="AF427" t="s">
        <v>585</v>
      </c>
      <c r="AG427" t="s">
        <v>34</v>
      </c>
      <c r="AH427" t="s">
        <v>34</v>
      </c>
      <c r="AI427" t="s">
        <v>34</v>
      </c>
      <c r="AJ427" t="s">
        <v>34</v>
      </c>
      <c r="AK427" t="s">
        <v>34</v>
      </c>
      <c r="AL427" t="s">
        <v>34</v>
      </c>
      <c r="AM427" t="s">
        <v>2861</v>
      </c>
    </row>
    <row r="428" spans="1:39" x14ac:dyDescent="0.2">
      <c r="A428">
        <v>1293993</v>
      </c>
      <c r="B428">
        <v>57901</v>
      </c>
      <c r="C428" t="s">
        <v>2606</v>
      </c>
      <c r="D428" t="s">
        <v>742</v>
      </c>
      <c r="E428" t="s">
        <v>677</v>
      </c>
      <c r="F428" t="s">
        <v>34</v>
      </c>
      <c r="G428" t="s">
        <v>772</v>
      </c>
      <c r="H428" t="s">
        <v>3569</v>
      </c>
      <c r="I428" t="s">
        <v>586</v>
      </c>
      <c r="J428" t="s">
        <v>350</v>
      </c>
      <c r="K428" t="s">
        <v>2607</v>
      </c>
      <c r="L428">
        <v>142142</v>
      </c>
      <c r="M428" t="s">
        <v>2606</v>
      </c>
      <c r="N428" t="s">
        <v>983</v>
      </c>
      <c r="O428" t="s">
        <v>2608</v>
      </c>
      <c r="P428" t="s">
        <v>1851</v>
      </c>
      <c r="Q428" t="s">
        <v>2609</v>
      </c>
      <c r="R428" t="s">
        <v>2610</v>
      </c>
      <c r="S428">
        <v>25</v>
      </c>
      <c r="T428" t="s">
        <v>649</v>
      </c>
      <c r="U428" t="s">
        <v>34</v>
      </c>
      <c r="V428" t="s">
        <v>2607</v>
      </c>
      <c r="W428">
        <v>142142</v>
      </c>
      <c r="X428" t="s">
        <v>2505</v>
      </c>
      <c r="Y428" t="s">
        <v>34</v>
      </c>
      <c r="Z428" t="s">
        <v>2611</v>
      </c>
      <c r="AA428" t="s">
        <v>2612</v>
      </c>
      <c r="AB428" t="s">
        <v>2505</v>
      </c>
      <c r="AC428" t="s">
        <v>835</v>
      </c>
      <c r="AD428" t="s">
        <v>767</v>
      </c>
      <c r="AE428" t="s">
        <v>2613</v>
      </c>
      <c r="AF428" t="s">
        <v>585</v>
      </c>
      <c r="AG428" t="s">
        <v>1889</v>
      </c>
      <c r="AH428" t="s">
        <v>34</v>
      </c>
      <c r="AI428" t="s">
        <v>34</v>
      </c>
      <c r="AJ428" t="s">
        <v>34</v>
      </c>
      <c r="AK428" t="s">
        <v>34</v>
      </c>
      <c r="AL428" t="s">
        <v>34</v>
      </c>
      <c r="AM428" t="s">
        <v>2861</v>
      </c>
    </row>
    <row r="429" spans="1:39" x14ac:dyDescent="0.2">
      <c r="A429">
        <v>1270820</v>
      </c>
      <c r="B429">
        <v>57901</v>
      </c>
      <c r="C429" t="s">
        <v>497</v>
      </c>
      <c r="D429" t="s">
        <v>742</v>
      </c>
      <c r="E429" t="s">
        <v>677</v>
      </c>
      <c r="F429" t="s">
        <v>34</v>
      </c>
      <c r="G429" t="s">
        <v>772</v>
      </c>
      <c r="H429" t="s">
        <v>3569</v>
      </c>
      <c r="I429" t="s">
        <v>586</v>
      </c>
      <c r="J429" t="s">
        <v>1928</v>
      </c>
      <c r="K429" t="s">
        <v>1929</v>
      </c>
      <c r="L429" t="s">
        <v>1930</v>
      </c>
      <c r="M429" t="s">
        <v>497</v>
      </c>
      <c r="O429" t="s">
        <v>2084</v>
      </c>
      <c r="P429" t="s">
        <v>2085</v>
      </c>
      <c r="Q429" t="s">
        <v>896</v>
      </c>
      <c r="R429" t="s">
        <v>2086</v>
      </c>
      <c r="S429">
        <v>236</v>
      </c>
      <c r="T429" t="s">
        <v>649</v>
      </c>
      <c r="U429" t="s">
        <v>34</v>
      </c>
      <c r="V429" t="s">
        <v>1929</v>
      </c>
      <c r="W429" t="s">
        <v>1930</v>
      </c>
      <c r="X429" t="s">
        <v>1280</v>
      </c>
      <c r="Y429" t="s">
        <v>34</v>
      </c>
      <c r="Z429" t="s">
        <v>1931</v>
      </c>
      <c r="AA429" t="s">
        <v>1932</v>
      </c>
      <c r="AB429" t="s">
        <v>1933</v>
      </c>
      <c r="AC429" t="s">
        <v>1934</v>
      </c>
      <c r="AD429" t="s">
        <v>767</v>
      </c>
      <c r="AE429" t="s">
        <v>768</v>
      </c>
      <c r="AF429" t="s">
        <v>585</v>
      </c>
      <c r="AG429" t="s">
        <v>34</v>
      </c>
      <c r="AH429" t="s">
        <v>34</v>
      </c>
      <c r="AI429" t="s">
        <v>34</v>
      </c>
      <c r="AJ429" t="s">
        <v>34</v>
      </c>
      <c r="AK429" t="s">
        <v>34</v>
      </c>
      <c r="AL429" t="s">
        <v>34</v>
      </c>
      <c r="AM429" t="s">
        <v>2877</v>
      </c>
    </row>
    <row r="430" spans="1:39" x14ac:dyDescent="0.2">
      <c r="A430">
        <v>1293681</v>
      </c>
      <c r="B430">
        <v>57901</v>
      </c>
      <c r="C430" t="s">
        <v>486</v>
      </c>
      <c r="D430" t="s">
        <v>742</v>
      </c>
      <c r="E430" t="s">
        <v>677</v>
      </c>
      <c r="F430" t="s">
        <v>34</v>
      </c>
      <c r="G430" t="s">
        <v>772</v>
      </c>
      <c r="H430" t="s">
        <v>3569</v>
      </c>
      <c r="I430" t="s">
        <v>586</v>
      </c>
      <c r="J430" t="s">
        <v>1928</v>
      </c>
      <c r="K430" t="s">
        <v>1929</v>
      </c>
      <c r="L430" t="s">
        <v>1965</v>
      </c>
      <c r="M430" t="s">
        <v>486</v>
      </c>
      <c r="O430" t="s">
        <v>2100</v>
      </c>
      <c r="P430" t="s">
        <v>2085</v>
      </c>
      <c r="Q430" t="s">
        <v>896</v>
      </c>
      <c r="R430" t="s">
        <v>2086</v>
      </c>
      <c r="S430">
        <v>23.6</v>
      </c>
      <c r="T430" t="s">
        <v>649</v>
      </c>
      <c r="U430">
        <v>1293681</v>
      </c>
      <c r="V430" t="s">
        <v>1966</v>
      </c>
      <c r="W430" t="s">
        <v>1965</v>
      </c>
      <c r="X430" t="s">
        <v>888</v>
      </c>
      <c r="Y430" t="s">
        <v>34</v>
      </c>
      <c r="Z430" t="s">
        <v>1967</v>
      </c>
      <c r="AA430" t="s">
        <v>1967</v>
      </c>
      <c r="AB430" t="s">
        <v>888</v>
      </c>
      <c r="AC430" t="s">
        <v>1968</v>
      </c>
      <c r="AD430" t="s">
        <v>767</v>
      </c>
      <c r="AE430" t="s">
        <v>768</v>
      </c>
      <c r="AF430" t="s">
        <v>585</v>
      </c>
      <c r="AG430" t="s">
        <v>34</v>
      </c>
      <c r="AH430" t="s">
        <v>34</v>
      </c>
      <c r="AI430" t="s">
        <v>34</v>
      </c>
      <c r="AJ430" t="s">
        <v>34</v>
      </c>
      <c r="AK430" t="s">
        <v>34</v>
      </c>
      <c r="AL430" t="s">
        <v>34</v>
      </c>
      <c r="AM430" t="s">
        <v>2877</v>
      </c>
    </row>
    <row r="431" spans="1:39" x14ac:dyDescent="0.2">
      <c r="A431">
        <v>1293680</v>
      </c>
      <c r="B431">
        <v>57901</v>
      </c>
      <c r="C431" t="s">
        <v>496</v>
      </c>
      <c r="D431" t="s">
        <v>742</v>
      </c>
      <c r="E431" t="s">
        <v>677</v>
      </c>
      <c r="F431" t="s">
        <v>34</v>
      </c>
      <c r="G431" t="s">
        <v>772</v>
      </c>
      <c r="H431" t="s">
        <v>3569</v>
      </c>
      <c r="I431" t="s">
        <v>586</v>
      </c>
      <c r="J431" t="s">
        <v>1928</v>
      </c>
      <c r="K431" t="s">
        <v>1969</v>
      </c>
      <c r="L431" t="s">
        <v>1970</v>
      </c>
      <c r="M431" t="s">
        <v>496</v>
      </c>
      <c r="O431" t="s">
        <v>2100</v>
      </c>
      <c r="P431" t="s">
        <v>2085</v>
      </c>
      <c r="Q431" t="s">
        <v>896</v>
      </c>
      <c r="R431" t="s">
        <v>2086</v>
      </c>
      <c r="S431">
        <v>23.6</v>
      </c>
      <c r="T431" t="s">
        <v>649</v>
      </c>
      <c r="U431">
        <v>1293680</v>
      </c>
      <c r="V431" t="s">
        <v>1969</v>
      </c>
      <c r="W431" t="s">
        <v>1970</v>
      </c>
      <c r="X431" t="s">
        <v>1280</v>
      </c>
      <c r="Y431" t="s">
        <v>34</v>
      </c>
      <c r="Z431" t="s">
        <v>3347</v>
      </c>
      <c r="AA431" t="s">
        <v>2454</v>
      </c>
      <c r="AB431" t="s">
        <v>1933</v>
      </c>
      <c r="AC431" t="s">
        <v>1971</v>
      </c>
      <c r="AD431" t="s">
        <v>767</v>
      </c>
      <c r="AE431" t="s">
        <v>768</v>
      </c>
      <c r="AF431" t="s">
        <v>585</v>
      </c>
      <c r="AG431" t="s">
        <v>34</v>
      </c>
      <c r="AH431" t="s">
        <v>34</v>
      </c>
      <c r="AI431" t="s">
        <v>34</v>
      </c>
      <c r="AJ431" t="s">
        <v>34</v>
      </c>
      <c r="AK431" t="s">
        <v>34</v>
      </c>
      <c r="AL431" t="s">
        <v>34</v>
      </c>
      <c r="AM431" t="s">
        <v>2877</v>
      </c>
    </row>
    <row r="432" spans="1:39" x14ac:dyDescent="0.2">
      <c r="B432">
        <v>57901</v>
      </c>
      <c r="C432" t="s">
        <v>498</v>
      </c>
      <c r="D432" t="s">
        <v>742</v>
      </c>
      <c r="E432" t="s">
        <v>677</v>
      </c>
      <c r="F432" t="s">
        <v>34</v>
      </c>
      <c r="G432" t="s">
        <v>772</v>
      </c>
      <c r="H432" t="s">
        <v>3569</v>
      </c>
      <c r="I432" t="s">
        <v>586</v>
      </c>
      <c r="J432" t="s">
        <v>1928</v>
      </c>
      <c r="K432" t="s">
        <v>1972</v>
      </c>
      <c r="L432">
        <v>300085972</v>
      </c>
      <c r="M432" t="s">
        <v>498</v>
      </c>
      <c r="O432" t="s">
        <v>2085</v>
      </c>
      <c r="P432" t="s">
        <v>2085</v>
      </c>
      <c r="Q432" t="s">
        <v>896</v>
      </c>
      <c r="R432" t="s">
        <v>2086</v>
      </c>
      <c r="S432">
        <v>23.6</v>
      </c>
      <c r="T432" t="s">
        <v>649</v>
      </c>
      <c r="U432" t="s">
        <v>34</v>
      </c>
      <c r="V432" t="s">
        <v>1929</v>
      </c>
      <c r="W432" t="s">
        <v>1930</v>
      </c>
      <c r="X432" t="s">
        <v>1280</v>
      </c>
      <c r="Y432" t="s">
        <v>34</v>
      </c>
      <c r="Z432" t="s">
        <v>1931</v>
      </c>
      <c r="AA432" t="s">
        <v>1932</v>
      </c>
      <c r="AB432" t="s">
        <v>1933</v>
      </c>
      <c r="AC432" t="s">
        <v>1971</v>
      </c>
      <c r="AD432" t="s">
        <v>767</v>
      </c>
      <c r="AE432" t="s">
        <v>768</v>
      </c>
      <c r="AF432" t="s">
        <v>585</v>
      </c>
      <c r="AG432" t="s">
        <v>34</v>
      </c>
      <c r="AH432" t="s">
        <v>34</v>
      </c>
      <c r="AI432" t="s">
        <v>34</v>
      </c>
      <c r="AJ432" t="s">
        <v>34</v>
      </c>
      <c r="AK432" t="s">
        <v>34</v>
      </c>
      <c r="AL432" t="s">
        <v>34</v>
      </c>
      <c r="AM432" t="s">
        <v>2877</v>
      </c>
    </row>
    <row r="433" spans="1:39" x14ac:dyDescent="0.2">
      <c r="A433">
        <v>1270807</v>
      </c>
      <c r="B433">
        <v>57901</v>
      </c>
      <c r="C433" t="s">
        <v>2906</v>
      </c>
      <c r="D433" t="s">
        <v>742</v>
      </c>
      <c r="E433" t="s">
        <v>677</v>
      </c>
      <c r="F433" t="s">
        <v>34</v>
      </c>
      <c r="G433" t="s">
        <v>772</v>
      </c>
      <c r="H433" t="s">
        <v>3569</v>
      </c>
      <c r="I433" t="s">
        <v>586</v>
      </c>
      <c r="J433" t="s">
        <v>1928</v>
      </c>
      <c r="K433" t="s">
        <v>1977</v>
      </c>
      <c r="L433">
        <v>300072009</v>
      </c>
      <c r="M433" t="s">
        <v>2906</v>
      </c>
      <c r="O433" t="s">
        <v>2907</v>
      </c>
      <c r="P433" t="s">
        <v>2908</v>
      </c>
      <c r="Q433" t="s">
        <v>896</v>
      </c>
      <c r="R433" t="s">
        <v>1115</v>
      </c>
      <c r="S433">
        <v>23.6</v>
      </c>
      <c r="T433" t="s">
        <v>649</v>
      </c>
      <c r="U433" t="s">
        <v>34</v>
      </c>
      <c r="V433" t="s">
        <v>2909</v>
      </c>
      <c r="W433">
        <v>300072009</v>
      </c>
      <c r="X433" t="s">
        <v>888</v>
      </c>
      <c r="Y433" t="s">
        <v>34</v>
      </c>
      <c r="Z433" t="s">
        <v>2910</v>
      </c>
      <c r="AA433" t="s">
        <v>1967</v>
      </c>
      <c r="AB433" t="s">
        <v>888</v>
      </c>
      <c r="AC433" t="s">
        <v>1968</v>
      </c>
      <c r="AD433" t="s">
        <v>767</v>
      </c>
      <c r="AE433" t="s">
        <v>768</v>
      </c>
      <c r="AF433" t="s">
        <v>585</v>
      </c>
      <c r="AL433" t="s">
        <v>34</v>
      </c>
      <c r="AM433" t="s">
        <v>2877</v>
      </c>
    </row>
    <row r="434" spans="1:39" x14ac:dyDescent="0.2">
      <c r="A434">
        <v>1294225</v>
      </c>
      <c r="B434">
        <v>57901</v>
      </c>
      <c r="C434" t="s">
        <v>495</v>
      </c>
      <c r="D434" t="s">
        <v>742</v>
      </c>
      <c r="E434" t="s">
        <v>677</v>
      </c>
      <c r="F434" t="s">
        <v>34</v>
      </c>
      <c r="G434" t="s">
        <v>772</v>
      </c>
      <c r="H434" t="s">
        <v>3569</v>
      </c>
      <c r="I434" t="s">
        <v>586</v>
      </c>
      <c r="J434" t="s">
        <v>1982</v>
      </c>
      <c r="K434" t="s">
        <v>1983</v>
      </c>
      <c r="L434">
        <v>300135477</v>
      </c>
      <c r="M434" t="s">
        <v>495</v>
      </c>
      <c r="O434" t="s">
        <v>3434</v>
      </c>
      <c r="P434" t="s">
        <v>3434</v>
      </c>
      <c r="Q434" t="s">
        <v>896</v>
      </c>
      <c r="R434" t="s">
        <v>2105</v>
      </c>
      <c r="S434">
        <v>23.6</v>
      </c>
      <c r="T434" t="s">
        <v>649</v>
      </c>
      <c r="U434">
        <v>1294225</v>
      </c>
      <c r="V434" t="s">
        <v>1977</v>
      </c>
      <c r="W434">
        <v>300135477</v>
      </c>
      <c r="X434" t="s">
        <v>2505</v>
      </c>
      <c r="Y434" t="s">
        <v>34</v>
      </c>
      <c r="Z434" t="s">
        <v>2506</v>
      </c>
      <c r="AA434" t="s">
        <v>2507</v>
      </c>
      <c r="AB434" t="s">
        <v>1933</v>
      </c>
      <c r="AC434" t="s">
        <v>2911</v>
      </c>
      <c r="AD434" t="s">
        <v>767</v>
      </c>
      <c r="AE434" t="s">
        <v>768</v>
      </c>
      <c r="AF434" t="s">
        <v>585</v>
      </c>
      <c r="AG434" t="s">
        <v>34</v>
      </c>
      <c r="AH434" t="s">
        <v>34</v>
      </c>
      <c r="AI434" t="s">
        <v>34</v>
      </c>
      <c r="AJ434" t="s">
        <v>34</v>
      </c>
      <c r="AK434" t="s">
        <v>34</v>
      </c>
      <c r="AL434" t="s">
        <v>34</v>
      </c>
      <c r="AM434" t="s">
        <v>2877</v>
      </c>
    </row>
    <row r="435" spans="1:39" x14ac:dyDescent="0.2">
      <c r="A435">
        <v>1270804</v>
      </c>
      <c r="B435">
        <v>57901</v>
      </c>
      <c r="C435" t="s">
        <v>645</v>
      </c>
      <c r="D435" t="s">
        <v>742</v>
      </c>
      <c r="E435" t="s">
        <v>677</v>
      </c>
      <c r="F435" t="s">
        <v>34</v>
      </c>
      <c r="G435" t="s">
        <v>772</v>
      </c>
      <c r="H435" t="s">
        <v>3569</v>
      </c>
      <c r="I435" t="s">
        <v>586</v>
      </c>
      <c r="J435" t="s">
        <v>1928</v>
      </c>
      <c r="K435" t="s">
        <v>1972</v>
      </c>
      <c r="L435">
        <v>300152049</v>
      </c>
      <c r="M435" t="s">
        <v>645</v>
      </c>
      <c r="N435" t="s">
        <v>983</v>
      </c>
      <c r="O435" t="s">
        <v>2085</v>
      </c>
      <c r="P435" t="s">
        <v>2085</v>
      </c>
      <c r="Q435" t="s">
        <v>896</v>
      </c>
      <c r="R435" t="s">
        <v>2086</v>
      </c>
      <c r="S435">
        <v>23.6</v>
      </c>
      <c r="T435" t="s">
        <v>649</v>
      </c>
      <c r="U435" t="s">
        <v>34</v>
      </c>
      <c r="V435" t="s">
        <v>1973</v>
      </c>
      <c r="W435" t="s">
        <v>1930</v>
      </c>
      <c r="X435" t="s">
        <v>1291</v>
      </c>
      <c r="Y435" t="s">
        <v>34</v>
      </c>
      <c r="Z435" t="s">
        <v>3110</v>
      </c>
      <c r="AA435" t="s">
        <v>2507</v>
      </c>
      <c r="AB435" t="s">
        <v>1933</v>
      </c>
      <c r="AC435" t="s">
        <v>1974</v>
      </c>
      <c r="AD435" t="s">
        <v>767</v>
      </c>
      <c r="AE435" t="s">
        <v>768</v>
      </c>
      <c r="AF435" t="s">
        <v>585</v>
      </c>
      <c r="AG435" t="s">
        <v>34</v>
      </c>
      <c r="AH435" t="s">
        <v>34</v>
      </c>
      <c r="AI435" t="s">
        <v>34</v>
      </c>
      <c r="AJ435" t="s">
        <v>34</v>
      </c>
      <c r="AK435" t="s">
        <v>34</v>
      </c>
      <c r="AL435" t="s">
        <v>34</v>
      </c>
      <c r="AM435" t="s">
        <v>2877</v>
      </c>
    </row>
    <row r="436" spans="1:39" x14ac:dyDescent="0.2">
      <c r="B436">
        <v>57901</v>
      </c>
      <c r="C436" t="s">
        <v>2534</v>
      </c>
      <c r="D436" t="s">
        <v>742</v>
      </c>
      <c r="E436" t="s">
        <v>677</v>
      </c>
      <c r="F436" t="s">
        <v>34</v>
      </c>
      <c r="G436" t="s">
        <v>772</v>
      </c>
      <c r="H436" t="s">
        <v>3569</v>
      </c>
      <c r="I436" t="s">
        <v>586</v>
      </c>
      <c r="J436" t="s">
        <v>2534</v>
      </c>
      <c r="K436" t="s">
        <v>2535</v>
      </c>
      <c r="L436" t="s">
        <v>2536</v>
      </c>
      <c r="M436" t="s">
        <v>2536</v>
      </c>
      <c r="N436" t="s">
        <v>983</v>
      </c>
      <c r="O436" t="s">
        <v>2096</v>
      </c>
      <c r="P436" t="s">
        <v>2096</v>
      </c>
      <c r="Q436" t="s">
        <v>896</v>
      </c>
      <c r="R436" t="s">
        <v>2537</v>
      </c>
      <c r="S436">
        <v>539</v>
      </c>
      <c r="T436" t="s">
        <v>649</v>
      </c>
      <c r="U436" t="s">
        <v>34</v>
      </c>
      <c r="V436" t="s">
        <v>2538</v>
      </c>
      <c r="W436" t="s">
        <v>2539</v>
      </c>
      <c r="X436" t="s">
        <v>1291</v>
      </c>
      <c r="Y436" t="s">
        <v>34</v>
      </c>
      <c r="Z436" t="s">
        <v>2899</v>
      </c>
      <c r="AA436" t="s">
        <v>2900</v>
      </c>
      <c r="AB436" t="s">
        <v>2912</v>
      </c>
      <c r="AC436" t="s">
        <v>2913</v>
      </c>
      <c r="AD436" t="s">
        <v>767</v>
      </c>
      <c r="AE436" t="s">
        <v>768</v>
      </c>
      <c r="AF436" t="s">
        <v>585</v>
      </c>
      <c r="AG436" t="s">
        <v>34</v>
      </c>
      <c r="AH436" t="s">
        <v>34</v>
      </c>
      <c r="AI436" t="s">
        <v>34</v>
      </c>
      <c r="AJ436" t="s">
        <v>34</v>
      </c>
      <c r="AK436" t="s">
        <v>34</v>
      </c>
      <c r="AL436" t="s">
        <v>34</v>
      </c>
      <c r="AM436" t="s">
        <v>2877</v>
      </c>
    </row>
    <row r="437" spans="1:39" x14ac:dyDescent="0.2">
      <c r="B437">
        <v>57901</v>
      </c>
      <c r="C437" t="s">
        <v>2643</v>
      </c>
      <c r="D437" t="s">
        <v>742</v>
      </c>
      <c r="E437" t="s">
        <v>677</v>
      </c>
      <c r="F437" t="s">
        <v>34</v>
      </c>
      <c r="G437" t="s">
        <v>772</v>
      </c>
      <c r="H437" t="s">
        <v>3569</v>
      </c>
      <c r="I437" t="s">
        <v>586</v>
      </c>
      <c r="J437" t="s">
        <v>2644</v>
      </c>
      <c r="K437" t="s">
        <v>2645</v>
      </c>
      <c r="L437" t="s">
        <v>2650</v>
      </c>
      <c r="M437" t="s">
        <v>2646</v>
      </c>
      <c r="O437" t="s">
        <v>2647</v>
      </c>
      <c r="P437" t="s">
        <v>2648</v>
      </c>
      <c r="Q437" t="s">
        <v>896</v>
      </c>
      <c r="R437" t="s">
        <v>1115</v>
      </c>
      <c r="S437">
        <v>23.6</v>
      </c>
      <c r="T437" t="s">
        <v>649</v>
      </c>
      <c r="U437" t="s">
        <v>34</v>
      </c>
      <c r="V437" t="s">
        <v>2649</v>
      </c>
      <c r="W437" t="s">
        <v>2650</v>
      </c>
      <c r="X437" t="s">
        <v>1963</v>
      </c>
      <c r="Y437" t="s">
        <v>34</v>
      </c>
      <c r="Z437" t="s">
        <v>2651</v>
      </c>
      <c r="AA437" t="s">
        <v>2652</v>
      </c>
      <c r="AB437" t="s">
        <v>1963</v>
      </c>
      <c r="AC437" t="s">
        <v>2653</v>
      </c>
      <c r="AD437" t="s">
        <v>767</v>
      </c>
      <c r="AE437" t="s">
        <v>2654</v>
      </c>
      <c r="AF437" t="s">
        <v>585</v>
      </c>
      <c r="AL437" t="s">
        <v>34</v>
      </c>
      <c r="AM437" t="s">
        <v>2877</v>
      </c>
    </row>
    <row r="438" spans="1:39" x14ac:dyDescent="0.2">
      <c r="A438">
        <v>1270771</v>
      </c>
      <c r="B438">
        <v>58045</v>
      </c>
      <c r="C438" t="s">
        <v>2625</v>
      </c>
      <c r="D438" t="s">
        <v>743</v>
      </c>
      <c r="E438" t="s">
        <v>677</v>
      </c>
      <c r="F438" t="s">
        <v>34</v>
      </c>
      <c r="G438" t="s">
        <v>772</v>
      </c>
      <c r="H438" t="s">
        <v>3569</v>
      </c>
      <c r="I438" t="s">
        <v>1987</v>
      </c>
      <c r="J438" t="s">
        <v>966</v>
      </c>
      <c r="K438" t="s">
        <v>2626</v>
      </c>
      <c r="L438" t="s">
        <v>2625</v>
      </c>
      <c r="M438" t="s">
        <v>2625</v>
      </c>
      <c r="O438" t="s">
        <v>2627</v>
      </c>
      <c r="P438" t="s">
        <v>2628</v>
      </c>
      <c r="Q438" t="s">
        <v>765</v>
      </c>
      <c r="R438" t="s">
        <v>2629</v>
      </c>
      <c r="T438" t="s">
        <v>794</v>
      </c>
      <c r="U438" t="s">
        <v>34</v>
      </c>
      <c r="V438" t="s">
        <v>889</v>
      </c>
      <c r="W438" t="s">
        <v>2625</v>
      </c>
      <c r="X438" t="s">
        <v>1993</v>
      </c>
      <c r="AC438" t="s">
        <v>2630</v>
      </c>
      <c r="AD438" t="s">
        <v>767</v>
      </c>
      <c r="AE438" t="s">
        <v>768</v>
      </c>
      <c r="AF438" t="s">
        <v>585</v>
      </c>
      <c r="AG438" t="s">
        <v>1889</v>
      </c>
      <c r="AH438" t="s">
        <v>34</v>
      </c>
      <c r="AI438" t="s">
        <v>34</v>
      </c>
      <c r="AJ438" t="s">
        <v>34</v>
      </c>
      <c r="AK438" t="s">
        <v>34</v>
      </c>
      <c r="AL438" t="s">
        <v>34</v>
      </c>
      <c r="AM438" t="s">
        <v>2866</v>
      </c>
    </row>
    <row r="439" spans="1:39" x14ac:dyDescent="0.2">
      <c r="B439">
        <v>58045</v>
      </c>
      <c r="C439" t="s">
        <v>2781</v>
      </c>
      <c r="D439" t="s">
        <v>743</v>
      </c>
      <c r="E439" t="s">
        <v>677</v>
      </c>
      <c r="F439" t="s">
        <v>34</v>
      </c>
      <c r="G439" t="s">
        <v>772</v>
      </c>
      <c r="H439" t="s">
        <v>3569</v>
      </c>
      <c r="I439" t="s">
        <v>2782</v>
      </c>
      <c r="J439" t="s">
        <v>966</v>
      </c>
      <c r="K439" t="s">
        <v>2004</v>
      </c>
      <c r="L439" t="s">
        <v>2781</v>
      </c>
      <c r="M439" t="s">
        <v>2781</v>
      </c>
      <c r="O439" t="s">
        <v>969</v>
      </c>
      <c r="P439" t="s">
        <v>2112</v>
      </c>
      <c r="Q439" t="s">
        <v>765</v>
      </c>
      <c r="R439" t="s">
        <v>2113</v>
      </c>
      <c r="S439">
        <v>6</v>
      </c>
      <c r="T439" t="s">
        <v>794</v>
      </c>
      <c r="U439" t="s">
        <v>34</v>
      </c>
      <c r="V439" t="s">
        <v>889</v>
      </c>
      <c r="W439" t="s">
        <v>500</v>
      </c>
      <c r="X439" t="s">
        <v>2005</v>
      </c>
      <c r="AC439" t="s">
        <v>3463</v>
      </c>
      <c r="AD439" t="s">
        <v>767</v>
      </c>
      <c r="AE439" t="s">
        <v>768</v>
      </c>
      <c r="AF439" t="s">
        <v>585</v>
      </c>
      <c r="AG439" t="s">
        <v>34</v>
      </c>
      <c r="AH439" t="s">
        <v>34</v>
      </c>
      <c r="AI439" t="s">
        <v>34</v>
      </c>
      <c r="AJ439" t="s">
        <v>34</v>
      </c>
      <c r="AK439" t="s">
        <v>34</v>
      </c>
      <c r="AL439" t="s">
        <v>34</v>
      </c>
      <c r="AM439" t="s">
        <v>2866</v>
      </c>
    </row>
    <row r="440" spans="1:39" x14ac:dyDescent="0.2">
      <c r="A440">
        <v>1295444</v>
      </c>
      <c r="B440">
        <v>58045</v>
      </c>
      <c r="C440" t="s">
        <v>501</v>
      </c>
      <c r="D440" t="s">
        <v>743</v>
      </c>
      <c r="E440" t="s">
        <v>677</v>
      </c>
      <c r="F440" t="s">
        <v>34</v>
      </c>
      <c r="G440" t="s">
        <v>772</v>
      </c>
      <c r="H440" t="s">
        <v>3569</v>
      </c>
      <c r="I440" t="s">
        <v>2782</v>
      </c>
      <c r="J440" t="s">
        <v>966</v>
      </c>
      <c r="K440" t="s">
        <v>2004</v>
      </c>
      <c r="L440" t="s">
        <v>501</v>
      </c>
      <c r="M440" t="s">
        <v>501</v>
      </c>
      <c r="O440" t="s">
        <v>969</v>
      </c>
      <c r="P440" t="s">
        <v>2112</v>
      </c>
      <c r="Q440" t="s">
        <v>765</v>
      </c>
      <c r="R440" t="s">
        <v>2113</v>
      </c>
      <c r="S440">
        <v>6</v>
      </c>
      <c r="T440" t="s">
        <v>794</v>
      </c>
      <c r="U440" t="s">
        <v>34</v>
      </c>
      <c r="V440" t="s">
        <v>889</v>
      </c>
      <c r="W440" t="s">
        <v>501</v>
      </c>
      <c r="X440" t="s">
        <v>2007</v>
      </c>
      <c r="AC440" t="s">
        <v>1998</v>
      </c>
      <c r="AD440" t="s">
        <v>767</v>
      </c>
      <c r="AE440" t="s">
        <v>768</v>
      </c>
      <c r="AF440" t="s">
        <v>585</v>
      </c>
      <c r="AG440" t="s">
        <v>34</v>
      </c>
      <c r="AH440" t="s">
        <v>34</v>
      </c>
      <c r="AI440" t="s">
        <v>34</v>
      </c>
      <c r="AJ440" t="s">
        <v>34</v>
      </c>
      <c r="AK440" t="s">
        <v>34</v>
      </c>
      <c r="AL440" t="s">
        <v>34</v>
      </c>
      <c r="AM440" t="s">
        <v>2866</v>
      </c>
    </row>
    <row r="441" spans="1:39" x14ac:dyDescent="0.2">
      <c r="A441">
        <v>1270740</v>
      </c>
      <c r="B441">
        <v>58045</v>
      </c>
      <c r="C441" t="s">
        <v>502</v>
      </c>
      <c r="D441" t="s">
        <v>743</v>
      </c>
      <c r="E441" t="s">
        <v>677</v>
      </c>
      <c r="F441" t="s">
        <v>34</v>
      </c>
      <c r="G441" t="s">
        <v>772</v>
      </c>
      <c r="H441" t="s">
        <v>3610</v>
      </c>
      <c r="I441" t="s">
        <v>2782</v>
      </c>
      <c r="J441" t="s">
        <v>966</v>
      </c>
      <c r="K441" t="s">
        <v>2004</v>
      </c>
      <c r="L441" t="s">
        <v>502</v>
      </c>
      <c r="M441" t="s">
        <v>502</v>
      </c>
      <c r="N441" t="s">
        <v>983</v>
      </c>
      <c r="O441" t="s">
        <v>969</v>
      </c>
      <c r="P441" t="s">
        <v>2112</v>
      </c>
      <c r="Q441" t="s">
        <v>765</v>
      </c>
      <c r="R441" t="s">
        <v>2113</v>
      </c>
      <c r="S441">
        <v>6</v>
      </c>
      <c r="T441" t="s">
        <v>794</v>
      </c>
      <c r="U441" t="s">
        <v>34</v>
      </c>
      <c r="V441" t="s">
        <v>889</v>
      </c>
      <c r="W441" t="s">
        <v>502</v>
      </c>
      <c r="X441" t="s">
        <v>2007</v>
      </c>
      <c r="AC441" t="s">
        <v>2008</v>
      </c>
      <c r="AD441" t="s">
        <v>767</v>
      </c>
      <c r="AE441" t="s">
        <v>768</v>
      </c>
      <c r="AF441" t="s">
        <v>585</v>
      </c>
      <c r="AG441" t="s">
        <v>34</v>
      </c>
      <c r="AH441" t="s">
        <v>34</v>
      </c>
      <c r="AI441" t="s">
        <v>34</v>
      </c>
      <c r="AJ441" t="s">
        <v>34</v>
      </c>
      <c r="AK441" t="s">
        <v>34</v>
      </c>
      <c r="AL441" t="s">
        <v>34</v>
      </c>
      <c r="AM441" t="s">
        <v>2866</v>
      </c>
    </row>
    <row r="442" spans="1:39" x14ac:dyDescent="0.2">
      <c r="A442">
        <v>1270739</v>
      </c>
      <c r="B442">
        <v>58045</v>
      </c>
      <c r="C442" t="s">
        <v>503</v>
      </c>
      <c r="D442" t="s">
        <v>743</v>
      </c>
      <c r="E442" t="s">
        <v>677</v>
      </c>
      <c r="F442" t="s">
        <v>34</v>
      </c>
      <c r="G442" t="s">
        <v>772</v>
      </c>
      <c r="H442" t="s">
        <v>3569</v>
      </c>
      <c r="I442" t="s">
        <v>2782</v>
      </c>
      <c r="J442" t="s">
        <v>966</v>
      </c>
      <c r="K442" t="s">
        <v>2004</v>
      </c>
      <c r="L442" t="s">
        <v>503</v>
      </c>
      <c r="M442" t="s">
        <v>503</v>
      </c>
      <c r="O442" t="s">
        <v>969</v>
      </c>
      <c r="P442" t="s">
        <v>2112</v>
      </c>
      <c r="Q442" t="s">
        <v>765</v>
      </c>
      <c r="R442" t="s">
        <v>2113</v>
      </c>
      <c r="S442">
        <v>6</v>
      </c>
      <c r="T442" t="s">
        <v>794</v>
      </c>
      <c r="U442">
        <v>1270739</v>
      </c>
      <c r="V442" t="s">
        <v>889</v>
      </c>
      <c r="W442" t="s">
        <v>503</v>
      </c>
      <c r="X442" t="s">
        <v>2005</v>
      </c>
      <c r="AC442" t="s">
        <v>2010</v>
      </c>
      <c r="AD442" t="s">
        <v>767</v>
      </c>
      <c r="AE442" t="s">
        <v>768</v>
      </c>
      <c r="AF442" t="s">
        <v>585</v>
      </c>
      <c r="AG442" t="s">
        <v>34</v>
      </c>
      <c r="AH442" t="s">
        <v>34</v>
      </c>
      <c r="AI442" t="s">
        <v>34</v>
      </c>
      <c r="AJ442" t="s">
        <v>34</v>
      </c>
      <c r="AK442" t="s">
        <v>34</v>
      </c>
      <c r="AL442" t="s">
        <v>34</v>
      </c>
      <c r="AM442" t="s">
        <v>2866</v>
      </c>
    </row>
    <row r="443" spans="1:39" x14ac:dyDescent="0.2">
      <c r="A443">
        <v>1270738</v>
      </c>
      <c r="B443">
        <v>58045</v>
      </c>
      <c r="C443" t="s">
        <v>504</v>
      </c>
      <c r="D443" t="s">
        <v>743</v>
      </c>
      <c r="E443" t="s">
        <v>677</v>
      </c>
      <c r="F443" t="s">
        <v>34</v>
      </c>
      <c r="G443" t="s">
        <v>772</v>
      </c>
      <c r="H443" t="s">
        <v>3569</v>
      </c>
      <c r="I443" t="s">
        <v>2782</v>
      </c>
      <c r="J443" t="s">
        <v>966</v>
      </c>
      <c r="K443" t="s">
        <v>2004</v>
      </c>
      <c r="L443" t="s">
        <v>504</v>
      </c>
      <c r="M443" t="s">
        <v>504</v>
      </c>
      <c r="O443" t="s">
        <v>969</v>
      </c>
      <c r="P443" t="s">
        <v>2112</v>
      </c>
      <c r="Q443" t="s">
        <v>765</v>
      </c>
      <c r="R443" t="s">
        <v>2113</v>
      </c>
      <c r="S443">
        <v>6</v>
      </c>
      <c r="T443" t="s">
        <v>794</v>
      </c>
      <c r="U443" t="s">
        <v>34</v>
      </c>
      <c r="V443" t="s">
        <v>839</v>
      </c>
      <c r="W443" t="s">
        <v>504</v>
      </c>
      <c r="X443" t="s">
        <v>2005</v>
      </c>
      <c r="AC443" t="s">
        <v>2009</v>
      </c>
      <c r="AD443" t="s">
        <v>767</v>
      </c>
      <c r="AE443" t="s">
        <v>768</v>
      </c>
      <c r="AF443" t="s">
        <v>585</v>
      </c>
      <c r="AG443" t="s">
        <v>34</v>
      </c>
      <c r="AH443" t="s">
        <v>34</v>
      </c>
      <c r="AI443" t="s">
        <v>34</v>
      </c>
      <c r="AJ443" t="s">
        <v>34</v>
      </c>
      <c r="AK443" t="s">
        <v>34</v>
      </c>
      <c r="AL443" t="s">
        <v>34</v>
      </c>
      <c r="AM443" t="s">
        <v>2866</v>
      </c>
    </row>
    <row r="444" spans="1:39" x14ac:dyDescent="0.2">
      <c r="A444">
        <v>1295443</v>
      </c>
      <c r="B444">
        <v>58045</v>
      </c>
      <c r="C444" t="s">
        <v>505</v>
      </c>
      <c r="D444" t="s">
        <v>743</v>
      </c>
      <c r="E444" t="s">
        <v>677</v>
      </c>
      <c r="F444" t="s">
        <v>34</v>
      </c>
      <c r="G444" t="s">
        <v>772</v>
      </c>
      <c r="H444" t="s">
        <v>3610</v>
      </c>
      <c r="I444" t="s">
        <v>2782</v>
      </c>
      <c r="J444" t="s">
        <v>966</v>
      </c>
      <c r="K444" t="s">
        <v>967</v>
      </c>
      <c r="L444" t="s">
        <v>505</v>
      </c>
      <c r="M444" t="s">
        <v>505</v>
      </c>
      <c r="N444" t="s">
        <v>983</v>
      </c>
      <c r="O444" t="s">
        <v>969</v>
      </c>
      <c r="P444" t="s">
        <v>2112</v>
      </c>
      <c r="Q444" t="s">
        <v>765</v>
      </c>
      <c r="R444" t="s">
        <v>2113</v>
      </c>
      <c r="S444">
        <v>6</v>
      </c>
      <c r="T444" t="s">
        <v>794</v>
      </c>
      <c r="U444" t="s">
        <v>34</v>
      </c>
      <c r="V444" t="s">
        <v>889</v>
      </c>
      <c r="W444" t="s">
        <v>505</v>
      </c>
      <c r="X444" t="s">
        <v>2007</v>
      </c>
      <c r="AC444" t="s">
        <v>2008</v>
      </c>
      <c r="AD444" t="s">
        <v>767</v>
      </c>
      <c r="AE444" t="s">
        <v>768</v>
      </c>
      <c r="AF444" t="s">
        <v>585</v>
      </c>
      <c r="AG444" t="s">
        <v>34</v>
      </c>
      <c r="AH444" t="s">
        <v>34</v>
      </c>
      <c r="AI444" t="s">
        <v>34</v>
      </c>
      <c r="AJ444" t="s">
        <v>34</v>
      </c>
      <c r="AK444" t="s">
        <v>34</v>
      </c>
      <c r="AL444" t="s">
        <v>34</v>
      </c>
      <c r="AM444" t="s">
        <v>2866</v>
      </c>
    </row>
    <row r="445" spans="1:39" x14ac:dyDescent="0.2">
      <c r="B445">
        <v>58045</v>
      </c>
      <c r="C445" t="s">
        <v>506</v>
      </c>
      <c r="D445" t="s">
        <v>743</v>
      </c>
      <c r="E445" t="s">
        <v>677</v>
      </c>
      <c r="F445" t="s">
        <v>34</v>
      </c>
      <c r="G445" t="s">
        <v>772</v>
      </c>
      <c r="H445" t="s">
        <v>3569</v>
      </c>
      <c r="I445" t="s">
        <v>2782</v>
      </c>
      <c r="J445" t="s">
        <v>966</v>
      </c>
      <c r="K445" t="s">
        <v>2004</v>
      </c>
      <c r="L445" t="s">
        <v>506</v>
      </c>
      <c r="M445" t="s">
        <v>506</v>
      </c>
      <c r="O445" t="s">
        <v>969</v>
      </c>
      <c r="P445" t="s">
        <v>2112</v>
      </c>
      <c r="Q445" t="s">
        <v>765</v>
      </c>
      <c r="R445" t="s">
        <v>2113</v>
      </c>
      <c r="S445">
        <v>6</v>
      </c>
      <c r="T445" t="s">
        <v>794</v>
      </c>
      <c r="U445" t="s">
        <v>34</v>
      </c>
      <c r="V445" t="s">
        <v>889</v>
      </c>
      <c r="W445" t="s">
        <v>500</v>
      </c>
      <c r="X445" t="s">
        <v>2005</v>
      </c>
      <c r="AC445" t="s">
        <v>2006</v>
      </c>
      <c r="AD445" t="s">
        <v>767</v>
      </c>
      <c r="AE445" t="s">
        <v>768</v>
      </c>
      <c r="AF445" t="s">
        <v>585</v>
      </c>
      <c r="AG445" t="s">
        <v>34</v>
      </c>
      <c r="AH445" t="s">
        <v>34</v>
      </c>
      <c r="AI445" t="s">
        <v>34</v>
      </c>
      <c r="AJ445" t="s">
        <v>34</v>
      </c>
      <c r="AK445" t="s">
        <v>34</v>
      </c>
      <c r="AL445" t="s">
        <v>34</v>
      </c>
      <c r="AM445" t="s">
        <v>2866</v>
      </c>
    </row>
    <row r="446" spans="1:39" x14ac:dyDescent="0.2">
      <c r="A446">
        <v>1270746</v>
      </c>
      <c r="B446">
        <v>58045</v>
      </c>
      <c r="C446" t="s">
        <v>2697</v>
      </c>
      <c r="D446" t="s">
        <v>743</v>
      </c>
      <c r="E446" t="s">
        <v>677</v>
      </c>
      <c r="F446" t="s">
        <v>34</v>
      </c>
      <c r="G446" t="s">
        <v>772</v>
      </c>
      <c r="H446" t="s">
        <v>3569</v>
      </c>
      <c r="I446" t="s">
        <v>2782</v>
      </c>
      <c r="J446" t="s">
        <v>966</v>
      </c>
      <c r="K446" t="s">
        <v>2004</v>
      </c>
      <c r="L446" t="s">
        <v>2697</v>
      </c>
      <c r="M446" t="s">
        <v>2697</v>
      </c>
      <c r="O446" t="s">
        <v>969</v>
      </c>
      <c r="P446" t="s">
        <v>2112</v>
      </c>
      <c r="Q446" t="s">
        <v>765</v>
      </c>
      <c r="R446" t="s">
        <v>2113</v>
      </c>
      <c r="S446">
        <v>6</v>
      </c>
      <c r="T446" t="s">
        <v>794</v>
      </c>
      <c r="U446" t="s">
        <v>34</v>
      </c>
      <c r="V446" t="s">
        <v>889</v>
      </c>
      <c r="W446" t="s">
        <v>2697</v>
      </c>
      <c r="X446" t="s">
        <v>2005</v>
      </c>
      <c r="AC446" t="s">
        <v>2006</v>
      </c>
      <c r="AD446" t="s">
        <v>767</v>
      </c>
      <c r="AE446" t="s">
        <v>768</v>
      </c>
      <c r="AF446" t="s">
        <v>585</v>
      </c>
      <c r="AG446" t="s">
        <v>1889</v>
      </c>
      <c r="AH446" t="s">
        <v>34</v>
      </c>
      <c r="AI446" t="s">
        <v>34</v>
      </c>
      <c r="AJ446" t="s">
        <v>34</v>
      </c>
      <c r="AK446" t="s">
        <v>34</v>
      </c>
      <c r="AL446" t="s">
        <v>34</v>
      </c>
      <c r="AM446" t="s">
        <v>2866</v>
      </c>
    </row>
    <row r="447" spans="1:39" x14ac:dyDescent="0.2">
      <c r="A447">
        <v>1270745</v>
      </c>
      <c r="B447">
        <v>58045</v>
      </c>
      <c r="C447" t="s">
        <v>279</v>
      </c>
      <c r="D447" t="s">
        <v>743</v>
      </c>
      <c r="E447" t="s">
        <v>677</v>
      </c>
      <c r="F447" t="s">
        <v>34</v>
      </c>
      <c r="G447" t="s">
        <v>772</v>
      </c>
      <c r="H447" t="s">
        <v>3569</v>
      </c>
      <c r="I447" t="s">
        <v>586</v>
      </c>
      <c r="J447" t="s">
        <v>775</v>
      </c>
      <c r="K447" t="s">
        <v>1984</v>
      </c>
      <c r="L447">
        <v>176667</v>
      </c>
      <c r="M447" t="s">
        <v>279</v>
      </c>
      <c r="N447" t="s">
        <v>983</v>
      </c>
      <c r="O447" t="s">
        <v>2108</v>
      </c>
      <c r="P447" t="s">
        <v>847</v>
      </c>
      <c r="Q447" t="s">
        <v>828</v>
      </c>
      <c r="R447" t="s">
        <v>2109</v>
      </c>
      <c r="S447">
        <v>27.2</v>
      </c>
      <c r="T447" t="s">
        <v>649</v>
      </c>
      <c r="U447">
        <v>1270177</v>
      </c>
      <c r="V447" t="s">
        <v>1985</v>
      </c>
      <c r="W447" t="s">
        <v>1986</v>
      </c>
      <c r="X447" t="s">
        <v>766</v>
      </c>
      <c r="AC447" t="s">
        <v>34</v>
      </c>
      <c r="AD447" t="s">
        <v>767</v>
      </c>
      <c r="AE447" t="s">
        <v>768</v>
      </c>
      <c r="AF447" t="s">
        <v>585</v>
      </c>
      <c r="AG447">
        <v>10</v>
      </c>
      <c r="AI447">
        <v>2</v>
      </c>
      <c r="AJ447" t="s">
        <v>2414</v>
      </c>
      <c r="AK447" t="s">
        <v>34</v>
      </c>
      <c r="AL447" t="s">
        <v>34</v>
      </c>
      <c r="AM447" t="s">
        <v>2861</v>
      </c>
    </row>
    <row r="448" spans="1:39" x14ac:dyDescent="0.2">
      <c r="A448">
        <v>1270743</v>
      </c>
      <c r="B448">
        <v>58045</v>
      </c>
      <c r="C448" t="s">
        <v>288</v>
      </c>
      <c r="D448" t="s">
        <v>743</v>
      </c>
      <c r="E448" t="s">
        <v>677</v>
      </c>
      <c r="F448" t="s">
        <v>34</v>
      </c>
      <c r="G448" t="s">
        <v>772</v>
      </c>
      <c r="H448" t="s">
        <v>3569</v>
      </c>
      <c r="I448" t="s">
        <v>762</v>
      </c>
      <c r="J448" t="s">
        <v>480</v>
      </c>
      <c r="K448" t="s">
        <v>2011</v>
      </c>
      <c r="L448" t="s">
        <v>2012</v>
      </c>
      <c r="M448" t="s">
        <v>288</v>
      </c>
      <c r="N448" t="s">
        <v>983</v>
      </c>
      <c r="O448" t="s">
        <v>2114</v>
      </c>
      <c r="P448" t="s">
        <v>847</v>
      </c>
      <c r="Q448" t="s">
        <v>828</v>
      </c>
      <c r="R448" t="s">
        <v>2109</v>
      </c>
      <c r="S448">
        <v>26.1</v>
      </c>
      <c r="T448" t="s">
        <v>649</v>
      </c>
      <c r="U448">
        <v>1270176</v>
      </c>
      <c r="V448" t="s">
        <v>1985</v>
      </c>
      <c r="W448" t="s">
        <v>2013</v>
      </c>
      <c r="X448" t="s">
        <v>766</v>
      </c>
      <c r="AC448" t="s">
        <v>34</v>
      </c>
      <c r="AD448" t="s">
        <v>767</v>
      </c>
      <c r="AE448" t="s">
        <v>768</v>
      </c>
      <c r="AF448" t="s">
        <v>585</v>
      </c>
      <c r="AG448">
        <v>10</v>
      </c>
      <c r="AI448">
        <v>2</v>
      </c>
      <c r="AJ448" t="s">
        <v>2414</v>
      </c>
      <c r="AK448" t="s">
        <v>34</v>
      </c>
      <c r="AL448" t="s">
        <v>34</v>
      </c>
      <c r="AM448" t="s">
        <v>2861</v>
      </c>
    </row>
    <row r="449" spans="1:39" x14ac:dyDescent="0.2">
      <c r="A449">
        <v>1270726</v>
      </c>
      <c r="B449">
        <v>58045</v>
      </c>
      <c r="C449" t="s">
        <v>625</v>
      </c>
      <c r="D449" t="s">
        <v>743</v>
      </c>
      <c r="E449" t="s">
        <v>677</v>
      </c>
      <c r="F449" t="s">
        <v>34</v>
      </c>
      <c r="G449" t="s">
        <v>772</v>
      </c>
      <c r="H449" t="s">
        <v>3569</v>
      </c>
      <c r="I449" t="s">
        <v>2783</v>
      </c>
      <c r="J449" t="s">
        <v>966</v>
      </c>
      <c r="K449" t="s">
        <v>1988</v>
      </c>
      <c r="L449" t="s">
        <v>625</v>
      </c>
      <c r="M449" t="s">
        <v>625</v>
      </c>
      <c r="N449" t="s">
        <v>983</v>
      </c>
      <c r="O449" t="s">
        <v>2106</v>
      </c>
      <c r="P449" t="s">
        <v>2799</v>
      </c>
      <c r="Q449" t="s">
        <v>765</v>
      </c>
      <c r="R449" t="s">
        <v>2107</v>
      </c>
      <c r="S449">
        <v>1.6</v>
      </c>
      <c r="T449" t="s">
        <v>794</v>
      </c>
      <c r="U449" t="s">
        <v>34</v>
      </c>
      <c r="V449" t="s">
        <v>889</v>
      </c>
      <c r="W449" t="s">
        <v>625</v>
      </c>
      <c r="X449" t="s">
        <v>1989</v>
      </c>
      <c r="AC449" t="s">
        <v>1990</v>
      </c>
      <c r="AD449" t="s">
        <v>767</v>
      </c>
      <c r="AE449" t="s">
        <v>768</v>
      </c>
      <c r="AF449" t="s">
        <v>585</v>
      </c>
      <c r="AG449" t="s">
        <v>34</v>
      </c>
      <c r="AH449" t="s">
        <v>34</v>
      </c>
      <c r="AI449" t="s">
        <v>34</v>
      </c>
      <c r="AJ449" t="s">
        <v>34</v>
      </c>
      <c r="AK449" t="s">
        <v>34</v>
      </c>
      <c r="AL449" t="s">
        <v>34</v>
      </c>
      <c r="AM449" t="s">
        <v>2866</v>
      </c>
    </row>
    <row r="450" spans="1:39" x14ac:dyDescent="0.2">
      <c r="A450">
        <v>1295472</v>
      </c>
      <c r="B450">
        <v>58045</v>
      </c>
      <c r="C450" t="s">
        <v>507</v>
      </c>
      <c r="D450" t="s">
        <v>743</v>
      </c>
      <c r="E450" t="s">
        <v>677</v>
      </c>
      <c r="F450" t="s">
        <v>34</v>
      </c>
      <c r="G450" t="s">
        <v>772</v>
      </c>
      <c r="H450" t="s">
        <v>3569</v>
      </c>
      <c r="I450" t="s">
        <v>2783</v>
      </c>
      <c r="J450" t="s">
        <v>966</v>
      </c>
      <c r="K450" t="s">
        <v>2001</v>
      </c>
      <c r="L450" t="s">
        <v>507</v>
      </c>
      <c r="M450" t="s">
        <v>507</v>
      </c>
      <c r="N450" t="s">
        <v>983</v>
      </c>
      <c r="O450" t="s">
        <v>2106</v>
      </c>
      <c r="P450" t="s">
        <v>2799</v>
      </c>
      <c r="Q450" t="s">
        <v>765</v>
      </c>
      <c r="R450" t="s">
        <v>2107</v>
      </c>
      <c r="S450">
        <v>1.6</v>
      </c>
      <c r="T450" t="s">
        <v>794</v>
      </c>
      <c r="U450" t="s">
        <v>34</v>
      </c>
      <c r="V450" t="s">
        <v>889</v>
      </c>
      <c r="W450" t="s">
        <v>507</v>
      </c>
      <c r="X450" t="s">
        <v>2002</v>
      </c>
      <c r="AC450" t="s">
        <v>2003</v>
      </c>
      <c r="AD450" t="s">
        <v>767</v>
      </c>
      <c r="AE450" t="s">
        <v>768</v>
      </c>
      <c r="AF450" t="s">
        <v>585</v>
      </c>
      <c r="AG450" t="s">
        <v>34</v>
      </c>
      <c r="AH450" t="s">
        <v>34</v>
      </c>
      <c r="AI450" t="s">
        <v>34</v>
      </c>
      <c r="AJ450" t="s">
        <v>34</v>
      </c>
      <c r="AK450" t="s">
        <v>34</v>
      </c>
      <c r="AL450" t="s">
        <v>34</v>
      </c>
      <c r="AM450" t="s">
        <v>2866</v>
      </c>
    </row>
    <row r="451" spans="1:39" x14ac:dyDescent="0.2">
      <c r="B451">
        <v>58045</v>
      </c>
      <c r="C451" t="s">
        <v>508</v>
      </c>
      <c r="D451" t="s">
        <v>743</v>
      </c>
      <c r="E451" t="s">
        <v>677</v>
      </c>
      <c r="F451" t="s">
        <v>34</v>
      </c>
      <c r="G451" t="s">
        <v>772</v>
      </c>
      <c r="H451" t="s">
        <v>3569</v>
      </c>
      <c r="I451" t="s">
        <v>2783</v>
      </c>
      <c r="J451" t="s">
        <v>966</v>
      </c>
      <c r="K451" t="s">
        <v>1995</v>
      </c>
      <c r="L451" t="s">
        <v>508</v>
      </c>
      <c r="M451" t="s">
        <v>508</v>
      </c>
      <c r="N451" t="s">
        <v>983</v>
      </c>
      <c r="O451" t="s">
        <v>2106</v>
      </c>
      <c r="P451" t="s">
        <v>2799</v>
      </c>
      <c r="Q451" t="s">
        <v>765</v>
      </c>
      <c r="R451" t="s">
        <v>2107</v>
      </c>
      <c r="S451">
        <v>1.6</v>
      </c>
      <c r="T451" t="s">
        <v>794</v>
      </c>
      <c r="U451" t="s">
        <v>34</v>
      </c>
      <c r="V451" t="s">
        <v>889</v>
      </c>
      <c r="W451" t="s">
        <v>508</v>
      </c>
      <c r="X451" t="s">
        <v>1999</v>
      </c>
      <c r="AC451" t="s">
        <v>2000</v>
      </c>
      <c r="AD451" t="s">
        <v>767</v>
      </c>
      <c r="AE451" t="s">
        <v>768</v>
      </c>
      <c r="AF451" t="s">
        <v>585</v>
      </c>
      <c r="AG451" t="s">
        <v>34</v>
      </c>
      <c r="AH451" t="s">
        <v>34</v>
      </c>
      <c r="AI451" t="s">
        <v>34</v>
      </c>
      <c r="AJ451" t="s">
        <v>34</v>
      </c>
      <c r="AK451" t="s">
        <v>34</v>
      </c>
      <c r="AL451" t="s">
        <v>34</v>
      </c>
      <c r="AM451" t="s">
        <v>2866</v>
      </c>
    </row>
    <row r="452" spans="1:39" x14ac:dyDescent="0.2">
      <c r="A452">
        <v>1295445</v>
      </c>
      <c r="B452">
        <v>58045</v>
      </c>
      <c r="C452" t="s">
        <v>668</v>
      </c>
      <c r="D452" t="s">
        <v>743</v>
      </c>
      <c r="E452" t="s">
        <v>677</v>
      </c>
      <c r="F452" t="s">
        <v>34</v>
      </c>
      <c r="G452" t="s">
        <v>772</v>
      </c>
      <c r="H452" t="s">
        <v>3569</v>
      </c>
      <c r="I452" t="s">
        <v>2783</v>
      </c>
      <c r="J452" t="s">
        <v>2014</v>
      </c>
      <c r="K452" t="s">
        <v>2015</v>
      </c>
      <c r="L452" t="s">
        <v>668</v>
      </c>
      <c r="M452" t="s">
        <v>668</v>
      </c>
      <c r="N452" t="s">
        <v>983</v>
      </c>
      <c r="O452" t="s">
        <v>2106</v>
      </c>
      <c r="P452" t="s">
        <v>2799</v>
      </c>
      <c r="Q452" t="s">
        <v>765</v>
      </c>
      <c r="R452" t="s">
        <v>2107</v>
      </c>
      <c r="S452">
        <v>1.6</v>
      </c>
      <c r="T452" t="s">
        <v>794</v>
      </c>
      <c r="U452" t="s">
        <v>34</v>
      </c>
      <c r="V452" t="s">
        <v>2016</v>
      </c>
      <c r="W452" t="s">
        <v>668</v>
      </c>
      <c r="X452" t="s">
        <v>1997</v>
      </c>
      <c r="AC452" t="s">
        <v>2008</v>
      </c>
      <c r="AD452" t="s">
        <v>767</v>
      </c>
      <c r="AE452" t="s">
        <v>768</v>
      </c>
      <c r="AF452" t="s">
        <v>585</v>
      </c>
      <c r="AG452" t="s">
        <v>34</v>
      </c>
      <c r="AH452" t="s">
        <v>34</v>
      </c>
      <c r="AI452" t="s">
        <v>34</v>
      </c>
      <c r="AJ452" t="s">
        <v>34</v>
      </c>
      <c r="AK452" t="s">
        <v>34</v>
      </c>
      <c r="AL452" t="s">
        <v>34</v>
      </c>
      <c r="AM452" t="s">
        <v>2866</v>
      </c>
    </row>
    <row r="453" spans="1:39" x14ac:dyDescent="0.2">
      <c r="A453">
        <v>1295442</v>
      </c>
      <c r="B453">
        <v>58045</v>
      </c>
      <c r="C453" t="s">
        <v>509</v>
      </c>
      <c r="D453" t="s">
        <v>743</v>
      </c>
      <c r="E453" t="s">
        <v>677</v>
      </c>
      <c r="F453" t="s">
        <v>34</v>
      </c>
      <c r="G453" t="s">
        <v>772</v>
      </c>
      <c r="H453" t="s">
        <v>3569</v>
      </c>
      <c r="I453" t="s">
        <v>2783</v>
      </c>
      <c r="J453" t="s">
        <v>966</v>
      </c>
      <c r="K453" t="s">
        <v>1988</v>
      </c>
      <c r="L453" t="s">
        <v>509</v>
      </c>
      <c r="M453" t="s">
        <v>509</v>
      </c>
      <c r="N453" t="s">
        <v>983</v>
      </c>
      <c r="O453" t="s">
        <v>2106</v>
      </c>
      <c r="P453" t="s">
        <v>2799</v>
      </c>
      <c r="Q453" t="s">
        <v>765</v>
      </c>
      <c r="R453" t="s">
        <v>2107</v>
      </c>
      <c r="S453">
        <v>1.6</v>
      </c>
      <c r="T453" t="s">
        <v>794</v>
      </c>
      <c r="U453" t="s">
        <v>34</v>
      </c>
      <c r="V453" t="s">
        <v>972</v>
      </c>
      <c r="W453" t="s">
        <v>509</v>
      </c>
      <c r="X453" t="s">
        <v>1991</v>
      </c>
      <c r="AC453" t="s">
        <v>1992</v>
      </c>
      <c r="AD453" t="s">
        <v>767</v>
      </c>
      <c r="AE453" t="s">
        <v>768</v>
      </c>
      <c r="AF453" t="s">
        <v>585</v>
      </c>
      <c r="AG453" t="s">
        <v>34</v>
      </c>
      <c r="AH453" t="s">
        <v>34</v>
      </c>
      <c r="AI453" t="s">
        <v>34</v>
      </c>
      <c r="AJ453" t="s">
        <v>34</v>
      </c>
      <c r="AK453" t="s">
        <v>34</v>
      </c>
      <c r="AL453" t="s">
        <v>34</v>
      </c>
      <c r="AM453" t="s">
        <v>2866</v>
      </c>
    </row>
    <row r="454" spans="1:39" x14ac:dyDescent="0.2">
      <c r="A454">
        <v>1295503</v>
      </c>
      <c r="B454">
        <v>58045</v>
      </c>
      <c r="C454" t="s">
        <v>510</v>
      </c>
      <c r="D454" t="s">
        <v>743</v>
      </c>
      <c r="E454" t="s">
        <v>677</v>
      </c>
      <c r="F454" t="s">
        <v>34</v>
      </c>
      <c r="G454" t="s">
        <v>772</v>
      </c>
      <c r="H454" t="s">
        <v>3569</v>
      </c>
      <c r="I454" t="s">
        <v>2783</v>
      </c>
      <c r="J454" t="s">
        <v>966</v>
      </c>
      <c r="K454" t="s">
        <v>1988</v>
      </c>
      <c r="L454" t="s">
        <v>510</v>
      </c>
      <c r="M454" t="s">
        <v>510</v>
      </c>
      <c r="N454" t="s">
        <v>983</v>
      </c>
      <c r="O454" t="s">
        <v>2106</v>
      </c>
      <c r="P454" t="s">
        <v>2799</v>
      </c>
      <c r="Q454" t="s">
        <v>765</v>
      </c>
      <c r="R454" t="s">
        <v>2107</v>
      </c>
      <c r="S454">
        <v>1.6</v>
      </c>
      <c r="T454" t="s">
        <v>794</v>
      </c>
      <c r="U454" t="s">
        <v>34</v>
      </c>
      <c r="V454" t="s">
        <v>889</v>
      </c>
      <c r="W454" t="s">
        <v>509</v>
      </c>
      <c r="X454" t="s">
        <v>1997</v>
      </c>
      <c r="AC454" t="s">
        <v>1998</v>
      </c>
      <c r="AD454" t="s">
        <v>767</v>
      </c>
      <c r="AE454" t="s">
        <v>768</v>
      </c>
      <c r="AF454" t="s">
        <v>585</v>
      </c>
      <c r="AG454" t="s">
        <v>34</v>
      </c>
      <c r="AH454" t="s">
        <v>34</v>
      </c>
      <c r="AI454" t="s">
        <v>34</v>
      </c>
      <c r="AJ454" t="s">
        <v>34</v>
      </c>
      <c r="AK454" t="s">
        <v>34</v>
      </c>
      <c r="AL454" t="s">
        <v>34</v>
      </c>
      <c r="AM454" t="s">
        <v>2866</v>
      </c>
    </row>
    <row r="455" spans="1:39" x14ac:dyDescent="0.2">
      <c r="A455">
        <v>1295430</v>
      </c>
      <c r="B455">
        <v>58045</v>
      </c>
      <c r="C455" t="s">
        <v>511</v>
      </c>
      <c r="D455" t="s">
        <v>743</v>
      </c>
      <c r="E455" t="s">
        <v>677</v>
      </c>
      <c r="F455" t="s">
        <v>34</v>
      </c>
      <c r="G455" t="s">
        <v>772</v>
      </c>
      <c r="H455" t="s">
        <v>3569</v>
      </c>
      <c r="I455" t="s">
        <v>2783</v>
      </c>
      <c r="J455" t="s">
        <v>966</v>
      </c>
      <c r="K455" t="s">
        <v>1988</v>
      </c>
      <c r="L455" t="s">
        <v>511</v>
      </c>
      <c r="M455" t="s">
        <v>511</v>
      </c>
      <c r="N455" t="s">
        <v>983</v>
      </c>
      <c r="O455" t="s">
        <v>2106</v>
      </c>
      <c r="P455" t="s">
        <v>2799</v>
      </c>
      <c r="Q455" t="s">
        <v>765</v>
      </c>
      <c r="R455" t="s">
        <v>2107</v>
      </c>
      <c r="S455">
        <v>1.6</v>
      </c>
      <c r="T455" t="s">
        <v>794</v>
      </c>
      <c r="U455" t="s">
        <v>34</v>
      </c>
      <c r="V455" t="s">
        <v>889</v>
      </c>
      <c r="W455" t="s">
        <v>509</v>
      </c>
      <c r="X455" t="s">
        <v>1997</v>
      </c>
      <c r="AC455" t="s">
        <v>2784</v>
      </c>
      <c r="AD455" t="s">
        <v>767</v>
      </c>
      <c r="AE455" t="s">
        <v>768</v>
      </c>
      <c r="AF455" t="s">
        <v>585</v>
      </c>
      <c r="AG455" t="s">
        <v>34</v>
      </c>
      <c r="AH455" t="s">
        <v>34</v>
      </c>
      <c r="AI455" t="s">
        <v>34</v>
      </c>
      <c r="AJ455" t="s">
        <v>34</v>
      </c>
      <c r="AK455" t="s">
        <v>34</v>
      </c>
      <c r="AL455" t="s">
        <v>34</v>
      </c>
      <c r="AM455" t="s">
        <v>2866</v>
      </c>
    </row>
    <row r="456" spans="1:39" x14ac:dyDescent="0.2">
      <c r="A456">
        <v>1270730</v>
      </c>
      <c r="B456">
        <v>58045</v>
      </c>
      <c r="C456" t="s">
        <v>512</v>
      </c>
      <c r="D456" t="s">
        <v>743</v>
      </c>
      <c r="E456" t="s">
        <v>677</v>
      </c>
      <c r="F456" t="s">
        <v>34</v>
      </c>
      <c r="G456" t="s">
        <v>772</v>
      </c>
      <c r="H456" t="s">
        <v>3569</v>
      </c>
      <c r="I456" t="s">
        <v>2783</v>
      </c>
      <c r="J456" t="s">
        <v>966</v>
      </c>
      <c r="K456" t="s">
        <v>1988</v>
      </c>
      <c r="L456" t="s">
        <v>512</v>
      </c>
      <c r="M456" t="s">
        <v>512</v>
      </c>
      <c r="N456" t="s">
        <v>983</v>
      </c>
      <c r="O456" t="s">
        <v>2106</v>
      </c>
      <c r="P456" t="s">
        <v>2799</v>
      </c>
      <c r="Q456" t="s">
        <v>765</v>
      </c>
      <c r="R456" t="s">
        <v>2107</v>
      </c>
      <c r="S456">
        <v>1.6</v>
      </c>
      <c r="T456" t="s">
        <v>794</v>
      </c>
      <c r="U456" t="s">
        <v>34</v>
      </c>
      <c r="V456" t="s">
        <v>972</v>
      </c>
      <c r="W456" t="s">
        <v>509</v>
      </c>
      <c r="X456" t="s">
        <v>1991</v>
      </c>
      <c r="AC456" t="s">
        <v>1992</v>
      </c>
      <c r="AD456" t="s">
        <v>767</v>
      </c>
      <c r="AE456" t="s">
        <v>768</v>
      </c>
      <c r="AF456" t="s">
        <v>585</v>
      </c>
      <c r="AG456" t="s">
        <v>34</v>
      </c>
      <c r="AH456" t="s">
        <v>34</v>
      </c>
      <c r="AI456" t="s">
        <v>34</v>
      </c>
      <c r="AJ456" t="s">
        <v>34</v>
      </c>
      <c r="AK456" t="s">
        <v>34</v>
      </c>
      <c r="AL456" t="s">
        <v>34</v>
      </c>
      <c r="AM456" t="s">
        <v>2866</v>
      </c>
    </row>
    <row r="457" spans="1:39" x14ac:dyDescent="0.2">
      <c r="A457">
        <v>1295470</v>
      </c>
      <c r="B457">
        <v>58045</v>
      </c>
      <c r="C457" t="s">
        <v>667</v>
      </c>
      <c r="D457" t="s">
        <v>743</v>
      </c>
      <c r="E457" t="s">
        <v>677</v>
      </c>
      <c r="F457" t="s">
        <v>34</v>
      </c>
      <c r="G457" t="s">
        <v>772</v>
      </c>
      <c r="H457" t="s">
        <v>3569</v>
      </c>
      <c r="I457" t="s">
        <v>2783</v>
      </c>
      <c r="J457" t="s">
        <v>966</v>
      </c>
      <c r="K457" t="s">
        <v>2785</v>
      </c>
      <c r="L457" t="s">
        <v>667</v>
      </c>
      <c r="M457" t="s">
        <v>667</v>
      </c>
      <c r="N457" t="s">
        <v>983</v>
      </c>
      <c r="O457" t="s">
        <v>2106</v>
      </c>
      <c r="P457" t="s">
        <v>2799</v>
      </c>
      <c r="Q457" t="s">
        <v>828</v>
      </c>
      <c r="R457" t="s">
        <v>2107</v>
      </c>
      <c r="S457">
        <v>1.6</v>
      </c>
      <c r="T457" t="s">
        <v>794</v>
      </c>
      <c r="U457" t="s">
        <v>34</v>
      </c>
      <c r="V457" t="s">
        <v>889</v>
      </c>
      <c r="W457" t="s">
        <v>667</v>
      </c>
      <c r="X457" t="s">
        <v>1989</v>
      </c>
      <c r="AC457" t="s">
        <v>2110</v>
      </c>
      <c r="AD457" t="s">
        <v>767</v>
      </c>
      <c r="AE457" t="s">
        <v>768</v>
      </c>
      <c r="AF457" t="s">
        <v>585</v>
      </c>
      <c r="AG457" t="s">
        <v>34</v>
      </c>
      <c r="AH457" t="s">
        <v>34</v>
      </c>
      <c r="AI457" t="s">
        <v>34</v>
      </c>
      <c r="AJ457" t="s">
        <v>34</v>
      </c>
      <c r="AK457" t="s">
        <v>34</v>
      </c>
      <c r="AL457" t="s">
        <v>34</v>
      </c>
      <c r="AM457" t="s">
        <v>2866</v>
      </c>
    </row>
    <row r="458" spans="1:39" x14ac:dyDescent="0.2">
      <c r="A458">
        <v>1270729</v>
      </c>
      <c r="B458">
        <v>58045</v>
      </c>
      <c r="C458" t="s">
        <v>513</v>
      </c>
      <c r="D458" t="s">
        <v>743</v>
      </c>
      <c r="E458" t="s">
        <v>677</v>
      </c>
      <c r="F458" t="s">
        <v>34</v>
      </c>
      <c r="G458" t="s">
        <v>772</v>
      </c>
      <c r="H458" t="s">
        <v>3569</v>
      </c>
      <c r="I458" t="s">
        <v>2783</v>
      </c>
      <c r="J458" t="s">
        <v>966</v>
      </c>
      <c r="K458" t="s">
        <v>1995</v>
      </c>
      <c r="L458" t="s">
        <v>513</v>
      </c>
      <c r="M458" t="s">
        <v>513</v>
      </c>
      <c r="N458" t="s">
        <v>983</v>
      </c>
      <c r="O458" t="s">
        <v>2106</v>
      </c>
      <c r="P458" t="s">
        <v>2799</v>
      </c>
      <c r="Q458" t="s">
        <v>765</v>
      </c>
      <c r="R458" t="s">
        <v>2107</v>
      </c>
      <c r="S458">
        <v>1.6</v>
      </c>
      <c r="T458" t="s">
        <v>794</v>
      </c>
      <c r="U458" t="s">
        <v>34</v>
      </c>
      <c r="V458" t="s">
        <v>889</v>
      </c>
      <c r="W458" t="s">
        <v>499</v>
      </c>
      <c r="X458" t="s">
        <v>1991</v>
      </c>
      <c r="AC458" t="s">
        <v>1996</v>
      </c>
      <c r="AD458" t="s">
        <v>767</v>
      </c>
      <c r="AE458" t="s">
        <v>768</v>
      </c>
      <c r="AF458" t="s">
        <v>585</v>
      </c>
      <c r="AG458" t="s">
        <v>34</v>
      </c>
      <c r="AH458" t="s">
        <v>34</v>
      </c>
      <c r="AI458" t="s">
        <v>34</v>
      </c>
      <c r="AJ458" t="s">
        <v>34</v>
      </c>
      <c r="AK458" t="s">
        <v>34</v>
      </c>
      <c r="AL458" t="s">
        <v>34</v>
      </c>
      <c r="AM458" t="s">
        <v>2866</v>
      </c>
    </row>
    <row r="459" spans="1:39" x14ac:dyDescent="0.2">
      <c r="A459">
        <v>1270728</v>
      </c>
      <c r="B459">
        <v>58045</v>
      </c>
      <c r="C459" t="s">
        <v>514</v>
      </c>
      <c r="D459" t="s">
        <v>743</v>
      </c>
      <c r="E459" t="s">
        <v>677</v>
      </c>
      <c r="F459" t="s">
        <v>34</v>
      </c>
      <c r="G459" t="s">
        <v>772</v>
      </c>
      <c r="H459" t="s">
        <v>3569</v>
      </c>
      <c r="I459" t="s">
        <v>2783</v>
      </c>
      <c r="J459" t="s">
        <v>966</v>
      </c>
      <c r="K459" t="s">
        <v>1988</v>
      </c>
      <c r="L459" t="s">
        <v>514</v>
      </c>
      <c r="M459" t="s">
        <v>514</v>
      </c>
      <c r="N459" t="s">
        <v>983</v>
      </c>
      <c r="O459" t="s">
        <v>2106</v>
      </c>
      <c r="P459" t="s">
        <v>2799</v>
      </c>
      <c r="Q459" t="s">
        <v>765</v>
      </c>
      <c r="R459" t="s">
        <v>2107</v>
      </c>
      <c r="S459">
        <v>1.6</v>
      </c>
      <c r="T459" t="s">
        <v>794</v>
      </c>
      <c r="U459" t="s">
        <v>34</v>
      </c>
      <c r="V459" t="s">
        <v>889</v>
      </c>
      <c r="W459" t="s">
        <v>509</v>
      </c>
      <c r="X459" t="s">
        <v>1993</v>
      </c>
      <c r="AC459" t="s">
        <v>1994</v>
      </c>
      <c r="AD459" t="s">
        <v>767</v>
      </c>
      <c r="AE459" t="s">
        <v>768</v>
      </c>
      <c r="AF459" t="s">
        <v>585</v>
      </c>
      <c r="AG459" t="s">
        <v>34</v>
      </c>
      <c r="AH459" t="s">
        <v>34</v>
      </c>
      <c r="AI459" t="s">
        <v>34</v>
      </c>
      <c r="AJ459" t="s">
        <v>34</v>
      </c>
      <c r="AK459" t="s">
        <v>34</v>
      </c>
      <c r="AL459" t="s">
        <v>34</v>
      </c>
      <c r="AM459" t="s">
        <v>2866</v>
      </c>
    </row>
    <row r="460" spans="1:39" x14ac:dyDescent="0.2">
      <c r="A460">
        <v>1295471</v>
      </c>
      <c r="B460">
        <v>58045</v>
      </c>
      <c r="C460" t="s">
        <v>515</v>
      </c>
      <c r="D460" t="s">
        <v>743</v>
      </c>
      <c r="E460" t="s">
        <v>677</v>
      </c>
      <c r="F460" t="s">
        <v>34</v>
      </c>
      <c r="G460" t="s">
        <v>772</v>
      </c>
      <c r="H460" t="s">
        <v>3569</v>
      </c>
      <c r="I460" t="s">
        <v>2783</v>
      </c>
      <c r="J460" t="s">
        <v>966</v>
      </c>
      <c r="K460" t="s">
        <v>1988</v>
      </c>
      <c r="L460" t="s">
        <v>515</v>
      </c>
      <c r="M460" t="s">
        <v>515</v>
      </c>
      <c r="O460" t="s">
        <v>2106</v>
      </c>
      <c r="P460" t="s">
        <v>2799</v>
      </c>
      <c r="Q460" t="s">
        <v>765</v>
      </c>
      <c r="R460" t="s">
        <v>2107</v>
      </c>
      <c r="S460">
        <v>1.6</v>
      </c>
      <c r="T460" t="s">
        <v>794</v>
      </c>
      <c r="U460" t="s">
        <v>34</v>
      </c>
      <c r="V460" t="s">
        <v>972</v>
      </c>
      <c r="W460" t="s">
        <v>515</v>
      </c>
      <c r="X460" t="s">
        <v>1991</v>
      </c>
      <c r="AC460" t="s">
        <v>1992</v>
      </c>
      <c r="AD460" t="s">
        <v>767</v>
      </c>
      <c r="AE460" t="s">
        <v>768</v>
      </c>
      <c r="AF460" t="s">
        <v>585</v>
      </c>
      <c r="AG460" t="s">
        <v>34</v>
      </c>
      <c r="AH460" t="s">
        <v>34</v>
      </c>
      <c r="AI460" t="s">
        <v>34</v>
      </c>
      <c r="AJ460" t="s">
        <v>34</v>
      </c>
      <c r="AK460" t="s">
        <v>34</v>
      </c>
      <c r="AL460" t="s">
        <v>34</v>
      </c>
      <c r="AM460" t="s">
        <v>2866</v>
      </c>
    </row>
    <row r="461" spans="1:39" x14ac:dyDescent="0.2">
      <c r="A461">
        <v>1270769</v>
      </c>
      <c r="B461">
        <v>58045</v>
      </c>
      <c r="C461" t="s">
        <v>516</v>
      </c>
      <c r="D461" t="s">
        <v>743</v>
      </c>
      <c r="E461" t="s">
        <v>677</v>
      </c>
      <c r="F461" t="s">
        <v>34</v>
      </c>
      <c r="G461" t="s">
        <v>772</v>
      </c>
      <c r="H461" t="s">
        <v>3569</v>
      </c>
      <c r="I461" t="s">
        <v>2783</v>
      </c>
      <c r="J461" t="s">
        <v>966</v>
      </c>
      <c r="K461" t="s">
        <v>1988</v>
      </c>
      <c r="L461" t="s">
        <v>516</v>
      </c>
      <c r="M461" t="s">
        <v>516</v>
      </c>
      <c r="N461" t="s">
        <v>983</v>
      </c>
      <c r="O461" t="s">
        <v>2106</v>
      </c>
      <c r="P461" t="s">
        <v>2799</v>
      </c>
      <c r="Q461" t="s">
        <v>828</v>
      </c>
      <c r="R461" t="s">
        <v>2107</v>
      </c>
      <c r="S461">
        <v>1.6</v>
      </c>
      <c r="T461" t="s">
        <v>794</v>
      </c>
      <c r="U461" t="s">
        <v>34</v>
      </c>
      <c r="V461" t="s">
        <v>889</v>
      </c>
      <c r="W461" t="s">
        <v>516</v>
      </c>
      <c r="X461" t="s">
        <v>1989</v>
      </c>
      <c r="AC461" t="s">
        <v>1990</v>
      </c>
      <c r="AD461" t="s">
        <v>767</v>
      </c>
      <c r="AE461" t="s">
        <v>768</v>
      </c>
      <c r="AF461" t="s">
        <v>585</v>
      </c>
      <c r="AG461" t="s">
        <v>34</v>
      </c>
      <c r="AH461" t="s">
        <v>34</v>
      </c>
      <c r="AI461" t="s">
        <v>34</v>
      </c>
      <c r="AJ461" t="s">
        <v>34</v>
      </c>
      <c r="AK461" t="s">
        <v>34</v>
      </c>
      <c r="AL461" t="s">
        <v>34</v>
      </c>
      <c r="AM461" t="s">
        <v>2866</v>
      </c>
    </row>
    <row r="462" spans="1:39" x14ac:dyDescent="0.2">
      <c r="A462">
        <v>1270725</v>
      </c>
      <c r="B462">
        <v>58045</v>
      </c>
      <c r="C462" t="s">
        <v>499</v>
      </c>
      <c r="D462" t="s">
        <v>743</v>
      </c>
      <c r="E462" t="s">
        <v>677</v>
      </c>
      <c r="F462" t="s">
        <v>34</v>
      </c>
      <c r="G462" t="s">
        <v>772</v>
      </c>
      <c r="H462" t="s">
        <v>3569</v>
      </c>
      <c r="I462" t="s">
        <v>2783</v>
      </c>
      <c r="J462" t="s">
        <v>966</v>
      </c>
      <c r="K462" t="s">
        <v>1988</v>
      </c>
      <c r="L462" t="s">
        <v>499</v>
      </c>
      <c r="M462" t="s">
        <v>499</v>
      </c>
      <c r="N462" t="s">
        <v>983</v>
      </c>
      <c r="O462" t="s">
        <v>2106</v>
      </c>
      <c r="P462" t="s">
        <v>2799</v>
      </c>
      <c r="Q462" t="s">
        <v>765</v>
      </c>
      <c r="R462" t="s">
        <v>2107</v>
      </c>
      <c r="S462">
        <v>1.6</v>
      </c>
      <c r="T462" t="s">
        <v>794</v>
      </c>
      <c r="U462" t="s">
        <v>34</v>
      </c>
      <c r="V462" t="s">
        <v>889</v>
      </c>
      <c r="W462" t="s">
        <v>499</v>
      </c>
      <c r="X462" t="s">
        <v>1989</v>
      </c>
      <c r="AC462" t="s">
        <v>2111</v>
      </c>
      <c r="AD462" t="s">
        <v>767</v>
      </c>
      <c r="AE462" t="s">
        <v>768</v>
      </c>
      <c r="AF462" t="s">
        <v>585</v>
      </c>
      <c r="AG462" t="s">
        <v>34</v>
      </c>
      <c r="AH462" t="s">
        <v>34</v>
      </c>
      <c r="AI462" t="s">
        <v>34</v>
      </c>
      <c r="AJ462" t="s">
        <v>34</v>
      </c>
      <c r="AK462" t="s">
        <v>34</v>
      </c>
      <c r="AL462" t="s">
        <v>34</v>
      </c>
      <c r="AM462" t="s">
        <v>2866</v>
      </c>
    </row>
    <row r="463" spans="1:39" x14ac:dyDescent="0.2">
      <c r="A463">
        <v>1270747</v>
      </c>
      <c r="B463">
        <v>58011</v>
      </c>
      <c r="C463" t="s">
        <v>613</v>
      </c>
      <c r="D463" t="s">
        <v>2115</v>
      </c>
      <c r="E463" t="s">
        <v>695</v>
      </c>
      <c r="F463" t="s">
        <v>34</v>
      </c>
      <c r="G463" t="s">
        <v>772</v>
      </c>
      <c r="H463" t="s">
        <v>3582</v>
      </c>
      <c r="I463" t="s">
        <v>762</v>
      </c>
      <c r="J463" t="s">
        <v>613</v>
      </c>
      <c r="K463" t="s">
        <v>2116</v>
      </c>
      <c r="L463" t="s">
        <v>2117</v>
      </c>
      <c r="M463" t="s">
        <v>613</v>
      </c>
      <c r="N463" t="s">
        <v>2118</v>
      </c>
      <c r="O463" t="s">
        <v>2119</v>
      </c>
      <c r="P463" t="s">
        <v>770</v>
      </c>
      <c r="Q463" t="s">
        <v>828</v>
      </c>
      <c r="R463" t="s">
        <v>2120</v>
      </c>
      <c r="S463">
        <v>1.7</v>
      </c>
      <c r="T463" t="s">
        <v>793</v>
      </c>
      <c r="U463" t="s">
        <v>34</v>
      </c>
      <c r="V463" t="s">
        <v>2121</v>
      </c>
      <c r="W463" t="s">
        <v>2122</v>
      </c>
      <c r="X463" t="s">
        <v>844</v>
      </c>
      <c r="Y463" t="s">
        <v>34</v>
      </c>
      <c r="Z463" t="s">
        <v>2121</v>
      </c>
      <c r="AA463" t="s">
        <v>2123</v>
      </c>
      <c r="AB463" t="s">
        <v>844</v>
      </c>
      <c r="AC463" t="s">
        <v>2859</v>
      </c>
      <c r="AD463" t="s">
        <v>767</v>
      </c>
      <c r="AE463" t="s">
        <v>768</v>
      </c>
      <c r="AF463" t="s">
        <v>585</v>
      </c>
      <c r="AG463" t="s">
        <v>34</v>
      </c>
      <c r="AH463" t="s">
        <v>34</v>
      </c>
      <c r="AI463" t="s">
        <v>34</v>
      </c>
      <c r="AJ463" t="s">
        <v>34</v>
      </c>
      <c r="AK463" t="s">
        <v>34</v>
      </c>
      <c r="AL463" t="s">
        <v>34</v>
      </c>
      <c r="AM463" t="s">
        <v>2861</v>
      </c>
    </row>
    <row r="464" spans="1:39" x14ac:dyDescent="0.2">
      <c r="A464">
        <v>2323708</v>
      </c>
      <c r="B464">
        <v>67678</v>
      </c>
      <c r="C464" t="s">
        <v>289</v>
      </c>
      <c r="D464" t="s">
        <v>3264</v>
      </c>
      <c r="E464" t="s">
        <v>687</v>
      </c>
      <c r="F464" t="s">
        <v>34</v>
      </c>
      <c r="G464" t="s">
        <v>772</v>
      </c>
      <c r="H464" t="s">
        <v>3569</v>
      </c>
      <c r="I464" t="s">
        <v>980</v>
      </c>
      <c r="J464" t="s">
        <v>366</v>
      </c>
      <c r="K464" t="s">
        <v>880</v>
      </c>
      <c r="L464" t="s">
        <v>289</v>
      </c>
      <c r="M464" t="s">
        <v>289</v>
      </c>
      <c r="N464" t="s">
        <v>310</v>
      </c>
      <c r="O464" t="s">
        <v>3348</v>
      </c>
      <c r="P464" t="s">
        <v>770</v>
      </c>
      <c r="Q464" t="s">
        <v>3349</v>
      </c>
      <c r="R464" t="s">
        <v>3350</v>
      </c>
      <c r="S464">
        <v>6.4</v>
      </c>
      <c r="T464" t="s">
        <v>649</v>
      </c>
      <c r="U464">
        <v>2323710</v>
      </c>
      <c r="V464" t="s">
        <v>3351</v>
      </c>
      <c r="W464" t="s">
        <v>3352</v>
      </c>
      <c r="X464" t="s">
        <v>766</v>
      </c>
      <c r="AC464" t="s">
        <v>34</v>
      </c>
      <c r="AD464" t="s">
        <v>767</v>
      </c>
      <c r="AE464" t="s">
        <v>768</v>
      </c>
      <c r="AF464" t="s">
        <v>585</v>
      </c>
      <c r="AG464" t="s">
        <v>34</v>
      </c>
      <c r="AH464" t="s">
        <v>34</v>
      </c>
      <c r="AI464" t="s">
        <v>34</v>
      </c>
      <c r="AJ464" t="s">
        <v>34</v>
      </c>
      <c r="AK464" t="s">
        <v>34</v>
      </c>
      <c r="AL464" t="s">
        <v>34</v>
      </c>
    </row>
    <row r="465" spans="1:41" x14ac:dyDescent="0.2">
      <c r="B465">
        <v>67678</v>
      </c>
      <c r="C465" t="s">
        <v>288</v>
      </c>
      <c r="D465" t="s">
        <v>3264</v>
      </c>
      <c r="E465" t="s">
        <v>687</v>
      </c>
      <c r="F465" t="s">
        <v>34</v>
      </c>
      <c r="G465" t="s">
        <v>772</v>
      </c>
      <c r="H465" t="s">
        <v>3569</v>
      </c>
      <c r="I465" t="s">
        <v>980</v>
      </c>
      <c r="J465" t="s">
        <v>366</v>
      </c>
      <c r="K465" t="s">
        <v>880</v>
      </c>
      <c r="L465" t="s">
        <v>288</v>
      </c>
      <c r="M465" t="s">
        <v>288</v>
      </c>
      <c r="N465" t="s">
        <v>310</v>
      </c>
      <c r="O465" t="s">
        <v>3353</v>
      </c>
      <c r="P465" t="s">
        <v>770</v>
      </c>
      <c r="Q465" t="s">
        <v>903</v>
      </c>
      <c r="R465" t="s">
        <v>3354</v>
      </c>
      <c r="S465">
        <v>282.5</v>
      </c>
      <c r="T465" t="s">
        <v>649</v>
      </c>
      <c r="U465">
        <v>2323640</v>
      </c>
      <c r="V465" t="s">
        <v>3355</v>
      </c>
      <c r="W465" t="s">
        <v>3356</v>
      </c>
      <c r="X465" t="s">
        <v>766</v>
      </c>
      <c r="AC465" t="s">
        <v>34</v>
      </c>
      <c r="AD465" t="s">
        <v>767</v>
      </c>
      <c r="AE465" t="s">
        <v>768</v>
      </c>
      <c r="AF465" t="s">
        <v>585</v>
      </c>
      <c r="AG465">
        <v>1</v>
      </c>
      <c r="AH465">
        <v>0.75</v>
      </c>
      <c r="AJ465" t="s">
        <v>34</v>
      </c>
      <c r="AK465" t="s">
        <v>34</v>
      </c>
      <c r="AL465" t="s">
        <v>34</v>
      </c>
      <c r="AM465" t="s">
        <v>2864</v>
      </c>
    </row>
    <row r="466" spans="1:41" x14ac:dyDescent="0.2">
      <c r="B466">
        <v>67678</v>
      </c>
      <c r="C466" t="s">
        <v>279</v>
      </c>
      <c r="D466" t="s">
        <v>3264</v>
      </c>
      <c r="E466" t="s">
        <v>687</v>
      </c>
      <c r="F466" t="s">
        <v>34</v>
      </c>
      <c r="G466" t="s">
        <v>772</v>
      </c>
      <c r="H466" t="s">
        <v>3569</v>
      </c>
      <c r="I466" t="s">
        <v>980</v>
      </c>
      <c r="J466" t="s">
        <v>366</v>
      </c>
      <c r="K466" t="s">
        <v>880</v>
      </c>
      <c r="L466" t="s">
        <v>279</v>
      </c>
      <c r="M466" t="s">
        <v>279</v>
      </c>
      <c r="N466" t="s">
        <v>310</v>
      </c>
      <c r="O466" t="s">
        <v>3265</v>
      </c>
      <c r="P466" t="s">
        <v>770</v>
      </c>
      <c r="Q466" t="s">
        <v>903</v>
      </c>
      <c r="R466" t="s">
        <v>3266</v>
      </c>
      <c r="S466">
        <v>1760</v>
      </c>
      <c r="T466" t="s">
        <v>649</v>
      </c>
      <c r="U466" t="s">
        <v>34</v>
      </c>
      <c r="V466" t="s">
        <v>1221</v>
      </c>
      <c r="W466" t="s">
        <v>1737</v>
      </c>
      <c r="X466" t="s">
        <v>766</v>
      </c>
      <c r="AC466" t="s">
        <v>34</v>
      </c>
      <c r="AD466" t="s">
        <v>767</v>
      </c>
      <c r="AE466" t="s">
        <v>768</v>
      </c>
      <c r="AF466" t="s">
        <v>585</v>
      </c>
      <c r="AG466" t="s">
        <v>2353</v>
      </c>
      <c r="AH466">
        <v>0.75</v>
      </c>
      <c r="AI466">
        <v>0.5</v>
      </c>
      <c r="AJ466" t="s">
        <v>34</v>
      </c>
      <c r="AK466" t="s">
        <v>34</v>
      </c>
      <c r="AL466" t="s">
        <v>34</v>
      </c>
      <c r="AM466" t="s">
        <v>2864</v>
      </c>
    </row>
    <row r="467" spans="1:41" x14ac:dyDescent="0.2">
      <c r="A467">
        <v>1299418</v>
      </c>
      <c r="B467">
        <v>58239</v>
      </c>
      <c r="C467" t="s">
        <v>2887</v>
      </c>
      <c r="D467" t="s">
        <v>2888</v>
      </c>
      <c r="E467" t="s">
        <v>2889</v>
      </c>
      <c r="F467" t="s">
        <v>34</v>
      </c>
      <c r="G467" t="s">
        <v>772</v>
      </c>
      <c r="H467" t="s">
        <v>3569</v>
      </c>
      <c r="I467" t="s">
        <v>1293</v>
      </c>
      <c r="J467" t="s">
        <v>480</v>
      </c>
      <c r="K467" t="s">
        <v>2465</v>
      </c>
      <c r="L467" t="s">
        <v>2887</v>
      </c>
      <c r="M467" t="s">
        <v>2887</v>
      </c>
      <c r="N467" t="s">
        <v>310</v>
      </c>
      <c r="O467" t="s">
        <v>2466</v>
      </c>
      <c r="P467" t="s">
        <v>1963</v>
      </c>
      <c r="Q467" t="s">
        <v>828</v>
      </c>
      <c r="R467" t="s">
        <v>2467</v>
      </c>
      <c r="S467">
        <v>2.7</v>
      </c>
      <c r="T467" t="s">
        <v>649</v>
      </c>
      <c r="U467" t="s">
        <v>34</v>
      </c>
      <c r="V467" t="s">
        <v>2468</v>
      </c>
      <c r="W467" t="s">
        <v>2469</v>
      </c>
      <c r="X467" t="s">
        <v>3435</v>
      </c>
      <c r="AC467" t="s">
        <v>3616</v>
      </c>
      <c r="AD467" t="s">
        <v>767</v>
      </c>
      <c r="AE467" t="s">
        <v>768</v>
      </c>
      <c r="AF467" t="s">
        <v>585</v>
      </c>
      <c r="AG467">
        <v>5</v>
      </c>
      <c r="AH467">
        <v>75</v>
      </c>
      <c r="AI467">
        <v>1</v>
      </c>
      <c r="AJ467" t="s">
        <v>2383</v>
      </c>
      <c r="AK467" t="s">
        <v>2890</v>
      </c>
      <c r="AL467" t="s">
        <v>34</v>
      </c>
      <c r="AM467" t="s">
        <v>2861</v>
      </c>
    </row>
    <row r="468" spans="1:41" x14ac:dyDescent="0.2">
      <c r="B468">
        <v>58249</v>
      </c>
      <c r="C468" t="s">
        <v>531</v>
      </c>
      <c r="D468" t="s">
        <v>745</v>
      </c>
      <c r="E468" t="s">
        <v>746</v>
      </c>
      <c r="F468" t="s">
        <v>34</v>
      </c>
      <c r="G468" t="s">
        <v>772</v>
      </c>
      <c r="H468" t="s">
        <v>3569</v>
      </c>
      <c r="I468" t="s">
        <v>586</v>
      </c>
      <c r="J468" t="s">
        <v>887</v>
      </c>
      <c r="K468" t="s">
        <v>2201</v>
      </c>
      <c r="L468" t="s">
        <v>531</v>
      </c>
      <c r="M468" t="s">
        <v>531</v>
      </c>
      <c r="N468" t="s">
        <v>983</v>
      </c>
      <c r="O468" t="s">
        <v>1027</v>
      </c>
      <c r="P468" t="s">
        <v>764</v>
      </c>
      <c r="Q468" t="s">
        <v>828</v>
      </c>
      <c r="R468" t="s">
        <v>2202</v>
      </c>
      <c r="S468">
        <v>315</v>
      </c>
      <c r="AC468" t="s">
        <v>34</v>
      </c>
      <c r="AD468" t="s">
        <v>767</v>
      </c>
      <c r="AE468" t="s">
        <v>768</v>
      </c>
      <c r="AF468" t="s">
        <v>585</v>
      </c>
      <c r="AG468" t="s">
        <v>34</v>
      </c>
      <c r="AH468" t="s">
        <v>34</v>
      </c>
      <c r="AI468" t="s">
        <v>34</v>
      </c>
      <c r="AJ468" t="s">
        <v>34</v>
      </c>
      <c r="AK468" t="s">
        <v>34</v>
      </c>
      <c r="AL468" t="s">
        <v>34</v>
      </c>
      <c r="AM468" t="s">
        <v>2861</v>
      </c>
    </row>
    <row r="469" spans="1:41" x14ac:dyDescent="0.2">
      <c r="B469">
        <v>58249</v>
      </c>
      <c r="C469" t="s">
        <v>528</v>
      </c>
      <c r="D469" t="s">
        <v>745</v>
      </c>
      <c r="E469" t="s">
        <v>746</v>
      </c>
      <c r="F469" t="s">
        <v>34</v>
      </c>
      <c r="G469" t="s">
        <v>772</v>
      </c>
      <c r="H469" t="s">
        <v>3569</v>
      </c>
      <c r="I469" t="s">
        <v>586</v>
      </c>
      <c r="J469" t="s">
        <v>2213</v>
      </c>
      <c r="K469" t="s">
        <v>880</v>
      </c>
      <c r="L469" t="s">
        <v>2216</v>
      </c>
      <c r="M469" t="s">
        <v>528</v>
      </c>
      <c r="N469" t="s">
        <v>983</v>
      </c>
      <c r="O469" t="s">
        <v>1128</v>
      </c>
      <c r="Q469" t="s">
        <v>828</v>
      </c>
      <c r="R469" t="s">
        <v>2178</v>
      </c>
      <c r="S469">
        <v>94.5</v>
      </c>
      <c r="AC469" t="s">
        <v>34</v>
      </c>
      <c r="AD469" t="s">
        <v>767</v>
      </c>
      <c r="AE469" t="s">
        <v>768</v>
      </c>
      <c r="AF469" t="s">
        <v>585</v>
      </c>
      <c r="AG469" t="s">
        <v>34</v>
      </c>
      <c r="AH469" t="s">
        <v>34</v>
      </c>
      <c r="AI469" t="s">
        <v>34</v>
      </c>
      <c r="AJ469" t="s">
        <v>34</v>
      </c>
      <c r="AK469" t="s">
        <v>34</v>
      </c>
      <c r="AL469" t="s">
        <v>34</v>
      </c>
      <c r="AM469" t="s">
        <v>2861</v>
      </c>
    </row>
    <row r="470" spans="1:41" x14ac:dyDescent="0.2">
      <c r="B470">
        <v>58249</v>
      </c>
      <c r="C470" t="s">
        <v>529</v>
      </c>
      <c r="D470" t="s">
        <v>745</v>
      </c>
      <c r="E470" t="s">
        <v>746</v>
      </c>
      <c r="F470" t="s">
        <v>34</v>
      </c>
      <c r="G470" t="s">
        <v>772</v>
      </c>
      <c r="H470" t="s">
        <v>3569</v>
      </c>
      <c r="I470" t="s">
        <v>586</v>
      </c>
      <c r="J470" t="s">
        <v>2213</v>
      </c>
      <c r="K470" t="s">
        <v>880</v>
      </c>
      <c r="L470" t="s">
        <v>2214</v>
      </c>
      <c r="M470" t="s">
        <v>529</v>
      </c>
      <c r="N470" t="s">
        <v>983</v>
      </c>
      <c r="O470" t="s">
        <v>2215</v>
      </c>
      <c r="Q470" t="s">
        <v>828</v>
      </c>
      <c r="R470" t="s">
        <v>2178</v>
      </c>
      <c r="S470">
        <v>94.5</v>
      </c>
      <c r="AC470" t="s">
        <v>34</v>
      </c>
      <c r="AD470" t="s">
        <v>767</v>
      </c>
      <c r="AE470" t="s">
        <v>768</v>
      </c>
      <c r="AF470" t="s">
        <v>585</v>
      </c>
      <c r="AG470" t="s">
        <v>34</v>
      </c>
      <c r="AH470" t="s">
        <v>34</v>
      </c>
      <c r="AI470" t="s">
        <v>34</v>
      </c>
      <c r="AJ470" t="s">
        <v>34</v>
      </c>
      <c r="AK470" t="s">
        <v>34</v>
      </c>
      <c r="AL470" t="s">
        <v>34</v>
      </c>
      <c r="AM470" t="s">
        <v>2861</v>
      </c>
    </row>
    <row r="471" spans="1:41" x14ac:dyDescent="0.2">
      <c r="B471">
        <v>58249</v>
      </c>
      <c r="C471" t="s">
        <v>527</v>
      </c>
      <c r="D471" t="s">
        <v>745</v>
      </c>
      <c r="E471" t="s">
        <v>746</v>
      </c>
      <c r="F471" t="s">
        <v>34</v>
      </c>
      <c r="G471" t="s">
        <v>772</v>
      </c>
      <c r="H471" t="s">
        <v>3569</v>
      </c>
      <c r="I471" t="s">
        <v>586</v>
      </c>
      <c r="J471" t="s">
        <v>1331</v>
      </c>
      <c r="K471" t="s">
        <v>880</v>
      </c>
      <c r="L471" t="s">
        <v>2182</v>
      </c>
      <c r="M471" t="s">
        <v>527</v>
      </c>
      <c r="N471" t="s">
        <v>983</v>
      </c>
      <c r="O471" t="s">
        <v>1415</v>
      </c>
      <c r="Q471" t="s">
        <v>828</v>
      </c>
      <c r="R471" t="s">
        <v>2178</v>
      </c>
      <c r="S471">
        <v>94.5</v>
      </c>
      <c r="AC471" t="s">
        <v>34</v>
      </c>
      <c r="AD471" t="s">
        <v>767</v>
      </c>
      <c r="AE471" t="s">
        <v>768</v>
      </c>
      <c r="AF471" t="s">
        <v>585</v>
      </c>
      <c r="AG471" t="s">
        <v>34</v>
      </c>
      <c r="AH471" t="s">
        <v>34</v>
      </c>
      <c r="AI471" t="s">
        <v>34</v>
      </c>
      <c r="AJ471" t="s">
        <v>34</v>
      </c>
      <c r="AK471" t="s">
        <v>34</v>
      </c>
      <c r="AL471" t="s">
        <v>34</v>
      </c>
      <c r="AM471" t="s">
        <v>2861</v>
      </c>
    </row>
    <row r="472" spans="1:41" x14ac:dyDescent="0.2">
      <c r="B472">
        <v>58249</v>
      </c>
      <c r="C472" t="s">
        <v>538</v>
      </c>
      <c r="D472" t="s">
        <v>745</v>
      </c>
      <c r="E472" t="s">
        <v>746</v>
      </c>
      <c r="F472" t="s">
        <v>34</v>
      </c>
      <c r="G472" t="s">
        <v>772</v>
      </c>
      <c r="H472" t="s">
        <v>3569</v>
      </c>
      <c r="I472" t="s">
        <v>586</v>
      </c>
      <c r="J472" t="s">
        <v>2179</v>
      </c>
      <c r="K472" t="s">
        <v>880</v>
      </c>
      <c r="L472" t="s">
        <v>2180</v>
      </c>
      <c r="M472" t="s">
        <v>538</v>
      </c>
      <c r="N472" t="s">
        <v>983</v>
      </c>
      <c r="O472" t="s">
        <v>2181</v>
      </c>
      <c r="Q472" t="s">
        <v>828</v>
      </c>
      <c r="R472" t="s">
        <v>2178</v>
      </c>
      <c r="S472">
        <v>94.5</v>
      </c>
      <c r="AC472" t="s">
        <v>34</v>
      </c>
      <c r="AD472" t="s">
        <v>767</v>
      </c>
      <c r="AE472" t="s">
        <v>768</v>
      </c>
      <c r="AF472" t="s">
        <v>585</v>
      </c>
      <c r="AG472" t="s">
        <v>34</v>
      </c>
      <c r="AH472" t="s">
        <v>34</v>
      </c>
      <c r="AI472" t="s">
        <v>34</v>
      </c>
      <c r="AJ472" t="s">
        <v>34</v>
      </c>
      <c r="AK472" t="s">
        <v>34</v>
      </c>
      <c r="AL472" t="s">
        <v>34</v>
      </c>
      <c r="AM472" t="s">
        <v>2861</v>
      </c>
    </row>
    <row r="473" spans="1:41" x14ac:dyDescent="0.2">
      <c r="B473">
        <v>58249</v>
      </c>
      <c r="C473" t="s">
        <v>530</v>
      </c>
      <c r="D473" t="s">
        <v>745</v>
      </c>
      <c r="E473" t="s">
        <v>746</v>
      </c>
      <c r="F473" t="s">
        <v>34</v>
      </c>
      <c r="G473" t="s">
        <v>772</v>
      </c>
      <c r="H473" t="s">
        <v>3569</v>
      </c>
      <c r="I473" t="s">
        <v>586</v>
      </c>
      <c r="J473" t="s">
        <v>2209</v>
      </c>
      <c r="K473" t="s">
        <v>880</v>
      </c>
      <c r="L473" t="s">
        <v>2210</v>
      </c>
      <c r="M473" t="s">
        <v>530</v>
      </c>
      <c r="N473" t="s">
        <v>983</v>
      </c>
      <c r="O473" t="s">
        <v>2211</v>
      </c>
      <c r="Q473" t="s">
        <v>828</v>
      </c>
      <c r="R473" t="s">
        <v>2178</v>
      </c>
      <c r="S473">
        <v>94.5</v>
      </c>
      <c r="AC473" t="s">
        <v>34</v>
      </c>
      <c r="AD473" t="s">
        <v>767</v>
      </c>
      <c r="AE473" t="s">
        <v>768</v>
      </c>
      <c r="AF473" t="s">
        <v>585</v>
      </c>
      <c r="AG473" t="s">
        <v>34</v>
      </c>
      <c r="AH473" t="s">
        <v>34</v>
      </c>
      <c r="AI473" t="s">
        <v>34</v>
      </c>
      <c r="AJ473" t="s">
        <v>34</v>
      </c>
      <c r="AK473" t="s">
        <v>34</v>
      </c>
      <c r="AL473" t="s">
        <v>34</v>
      </c>
      <c r="AM473" t="s">
        <v>2861</v>
      </c>
    </row>
    <row r="474" spans="1:41" x14ac:dyDescent="0.2">
      <c r="B474">
        <v>58249</v>
      </c>
      <c r="C474" t="s">
        <v>533</v>
      </c>
      <c r="D474" t="s">
        <v>745</v>
      </c>
      <c r="E474" t="s">
        <v>746</v>
      </c>
      <c r="F474" t="s">
        <v>34</v>
      </c>
      <c r="G474" t="s">
        <v>772</v>
      </c>
      <c r="H474" t="s">
        <v>3569</v>
      </c>
      <c r="I474" t="s">
        <v>586</v>
      </c>
      <c r="J474" t="s">
        <v>2189</v>
      </c>
      <c r="K474" t="s">
        <v>880</v>
      </c>
      <c r="L474" t="s">
        <v>2195</v>
      </c>
      <c r="M474" t="s">
        <v>533</v>
      </c>
      <c r="N474" t="s">
        <v>983</v>
      </c>
      <c r="O474" t="s">
        <v>2191</v>
      </c>
      <c r="Q474" t="s">
        <v>828</v>
      </c>
      <c r="R474" t="s">
        <v>2178</v>
      </c>
      <c r="S474">
        <v>94.5</v>
      </c>
      <c r="AC474" t="s">
        <v>34</v>
      </c>
      <c r="AD474" t="s">
        <v>767</v>
      </c>
      <c r="AE474" t="s">
        <v>768</v>
      </c>
      <c r="AF474" t="s">
        <v>585</v>
      </c>
      <c r="AG474" t="s">
        <v>34</v>
      </c>
      <c r="AH474" t="s">
        <v>34</v>
      </c>
      <c r="AI474" t="s">
        <v>34</v>
      </c>
      <c r="AJ474" t="s">
        <v>34</v>
      </c>
      <c r="AK474" t="s">
        <v>34</v>
      </c>
      <c r="AL474" t="s">
        <v>34</v>
      </c>
      <c r="AM474" t="s">
        <v>2861</v>
      </c>
    </row>
    <row r="475" spans="1:41" x14ac:dyDescent="0.2">
      <c r="B475">
        <v>58249</v>
      </c>
      <c r="C475" t="s">
        <v>335</v>
      </c>
      <c r="D475" t="s">
        <v>745</v>
      </c>
      <c r="E475" t="s">
        <v>746</v>
      </c>
      <c r="F475" t="s">
        <v>34</v>
      </c>
      <c r="G475" t="s">
        <v>772</v>
      </c>
      <c r="H475" t="s">
        <v>3569</v>
      </c>
      <c r="I475" t="s">
        <v>762</v>
      </c>
      <c r="J475" t="s">
        <v>350</v>
      </c>
      <c r="K475" t="s">
        <v>2226</v>
      </c>
      <c r="L475">
        <v>6469</v>
      </c>
      <c r="M475" t="s">
        <v>335</v>
      </c>
      <c r="N475" t="s">
        <v>3570</v>
      </c>
      <c r="O475" t="s">
        <v>1005</v>
      </c>
      <c r="P475" t="s">
        <v>2916</v>
      </c>
      <c r="Q475" t="s">
        <v>765</v>
      </c>
      <c r="R475" t="s">
        <v>2227</v>
      </c>
      <c r="S475">
        <v>100</v>
      </c>
      <c r="T475" t="s">
        <v>793</v>
      </c>
      <c r="U475" t="s">
        <v>34</v>
      </c>
      <c r="Y475" t="s">
        <v>34</v>
      </c>
      <c r="AC475" t="s">
        <v>34</v>
      </c>
      <c r="AD475" t="s">
        <v>767</v>
      </c>
      <c r="AE475" t="s">
        <v>768</v>
      </c>
      <c r="AF475" t="s">
        <v>585</v>
      </c>
      <c r="AG475" t="s">
        <v>34</v>
      </c>
      <c r="AH475" t="s">
        <v>34</v>
      </c>
      <c r="AI475" t="s">
        <v>34</v>
      </c>
      <c r="AJ475" t="s">
        <v>34</v>
      </c>
      <c r="AK475" t="s">
        <v>34</v>
      </c>
      <c r="AL475" t="s">
        <v>34</v>
      </c>
      <c r="AM475" t="s">
        <v>2861</v>
      </c>
      <c r="AN475">
        <v>1.4583333333333332E-2</v>
      </c>
    </row>
    <row r="476" spans="1:41" x14ac:dyDescent="0.2">
      <c r="A476">
        <v>1270875</v>
      </c>
      <c r="B476">
        <v>58249</v>
      </c>
      <c r="C476" t="s">
        <v>333</v>
      </c>
      <c r="D476" t="s">
        <v>745</v>
      </c>
      <c r="E476" t="s">
        <v>746</v>
      </c>
      <c r="F476" t="s">
        <v>34</v>
      </c>
      <c r="G476" t="s">
        <v>772</v>
      </c>
      <c r="H476" t="s">
        <v>3569</v>
      </c>
      <c r="I476" t="s">
        <v>762</v>
      </c>
      <c r="J476" t="s">
        <v>350</v>
      </c>
      <c r="K476" t="s">
        <v>2221</v>
      </c>
      <c r="L476">
        <v>5214</v>
      </c>
      <c r="M476" t="s">
        <v>333</v>
      </c>
      <c r="N476" t="s">
        <v>3611</v>
      </c>
      <c r="O476" t="s">
        <v>2222</v>
      </c>
      <c r="P476" t="s">
        <v>2953</v>
      </c>
      <c r="Q476" t="s">
        <v>765</v>
      </c>
      <c r="R476" t="s">
        <v>2223</v>
      </c>
      <c r="S476">
        <v>55.1</v>
      </c>
      <c r="T476" t="s">
        <v>793</v>
      </c>
      <c r="U476">
        <v>1270208</v>
      </c>
      <c r="V476" t="s">
        <v>1049</v>
      </c>
      <c r="W476" t="s">
        <v>2224</v>
      </c>
      <c r="X476" t="s">
        <v>2917</v>
      </c>
      <c r="Y476" t="s">
        <v>34</v>
      </c>
      <c r="Z476" t="s">
        <v>1049</v>
      </c>
      <c r="AA476" t="s">
        <v>2224</v>
      </c>
      <c r="AB476" t="s">
        <v>2917</v>
      </c>
      <c r="AC476" t="s">
        <v>2225</v>
      </c>
      <c r="AD476" t="s">
        <v>767</v>
      </c>
      <c r="AE476" t="s">
        <v>768</v>
      </c>
      <c r="AF476" t="s">
        <v>585</v>
      </c>
      <c r="AG476">
        <v>3.6</v>
      </c>
      <c r="AH476">
        <v>2.5</v>
      </c>
      <c r="AI476">
        <v>0.7</v>
      </c>
      <c r="AJ476" t="s">
        <v>2436</v>
      </c>
      <c r="AK476" t="s">
        <v>34</v>
      </c>
      <c r="AL476" t="s">
        <v>34</v>
      </c>
      <c r="AM476" t="s">
        <v>2861</v>
      </c>
      <c r="AN476">
        <v>1.4583333333333332E-2</v>
      </c>
    </row>
    <row r="477" spans="1:41" x14ac:dyDescent="0.2">
      <c r="A477">
        <v>1270874</v>
      </c>
      <c r="B477">
        <v>58249</v>
      </c>
      <c r="C477" t="s">
        <v>212</v>
      </c>
      <c r="D477" t="s">
        <v>745</v>
      </c>
      <c r="E477" t="s">
        <v>746</v>
      </c>
      <c r="F477" t="s">
        <v>34</v>
      </c>
      <c r="G477" t="s">
        <v>772</v>
      </c>
      <c r="H477" t="s">
        <v>3569</v>
      </c>
      <c r="I477" t="s">
        <v>762</v>
      </c>
      <c r="J477" t="s">
        <v>350</v>
      </c>
      <c r="K477" t="s">
        <v>2217</v>
      </c>
      <c r="L477" t="s">
        <v>2218</v>
      </c>
      <c r="M477" t="s">
        <v>212</v>
      </c>
      <c r="N477" t="s">
        <v>3570</v>
      </c>
      <c r="O477" t="s">
        <v>1457</v>
      </c>
      <c r="P477" t="s">
        <v>2916</v>
      </c>
      <c r="Q477" t="s">
        <v>903</v>
      </c>
      <c r="R477" t="s">
        <v>2219</v>
      </c>
      <c r="S477">
        <v>480.8</v>
      </c>
      <c r="T477" t="s">
        <v>793</v>
      </c>
      <c r="U477" t="s">
        <v>34</v>
      </c>
      <c r="V477" t="s">
        <v>1049</v>
      </c>
      <c r="W477" t="s">
        <v>2220</v>
      </c>
      <c r="X477" t="s">
        <v>2917</v>
      </c>
      <c r="Y477" t="s">
        <v>34</v>
      </c>
      <c r="Z477" t="s">
        <v>1049</v>
      </c>
      <c r="AA477" t="s">
        <v>2220</v>
      </c>
      <c r="AB477" t="s">
        <v>2917</v>
      </c>
      <c r="AC477" t="s">
        <v>34</v>
      </c>
      <c r="AD477" t="s">
        <v>767</v>
      </c>
      <c r="AE477" t="s">
        <v>768</v>
      </c>
      <c r="AF477" t="s">
        <v>585</v>
      </c>
      <c r="AG477" t="s">
        <v>2362</v>
      </c>
      <c r="AH477">
        <v>0.1</v>
      </c>
      <c r="AI477">
        <v>0.45</v>
      </c>
      <c r="AJ477" t="s">
        <v>2436</v>
      </c>
      <c r="AK477" t="s">
        <v>2437</v>
      </c>
      <c r="AL477" t="s">
        <v>34</v>
      </c>
      <c r="AM477" t="s">
        <v>2861</v>
      </c>
    </row>
    <row r="478" spans="1:41" x14ac:dyDescent="0.2">
      <c r="A478">
        <v>1270916</v>
      </c>
      <c r="B478">
        <v>58249</v>
      </c>
      <c r="C478" t="s">
        <v>532</v>
      </c>
      <c r="D478" t="s">
        <v>745</v>
      </c>
      <c r="E478" t="s">
        <v>746</v>
      </c>
      <c r="F478" t="s">
        <v>34</v>
      </c>
      <c r="G478" t="s">
        <v>772</v>
      </c>
      <c r="H478" t="s">
        <v>3569</v>
      </c>
      <c r="I478" t="s">
        <v>762</v>
      </c>
      <c r="J478" t="s">
        <v>2196</v>
      </c>
      <c r="K478" t="s">
        <v>2197</v>
      </c>
      <c r="L478">
        <v>18612</v>
      </c>
      <c r="M478" t="s">
        <v>532</v>
      </c>
      <c r="N478" t="s">
        <v>3591</v>
      </c>
      <c r="O478" t="s">
        <v>2198</v>
      </c>
      <c r="P478" t="s">
        <v>2924</v>
      </c>
      <c r="Q478" t="s">
        <v>765</v>
      </c>
      <c r="R478" t="s">
        <v>2199</v>
      </c>
      <c r="S478">
        <v>21</v>
      </c>
      <c r="T478" t="s">
        <v>793</v>
      </c>
      <c r="U478">
        <v>1270291</v>
      </c>
      <c r="V478" t="s">
        <v>1054</v>
      </c>
      <c r="W478" t="s">
        <v>2200</v>
      </c>
      <c r="X478" t="s">
        <v>2917</v>
      </c>
      <c r="Y478" t="s">
        <v>34</v>
      </c>
      <c r="Z478" t="s">
        <v>1054</v>
      </c>
      <c r="AA478" t="s">
        <v>2200</v>
      </c>
      <c r="AB478" t="s">
        <v>2917</v>
      </c>
      <c r="AC478" t="s">
        <v>34</v>
      </c>
      <c r="AD478" t="s">
        <v>767</v>
      </c>
      <c r="AE478" t="s">
        <v>768</v>
      </c>
      <c r="AF478" t="s">
        <v>585</v>
      </c>
      <c r="AG478">
        <v>2.5</v>
      </c>
      <c r="AH478">
        <v>0.25</v>
      </c>
      <c r="AI478">
        <v>0.15</v>
      </c>
      <c r="AJ478" t="s">
        <v>2433</v>
      </c>
      <c r="AK478" t="s">
        <v>34</v>
      </c>
      <c r="AL478" t="s">
        <v>34</v>
      </c>
      <c r="AM478" t="s">
        <v>2864</v>
      </c>
      <c r="AN478">
        <v>1.4583333333333332E-2</v>
      </c>
    </row>
    <row r="479" spans="1:41" x14ac:dyDescent="0.2">
      <c r="A479">
        <v>1270918</v>
      </c>
      <c r="B479">
        <v>58249</v>
      </c>
      <c r="C479" t="s">
        <v>351</v>
      </c>
      <c r="D479" t="s">
        <v>745</v>
      </c>
      <c r="E479" t="s">
        <v>746</v>
      </c>
      <c r="F479" t="s">
        <v>34</v>
      </c>
      <c r="G479" t="s">
        <v>772</v>
      </c>
      <c r="H479" t="s">
        <v>3569</v>
      </c>
      <c r="I479" t="s">
        <v>762</v>
      </c>
      <c r="J479" t="s">
        <v>351</v>
      </c>
      <c r="K479" t="s">
        <v>2203</v>
      </c>
      <c r="L479">
        <v>7280010</v>
      </c>
      <c r="M479" t="s">
        <v>351</v>
      </c>
      <c r="N479" t="s">
        <v>3570</v>
      </c>
      <c r="O479" t="s">
        <v>2204</v>
      </c>
      <c r="P479" t="s">
        <v>2916</v>
      </c>
      <c r="Q479" t="s">
        <v>765</v>
      </c>
      <c r="R479" t="s">
        <v>2205</v>
      </c>
      <c r="S479">
        <v>172</v>
      </c>
      <c r="T479" t="s">
        <v>793</v>
      </c>
      <c r="U479">
        <v>1270289</v>
      </c>
      <c r="V479" t="s">
        <v>952</v>
      </c>
      <c r="W479" t="s">
        <v>2206</v>
      </c>
      <c r="X479" t="s">
        <v>3171</v>
      </c>
      <c r="Y479" t="s">
        <v>34</v>
      </c>
      <c r="Z479" t="s">
        <v>1049</v>
      </c>
      <c r="AA479" t="s">
        <v>2208</v>
      </c>
      <c r="AB479" t="s">
        <v>3171</v>
      </c>
      <c r="AC479" t="s">
        <v>34</v>
      </c>
      <c r="AD479" t="s">
        <v>767</v>
      </c>
      <c r="AE479" t="s">
        <v>768</v>
      </c>
      <c r="AF479" t="s">
        <v>585</v>
      </c>
      <c r="AG479">
        <v>2.5</v>
      </c>
      <c r="AH479">
        <v>2</v>
      </c>
      <c r="AI479">
        <v>1</v>
      </c>
      <c r="AJ479" t="s">
        <v>2434</v>
      </c>
      <c r="AK479" t="s">
        <v>2435</v>
      </c>
      <c r="AL479" t="s">
        <v>34</v>
      </c>
      <c r="AM479" t="s">
        <v>2864</v>
      </c>
      <c r="AO479">
        <v>2.1527777777777781E-2</v>
      </c>
    </row>
    <row r="480" spans="1:41" x14ac:dyDescent="0.2">
      <c r="B480">
        <v>58249</v>
      </c>
      <c r="C480" t="s">
        <v>539</v>
      </c>
      <c r="D480" t="s">
        <v>745</v>
      </c>
      <c r="E480" t="s">
        <v>746</v>
      </c>
      <c r="F480" t="s">
        <v>34</v>
      </c>
      <c r="G480" t="s">
        <v>772</v>
      </c>
      <c r="H480" t="s">
        <v>3569</v>
      </c>
      <c r="I480" t="s">
        <v>586</v>
      </c>
      <c r="J480" t="s">
        <v>2176</v>
      </c>
      <c r="K480" t="s">
        <v>880</v>
      </c>
      <c r="L480" t="s">
        <v>2177</v>
      </c>
      <c r="M480" t="s">
        <v>539</v>
      </c>
      <c r="N480" t="s">
        <v>983</v>
      </c>
      <c r="O480" t="s">
        <v>1208</v>
      </c>
      <c r="Q480" t="s">
        <v>828</v>
      </c>
      <c r="R480" t="s">
        <v>2178</v>
      </c>
      <c r="S480">
        <v>94.5</v>
      </c>
      <c r="AC480" t="s">
        <v>34</v>
      </c>
      <c r="AD480" t="s">
        <v>767</v>
      </c>
      <c r="AE480" t="s">
        <v>768</v>
      </c>
      <c r="AF480" t="s">
        <v>585</v>
      </c>
      <c r="AG480" t="s">
        <v>34</v>
      </c>
      <c r="AH480" t="s">
        <v>34</v>
      </c>
      <c r="AI480" t="s">
        <v>34</v>
      </c>
      <c r="AJ480" t="s">
        <v>34</v>
      </c>
      <c r="AK480" t="s">
        <v>34</v>
      </c>
      <c r="AL480" t="s">
        <v>34</v>
      </c>
      <c r="AM480" t="s">
        <v>2861</v>
      </c>
    </row>
    <row r="481" spans="1:41" x14ac:dyDescent="0.2">
      <c r="B481">
        <v>58249</v>
      </c>
      <c r="C481" t="s">
        <v>535</v>
      </c>
      <c r="D481" t="s">
        <v>745</v>
      </c>
      <c r="E481" t="s">
        <v>746</v>
      </c>
      <c r="F481" t="s">
        <v>34</v>
      </c>
      <c r="G481" t="s">
        <v>772</v>
      </c>
      <c r="H481" t="s">
        <v>3569</v>
      </c>
      <c r="I481" t="s">
        <v>586</v>
      </c>
      <c r="J481" t="s">
        <v>2192</v>
      </c>
      <c r="K481" t="s">
        <v>880</v>
      </c>
      <c r="L481" t="s">
        <v>2193</v>
      </c>
      <c r="M481" t="s">
        <v>535</v>
      </c>
      <c r="N481" t="s">
        <v>983</v>
      </c>
      <c r="O481" t="s">
        <v>2194</v>
      </c>
      <c r="Q481" t="s">
        <v>828</v>
      </c>
      <c r="R481" t="s">
        <v>2178</v>
      </c>
      <c r="S481">
        <v>94.5</v>
      </c>
      <c r="AC481" t="s">
        <v>34</v>
      </c>
      <c r="AD481" t="s">
        <v>767</v>
      </c>
      <c r="AE481" t="s">
        <v>768</v>
      </c>
      <c r="AF481" t="s">
        <v>585</v>
      </c>
      <c r="AG481" t="s">
        <v>34</v>
      </c>
      <c r="AH481" t="s">
        <v>34</v>
      </c>
      <c r="AI481" t="s">
        <v>34</v>
      </c>
      <c r="AJ481" t="s">
        <v>34</v>
      </c>
      <c r="AK481" t="s">
        <v>34</v>
      </c>
      <c r="AL481" t="s">
        <v>34</v>
      </c>
      <c r="AM481" t="s">
        <v>2861</v>
      </c>
    </row>
    <row r="482" spans="1:41" x14ac:dyDescent="0.2">
      <c r="B482">
        <v>58249</v>
      </c>
      <c r="C482" t="s">
        <v>536</v>
      </c>
      <c r="D482" t="s">
        <v>745</v>
      </c>
      <c r="E482" t="s">
        <v>746</v>
      </c>
      <c r="F482" t="s">
        <v>34</v>
      </c>
      <c r="G482" t="s">
        <v>772</v>
      </c>
      <c r="H482" t="s">
        <v>3569</v>
      </c>
      <c r="I482" t="s">
        <v>586</v>
      </c>
      <c r="J482" t="s">
        <v>2187</v>
      </c>
      <c r="K482" t="s">
        <v>880</v>
      </c>
      <c r="L482" t="s">
        <v>2188</v>
      </c>
      <c r="M482" t="s">
        <v>536</v>
      </c>
      <c r="N482" t="s">
        <v>983</v>
      </c>
      <c r="O482" t="s">
        <v>893</v>
      </c>
      <c r="Q482" t="s">
        <v>828</v>
      </c>
      <c r="R482" t="s">
        <v>2178</v>
      </c>
      <c r="S482">
        <v>94.5</v>
      </c>
      <c r="AC482" t="s">
        <v>34</v>
      </c>
      <c r="AD482" t="s">
        <v>767</v>
      </c>
      <c r="AE482" t="s">
        <v>768</v>
      </c>
      <c r="AF482" t="s">
        <v>585</v>
      </c>
      <c r="AG482" t="s">
        <v>34</v>
      </c>
      <c r="AH482" t="s">
        <v>34</v>
      </c>
      <c r="AI482" t="s">
        <v>34</v>
      </c>
      <c r="AJ482" t="s">
        <v>34</v>
      </c>
      <c r="AK482" t="s">
        <v>34</v>
      </c>
      <c r="AL482" t="s">
        <v>34</v>
      </c>
      <c r="AM482" t="s">
        <v>2861</v>
      </c>
    </row>
    <row r="483" spans="1:41" x14ac:dyDescent="0.2">
      <c r="B483">
        <v>58249</v>
      </c>
      <c r="C483" t="s">
        <v>537</v>
      </c>
      <c r="D483" t="s">
        <v>745</v>
      </c>
      <c r="E483" t="s">
        <v>746</v>
      </c>
      <c r="F483" t="s">
        <v>34</v>
      </c>
      <c r="G483" t="s">
        <v>772</v>
      </c>
      <c r="H483" t="s">
        <v>3569</v>
      </c>
      <c r="I483" t="s">
        <v>586</v>
      </c>
      <c r="J483" t="s">
        <v>2183</v>
      </c>
      <c r="K483" t="s">
        <v>880</v>
      </c>
      <c r="L483" t="s">
        <v>2184</v>
      </c>
      <c r="M483" t="s">
        <v>537</v>
      </c>
      <c r="N483" t="s">
        <v>983</v>
      </c>
      <c r="O483" t="s">
        <v>2185</v>
      </c>
      <c r="Q483" t="s">
        <v>828</v>
      </c>
      <c r="R483" t="s">
        <v>2186</v>
      </c>
      <c r="S483">
        <v>63</v>
      </c>
      <c r="AC483" t="s">
        <v>34</v>
      </c>
      <c r="AD483" t="s">
        <v>767</v>
      </c>
      <c r="AE483" t="s">
        <v>768</v>
      </c>
      <c r="AF483" t="s">
        <v>585</v>
      </c>
      <c r="AG483" t="s">
        <v>34</v>
      </c>
      <c r="AH483" t="s">
        <v>34</v>
      </c>
      <c r="AI483" t="s">
        <v>34</v>
      </c>
      <c r="AJ483" t="s">
        <v>34</v>
      </c>
      <c r="AK483" t="s">
        <v>34</v>
      </c>
      <c r="AL483" t="s">
        <v>34</v>
      </c>
      <c r="AM483" t="s">
        <v>2861</v>
      </c>
    </row>
    <row r="484" spans="1:41" x14ac:dyDescent="0.2">
      <c r="B484">
        <v>58249</v>
      </c>
      <c r="C484" t="s">
        <v>534</v>
      </c>
      <c r="D484" t="s">
        <v>745</v>
      </c>
      <c r="E484" t="s">
        <v>746</v>
      </c>
      <c r="F484" t="s">
        <v>34</v>
      </c>
      <c r="G484" t="s">
        <v>772</v>
      </c>
      <c r="H484" t="s">
        <v>3569</v>
      </c>
      <c r="I484" t="s">
        <v>586</v>
      </c>
      <c r="J484" t="s">
        <v>2189</v>
      </c>
      <c r="K484" t="s">
        <v>880</v>
      </c>
      <c r="L484" t="s">
        <v>2190</v>
      </c>
      <c r="M484" t="s">
        <v>534</v>
      </c>
      <c r="N484" t="s">
        <v>983</v>
      </c>
      <c r="O484" t="s">
        <v>2191</v>
      </c>
      <c r="Q484" t="s">
        <v>828</v>
      </c>
      <c r="R484" t="s">
        <v>2178</v>
      </c>
      <c r="S484">
        <v>94.5</v>
      </c>
      <c r="AC484" t="s">
        <v>34</v>
      </c>
      <c r="AD484" t="s">
        <v>767</v>
      </c>
      <c r="AE484" t="s">
        <v>768</v>
      </c>
      <c r="AF484" t="s">
        <v>585</v>
      </c>
      <c r="AG484" t="s">
        <v>34</v>
      </c>
      <c r="AH484" t="s">
        <v>34</v>
      </c>
      <c r="AI484" t="s">
        <v>34</v>
      </c>
      <c r="AJ484" t="s">
        <v>34</v>
      </c>
      <c r="AK484" t="s">
        <v>34</v>
      </c>
      <c r="AL484" t="s">
        <v>34</v>
      </c>
      <c r="AM484" t="s">
        <v>2861</v>
      </c>
      <c r="AN484">
        <v>1.4583333333333332E-2</v>
      </c>
      <c r="AO484">
        <v>2.1527777777777781E-2</v>
      </c>
    </row>
    <row r="485" spans="1:41" x14ac:dyDescent="0.2">
      <c r="B485">
        <v>58249</v>
      </c>
      <c r="C485" t="s">
        <v>466</v>
      </c>
      <c r="D485" t="s">
        <v>745</v>
      </c>
      <c r="E485" t="s">
        <v>746</v>
      </c>
      <c r="F485" t="s">
        <v>34</v>
      </c>
      <c r="G485" t="s">
        <v>772</v>
      </c>
      <c r="H485" t="s">
        <v>3569</v>
      </c>
      <c r="I485" t="s">
        <v>762</v>
      </c>
      <c r="J485" t="s">
        <v>934</v>
      </c>
      <c r="K485" t="s">
        <v>763</v>
      </c>
      <c r="L485" t="s">
        <v>3660</v>
      </c>
      <c r="M485" t="s">
        <v>466</v>
      </c>
      <c r="N485" t="s">
        <v>3570</v>
      </c>
      <c r="O485" t="s">
        <v>3661</v>
      </c>
      <c r="P485" t="s">
        <v>2916</v>
      </c>
      <c r="Q485" t="s">
        <v>765</v>
      </c>
      <c r="R485" t="s">
        <v>2212</v>
      </c>
      <c r="S485">
        <v>85.6</v>
      </c>
      <c r="T485" t="s">
        <v>791</v>
      </c>
      <c r="U485">
        <v>2721120</v>
      </c>
      <c r="V485" t="s">
        <v>3662</v>
      </c>
      <c r="W485" t="s">
        <v>3663</v>
      </c>
      <c r="X485" t="s">
        <v>2917</v>
      </c>
      <c r="Y485" t="s">
        <v>34</v>
      </c>
      <c r="Z485" t="s">
        <v>3664</v>
      </c>
      <c r="AA485" t="s">
        <v>3665</v>
      </c>
      <c r="AB485" t="s">
        <v>2917</v>
      </c>
      <c r="AC485" t="s">
        <v>34</v>
      </c>
      <c r="AD485" t="s">
        <v>767</v>
      </c>
      <c r="AE485" t="s">
        <v>768</v>
      </c>
      <c r="AF485" t="s">
        <v>585</v>
      </c>
      <c r="AG485" t="s">
        <v>3666</v>
      </c>
      <c r="AH485">
        <v>0.1</v>
      </c>
      <c r="AI485">
        <v>0.1</v>
      </c>
      <c r="AJ485" t="s">
        <v>34</v>
      </c>
      <c r="AK485" t="s">
        <v>34</v>
      </c>
      <c r="AL485" t="s">
        <v>34</v>
      </c>
      <c r="AM485" t="s">
        <v>2861</v>
      </c>
    </row>
    <row r="486" spans="1:41" x14ac:dyDescent="0.2">
      <c r="A486">
        <v>1270906</v>
      </c>
      <c r="B486">
        <v>58191</v>
      </c>
      <c r="C486" t="s">
        <v>541</v>
      </c>
      <c r="D486" t="s">
        <v>747</v>
      </c>
      <c r="E486" t="s">
        <v>748</v>
      </c>
      <c r="F486" t="s">
        <v>34</v>
      </c>
      <c r="G486" t="s">
        <v>772</v>
      </c>
      <c r="H486" t="s">
        <v>3569</v>
      </c>
      <c r="I486" t="s">
        <v>586</v>
      </c>
      <c r="J486" t="s">
        <v>366</v>
      </c>
      <c r="K486" t="s">
        <v>2235</v>
      </c>
      <c r="L486">
        <v>620185</v>
      </c>
      <c r="M486" t="s">
        <v>541</v>
      </c>
      <c r="N486" t="s">
        <v>983</v>
      </c>
      <c r="O486" t="s">
        <v>2236</v>
      </c>
      <c r="P486" t="s">
        <v>2207</v>
      </c>
      <c r="Q486" t="s">
        <v>765</v>
      </c>
      <c r="R486" t="s">
        <v>2237</v>
      </c>
      <c r="S486">
        <v>43.8</v>
      </c>
      <c r="T486" t="s">
        <v>649</v>
      </c>
      <c r="U486">
        <v>1270275</v>
      </c>
      <c r="V486" t="s">
        <v>3267</v>
      </c>
      <c r="W486" t="s">
        <v>3268</v>
      </c>
      <c r="X486" t="s">
        <v>766</v>
      </c>
      <c r="AC486" t="s">
        <v>34</v>
      </c>
      <c r="AD486" t="s">
        <v>767</v>
      </c>
      <c r="AE486" t="s">
        <v>768</v>
      </c>
      <c r="AF486" t="s">
        <v>585</v>
      </c>
      <c r="AG486">
        <v>1</v>
      </c>
      <c r="AH486" t="s">
        <v>3209</v>
      </c>
      <c r="AI486">
        <v>106</v>
      </c>
      <c r="AJ486" t="s">
        <v>3269</v>
      </c>
      <c r="AK486" t="s">
        <v>3270</v>
      </c>
      <c r="AL486" t="s">
        <v>34</v>
      </c>
      <c r="AM486" t="s">
        <v>2861</v>
      </c>
    </row>
    <row r="487" spans="1:41" x14ac:dyDescent="0.2">
      <c r="A487">
        <v>1300133</v>
      </c>
      <c r="B487">
        <v>58191</v>
      </c>
      <c r="C487" t="s">
        <v>597</v>
      </c>
      <c r="D487" t="s">
        <v>747</v>
      </c>
      <c r="E487" t="s">
        <v>748</v>
      </c>
      <c r="F487" t="s">
        <v>34</v>
      </c>
      <c r="G487" t="s">
        <v>772</v>
      </c>
      <c r="H487" t="s">
        <v>3569</v>
      </c>
      <c r="I487" t="s">
        <v>586</v>
      </c>
      <c r="J487" t="s">
        <v>434</v>
      </c>
      <c r="K487" t="s">
        <v>2228</v>
      </c>
      <c r="L487" t="s">
        <v>2229</v>
      </c>
      <c r="M487" t="s">
        <v>597</v>
      </c>
      <c r="N487" t="s">
        <v>983</v>
      </c>
      <c r="O487" t="s">
        <v>2230</v>
      </c>
      <c r="P487" t="s">
        <v>847</v>
      </c>
      <c r="Q487" t="s">
        <v>765</v>
      </c>
      <c r="R487" t="s">
        <v>2231</v>
      </c>
      <c r="S487">
        <v>0.92</v>
      </c>
      <c r="T487" t="s">
        <v>649</v>
      </c>
      <c r="U487">
        <v>1692229</v>
      </c>
      <c r="V487" t="s">
        <v>2232</v>
      </c>
      <c r="W487" t="s">
        <v>2233</v>
      </c>
      <c r="X487" t="s">
        <v>847</v>
      </c>
      <c r="AC487" t="s">
        <v>2234</v>
      </c>
      <c r="AD487" t="s">
        <v>767</v>
      </c>
      <c r="AE487" t="s">
        <v>768</v>
      </c>
      <c r="AF487" t="s">
        <v>585</v>
      </c>
      <c r="AG487" t="s">
        <v>1889</v>
      </c>
      <c r="AH487" t="s">
        <v>34</v>
      </c>
      <c r="AI487" t="s">
        <v>34</v>
      </c>
      <c r="AJ487" t="s">
        <v>34</v>
      </c>
      <c r="AK487" t="s">
        <v>34</v>
      </c>
      <c r="AL487" t="s">
        <v>34</v>
      </c>
      <c r="AM487" t="s">
        <v>2861</v>
      </c>
    </row>
    <row r="488" spans="1:41" x14ac:dyDescent="0.2">
      <c r="B488">
        <v>58191</v>
      </c>
      <c r="C488" t="s">
        <v>3271</v>
      </c>
      <c r="D488" t="s">
        <v>747</v>
      </c>
      <c r="E488" t="s">
        <v>748</v>
      </c>
      <c r="F488" t="s">
        <v>34</v>
      </c>
      <c r="G488" t="s">
        <v>3068</v>
      </c>
      <c r="H488" t="s">
        <v>3569</v>
      </c>
      <c r="I488" t="s">
        <v>586</v>
      </c>
      <c r="J488" t="s">
        <v>3272</v>
      </c>
      <c r="K488" t="s">
        <v>1850</v>
      </c>
      <c r="L488">
        <v>43122353</v>
      </c>
      <c r="M488">
        <v>6042</v>
      </c>
      <c r="N488" t="s">
        <v>983</v>
      </c>
      <c r="O488" t="s">
        <v>3554</v>
      </c>
      <c r="P488" t="s">
        <v>844</v>
      </c>
      <c r="Q488" t="s">
        <v>765</v>
      </c>
      <c r="R488" t="s">
        <v>3273</v>
      </c>
      <c r="S488">
        <v>1.663</v>
      </c>
      <c r="T488" t="s">
        <v>649</v>
      </c>
      <c r="U488" t="s">
        <v>34</v>
      </c>
      <c r="V488" t="s">
        <v>839</v>
      </c>
      <c r="W488">
        <v>43122353</v>
      </c>
      <c r="X488" t="s">
        <v>892</v>
      </c>
      <c r="AC488" t="s">
        <v>1545</v>
      </c>
      <c r="AD488" t="s">
        <v>767</v>
      </c>
      <c r="AE488" t="s">
        <v>768</v>
      </c>
      <c r="AF488" t="s">
        <v>585</v>
      </c>
      <c r="AG488" t="s">
        <v>1889</v>
      </c>
      <c r="AH488" t="s">
        <v>34</v>
      </c>
      <c r="AI488" t="s">
        <v>34</v>
      </c>
      <c r="AJ488" t="s">
        <v>34</v>
      </c>
      <c r="AK488" t="s">
        <v>34</v>
      </c>
      <c r="AL488" t="s">
        <v>34</v>
      </c>
      <c r="AM488" t="s">
        <v>2862</v>
      </c>
    </row>
    <row r="489" spans="1:41" x14ac:dyDescent="0.2">
      <c r="B489">
        <v>58191</v>
      </c>
      <c r="C489" t="s">
        <v>3274</v>
      </c>
      <c r="D489" t="s">
        <v>747</v>
      </c>
      <c r="E489" t="s">
        <v>748</v>
      </c>
      <c r="F489" t="s">
        <v>34</v>
      </c>
      <c r="G489" t="s">
        <v>3068</v>
      </c>
      <c r="H489" t="s">
        <v>3569</v>
      </c>
      <c r="I489" t="s">
        <v>586</v>
      </c>
      <c r="J489" t="s">
        <v>3275</v>
      </c>
      <c r="K489" t="s">
        <v>1850</v>
      </c>
      <c r="L489">
        <v>43122366</v>
      </c>
      <c r="M489">
        <v>6043</v>
      </c>
      <c r="N489" t="s">
        <v>983</v>
      </c>
      <c r="O489" t="s">
        <v>3554</v>
      </c>
      <c r="P489" t="s">
        <v>844</v>
      </c>
      <c r="Q489" t="s">
        <v>765</v>
      </c>
      <c r="R489" t="s">
        <v>3273</v>
      </c>
      <c r="S489">
        <v>1.663</v>
      </c>
      <c r="T489" t="s">
        <v>649</v>
      </c>
      <c r="U489" t="s">
        <v>34</v>
      </c>
      <c r="V489" t="s">
        <v>839</v>
      </c>
      <c r="W489">
        <v>43122366</v>
      </c>
      <c r="X489" t="s">
        <v>892</v>
      </c>
      <c r="AC489" t="s">
        <v>1545</v>
      </c>
      <c r="AD489" t="s">
        <v>767</v>
      </c>
      <c r="AE489" t="s">
        <v>768</v>
      </c>
      <c r="AF489" t="s">
        <v>585</v>
      </c>
      <c r="AG489" t="s">
        <v>1889</v>
      </c>
      <c r="AH489" t="s">
        <v>34</v>
      </c>
      <c r="AI489" t="s">
        <v>34</v>
      </c>
      <c r="AJ489" t="s">
        <v>34</v>
      </c>
      <c r="AK489" t="s">
        <v>34</v>
      </c>
      <c r="AL489" t="s">
        <v>34</v>
      </c>
      <c r="AM489" t="s">
        <v>2862</v>
      </c>
    </row>
    <row r="490" spans="1:41" x14ac:dyDescent="0.2">
      <c r="B490">
        <v>58191</v>
      </c>
      <c r="C490" t="s">
        <v>3276</v>
      </c>
      <c r="D490" t="s">
        <v>747</v>
      </c>
      <c r="E490" t="s">
        <v>748</v>
      </c>
      <c r="F490" t="s">
        <v>34</v>
      </c>
      <c r="G490" t="s">
        <v>3068</v>
      </c>
      <c r="H490" t="s">
        <v>3569</v>
      </c>
      <c r="I490" t="s">
        <v>586</v>
      </c>
      <c r="J490" t="s">
        <v>3277</v>
      </c>
      <c r="K490" t="s">
        <v>1850</v>
      </c>
      <c r="L490">
        <v>43122354</v>
      </c>
      <c r="M490">
        <v>6044</v>
      </c>
      <c r="N490" t="s">
        <v>983</v>
      </c>
      <c r="O490" t="s">
        <v>3554</v>
      </c>
      <c r="P490" t="s">
        <v>844</v>
      </c>
      <c r="Q490" t="s">
        <v>765</v>
      </c>
      <c r="R490" t="s">
        <v>3273</v>
      </c>
      <c r="S490">
        <v>1.663</v>
      </c>
      <c r="T490" t="s">
        <v>649</v>
      </c>
      <c r="U490" t="s">
        <v>34</v>
      </c>
      <c r="V490" t="s">
        <v>839</v>
      </c>
      <c r="W490">
        <v>43122354</v>
      </c>
      <c r="X490" t="s">
        <v>892</v>
      </c>
      <c r="AC490" t="s">
        <v>1545</v>
      </c>
      <c r="AD490" t="s">
        <v>767</v>
      </c>
      <c r="AE490" t="s">
        <v>768</v>
      </c>
      <c r="AF490" t="s">
        <v>585</v>
      </c>
      <c r="AG490" t="s">
        <v>1889</v>
      </c>
      <c r="AH490" t="s">
        <v>34</v>
      </c>
      <c r="AI490" t="s">
        <v>34</v>
      </c>
      <c r="AJ490" t="s">
        <v>34</v>
      </c>
      <c r="AK490" t="s">
        <v>34</v>
      </c>
      <c r="AL490" t="s">
        <v>34</v>
      </c>
      <c r="AM490" t="s">
        <v>2862</v>
      </c>
    </row>
    <row r="491" spans="1:41" x14ac:dyDescent="0.2">
      <c r="B491">
        <v>58191</v>
      </c>
      <c r="C491" t="s">
        <v>3278</v>
      </c>
      <c r="D491" t="s">
        <v>747</v>
      </c>
      <c r="E491" t="s">
        <v>748</v>
      </c>
      <c r="F491" t="s">
        <v>34</v>
      </c>
      <c r="G491" t="s">
        <v>3068</v>
      </c>
      <c r="H491" t="s">
        <v>3569</v>
      </c>
      <c r="I491" t="s">
        <v>586</v>
      </c>
      <c r="J491" t="s">
        <v>3279</v>
      </c>
      <c r="K491" t="s">
        <v>1850</v>
      </c>
      <c r="L491">
        <v>43122367</v>
      </c>
      <c r="M491">
        <v>6045</v>
      </c>
      <c r="N491" t="s">
        <v>983</v>
      </c>
      <c r="O491" t="s">
        <v>3554</v>
      </c>
      <c r="P491" t="s">
        <v>844</v>
      </c>
      <c r="Q491" t="s">
        <v>765</v>
      </c>
      <c r="R491" t="s">
        <v>3273</v>
      </c>
      <c r="S491">
        <v>1.663</v>
      </c>
      <c r="T491" t="s">
        <v>649</v>
      </c>
      <c r="U491" t="s">
        <v>34</v>
      </c>
      <c r="V491" t="s">
        <v>839</v>
      </c>
      <c r="W491">
        <v>43122367</v>
      </c>
      <c r="X491" t="s">
        <v>892</v>
      </c>
      <c r="AC491" t="s">
        <v>1545</v>
      </c>
      <c r="AD491" t="s">
        <v>767</v>
      </c>
      <c r="AE491" t="s">
        <v>768</v>
      </c>
      <c r="AF491" t="s">
        <v>585</v>
      </c>
      <c r="AG491" t="s">
        <v>1889</v>
      </c>
      <c r="AH491" t="s">
        <v>34</v>
      </c>
      <c r="AI491" t="s">
        <v>34</v>
      </c>
      <c r="AJ491" t="s">
        <v>34</v>
      </c>
      <c r="AK491" t="s">
        <v>34</v>
      </c>
      <c r="AL491" t="s">
        <v>34</v>
      </c>
      <c r="AM491" t="s">
        <v>2862</v>
      </c>
    </row>
    <row r="492" spans="1:41" x14ac:dyDescent="0.2">
      <c r="A492">
        <v>1270905</v>
      </c>
      <c r="B492">
        <v>58209</v>
      </c>
      <c r="C492" t="s">
        <v>494</v>
      </c>
      <c r="D492" t="s">
        <v>2247</v>
      </c>
      <c r="E492" t="s">
        <v>677</v>
      </c>
      <c r="F492" t="s">
        <v>34</v>
      </c>
      <c r="G492" t="s">
        <v>772</v>
      </c>
      <c r="H492" t="s">
        <v>3569</v>
      </c>
      <c r="I492" t="s">
        <v>586</v>
      </c>
      <c r="J492" t="s">
        <v>2255</v>
      </c>
      <c r="K492" t="s">
        <v>2256</v>
      </c>
      <c r="L492">
        <v>53161</v>
      </c>
      <c r="M492" t="s">
        <v>494</v>
      </c>
      <c r="N492" t="s">
        <v>983</v>
      </c>
      <c r="O492" t="s">
        <v>963</v>
      </c>
      <c r="P492" t="s">
        <v>963</v>
      </c>
      <c r="Q492" t="s">
        <v>828</v>
      </c>
      <c r="R492" t="s">
        <v>2257</v>
      </c>
      <c r="S492">
        <v>653.29999999999995</v>
      </c>
      <c r="T492" t="s">
        <v>649</v>
      </c>
      <c r="U492" t="s">
        <v>34</v>
      </c>
      <c r="V492" t="s">
        <v>2258</v>
      </c>
      <c r="W492" t="s">
        <v>2258</v>
      </c>
      <c r="X492" t="s">
        <v>1562</v>
      </c>
      <c r="Y492" t="s">
        <v>34</v>
      </c>
      <c r="Z492" t="s">
        <v>2259</v>
      </c>
      <c r="AA492" t="s">
        <v>2259</v>
      </c>
      <c r="AB492" t="s">
        <v>844</v>
      </c>
      <c r="AC492" t="s">
        <v>2260</v>
      </c>
      <c r="AD492" t="s">
        <v>767</v>
      </c>
      <c r="AE492" t="s">
        <v>768</v>
      </c>
      <c r="AF492" t="s">
        <v>585</v>
      </c>
      <c r="AG492" t="s">
        <v>34</v>
      </c>
      <c r="AH492" t="s">
        <v>34</v>
      </c>
      <c r="AI492" t="s">
        <v>34</v>
      </c>
      <c r="AJ492" t="s">
        <v>34</v>
      </c>
      <c r="AK492" t="s">
        <v>34</v>
      </c>
      <c r="AL492" t="s">
        <v>34</v>
      </c>
      <c r="AM492" t="s">
        <v>2877</v>
      </c>
    </row>
    <row r="493" spans="1:41" x14ac:dyDescent="0.2">
      <c r="A493">
        <v>1270903</v>
      </c>
      <c r="B493">
        <v>58209</v>
      </c>
      <c r="C493" t="s">
        <v>485</v>
      </c>
      <c r="D493" t="s">
        <v>2247</v>
      </c>
      <c r="E493" t="s">
        <v>677</v>
      </c>
      <c r="F493" t="s">
        <v>34</v>
      </c>
      <c r="G493" t="s">
        <v>772</v>
      </c>
      <c r="H493" t="s">
        <v>3569</v>
      </c>
      <c r="I493" t="s">
        <v>586</v>
      </c>
      <c r="J493" t="s">
        <v>2248</v>
      </c>
      <c r="K493" t="s">
        <v>2249</v>
      </c>
      <c r="L493" t="s">
        <v>2250</v>
      </c>
      <c r="M493" t="s">
        <v>669</v>
      </c>
      <c r="N493" t="s">
        <v>983</v>
      </c>
      <c r="O493" t="s">
        <v>2251</v>
      </c>
      <c r="P493" t="s">
        <v>2039</v>
      </c>
      <c r="Q493" t="s">
        <v>765</v>
      </c>
      <c r="R493" t="s">
        <v>2252</v>
      </c>
      <c r="S493">
        <v>68</v>
      </c>
      <c r="T493" t="s">
        <v>649</v>
      </c>
      <c r="U493" t="s">
        <v>34</v>
      </c>
      <c r="V493" t="s">
        <v>2253</v>
      </c>
      <c r="W493" t="s">
        <v>1051</v>
      </c>
      <c r="X493" t="s">
        <v>867</v>
      </c>
      <c r="AC493" t="s">
        <v>2254</v>
      </c>
      <c r="AD493" t="s">
        <v>767</v>
      </c>
      <c r="AE493" t="s">
        <v>768</v>
      </c>
      <c r="AF493" t="s">
        <v>585</v>
      </c>
      <c r="AG493" t="s">
        <v>34</v>
      </c>
      <c r="AH493" t="s">
        <v>34</v>
      </c>
      <c r="AI493" t="s">
        <v>34</v>
      </c>
      <c r="AJ493" t="s">
        <v>34</v>
      </c>
      <c r="AK493" t="s">
        <v>34</v>
      </c>
      <c r="AL493" t="s">
        <v>34</v>
      </c>
      <c r="AM493" t="s">
        <v>2861</v>
      </c>
    </row>
    <row r="494" spans="1:41" x14ac:dyDescent="0.2">
      <c r="A494">
        <v>1991080</v>
      </c>
      <c r="B494">
        <v>58209</v>
      </c>
      <c r="C494" t="s">
        <v>3107</v>
      </c>
      <c r="D494" t="s">
        <v>2247</v>
      </c>
      <c r="E494" t="s">
        <v>677</v>
      </c>
      <c r="F494" t="s">
        <v>34</v>
      </c>
      <c r="G494" t="s">
        <v>772</v>
      </c>
      <c r="H494" t="s">
        <v>3569</v>
      </c>
      <c r="I494" t="s">
        <v>586</v>
      </c>
      <c r="J494" t="s">
        <v>487</v>
      </c>
      <c r="K494" t="s">
        <v>3102</v>
      </c>
      <c r="L494" t="s">
        <v>3108</v>
      </c>
      <c r="M494" t="s">
        <v>3107</v>
      </c>
      <c r="N494" t="s">
        <v>983</v>
      </c>
      <c r="O494" t="s">
        <v>963</v>
      </c>
      <c r="P494" t="s">
        <v>963</v>
      </c>
      <c r="Q494" t="s">
        <v>828</v>
      </c>
      <c r="R494" t="s">
        <v>3104</v>
      </c>
      <c r="S494">
        <v>29.17</v>
      </c>
      <c r="T494" t="s">
        <v>649</v>
      </c>
      <c r="U494" t="s">
        <v>34</v>
      </c>
      <c r="V494" t="s">
        <v>3105</v>
      </c>
      <c r="W494" t="s">
        <v>3109</v>
      </c>
      <c r="X494" t="s">
        <v>1562</v>
      </c>
      <c r="AC494" t="s">
        <v>2260</v>
      </c>
      <c r="AD494" t="s">
        <v>767</v>
      </c>
      <c r="AE494" t="s">
        <v>768</v>
      </c>
      <c r="AF494" t="s">
        <v>585</v>
      </c>
      <c r="AG494" t="s">
        <v>34</v>
      </c>
      <c r="AH494" t="s">
        <v>34</v>
      </c>
      <c r="AI494" t="s">
        <v>34</v>
      </c>
      <c r="AJ494" t="s">
        <v>34</v>
      </c>
      <c r="AK494" t="s">
        <v>34</v>
      </c>
      <c r="AL494" t="s">
        <v>34</v>
      </c>
      <c r="AM494" t="s">
        <v>2877</v>
      </c>
    </row>
    <row r="495" spans="1:41" x14ac:dyDescent="0.2">
      <c r="A495">
        <v>1991079</v>
      </c>
      <c r="B495">
        <v>58209</v>
      </c>
      <c r="C495" t="s">
        <v>3101</v>
      </c>
      <c r="D495" t="s">
        <v>2247</v>
      </c>
      <c r="E495" t="s">
        <v>677</v>
      </c>
      <c r="F495" t="s">
        <v>34</v>
      </c>
      <c r="G495" t="s">
        <v>772</v>
      </c>
      <c r="H495" t="s">
        <v>3569</v>
      </c>
      <c r="I495" t="s">
        <v>586</v>
      </c>
      <c r="J495" t="s">
        <v>487</v>
      </c>
      <c r="K495" t="s">
        <v>3102</v>
      </c>
      <c r="L495" t="s">
        <v>3103</v>
      </c>
      <c r="M495" t="s">
        <v>3101</v>
      </c>
      <c r="N495" t="s">
        <v>983</v>
      </c>
      <c r="O495" t="s">
        <v>963</v>
      </c>
      <c r="P495" t="s">
        <v>963</v>
      </c>
      <c r="Q495" t="s">
        <v>828</v>
      </c>
      <c r="R495" t="s">
        <v>3104</v>
      </c>
      <c r="S495">
        <v>29.17</v>
      </c>
      <c r="T495" t="s">
        <v>649</v>
      </c>
      <c r="U495" t="s">
        <v>34</v>
      </c>
      <c r="V495" t="s">
        <v>3105</v>
      </c>
      <c r="W495" t="s">
        <v>3106</v>
      </c>
      <c r="X495" t="s">
        <v>1562</v>
      </c>
      <c r="AC495" t="s">
        <v>2260</v>
      </c>
      <c r="AD495" t="s">
        <v>767</v>
      </c>
      <c r="AE495" t="s">
        <v>768</v>
      </c>
      <c r="AF495" t="s">
        <v>585</v>
      </c>
      <c r="AG495" t="s">
        <v>34</v>
      </c>
      <c r="AH495" t="s">
        <v>34</v>
      </c>
      <c r="AI495" t="s">
        <v>34</v>
      </c>
      <c r="AJ495" t="s">
        <v>34</v>
      </c>
      <c r="AK495" t="s">
        <v>34</v>
      </c>
      <c r="AL495" t="s">
        <v>34</v>
      </c>
      <c r="AM495" t="s">
        <v>2877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t="s">
        <v>5946</v>
      </c>
      <c r="B1" s="61" t="s">
        <v>3730</v>
      </c>
      <c r="C1" s="61" t="s">
        <v>3731</v>
      </c>
      <c r="D1" t="s">
        <v>6062</v>
      </c>
      <c r="E1" t="s">
        <v>6063</v>
      </c>
      <c r="F1" t="s">
        <v>6064</v>
      </c>
      <c r="G1" t="s">
        <v>6065</v>
      </c>
      <c r="H1" t="s">
        <v>6066</v>
      </c>
      <c r="I1" t="s">
        <v>6067</v>
      </c>
      <c r="J1" t="s">
        <v>6068</v>
      </c>
      <c r="K1" t="s">
        <v>6069</v>
      </c>
      <c r="L1" t="s">
        <v>6070</v>
      </c>
      <c r="M1" t="s">
        <v>6071</v>
      </c>
      <c r="N1" s="61" t="s">
        <v>3732</v>
      </c>
      <c r="O1" t="s">
        <v>5947</v>
      </c>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t="s">
        <v>3733</v>
      </c>
      <c r="B2" s="61" t="s">
        <v>6072</v>
      </c>
      <c r="C2" s="61" t="s">
        <v>34</v>
      </c>
      <c r="F2" t="s">
        <v>3733</v>
      </c>
      <c r="G2" t="s">
        <v>6073</v>
      </c>
      <c r="H2" t="s">
        <v>6074</v>
      </c>
      <c r="J2" t="s">
        <v>6075</v>
      </c>
      <c r="K2" t="s">
        <v>6076</v>
      </c>
      <c r="L2" t="s">
        <v>6077</v>
      </c>
      <c r="M2" t="s">
        <v>6078</v>
      </c>
      <c r="N2" s="61" t="s">
        <v>6079</v>
      </c>
      <c r="O2">
        <v>57071</v>
      </c>
      <c r="Q2" t="str" cm="1">
        <f t="array" ref="Q2:AE2">_xlfn.XLOOKUP(clientCompanyId,customers_table[company_id],customers_table[])</f>
        <v>CHROME PLUS INT'L - WICHITA</v>
      </c>
      <c r="R2" t="str">
        <v>3939 W 29Th St S</v>
      </c>
      <c r="S2" t="str">
        <v/>
      </c>
      <c r="T2">
        <v>0</v>
      </c>
      <c r="U2">
        <v>0</v>
      </c>
      <c r="V2" t="str">
        <v>CHROME PLUS INTERNATIONAL - WICHITA</v>
      </c>
      <c r="W2" t="str">
        <v>United States</v>
      </c>
      <c r="X2">
        <v>0</v>
      </c>
      <c r="Y2" t="str">
        <v>(316) 944-3602</v>
      </c>
      <c r="Z2">
        <v>0</v>
      </c>
      <c r="AA2">
        <v>0</v>
      </c>
      <c r="AB2" t="str">
        <v>(316) 944-3600</v>
      </c>
      <c r="AC2" t="str">
        <v>Kansas</v>
      </c>
      <c r="AD2" t="str">
        <v>Wichita, KS, 67217</v>
      </c>
      <c r="AE2">
        <v>57283</v>
      </c>
    </row>
    <row r="3" spans="1:31" x14ac:dyDescent="0.2">
      <c r="A3" t="s">
        <v>3734</v>
      </c>
      <c r="B3" s="61" t="s">
        <v>6080</v>
      </c>
      <c r="C3" s="61" t="s">
        <v>34</v>
      </c>
      <c r="F3" t="s">
        <v>3734</v>
      </c>
      <c r="G3" t="s">
        <v>6073</v>
      </c>
      <c r="I3" t="s">
        <v>6081</v>
      </c>
      <c r="L3" t="s">
        <v>6082</v>
      </c>
      <c r="M3" t="s">
        <v>6078</v>
      </c>
      <c r="N3" s="61" t="s">
        <v>6083</v>
      </c>
      <c r="O3">
        <v>57072</v>
      </c>
    </row>
    <row r="4" spans="1:31" x14ac:dyDescent="0.2">
      <c r="A4" t="s">
        <v>3735</v>
      </c>
      <c r="B4" s="61" t="s">
        <v>6084</v>
      </c>
      <c r="C4" s="61" t="s">
        <v>34</v>
      </c>
      <c r="F4" t="s">
        <v>3735</v>
      </c>
      <c r="G4" t="s">
        <v>6073</v>
      </c>
      <c r="L4" t="s">
        <v>6085</v>
      </c>
      <c r="M4" t="s">
        <v>6078</v>
      </c>
      <c r="N4" s="61" t="s">
        <v>6086</v>
      </c>
      <c r="O4">
        <v>95509</v>
      </c>
    </row>
    <row r="5" spans="1:31" x14ac:dyDescent="0.2">
      <c r="A5" t="s">
        <v>3736</v>
      </c>
      <c r="B5" s="61" t="s">
        <v>6087</v>
      </c>
      <c r="C5" s="61" t="s">
        <v>34</v>
      </c>
      <c r="F5" t="s">
        <v>3736</v>
      </c>
      <c r="G5" t="s">
        <v>6073</v>
      </c>
      <c r="H5" t="s">
        <v>6088</v>
      </c>
      <c r="J5" t="s">
        <v>6089</v>
      </c>
      <c r="K5" t="s">
        <v>6090</v>
      </c>
      <c r="L5" t="s">
        <v>6091</v>
      </c>
      <c r="M5" t="s">
        <v>6078</v>
      </c>
      <c r="N5" s="61" t="s">
        <v>6092</v>
      </c>
      <c r="O5">
        <v>117443</v>
      </c>
    </row>
    <row r="6" spans="1:31" x14ac:dyDescent="0.2">
      <c r="A6" t="s">
        <v>3737</v>
      </c>
      <c r="B6" s="61" t="s">
        <v>6093</v>
      </c>
      <c r="C6" s="61" t="s">
        <v>34</v>
      </c>
      <c r="F6" t="s">
        <v>3737</v>
      </c>
      <c r="G6" t="s">
        <v>6073</v>
      </c>
      <c r="L6" t="s">
        <v>6094</v>
      </c>
      <c r="M6" t="s">
        <v>6095</v>
      </c>
      <c r="N6" s="61" t="s">
        <v>6096</v>
      </c>
      <c r="O6">
        <v>57143</v>
      </c>
    </row>
    <row r="7" spans="1:31" x14ac:dyDescent="0.2">
      <c r="A7" t="s">
        <v>3738</v>
      </c>
      <c r="B7" s="61" t="s">
        <v>6097</v>
      </c>
      <c r="C7" s="61" t="s">
        <v>34</v>
      </c>
      <c r="F7" t="s">
        <v>3738</v>
      </c>
      <c r="G7" t="s">
        <v>6073</v>
      </c>
      <c r="I7" t="s">
        <v>6098</v>
      </c>
      <c r="L7" t="s">
        <v>6099</v>
      </c>
      <c r="M7" t="s">
        <v>6078</v>
      </c>
      <c r="N7" s="61" t="s">
        <v>6100</v>
      </c>
      <c r="O7">
        <v>57142</v>
      </c>
    </row>
    <row r="8" spans="1:31" x14ac:dyDescent="0.2">
      <c r="A8" t="s">
        <v>3739</v>
      </c>
      <c r="B8" s="61" t="s">
        <v>6101</v>
      </c>
      <c r="C8" s="61" t="s">
        <v>34</v>
      </c>
      <c r="F8" t="s">
        <v>3739</v>
      </c>
      <c r="G8" t="s">
        <v>6073</v>
      </c>
      <c r="I8" t="s">
        <v>6102</v>
      </c>
      <c r="L8" t="s">
        <v>6103</v>
      </c>
      <c r="M8" t="s">
        <v>6104</v>
      </c>
      <c r="N8" s="61" t="s">
        <v>6105</v>
      </c>
      <c r="O8">
        <v>57141</v>
      </c>
    </row>
    <row r="9" spans="1:31" x14ac:dyDescent="0.2">
      <c r="A9" t="s">
        <v>3740</v>
      </c>
      <c r="B9" s="61" t="s">
        <v>6106</v>
      </c>
      <c r="C9" s="61" t="s">
        <v>34</v>
      </c>
      <c r="F9" t="s">
        <v>3740</v>
      </c>
      <c r="G9" t="s">
        <v>6073</v>
      </c>
      <c r="H9" t="s">
        <v>6107</v>
      </c>
      <c r="I9" t="s">
        <v>6108</v>
      </c>
      <c r="L9" t="s">
        <v>6109</v>
      </c>
      <c r="M9" t="s">
        <v>6078</v>
      </c>
      <c r="N9" s="61" t="s">
        <v>6110</v>
      </c>
      <c r="O9">
        <v>58225</v>
      </c>
    </row>
    <row r="10" spans="1:31" x14ac:dyDescent="0.2">
      <c r="A10" t="s">
        <v>3741</v>
      </c>
      <c r="B10" s="61" t="s">
        <v>6111</v>
      </c>
      <c r="C10" s="61" t="s">
        <v>34</v>
      </c>
      <c r="F10" t="s">
        <v>3741</v>
      </c>
      <c r="G10" t="s">
        <v>6073</v>
      </c>
      <c r="I10" t="s">
        <v>6112</v>
      </c>
      <c r="L10" t="s">
        <v>6113</v>
      </c>
      <c r="M10" t="s">
        <v>6078</v>
      </c>
      <c r="N10" s="61" t="s">
        <v>6114</v>
      </c>
      <c r="O10">
        <v>57140</v>
      </c>
    </row>
    <row r="11" spans="1:31" x14ac:dyDescent="0.2">
      <c r="A11" t="s">
        <v>3742</v>
      </c>
      <c r="B11" s="61" t="s">
        <v>6115</v>
      </c>
      <c r="C11" s="61" t="s">
        <v>34</v>
      </c>
      <c r="F11" t="s">
        <v>3742</v>
      </c>
      <c r="G11" t="s">
        <v>6073</v>
      </c>
      <c r="I11" t="s">
        <v>6116</v>
      </c>
      <c r="L11" t="s">
        <v>6117</v>
      </c>
      <c r="M11" t="s">
        <v>6078</v>
      </c>
      <c r="N11" s="61" t="s">
        <v>6118</v>
      </c>
      <c r="O11">
        <v>57139</v>
      </c>
    </row>
    <row r="12" spans="1:31" x14ac:dyDescent="0.2">
      <c r="A12" t="s">
        <v>3743</v>
      </c>
      <c r="B12" s="61" t="s">
        <v>6119</v>
      </c>
      <c r="C12" s="61" t="s">
        <v>34</v>
      </c>
      <c r="F12" t="s">
        <v>3743</v>
      </c>
      <c r="G12" t="s">
        <v>6073</v>
      </c>
      <c r="I12" t="s">
        <v>6120</v>
      </c>
      <c r="L12" t="s">
        <v>6121</v>
      </c>
      <c r="M12" t="s">
        <v>6078</v>
      </c>
      <c r="N12" s="61" t="s">
        <v>6122</v>
      </c>
      <c r="O12">
        <v>57138</v>
      </c>
    </row>
    <row r="13" spans="1:31" x14ac:dyDescent="0.2">
      <c r="A13" t="s">
        <v>627</v>
      </c>
      <c r="B13" s="61" t="s">
        <v>6123</v>
      </c>
      <c r="C13" s="61" t="s">
        <v>34</v>
      </c>
      <c r="F13" t="s">
        <v>627</v>
      </c>
      <c r="G13" t="s">
        <v>6073</v>
      </c>
      <c r="H13" t="s">
        <v>6124</v>
      </c>
      <c r="I13" t="s">
        <v>6125</v>
      </c>
      <c r="L13" t="s">
        <v>6126</v>
      </c>
      <c r="M13" t="s">
        <v>6078</v>
      </c>
      <c r="N13" s="61" t="s">
        <v>6083</v>
      </c>
      <c r="O13">
        <v>57137</v>
      </c>
    </row>
    <row r="14" spans="1:31" x14ac:dyDescent="0.2">
      <c r="A14" t="s">
        <v>3744</v>
      </c>
      <c r="B14" s="61" t="s">
        <v>6127</v>
      </c>
      <c r="C14" s="61" t="s">
        <v>34</v>
      </c>
      <c r="F14" t="s">
        <v>3744</v>
      </c>
      <c r="G14" t="s">
        <v>6073</v>
      </c>
      <c r="M14" t="s">
        <v>6078</v>
      </c>
      <c r="N14" s="61" t="s">
        <v>6128</v>
      </c>
      <c r="O14">
        <v>57136</v>
      </c>
    </row>
    <row r="15" spans="1:31" x14ac:dyDescent="0.2">
      <c r="A15" t="s">
        <v>3745</v>
      </c>
      <c r="B15" s="61" t="s">
        <v>6129</v>
      </c>
      <c r="C15" s="61" t="s">
        <v>34</v>
      </c>
      <c r="F15" t="s">
        <v>3745</v>
      </c>
      <c r="G15" t="s">
        <v>6073</v>
      </c>
      <c r="L15" t="s">
        <v>6130</v>
      </c>
      <c r="M15" t="s">
        <v>6104</v>
      </c>
      <c r="N15" s="61" t="s">
        <v>6131</v>
      </c>
      <c r="O15">
        <v>57135</v>
      </c>
    </row>
    <row r="16" spans="1:31" x14ac:dyDescent="0.2">
      <c r="A16" t="s">
        <v>3746</v>
      </c>
      <c r="B16" s="61" t="s">
        <v>6132</v>
      </c>
      <c r="C16" s="61" t="s">
        <v>6133</v>
      </c>
      <c r="F16" t="s">
        <v>6134</v>
      </c>
      <c r="G16" t="s">
        <v>6135</v>
      </c>
      <c r="M16" t="s">
        <v>6136</v>
      </c>
      <c r="N16" s="61" t="s">
        <v>6137</v>
      </c>
      <c r="O16">
        <v>57134</v>
      </c>
    </row>
    <row r="17" spans="1:15" x14ac:dyDescent="0.2">
      <c r="A17" t="s">
        <v>3747</v>
      </c>
      <c r="B17" s="61" t="s">
        <v>6138</v>
      </c>
      <c r="C17" s="61" t="s">
        <v>34</v>
      </c>
      <c r="F17" t="s">
        <v>3747</v>
      </c>
      <c r="G17" t="s">
        <v>6073</v>
      </c>
      <c r="I17" t="s">
        <v>6139</v>
      </c>
      <c r="L17" t="s">
        <v>6140</v>
      </c>
      <c r="M17" t="s">
        <v>6095</v>
      </c>
      <c r="N17" s="61" t="s">
        <v>6141</v>
      </c>
      <c r="O17">
        <v>57133</v>
      </c>
    </row>
    <row r="18" spans="1:15" x14ac:dyDescent="0.2">
      <c r="A18" t="s">
        <v>3748</v>
      </c>
      <c r="B18" s="61" t="s">
        <v>6142</v>
      </c>
      <c r="C18" s="61" t="s">
        <v>34</v>
      </c>
      <c r="F18" t="s">
        <v>3748</v>
      </c>
      <c r="G18" t="s">
        <v>6073</v>
      </c>
      <c r="I18" t="s">
        <v>6143</v>
      </c>
      <c r="L18" t="s">
        <v>6144</v>
      </c>
      <c r="M18" t="s">
        <v>6078</v>
      </c>
      <c r="N18" s="61" t="s">
        <v>6145</v>
      </c>
      <c r="O18">
        <v>57132</v>
      </c>
    </row>
    <row r="19" spans="1:15" x14ac:dyDescent="0.2">
      <c r="A19" t="s">
        <v>3749</v>
      </c>
      <c r="B19" s="61" t="s">
        <v>6146</v>
      </c>
      <c r="C19" s="61" t="s">
        <v>34</v>
      </c>
      <c r="F19" t="s">
        <v>3749</v>
      </c>
      <c r="G19" t="s">
        <v>6073</v>
      </c>
      <c r="L19" t="s">
        <v>6147</v>
      </c>
      <c r="M19" t="s">
        <v>6148</v>
      </c>
      <c r="N19" s="61" t="s">
        <v>6149</v>
      </c>
      <c r="O19">
        <v>71221</v>
      </c>
    </row>
    <row r="20" spans="1:15" x14ac:dyDescent="0.2">
      <c r="A20" t="s">
        <v>3750</v>
      </c>
      <c r="B20" s="61" t="s">
        <v>6150</v>
      </c>
      <c r="C20" s="61" t="s">
        <v>34</v>
      </c>
      <c r="F20" t="s">
        <v>3750</v>
      </c>
      <c r="G20" t="s">
        <v>6073</v>
      </c>
      <c r="M20" t="s">
        <v>6078</v>
      </c>
      <c r="N20" s="61" t="s">
        <v>6151</v>
      </c>
      <c r="O20">
        <v>57131</v>
      </c>
    </row>
    <row r="21" spans="1:15" x14ac:dyDescent="0.2">
      <c r="A21" t="s">
        <v>3751</v>
      </c>
      <c r="B21" s="61" t="s">
        <v>6152</v>
      </c>
      <c r="C21" s="61" t="s">
        <v>34</v>
      </c>
      <c r="F21" t="s">
        <v>3751</v>
      </c>
      <c r="G21" t="s">
        <v>6073</v>
      </c>
      <c r="I21" t="s">
        <v>6153</v>
      </c>
      <c r="L21" t="s">
        <v>6154</v>
      </c>
      <c r="M21" t="s">
        <v>6078</v>
      </c>
      <c r="N21" s="61" t="s">
        <v>6155</v>
      </c>
      <c r="O21">
        <v>57130</v>
      </c>
    </row>
    <row r="22" spans="1:15" x14ac:dyDescent="0.2">
      <c r="A22" t="s">
        <v>3752</v>
      </c>
      <c r="B22" s="61" t="s">
        <v>6156</v>
      </c>
      <c r="C22" s="61" t="s">
        <v>34</v>
      </c>
      <c r="F22" t="s">
        <v>3752</v>
      </c>
      <c r="G22" t="s">
        <v>6073</v>
      </c>
      <c r="I22" t="s">
        <v>6157</v>
      </c>
      <c r="L22" t="s">
        <v>6158</v>
      </c>
      <c r="M22" t="s">
        <v>6078</v>
      </c>
      <c r="N22" s="61" t="s">
        <v>6159</v>
      </c>
      <c r="O22">
        <v>57129</v>
      </c>
    </row>
    <row r="23" spans="1:15" x14ac:dyDescent="0.2">
      <c r="A23" t="s">
        <v>3753</v>
      </c>
      <c r="B23" s="61" t="s">
        <v>6160</v>
      </c>
      <c r="C23" s="61" t="s">
        <v>34</v>
      </c>
      <c r="F23" t="s">
        <v>3753</v>
      </c>
      <c r="G23" t="s">
        <v>6073</v>
      </c>
      <c r="J23" t="s">
        <v>6161</v>
      </c>
      <c r="K23" t="s">
        <v>6162</v>
      </c>
      <c r="L23" t="s">
        <v>6163</v>
      </c>
      <c r="M23" t="s">
        <v>6078</v>
      </c>
      <c r="N23" s="61" t="s">
        <v>6164</v>
      </c>
      <c r="O23">
        <v>57422</v>
      </c>
    </row>
    <row r="24" spans="1:15" x14ac:dyDescent="0.2">
      <c r="A24" t="s">
        <v>3754</v>
      </c>
      <c r="B24" s="61" t="s">
        <v>6165</v>
      </c>
      <c r="C24" s="61" t="s">
        <v>34</v>
      </c>
      <c r="F24" t="s">
        <v>3754</v>
      </c>
      <c r="G24" t="s">
        <v>6073</v>
      </c>
      <c r="I24" t="s">
        <v>6166</v>
      </c>
      <c r="L24" t="s">
        <v>6167</v>
      </c>
      <c r="M24" t="s">
        <v>6168</v>
      </c>
      <c r="N24" s="61" t="s">
        <v>6169</v>
      </c>
      <c r="O24">
        <v>57128</v>
      </c>
    </row>
    <row r="25" spans="1:15" x14ac:dyDescent="0.2">
      <c r="A25" t="s">
        <v>3755</v>
      </c>
      <c r="B25" s="61" t="s">
        <v>6170</v>
      </c>
      <c r="C25" s="61" t="s">
        <v>34</v>
      </c>
      <c r="F25" t="s">
        <v>6171</v>
      </c>
      <c r="G25" t="s">
        <v>6073</v>
      </c>
      <c r="L25" t="s">
        <v>6172</v>
      </c>
      <c r="M25" t="s">
        <v>6104</v>
      </c>
      <c r="N25" s="61" t="s">
        <v>6173</v>
      </c>
      <c r="O25">
        <v>57127</v>
      </c>
    </row>
    <row r="26" spans="1:15" x14ac:dyDescent="0.2">
      <c r="A26" t="s">
        <v>3756</v>
      </c>
      <c r="B26" s="61" t="s">
        <v>6174</v>
      </c>
      <c r="C26" s="61" t="s">
        <v>34</v>
      </c>
      <c r="F26" t="s">
        <v>3756</v>
      </c>
      <c r="G26" t="s">
        <v>6073</v>
      </c>
      <c r="I26" t="s">
        <v>6175</v>
      </c>
      <c r="L26" t="s">
        <v>6176</v>
      </c>
      <c r="M26" t="s">
        <v>6078</v>
      </c>
      <c r="N26" s="61" t="s">
        <v>6083</v>
      </c>
      <c r="O26">
        <v>57126</v>
      </c>
    </row>
    <row r="27" spans="1:15" x14ac:dyDescent="0.2">
      <c r="A27" t="s">
        <v>3757</v>
      </c>
      <c r="B27" s="61" t="s">
        <v>6177</v>
      </c>
      <c r="C27" s="61" t="s">
        <v>34</v>
      </c>
      <c r="F27" t="s">
        <v>3757</v>
      </c>
      <c r="G27" t="s">
        <v>6073</v>
      </c>
      <c r="I27" t="s">
        <v>6178</v>
      </c>
      <c r="L27" t="s">
        <v>6179</v>
      </c>
      <c r="M27" t="s">
        <v>6078</v>
      </c>
      <c r="N27" s="61" t="s">
        <v>6164</v>
      </c>
      <c r="O27">
        <v>57125</v>
      </c>
    </row>
    <row r="28" spans="1:15" x14ac:dyDescent="0.2">
      <c r="A28" t="s">
        <v>3758</v>
      </c>
      <c r="B28" s="61" t="s">
        <v>6180</v>
      </c>
      <c r="C28" s="61" t="s">
        <v>34</v>
      </c>
      <c r="F28" t="s">
        <v>3758</v>
      </c>
      <c r="G28" t="s">
        <v>6073</v>
      </c>
      <c r="L28" t="s">
        <v>6181</v>
      </c>
      <c r="N28" s="61" t="s">
        <v>6182</v>
      </c>
      <c r="O28">
        <v>115269</v>
      </c>
    </row>
    <row r="29" spans="1:15" x14ac:dyDescent="0.2">
      <c r="A29" t="s">
        <v>3759</v>
      </c>
      <c r="B29" s="61" t="s">
        <v>6183</v>
      </c>
      <c r="C29" s="61" t="s">
        <v>34</v>
      </c>
      <c r="F29" t="s">
        <v>3759</v>
      </c>
      <c r="G29" t="s">
        <v>6073</v>
      </c>
      <c r="L29" t="s">
        <v>6184</v>
      </c>
      <c r="M29" t="s">
        <v>6185</v>
      </c>
      <c r="N29" s="61" t="s">
        <v>6186</v>
      </c>
      <c r="O29">
        <v>93333</v>
      </c>
    </row>
    <row r="30" spans="1:15" x14ac:dyDescent="0.2">
      <c r="A30" t="s">
        <v>3760</v>
      </c>
      <c r="B30" s="61" t="s">
        <v>6187</v>
      </c>
      <c r="C30" s="61" t="s">
        <v>34</v>
      </c>
      <c r="F30" t="s">
        <v>3760</v>
      </c>
      <c r="G30" t="s">
        <v>6073</v>
      </c>
      <c r="H30" t="s">
        <v>34</v>
      </c>
      <c r="I30" t="s">
        <v>34</v>
      </c>
      <c r="L30" t="s">
        <v>34</v>
      </c>
      <c r="M30" t="s">
        <v>6188</v>
      </c>
      <c r="N30" s="61" t="s">
        <v>6189</v>
      </c>
      <c r="O30">
        <v>58315</v>
      </c>
    </row>
    <row r="31" spans="1:15" x14ac:dyDescent="0.2">
      <c r="A31" t="s">
        <v>3761</v>
      </c>
      <c r="B31" s="61" t="s">
        <v>6190</v>
      </c>
      <c r="C31" s="61" t="s">
        <v>34</v>
      </c>
      <c r="F31" t="s">
        <v>3761</v>
      </c>
      <c r="G31" t="s">
        <v>6073</v>
      </c>
      <c r="L31" t="s">
        <v>6191</v>
      </c>
      <c r="M31" t="s">
        <v>6078</v>
      </c>
      <c r="N31" s="61" t="s">
        <v>6164</v>
      </c>
      <c r="O31">
        <v>57124</v>
      </c>
    </row>
    <row r="32" spans="1:15" x14ac:dyDescent="0.2">
      <c r="A32" t="s">
        <v>3762</v>
      </c>
      <c r="B32" s="61" t="s">
        <v>6192</v>
      </c>
      <c r="C32" s="61" t="s">
        <v>34</v>
      </c>
      <c r="F32" t="s">
        <v>3762</v>
      </c>
      <c r="G32" t="s">
        <v>6073</v>
      </c>
      <c r="I32" t="s">
        <v>6193</v>
      </c>
      <c r="L32" t="s">
        <v>6194</v>
      </c>
      <c r="M32" t="s">
        <v>6104</v>
      </c>
      <c r="N32" s="61" t="s">
        <v>6195</v>
      </c>
      <c r="O32">
        <v>57123</v>
      </c>
    </row>
    <row r="33" spans="1:15" x14ac:dyDescent="0.2">
      <c r="A33" t="s">
        <v>3763</v>
      </c>
      <c r="B33" s="61" t="s">
        <v>6196</v>
      </c>
      <c r="C33" s="61" t="s">
        <v>34</v>
      </c>
      <c r="F33" t="s">
        <v>3763</v>
      </c>
      <c r="G33" t="s">
        <v>6073</v>
      </c>
      <c r="H33" t="s">
        <v>6197</v>
      </c>
      <c r="I33" t="s">
        <v>6198</v>
      </c>
      <c r="L33" t="s">
        <v>6199</v>
      </c>
      <c r="M33" t="s">
        <v>6104</v>
      </c>
      <c r="N33" s="61" t="s">
        <v>6200</v>
      </c>
      <c r="O33">
        <v>57144</v>
      </c>
    </row>
    <row r="34" spans="1:15" x14ac:dyDescent="0.2">
      <c r="A34" t="s">
        <v>3764</v>
      </c>
      <c r="B34" s="61" t="s">
        <v>6201</v>
      </c>
      <c r="C34" s="61" t="s">
        <v>34</v>
      </c>
      <c r="F34" t="s">
        <v>3764</v>
      </c>
      <c r="G34" t="s">
        <v>6073</v>
      </c>
      <c r="I34" t="s">
        <v>6202</v>
      </c>
      <c r="L34" t="s">
        <v>6203</v>
      </c>
      <c r="M34" t="s">
        <v>6104</v>
      </c>
      <c r="N34" s="61" t="s">
        <v>6204</v>
      </c>
      <c r="O34">
        <v>57145</v>
      </c>
    </row>
    <row r="35" spans="1:15" x14ac:dyDescent="0.2">
      <c r="A35" t="s">
        <v>292</v>
      </c>
      <c r="B35" s="61" t="s">
        <v>6205</v>
      </c>
      <c r="C35" s="61" t="s">
        <v>34</v>
      </c>
      <c r="F35" t="s">
        <v>292</v>
      </c>
      <c r="G35" t="s">
        <v>6073</v>
      </c>
      <c r="I35" t="s">
        <v>6206</v>
      </c>
      <c r="L35" t="s">
        <v>6207</v>
      </c>
      <c r="M35" t="s">
        <v>6078</v>
      </c>
      <c r="N35" s="61" t="s">
        <v>6083</v>
      </c>
      <c r="O35">
        <v>57146</v>
      </c>
    </row>
    <row r="36" spans="1:15" x14ac:dyDescent="0.2">
      <c r="A36" t="s">
        <v>3765</v>
      </c>
      <c r="B36" s="61" t="s">
        <v>6208</v>
      </c>
      <c r="C36" s="61" t="s">
        <v>34</v>
      </c>
      <c r="F36" t="s">
        <v>3765</v>
      </c>
      <c r="G36" t="s">
        <v>6073</v>
      </c>
      <c r="I36" t="s">
        <v>6209</v>
      </c>
      <c r="L36" t="s">
        <v>6210</v>
      </c>
      <c r="M36" t="s">
        <v>6078</v>
      </c>
      <c r="N36" s="61" t="s">
        <v>6211</v>
      </c>
      <c r="O36">
        <v>57147</v>
      </c>
    </row>
    <row r="37" spans="1:15" x14ac:dyDescent="0.2">
      <c r="A37" t="s">
        <v>3766</v>
      </c>
      <c r="B37" s="61" t="s">
        <v>6212</v>
      </c>
      <c r="C37" s="61" t="s">
        <v>34</v>
      </c>
      <c r="F37" t="s">
        <v>3766</v>
      </c>
      <c r="G37" t="s">
        <v>6073</v>
      </c>
      <c r="I37" t="s">
        <v>6213</v>
      </c>
      <c r="L37" t="s">
        <v>6214</v>
      </c>
      <c r="M37" t="s">
        <v>6078</v>
      </c>
      <c r="N37" s="61" t="s">
        <v>6215</v>
      </c>
      <c r="O37">
        <v>57169</v>
      </c>
    </row>
    <row r="38" spans="1:15" x14ac:dyDescent="0.2">
      <c r="A38" t="s">
        <v>3767</v>
      </c>
      <c r="B38" s="61" t="s">
        <v>6216</v>
      </c>
      <c r="C38" s="61" t="s">
        <v>34</v>
      </c>
      <c r="F38" t="s">
        <v>3767</v>
      </c>
      <c r="G38" t="s">
        <v>6073</v>
      </c>
      <c r="I38" t="s">
        <v>6217</v>
      </c>
      <c r="L38" t="s">
        <v>6218</v>
      </c>
      <c r="M38" t="s">
        <v>6078</v>
      </c>
      <c r="N38" s="61" t="s">
        <v>6219</v>
      </c>
      <c r="O38">
        <v>57166</v>
      </c>
    </row>
    <row r="39" spans="1:15" x14ac:dyDescent="0.2">
      <c r="A39" t="s">
        <v>3768</v>
      </c>
      <c r="B39" s="61" t="s">
        <v>6220</v>
      </c>
      <c r="C39" s="61" t="s">
        <v>34</v>
      </c>
      <c r="F39" t="s">
        <v>3768</v>
      </c>
      <c r="G39" t="s">
        <v>6073</v>
      </c>
      <c r="I39" t="s">
        <v>6221</v>
      </c>
      <c r="L39" t="s">
        <v>6222</v>
      </c>
      <c r="M39" t="s">
        <v>6078</v>
      </c>
      <c r="N39" s="61" t="s">
        <v>6223</v>
      </c>
      <c r="O39">
        <v>57170</v>
      </c>
    </row>
    <row r="40" spans="1:15" x14ac:dyDescent="0.2">
      <c r="A40" t="s">
        <v>3769</v>
      </c>
      <c r="B40" s="61" t="s">
        <v>6224</v>
      </c>
      <c r="C40" s="61" t="s">
        <v>34</v>
      </c>
      <c r="F40" t="s">
        <v>3769</v>
      </c>
      <c r="G40" t="s">
        <v>6073</v>
      </c>
      <c r="H40" t="s">
        <v>34</v>
      </c>
      <c r="I40" t="s">
        <v>34</v>
      </c>
      <c r="L40" t="s">
        <v>6225</v>
      </c>
      <c r="M40" t="s">
        <v>6078</v>
      </c>
      <c r="N40" s="61" t="s">
        <v>6226</v>
      </c>
      <c r="O40">
        <v>57168</v>
      </c>
    </row>
    <row r="41" spans="1:15" x14ac:dyDescent="0.2">
      <c r="A41" t="s">
        <v>3770</v>
      </c>
      <c r="B41" s="61" t="s">
        <v>6227</v>
      </c>
      <c r="C41" s="61" t="s">
        <v>34</v>
      </c>
      <c r="F41" t="s">
        <v>3770</v>
      </c>
      <c r="G41" t="s">
        <v>6073</v>
      </c>
      <c r="H41" t="s">
        <v>34</v>
      </c>
      <c r="I41" t="s">
        <v>34</v>
      </c>
      <c r="L41" t="s">
        <v>6228</v>
      </c>
      <c r="M41" t="s">
        <v>6078</v>
      </c>
      <c r="N41" s="61" t="s">
        <v>6110</v>
      </c>
      <c r="O41">
        <v>57167</v>
      </c>
    </row>
    <row r="42" spans="1:15" x14ac:dyDescent="0.2">
      <c r="A42" t="s">
        <v>3771</v>
      </c>
      <c r="B42" s="61" t="s">
        <v>6229</v>
      </c>
      <c r="C42" s="61" t="s">
        <v>34</v>
      </c>
      <c r="F42" t="s">
        <v>3771</v>
      </c>
      <c r="G42" t="s">
        <v>6073</v>
      </c>
      <c r="L42" t="s">
        <v>6230</v>
      </c>
      <c r="M42" t="s">
        <v>6078</v>
      </c>
      <c r="N42" s="61" t="s">
        <v>6231</v>
      </c>
      <c r="O42">
        <v>84283</v>
      </c>
    </row>
    <row r="43" spans="1:15" x14ac:dyDescent="0.2">
      <c r="A43" t="s">
        <v>3772</v>
      </c>
      <c r="B43" s="61" t="s">
        <v>6232</v>
      </c>
      <c r="C43" s="61" t="s">
        <v>34</v>
      </c>
      <c r="F43" t="s">
        <v>3772</v>
      </c>
      <c r="G43" t="s">
        <v>6073</v>
      </c>
      <c r="I43" t="s">
        <v>6233</v>
      </c>
      <c r="L43" t="s">
        <v>6234</v>
      </c>
      <c r="M43" t="s">
        <v>6235</v>
      </c>
      <c r="N43" s="61" t="s">
        <v>6236</v>
      </c>
      <c r="O43">
        <v>63714</v>
      </c>
    </row>
    <row r="44" spans="1:15" x14ac:dyDescent="0.2">
      <c r="A44" t="s">
        <v>3773</v>
      </c>
      <c r="B44" s="61" t="s">
        <v>6237</v>
      </c>
      <c r="C44" s="61" t="s">
        <v>34</v>
      </c>
      <c r="F44" t="s">
        <v>3773</v>
      </c>
      <c r="G44" t="s">
        <v>6073</v>
      </c>
      <c r="I44" t="s">
        <v>6238</v>
      </c>
      <c r="L44" t="s">
        <v>6239</v>
      </c>
      <c r="M44" t="s">
        <v>6240</v>
      </c>
      <c r="N44" s="61" t="s">
        <v>6241</v>
      </c>
      <c r="O44">
        <v>118763</v>
      </c>
    </row>
    <row r="45" spans="1:15" x14ac:dyDescent="0.2">
      <c r="A45" t="s">
        <v>3774</v>
      </c>
      <c r="B45" s="61" t="s">
        <v>6242</v>
      </c>
      <c r="C45" s="61" t="s">
        <v>34</v>
      </c>
      <c r="F45" t="s">
        <v>3774</v>
      </c>
      <c r="G45" t="s">
        <v>6073</v>
      </c>
      <c r="I45" t="s">
        <v>6243</v>
      </c>
      <c r="L45" t="s">
        <v>6244</v>
      </c>
      <c r="M45" t="s">
        <v>6078</v>
      </c>
      <c r="N45" s="61" t="s">
        <v>6245</v>
      </c>
      <c r="O45">
        <v>57165</v>
      </c>
    </row>
    <row r="46" spans="1:15" x14ac:dyDescent="0.2">
      <c r="A46" t="s">
        <v>3775</v>
      </c>
      <c r="B46" s="61" t="s">
        <v>6246</v>
      </c>
      <c r="C46" s="61" t="s">
        <v>34</v>
      </c>
      <c r="F46" t="s">
        <v>3775</v>
      </c>
      <c r="G46" t="s">
        <v>6073</v>
      </c>
      <c r="H46" t="s">
        <v>34</v>
      </c>
      <c r="I46" t="s">
        <v>34</v>
      </c>
      <c r="L46" t="s">
        <v>6247</v>
      </c>
      <c r="M46" t="s">
        <v>6104</v>
      </c>
      <c r="N46" s="61" t="s">
        <v>6248</v>
      </c>
      <c r="O46">
        <v>57164</v>
      </c>
    </row>
    <row r="47" spans="1:15" x14ac:dyDescent="0.2">
      <c r="A47" t="s">
        <v>294</v>
      </c>
      <c r="B47" s="61" t="s">
        <v>6249</v>
      </c>
      <c r="C47" s="61" t="s">
        <v>34</v>
      </c>
      <c r="F47" t="s">
        <v>294</v>
      </c>
      <c r="G47" t="s">
        <v>6073</v>
      </c>
      <c r="L47" t="s">
        <v>6250</v>
      </c>
      <c r="M47" t="s">
        <v>6095</v>
      </c>
      <c r="N47" s="61" t="s">
        <v>6251</v>
      </c>
      <c r="O47">
        <v>57163</v>
      </c>
    </row>
    <row r="48" spans="1:15" x14ac:dyDescent="0.2">
      <c r="A48" t="s">
        <v>3776</v>
      </c>
      <c r="B48" s="61" t="s">
        <v>6252</v>
      </c>
      <c r="C48" s="61" t="s">
        <v>34</v>
      </c>
      <c r="F48" t="s">
        <v>3776</v>
      </c>
      <c r="G48" t="s">
        <v>6073</v>
      </c>
      <c r="I48" t="s">
        <v>6253</v>
      </c>
      <c r="L48" t="s">
        <v>6254</v>
      </c>
      <c r="M48" t="s">
        <v>6078</v>
      </c>
      <c r="N48" s="61" t="s">
        <v>6255</v>
      </c>
      <c r="O48">
        <v>57162</v>
      </c>
    </row>
    <row r="49" spans="1:15" x14ac:dyDescent="0.2">
      <c r="A49" t="s">
        <v>3777</v>
      </c>
      <c r="B49" s="61" t="s">
        <v>6256</v>
      </c>
      <c r="C49" s="61" t="s">
        <v>34</v>
      </c>
      <c r="F49" t="s">
        <v>3777</v>
      </c>
      <c r="G49" t="s">
        <v>6073</v>
      </c>
      <c r="H49" t="s">
        <v>34</v>
      </c>
      <c r="I49" t="s">
        <v>6257</v>
      </c>
      <c r="L49" t="s">
        <v>6258</v>
      </c>
      <c r="M49" t="s">
        <v>6078</v>
      </c>
      <c r="N49" s="61" t="s">
        <v>6255</v>
      </c>
      <c r="O49">
        <v>57161</v>
      </c>
    </row>
    <row r="50" spans="1:15" x14ac:dyDescent="0.2">
      <c r="A50" t="s">
        <v>3778</v>
      </c>
      <c r="B50" s="61" t="s">
        <v>6259</v>
      </c>
      <c r="C50" s="61" t="s">
        <v>34</v>
      </c>
      <c r="F50" t="s">
        <v>3778</v>
      </c>
      <c r="G50" t="s">
        <v>6073</v>
      </c>
      <c r="L50" t="s">
        <v>6260</v>
      </c>
      <c r="M50" t="s">
        <v>6078</v>
      </c>
      <c r="N50" s="61" t="s">
        <v>6255</v>
      </c>
      <c r="O50">
        <v>57160</v>
      </c>
    </row>
    <row r="51" spans="1:15" x14ac:dyDescent="0.2">
      <c r="A51" t="s">
        <v>3779</v>
      </c>
      <c r="B51" s="61" t="s">
        <v>6261</v>
      </c>
      <c r="C51" s="61" t="s">
        <v>34</v>
      </c>
      <c r="F51" t="s">
        <v>3779</v>
      </c>
      <c r="G51" t="s">
        <v>6073</v>
      </c>
      <c r="H51" t="s">
        <v>6262</v>
      </c>
      <c r="J51" t="s">
        <v>6263</v>
      </c>
      <c r="K51" t="s">
        <v>6264</v>
      </c>
      <c r="L51" t="s">
        <v>6265</v>
      </c>
      <c r="M51" t="s">
        <v>6266</v>
      </c>
      <c r="N51" s="61" t="s">
        <v>6267</v>
      </c>
      <c r="O51">
        <v>75692</v>
      </c>
    </row>
    <row r="52" spans="1:15" x14ac:dyDescent="0.2">
      <c r="A52" t="s">
        <v>3780</v>
      </c>
      <c r="B52" s="61" t="s">
        <v>6268</v>
      </c>
      <c r="C52" s="61" t="s">
        <v>34</v>
      </c>
      <c r="F52" t="s">
        <v>3780</v>
      </c>
      <c r="G52" t="s">
        <v>6073</v>
      </c>
      <c r="H52" t="s">
        <v>34</v>
      </c>
      <c r="I52" t="s">
        <v>6269</v>
      </c>
      <c r="L52" t="s">
        <v>6270</v>
      </c>
      <c r="M52" t="s">
        <v>6095</v>
      </c>
      <c r="N52" s="61" t="s">
        <v>6271</v>
      </c>
      <c r="O52">
        <v>57159</v>
      </c>
    </row>
    <row r="53" spans="1:15" x14ac:dyDescent="0.2">
      <c r="A53" t="s">
        <v>3781</v>
      </c>
      <c r="B53" s="61" t="s">
        <v>6272</v>
      </c>
      <c r="C53" s="61" t="s">
        <v>34</v>
      </c>
      <c r="F53" t="s">
        <v>3781</v>
      </c>
      <c r="G53" t="s">
        <v>6073</v>
      </c>
      <c r="L53" t="s">
        <v>6273</v>
      </c>
      <c r="M53" t="s">
        <v>6078</v>
      </c>
      <c r="N53" s="61" t="s">
        <v>6274</v>
      </c>
      <c r="O53">
        <v>57157</v>
      </c>
    </row>
    <row r="54" spans="1:15" x14ac:dyDescent="0.2">
      <c r="A54" t="s">
        <v>3782</v>
      </c>
      <c r="B54" s="61" t="s">
        <v>6275</v>
      </c>
      <c r="C54" s="61" t="s">
        <v>34</v>
      </c>
      <c r="F54" t="s">
        <v>3782</v>
      </c>
      <c r="G54" t="s">
        <v>6073</v>
      </c>
      <c r="L54" t="s">
        <v>6276</v>
      </c>
      <c r="M54" t="s">
        <v>6078</v>
      </c>
      <c r="N54" s="61" t="s">
        <v>6145</v>
      </c>
      <c r="O54">
        <v>57156</v>
      </c>
    </row>
    <row r="55" spans="1:15" x14ac:dyDescent="0.2">
      <c r="A55" t="s">
        <v>296</v>
      </c>
      <c r="B55" s="61" t="s">
        <v>6277</v>
      </c>
      <c r="C55" s="61" t="s">
        <v>34</v>
      </c>
      <c r="F55" t="s">
        <v>296</v>
      </c>
      <c r="G55" t="s">
        <v>6073</v>
      </c>
      <c r="I55" t="s">
        <v>6278</v>
      </c>
      <c r="L55" t="s">
        <v>6279</v>
      </c>
      <c r="M55" t="s">
        <v>6078</v>
      </c>
      <c r="N55" s="61" t="s">
        <v>6231</v>
      </c>
      <c r="O55">
        <v>57155</v>
      </c>
    </row>
    <row r="56" spans="1:15" x14ac:dyDescent="0.2">
      <c r="A56" t="s">
        <v>3783</v>
      </c>
      <c r="B56" s="61" t="s">
        <v>34</v>
      </c>
      <c r="C56" s="61" t="s">
        <v>34</v>
      </c>
      <c r="F56" t="s">
        <v>3783</v>
      </c>
      <c r="G56" t="s">
        <v>6073</v>
      </c>
      <c r="H56" t="s">
        <v>34</v>
      </c>
      <c r="I56" t="s">
        <v>34</v>
      </c>
      <c r="L56" t="s">
        <v>34</v>
      </c>
      <c r="N56" s="61" t="s">
        <v>3784</v>
      </c>
      <c r="O56">
        <v>58325</v>
      </c>
    </row>
    <row r="57" spans="1:15" x14ac:dyDescent="0.2">
      <c r="A57" t="s">
        <v>298</v>
      </c>
      <c r="B57" s="61" t="s">
        <v>6280</v>
      </c>
      <c r="C57" s="61" t="s">
        <v>34</v>
      </c>
      <c r="F57" t="s">
        <v>298</v>
      </c>
      <c r="G57" t="s">
        <v>6073</v>
      </c>
      <c r="M57" t="s">
        <v>6078</v>
      </c>
      <c r="N57" s="61" t="s">
        <v>6128</v>
      </c>
      <c r="O57">
        <v>57154</v>
      </c>
    </row>
    <row r="58" spans="1:15" x14ac:dyDescent="0.2">
      <c r="A58" t="s">
        <v>3785</v>
      </c>
      <c r="B58" s="61" t="s">
        <v>6281</v>
      </c>
      <c r="C58" s="61" t="s">
        <v>34</v>
      </c>
      <c r="F58" t="s">
        <v>3785</v>
      </c>
      <c r="G58" t="s">
        <v>6073</v>
      </c>
      <c r="I58" t="s">
        <v>6282</v>
      </c>
      <c r="L58" t="s">
        <v>6283</v>
      </c>
      <c r="M58" t="s">
        <v>6078</v>
      </c>
      <c r="N58" s="61" t="s">
        <v>6164</v>
      </c>
      <c r="O58">
        <v>57153</v>
      </c>
    </row>
    <row r="59" spans="1:15" x14ac:dyDescent="0.2">
      <c r="A59" t="s">
        <v>3786</v>
      </c>
      <c r="B59" s="61" t="s">
        <v>34</v>
      </c>
      <c r="C59" s="61" t="s">
        <v>34</v>
      </c>
      <c r="F59" t="s">
        <v>3786</v>
      </c>
      <c r="G59" t="s">
        <v>6073</v>
      </c>
      <c r="H59" t="s">
        <v>34</v>
      </c>
      <c r="I59" t="s">
        <v>34</v>
      </c>
      <c r="L59" t="s">
        <v>34</v>
      </c>
      <c r="N59" s="61" t="s">
        <v>3784</v>
      </c>
      <c r="O59">
        <v>58324</v>
      </c>
    </row>
    <row r="60" spans="1:15" x14ac:dyDescent="0.2">
      <c r="A60" t="s">
        <v>3787</v>
      </c>
      <c r="B60" s="61" t="s">
        <v>6284</v>
      </c>
      <c r="C60" s="61" t="s">
        <v>34</v>
      </c>
      <c r="F60" t="s">
        <v>3787</v>
      </c>
      <c r="G60" t="s">
        <v>6073</v>
      </c>
      <c r="I60" t="s">
        <v>6285</v>
      </c>
      <c r="L60" t="s">
        <v>6286</v>
      </c>
      <c r="M60" t="s">
        <v>6078</v>
      </c>
      <c r="N60" s="61" t="s">
        <v>6110</v>
      </c>
      <c r="O60">
        <v>57152</v>
      </c>
    </row>
    <row r="61" spans="1:15" x14ac:dyDescent="0.2">
      <c r="A61" t="s">
        <v>3788</v>
      </c>
      <c r="B61" s="61" t="s">
        <v>6287</v>
      </c>
      <c r="C61" s="61" t="s">
        <v>34</v>
      </c>
      <c r="F61" t="s">
        <v>3788</v>
      </c>
      <c r="G61" t="s">
        <v>6288</v>
      </c>
      <c r="I61" t="s">
        <v>6289</v>
      </c>
      <c r="L61" t="s">
        <v>6290</v>
      </c>
      <c r="N61" s="61" t="s">
        <v>6291</v>
      </c>
      <c r="O61">
        <v>57151</v>
      </c>
    </row>
    <row r="62" spans="1:15" x14ac:dyDescent="0.2">
      <c r="A62" t="s">
        <v>3789</v>
      </c>
      <c r="B62" s="61" t="s">
        <v>6292</v>
      </c>
      <c r="C62" s="61" t="s">
        <v>34</v>
      </c>
      <c r="F62" t="s">
        <v>3789</v>
      </c>
      <c r="G62" t="s">
        <v>6073</v>
      </c>
      <c r="I62" t="s">
        <v>6293</v>
      </c>
      <c r="L62" t="s">
        <v>6294</v>
      </c>
      <c r="M62" t="s">
        <v>6078</v>
      </c>
      <c r="N62" s="61" t="s">
        <v>6128</v>
      </c>
      <c r="O62">
        <v>57150</v>
      </c>
    </row>
    <row r="63" spans="1:15" x14ac:dyDescent="0.2">
      <c r="A63" t="s">
        <v>300</v>
      </c>
      <c r="B63" s="61" t="s">
        <v>6295</v>
      </c>
      <c r="C63" s="61" t="s">
        <v>34</v>
      </c>
      <c r="F63" t="s">
        <v>300</v>
      </c>
      <c r="G63" t="s">
        <v>6073</v>
      </c>
      <c r="H63" t="s">
        <v>6296</v>
      </c>
      <c r="I63" t="s">
        <v>6297</v>
      </c>
      <c r="L63" t="s">
        <v>6298</v>
      </c>
      <c r="M63" t="s">
        <v>6078</v>
      </c>
      <c r="N63" s="61" t="s">
        <v>6299</v>
      </c>
      <c r="O63">
        <v>57149</v>
      </c>
    </row>
    <row r="64" spans="1:15" x14ac:dyDescent="0.2">
      <c r="A64" t="s">
        <v>3790</v>
      </c>
      <c r="B64" s="61" t="s">
        <v>34</v>
      </c>
      <c r="C64" s="61" t="s">
        <v>34</v>
      </c>
      <c r="F64" t="s">
        <v>3790</v>
      </c>
      <c r="G64" t="s">
        <v>6073</v>
      </c>
      <c r="H64" t="s">
        <v>34</v>
      </c>
      <c r="I64" t="s">
        <v>34</v>
      </c>
      <c r="L64" t="s">
        <v>34</v>
      </c>
      <c r="N64" s="61" t="s">
        <v>3784</v>
      </c>
      <c r="O64">
        <v>58334</v>
      </c>
    </row>
    <row r="65" spans="1:15" x14ac:dyDescent="0.2">
      <c r="A65" t="s">
        <v>3791</v>
      </c>
      <c r="B65" s="61" t="s">
        <v>6300</v>
      </c>
      <c r="C65" s="61" t="s">
        <v>34</v>
      </c>
      <c r="F65" t="s">
        <v>3791</v>
      </c>
      <c r="G65" t="s">
        <v>6073</v>
      </c>
      <c r="I65" t="s">
        <v>6301</v>
      </c>
      <c r="L65" t="s">
        <v>6302</v>
      </c>
      <c r="M65" t="s">
        <v>6078</v>
      </c>
      <c r="N65" s="61" t="s">
        <v>6128</v>
      </c>
      <c r="O65">
        <v>57148</v>
      </c>
    </row>
    <row r="66" spans="1:15" x14ac:dyDescent="0.2">
      <c r="A66" t="s">
        <v>3792</v>
      </c>
      <c r="B66" s="61" t="s">
        <v>6303</v>
      </c>
      <c r="C66" s="61" t="s">
        <v>34</v>
      </c>
      <c r="F66" t="s">
        <v>3792</v>
      </c>
      <c r="G66" t="s">
        <v>6073</v>
      </c>
      <c r="I66" t="s">
        <v>6304</v>
      </c>
      <c r="L66" t="s">
        <v>6305</v>
      </c>
      <c r="M66" t="s">
        <v>6078</v>
      </c>
      <c r="N66" s="61" t="s">
        <v>6128</v>
      </c>
      <c r="O66">
        <v>57122</v>
      </c>
    </row>
    <row r="67" spans="1:15" x14ac:dyDescent="0.2">
      <c r="A67" t="s">
        <v>3793</v>
      </c>
      <c r="B67" s="61" t="s">
        <v>34</v>
      </c>
      <c r="C67" s="61" t="s">
        <v>34</v>
      </c>
      <c r="F67" t="s">
        <v>3793</v>
      </c>
      <c r="G67" t="s">
        <v>6073</v>
      </c>
      <c r="H67" t="s">
        <v>34</v>
      </c>
      <c r="I67" t="s">
        <v>34</v>
      </c>
      <c r="L67" t="s">
        <v>34</v>
      </c>
      <c r="N67" s="61" t="s">
        <v>3784</v>
      </c>
      <c r="O67">
        <v>58386</v>
      </c>
    </row>
    <row r="68" spans="1:15" x14ac:dyDescent="0.2">
      <c r="A68" t="s">
        <v>3794</v>
      </c>
      <c r="B68" s="61" t="s">
        <v>6306</v>
      </c>
      <c r="C68" s="61" t="s">
        <v>34</v>
      </c>
      <c r="F68" t="s">
        <v>3794</v>
      </c>
      <c r="G68" t="s">
        <v>6073</v>
      </c>
      <c r="I68" t="s">
        <v>6307</v>
      </c>
      <c r="L68" t="s">
        <v>6308</v>
      </c>
      <c r="M68" t="s">
        <v>6309</v>
      </c>
      <c r="N68" s="61" t="s">
        <v>6310</v>
      </c>
      <c r="O68">
        <v>57121</v>
      </c>
    </row>
    <row r="69" spans="1:15" x14ac:dyDescent="0.2">
      <c r="A69" t="s">
        <v>3795</v>
      </c>
      <c r="B69" s="61" t="s">
        <v>34</v>
      </c>
      <c r="C69" s="61" t="s">
        <v>34</v>
      </c>
      <c r="F69" t="s">
        <v>3795</v>
      </c>
      <c r="G69" t="s">
        <v>6073</v>
      </c>
      <c r="H69" t="s">
        <v>34</v>
      </c>
      <c r="I69" t="s">
        <v>34</v>
      </c>
      <c r="L69" t="s">
        <v>34</v>
      </c>
      <c r="N69" s="61" t="s">
        <v>3784</v>
      </c>
      <c r="O69">
        <v>58385</v>
      </c>
    </row>
    <row r="70" spans="1:15" x14ac:dyDescent="0.2">
      <c r="A70" t="s">
        <v>3796</v>
      </c>
      <c r="B70" s="61" t="s">
        <v>6311</v>
      </c>
      <c r="C70" s="61" t="s">
        <v>34</v>
      </c>
      <c r="F70" t="s">
        <v>3796</v>
      </c>
      <c r="G70" t="s">
        <v>6073</v>
      </c>
      <c r="I70" t="s">
        <v>6312</v>
      </c>
      <c r="L70" t="s">
        <v>6313</v>
      </c>
      <c r="M70" t="s">
        <v>6078</v>
      </c>
      <c r="N70" s="61" t="s">
        <v>6314</v>
      </c>
      <c r="O70">
        <v>57985</v>
      </c>
    </row>
    <row r="71" spans="1:15" x14ac:dyDescent="0.2">
      <c r="A71" t="s">
        <v>3797</v>
      </c>
      <c r="B71" s="61" t="s">
        <v>6315</v>
      </c>
      <c r="C71" s="61" t="s">
        <v>34</v>
      </c>
      <c r="F71" t="s">
        <v>3797</v>
      </c>
      <c r="G71" t="s">
        <v>6316</v>
      </c>
      <c r="L71" t="s">
        <v>6317</v>
      </c>
      <c r="M71" t="s">
        <v>6318</v>
      </c>
      <c r="N71" s="61" t="s">
        <v>6319</v>
      </c>
      <c r="O71">
        <v>57120</v>
      </c>
    </row>
    <row r="72" spans="1:15" x14ac:dyDescent="0.2">
      <c r="A72" t="s">
        <v>628</v>
      </c>
      <c r="B72" s="61" t="s">
        <v>6320</v>
      </c>
      <c r="C72" s="61" t="s">
        <v>34</v>
      </c>
      <c r="F72" t="s">
        <v>628</v>
      </c>
      <c r="G72" t="s">
        <v>6073</v>
      </c>
      <c r="L72" t="s">
        <v>6321</v>
      </c>
      <c r="M72" t="s">
        <v>6078</v>
      </c>
      <c r="N72" s="61" t="s">
        <v>6322</v>
      </c>
      <c r="O72">
        <v>57095</v>
      </c>
    </row>
    <row r="73" spans="1:15" x14ac:dyDescent="0.2">
      <c r="A73" t="s">
        <v>3798</v>
      </c>
      <c r="B73" s="61" t="s">
        <v>6323</v>
      </c>
      <c r="C73" s="61" t="s">
        <v>34</v>
      </c>
      <c r="F73" t="s">
        <v>3798</v>
      </c>
      <c r="G73" t="s">
        <v>6073</v>
      </c>
      <c r="L73" t="s">
        <v>6324</v>
      </c>
      <c r="M73" t="s">
        <v>6078</v>
      </c>
      <c r="N73" s="61" t="s">
        <v>6083</v>
      </c>
      <c r="O73">
        <v>57093</v>
      </c>
    </row>
    <row r="74" spans="1:15" x14ac:dyDescent="0.2">
      <c r="A74" t="s">
        <v>3799</v>
      </c>
      <c r="B74" s="61" t="s">
        <v>6325</v>
      </c>
      <c r="C74" s="61" t="s">
        <v>34</v>
      </c>
      <c r="F74" t="s">
        <v>3799</v>
      </c>
      <c r="G74" t="s">
        <v>6073</v>
      </c>
      <c r="I74" t="s">
        <v>6326</v>
      </c>
      <c r="L74" t="s">
        <v>6327</v>
      </c>
      <c r="M74" t="s">
        <v>6240</v>
      </c>
      <c r="N74" s="61" t="s">
        <v>6328</v>
      </c>
      <c r="O74">
        <v>57092</v>
      </c>
    </row>
    <row r="75" spans="1:15" x14ac:dyDescent="0.2">
      <c r="A75" t="s">
        <v>3800</v>
      </c>
      <c r="B75" s="61" t="s">
        <v>6329</v>
      </c>
      <c r="C75" s="61" t="s">
        <v>34</v>
      </c>
      <c r="F75" t="s">
        <v>3800</v>
      </c>
      <c r="G75" t="s">
        <v>6073</v>
      </c>
      <c r="I75" t="s">
        <v>6330</v>
      </c>
      <c r="L75" t="s">
        <v>6331</v>
      </c>
      <c r="M75" t="s">
        <v>6148</v>
      </c>
      <c r="N75" s="61" t="s">
        <v>6332</v>
      </c>
      <c r="O75">
        <v>57091</v>
      </c>
    </row>
    <row r="76" spans="1:15" x14ac:dyDescent="0.2">
      <c r="A76" t="s">
        <v>3801</v>
      </c>
      <c r="B76" s="61" t="s">
        <v>6333</v>
      </c>
      <c r="C76" s="61" t="s">
        <v>34</v>
      </c>
      <c r="F76" t="s">
        <v>3801</v>
      </c>
      <c r="G76" t="s">
        <v>6073</v>
      </c>
      <c r="I76" t="s">
        <v>6334</v>
      </c>
      <c r="L76" t="s">
        <v>6335</v>
      </c>
      <c r="M76" t="s">
        <v>6266</v>
      </c>
      <c r="N76" s="61" t="s">
        <v>6336</v>
      </c>
      <c r="O76">
        <v>71496</v>
      </c>
    </row>
    <row r="77" spans="1:15" x14ac:dyDescent="0.2">
      <c r="A77" t="s">
        <v>3802</v>
      </c>
      <c r="B77" s="61" t="s">
        <v>6337</v>
      </c>
      <c r="C77" s="61" t="s">
        <v>34</v>
      </c>
      <c r="F77" t="s">
        <v>3802</v>
      </c>
      <c r="G77" t="s">
        <v>6073</v>
      </c>
      <c r="I77" t="s">
        <v>6338</v>
      </c>
      <c r="L77" t="s">
        <v>6339</v>
      </c>
      <c r="M77" t="s">
        <v>6078</v>
      </c>
      <c r="N77" s="61" t="s">
        <v>6211</v>
      </c>
      <c r="O77">
        <v>57089</v>
      </c>
    </row>
    <row r="78" spans="1:15" x14ac:dyDescent="0.2">
      <c r="A78" t="s">
        <v>3803</v>
      </c>
      <c r="B78" s="61" t="s">
        <v>6340</v>
      </c>
      <c r="C78" s="61" t="s">
        <v>34</v>
      </c>
      <c r="F78" t="s">
        <v>3803</v>
      </c>
      <c r="G78" t="s">
        <v>6073</v>
      </c>
      <c r="M78" t="s">
        <v>6341</v>
      </c>
      <c r="N78" s="61" t="s">
        <v>6342</v>
      </c>
      <c r="O78">
        <v>57088</v>
      </c>
    </row>
    <row r="79" spans="1:15" x14ac:dyDescent="0.2">
      <c r="A79" t="s">
        <v>3804</v>
      </c>
      <c r="B79" s="61" t="s">
        <v>6343</v>
      </c>
      <c r="C79" s="61" t="s">
        <v>34</v>
      </c>
      <c r="F79" t="s">
        <v>3804</v>
      </c>
      <c r="G79" t="s">
        <v>6073</v>
      </c>
      <c r="I79" t="s">
        <v>6344</v>
      </c>
      <c r="L79" t="s">
        <v>6345</v>
      </c>
      <c r="M79" t="s">
        <v>6346</v>
      </c>
      <c r="N79" s="61" t="s">
        <v>6347</v>
      </c>
      <c r="O79">
        <v>57087</v>
      </c>
    </row>
    <row r="80" spans="1:15" x14ac:dyDescent="0.2">
      <c r="A80" t="s">
        <v>3805</v>
      </c>
      <c r="B80" s="61" t="s">
        <v>6348</v>
      </c>
      <c r="C80" s="61" t="s">
        <v>34</v>
      </c>
      <c r="F80" t="s">
        <v>3805</v>
      </c>
      <c r="G80" t="s">
        <v>6073</v>
      </c>
      <c r="I80" t="s">
        <v>6349</v>
      </c>
      <c r="L80" t="s">
        <v>6350</v>
      </c>
      <c r="M80" t="s">
        <v>6351</v>
      </c>
      <c r="N80" s="61" t="s">
        <v>6352</v>
      </c>
      <c r="O80">
        <v>57086</v>
      </c>
    </row>
    <row r="81" spans="1:15" x14ac:dyDescent="0.2">
      <c r="A81" t="s">
        <v>3806</v>
      </c>
      <c r="B81" s="61" t="s">
        <v>34</v>
      </c>
      <c r="C81" s="61" t="s">
        <v>34</v>
      </c>
      <c r="F81" t="s">
        <v>3806</v>
      </c>
      <c r="G81" t="s">
        <v>6073</v>
      </c>
      <c r="H81" t="s">
        <v>34</v>
      </c>
      <c r="I81" t="s">
        <v>34</v>
      </c>
      <c r="L81" t="s">
        <v>34</v>
      </c>
      <c r="N81" s="61" t="s">
        <v>3784</v>
      </c>
      <c r="O81">
        <v>58323</v>
      </c>
    </row>
    <row r="82" spans="1:15" x14ac:dyDescent="0.2">
      <c r="A82" t="s">
        <v>3807</v>
      </c>
      <c r="B82" s="61" t="s">
        <v>6353</v>
      </c>
      <c r="C82" s="61" t="s">
        <v>34</v>
      </c>
      <c r="F82" t="s">
        <v>3807</v>
      </c>
      <c r="G82" t="s">
        <v>6073</v>
      </c>
      <c r="H82" t="s">
        <v>6354</v>
      </c>
      <c r="J82" t="s">
        <v>6355</v>
      </c>
      <c r="K82" t="s">
        <v>6356</v>
      </c>
      <c r="L82" t="s">
        <v>6357</v>
      </c>
      <c r="M82" t="s">
        <v>6078</v>
      </c>
      <c r="N82" s="61" t="s">
        <v>6314</v>
      </c>
      <c r="O82">
        <v>115605</v>
      </c>
    </row>
    <row r="83" spans="1:15" x14ac:dyDescent="0.2">
      <c r="A83" t="s">
        <v>3808</v>
      </c>
      <c r="B83" s="61" t="s">
        <v>34</v>
      </c>
      <c r="C83" s="61" t="s">
        <v>34</v>
      </c>
      <c r="F83" t="s">
        <v>3808</v>
      </c>
      <c r="G83" t="s">
        <v>6073</v>
      </c>
      <c r="H83" t="s">
        <v>34</v>
      </c>
      <c r="I83" t="s">
        <v>34</v>
      </c>
      <c r="L83" t="s">
        <v>34</v>
      </c>
      <c r="N83" s="61" t="s">
        <v>3784</v>
      </c>
      <c r="O83">
        <v>58322</v>
      </c>
    </row>
    <row r="84" spans="1:15" x14ac:dyDescent="0.2">
      <c r="A84" t="s">
        <v>3809</v>
      </c>
      <c r="B84" s="61" t="s">
        <v>6358</v>
      </c>
      <c r="C84" s="61" t="s">
        <v>34</v>
      </c>
      <c r="F84" t="s">
        <v>3809</v>
      </c>
      <c r="G84" t="s">
        <v>6073</v>
      </c>
      <c r="I84" t="s">
        <v>6359</v>
      </c>
      <c r="J84" t="s">
        <v>6360</v>
      </c>
      <c r="K84" t="s">
        <v>6361</v>
      </c>
      <c r="L84" t="s">
        <v>6362</v>
      </c>
      <c r="M84" t="s">
        <v>6078</v>
      </c>
      <c r="N84" s="61" t="s">
        <v>6363</v>
      </c>
      <c r="O84">
        <v>57085</v>
      </c>
    </row>
    <row r="85" spans="1:15" x14ac:dyDescent="0.2">
      <c r="A85" t="s">
        <v>3810</v>
      </c>
      <c r="B85" s="61" t="s">
        <v>6364</v>
      </c>
      <c r="C85" s="61" t="s">
        <v>34</v>
      </c>
      <c r="F85" t="s">
        <v>6365</v>
      </c>
      <c r="G85" t="s">
        <v>6073</v>
      </c>
      <c r="I85" t="s">
        <v>6366</v>
      </c>
      <c r="L85" t="s">
        <v>6367</v>
      </c>
      <c r="M85" t="s">
        <v>6368</v>
      </c>
      <c r="N85" s="61" t="s">
        <v>6369</v>
      </c>
      <c r="O85">
        <v>93086</v>
      </c>
    </row>
    <row r="86" spans="1:15" x14ac:dyDescent="0.2">
      <c r="A86" t="s">
        <v>3811</v>
      </c>
      <c r="B86" s="61" t="s">
        <v>6370</v>
      </c>
      <c r="C86" s="61" t="s">
        <v>34</v>
      </c>
      <c r="F86" t="s">
        <v>3811</v>
      </c>
      <c r="G86" t="s">
        <v>6073</v>
      </c>
      <c r="I86" t="s">
        <v>6371</v>
      </c>
      <c r="L86" t="s">
        <v>6372</v>
      </c>
      <c r="M86" t="s">
        <v>6078</v>
      </c>
      <c r="N86" s="61" t="s">
        <v>6211</v>
      </c>
      <c r="O86">
        <v>57084</v>
      </c>
    </row>
    <row r="87" spans="1:15" x14ac:dyDescent="0.2">
      <c r="A87" t="s">
        <v>3812</v>
      </c>
      <c r="B87" s="61" t="s">
        <v>6373</v>
      </c>
      <c r="C87" s="61" t="s">
        <v>34</v>
      </c>
      <c r="F87" t="s">
        <v>6374</v>
      </c>
      <c r="G87" t="s">
        <v>6073</v>
      </c>
      <c r="I87" t="s">
        <v>6375</v>
      </c>
      <c r="L87" t="s">
        <v>6376</v>
      </c>
      <c r="M87" t="s">
        <v>6078</v>
      </c>
      <c r="N87" s="61" t="s">
        <v>6110</v>
      </c>
      <c r="O87">
        <v>57083</v>
      </c>
    </row>
    <row r="88" spans="1:15" x14ac:dyDescent="0.2">
      <c r="A88" t="s">
        <v>3813</v>
      </c>
      <c r="B88" s="61" t="s">
        <v>6373</v>
      </c>
      <c r="C88" s="61" t="s">
        <v>34</v>
      </c>
      <c r="F88" t="s">
        <v>3813</v>
      </c>
      <c r="G88" t="s">
        <v>6073</v>
      </c>
      <c r="I88" t="s">
        <v>6375</v>
      </c>
      <c r="J88" t="s">
        <v>6377</v>
      </c>
      <c r="K88" t="s">
        <v>6378</v>
      </c>
      <c r="L88" t="s">
        <v>6376</v>
      </c>
      <c r="M88" t="s">
        <v>6078</v>
      </c>
      <c r="N88" s="61" t="s">
        <v>6110</v>
      </c>
      <c r="O88">
        <v>57082</v>
      </c>
    </row>
    <row r="89" spans="1:15" x14ac:dyDescent="0.2">
      <c r="A89" t="s">
        <v>3814</v>
      </c>
      <c r="B89" s="61" t="s">
        <v>6379</v>
      </c>
      <c r="C89" s="61" t="s">
        <v>34</v>
      </c>
      <c r="F89" t="s">
        <v>3814</v>
      </c>
      <c r="G89" t="s">
        <v>6073</v>
      </c>
      <c r="I89" t="s">
        <v>6380</v>
      </c>
      <c r="L89" t="s">
        <v>6381</v>
      </c>
      <c r="M89" t="s">
        <v>6095</v>
      </c>
      <c r="N89" s="61" t="s">
        <v>6382</v>
      </c>
      <c r="O89">
        <v>57081</v>
      </c>
    </row>
    <row r="90" spans="1:15" x14ac:dyDescent="0.2">
      <c r="A90" t="s">
        <v>3815</v>
      </c>
      <c r="B90" s="61" t="s">
        <v>6383</v>
      </c>
      <c r="C90" s="61" t="s">
        <v>34</v>
      </c>
      <c r="F90" t="s">
        <v>3815</v>
      </c>
      <c r="G90" t="s">
        <v>6073</v>
      </c>
      <c r="I90" t="s">
        <v>6384</v>
      </c>
      <c r="L90" t="s">
        <v>6385</v>
      </c>
      <c r="M90" t="s">
        <v>6078</v>
      </c>
      <c r="N90" s="61" t="s">
        <v>6386</v>
      </c>
      <c r="O90">
        <v>57080</v>
      </c>
    </row>
    <row r="91" spans="1:15" x14ac:dyDescent="0.2">
      <c r="A91" t="s">
        <v>3816</v>
      </c>
      <c r="B91" s="61" t="s">
        <v>6387</v>
      </c>
      <c r="C91" s="61" t="s">
        <v>34</v>
      </c>
      <c r="F91" t="s">
        <v>3816</v>
      </c>
      <c r="G91" t="s">
        <v>6073</v>
      </c>
      <c r="L91" t="s">
        <v>6388</v>
      </c>
      <c r="M91" t="s">
        <v>6078</v>
      </c>
      <c r="N91" s="61" t="s">
        <v>6314</v>
      </c>
      <c r="O91">
        <v>57079</v>
      </c>
    </row>
    <row r="92" spans="1:15" x14ac:dyDescent="0.2">
      <c r="A92" t="s">
        <v>3817</v>
      </c>
      <c r="B92" s="61" t="s">
        <v>6389</v>
      </c>
      <c r="C92" s="61" t="s">
        <v>34</v>
      </c>
      <c r="F92" t="s">
        <v>3817</v>
      </c>
      <c r="G92" t="s">
        <v>6073</v>
      </c>
      <c r="I92" t="s">
        <v>6390</v>
      </c>
      <c r="J92" t="s">
        <v>6391</v>
      </c>
      <c r="L92" t="s">
        <v>6392</v>
      </c>
      <c r="M92" t="s">
        <v>6095</v>
      </c>
      <c r="N92" s="61" t="s">
        <v>6393</v>
      </c>
      <c r="O92">
        <v>57078</v>
      </c>
    </row>
    <row r="93" spans="1:15" x14ac:dyDescent="0.2">
      <c r="A93" t="s">
        <v>3818</v>
      </c>
      <c r="B93" s="61" t="s">
        <v>6394</v>
      </c>
      <c r="C93" s="61" t="s">
        <v>34</v>
      </c>
      <c r="F93" t="s">
        <v>3818</v>
      </c>
      <c r="G93" t="s">
        <v>6073</v>
      </c>
      <c r="I93" t="s">
        <v>6395</v>
      </c>
      <c r="L93" t="s">
        <v>6396</v>
      </c>
      <c r="M93" t="s">
        <v>6346</v>
      </c>
      <c r="N93" s="61" t="s">
        <v>6397</v>
      </c>
      <c r="O93">
        <v>57077</v>
      </c>
    </row>
    <row r="94" spans="1:15" x14ac:dyDescent="0.2">
      <c r="A94" t="s">
        <v>3819</v>
      </c>
      <c r="B94" s="61" t="s">
        <v>6398</v>
      </c>
      <c r="C94" s="61" t="s">
        <v>34</v>
      </c>
      <c r="F94" t="s">
        <v>3819</v>
      </c>
      <c r="G94" t="s">
        <v>6073</v>
      </c>
      <c r="I94" t="s">
        <v>6399</v>
      </c>
      <c r="L94" t="s">
        <v>6400</v>
      </c>
      <c r="M94" t="s">
        <v>6078</v>
      </c>
      <c r="N94" s="61" t="s">
        <v>6255</v>
      </c>
      <c r="O94">
        <v>57076</v>
      </c>
    </row>
    <row r="95" spans="1:15" x14ac:dyDescent="0.2">
      <c r="A95" t="s">
        <v>3820</v>
      </c>
      <c r="B95" s="61" t="s">
        <v>6401</v>
      </c>
      <c r="C95" s="61" t="s">
        <v>34</v>
      </c>
      <c r="F95" t="s">
        <v>3820</v>
      </c>
      <c r="G95" t="s">
        <v>6073</v>
      </c>
      <c r="I95" t="s">
        <v>6402</v>
      </c>
      <c r="L95" t="s">
        <v>6403</v>
      </c>
      <c r="M95" t="s">
        <v>6078</v>
      </c>
      <c r="N95" s="61" t="s">
        <v>6404</v>
      </c>
      <c r="O95">
        <v>57075</v>
      </c>
    </row>
    <row r="96" spans="1:15" x14ac:dyDescent="0.2">
      <c r="A96" t="s">
        <v>3821</v>
      </c>
      <c r="B96" s="61" t="s">
        <v>6405</v>
      </c>
      <c r="C96" s="61" t="s">
        <v>34</v>
      </c>
      <c r="F96" t="s">
        <v>3821</v>
      </c>
      <c r="G96" t="s">
        <v>6406</v>
      </c>
      <c r="N96" s="61" t="s">
        <v>6407</v>
      </c>
      <c r="O96">
        <v>57074</v>
      </c>
    </row>
    <row r="97" spans="1:15" x14ac:dyDescent="0.2">
      <c r="A97" t="s">
        <v>3822</v>
      </c>
      <c r="B97" s="61" t="s">
        <v>6408</v>
      </c>
      <c r="C97" s="61" t="s">
        <v>34</v>
      </c>
      <c r="F97" t="s">
        <v>3822</v>
      </c>
      <c r="G97" t="s">
        <v>6073</v>
      </c>
      <c r="L97" t="s">
        <v>6409</v>
      </c>
      <c r="M97" t="s">
        <v>6410</v>
      </c>
      <c r="N97" s="61" t="s">
        <v>6411</v>
      </c>
      <c r="O97">
        <v>57073</v>
      </c>
    </row>
    <row r="98" spans="1:15" x14ac:dyDescent="0.2">
      <c r="A98" t="s">
        <v>3823</v>
      </c>
      <c r="B98" s="61" t="s">
        <v>6412</v>
      </c>
      <c r="C98" s="61" t="s">
        <v>34</v>
      </c>
      <c r="F98" t="s">
        <v>3823</v>
      </c>
      <c r="G98" t="s">
        <v>6073</v>
      </c>
      <c r="L98" t="s">
        <v>6413</v>
      </c>
      <c r="M98" t="s">
        <v>6148</v>
      </c>
      <c r="N98" s="61" t="s">
        <v>6414</v>
      </c>
      <c r="O98">
        <v>57094</v>
      </c>
    </row>
    <row r="99" spans="1:15" x14ac:dyDescent="0.2">
      <c r="A99" t="s">
        <v>3824</v>
      </c>
      <c r="B99" s="61" t="s">
        <v>6415</v>
      </c>
      <c r="C99" s="61" t="s">
        <v>34</v>
      </c>
      <c r="F99" t="s">
        <v>3824</v>
      </c>
      <c r="G99" t="s">
        <v>6073</v>
      </c>
      <c r="I99" t="s">
        <v>6416</v>
      </c>
      <c r="L99" t="s">
        <v>6417</v>
      </c>
      <c r="M99" t="s">
        <v>6104</v>
      </c>
      <c r="N99" s="61" t="s">
        <v>6418</v>
      </c>
      <c r="O99">
        <v>57096</v>
      </c>
    </row>
    <row r="100" spans="1:15" x14ac:dyDescent="0.2">
      <c r="A100" t="s">
        <v>3825</v>
      </c>
      <c r="B100" s="61" t="s">
        <v>6419</v>
      </c>
      <c r="C100" s="61" t="s">
        <v>34</v>
      </c>
      <c r="F100" t="s">
        <v>3825</v>
      </c>
      <c r="G100" t="s">
        <v>6073</v>
      </c>
      <c r="I100" t="s">
        <v>6420</v>
      </c>
      <c r="L100" t="s">
        <v>6421</v>
      </c>
      <c r="M100" t="s">
        <v>6422</v>
      </c>
      <c r="N100" s="61" t="s">
        <v>6423</v>
      </c>
      <c r="O100">
        <v>57119</v>
      </c>
    </row>
    <row r="101" spans="1:15" x14ac:dyDescent="0.2">
      <c r="A101" t="s">
        <v>3826</v>
      </c>
      <c r="B101" s="61" t="s">
        <v>6424</v>
      </c>
      <c r="C101" s="61" t="s">
        <v>34</v>
      </c>
      <c r="F101" t="s">
        <v>3826</v>
      </c>
      <c r="G101" t="s">
        <v>6073</v>
      </c>
      <c r="I101" t="s">
        <v>6425</v>
      </c>
      <c r="L101" t="s">
        <v>6426</v>
      </c>
      <c r="M101" t="s">
        <v>6078</v>
      </c>
      <c r="N101" s="61" t="s">
        <v>6128</v>
      </c>
      <c r="O101">
        <v>57097</v>
      </c>
    </row>
    <row r="102" spans="1:15" x14ac:dyDescent="0.2">
      <c r="A102" t="s">
        <v>3827</v>
      </c>
      <c r="B102" s="61" t="s">
        <v>6427</v>
      </c>
      <c r="C102" s="61" t="s">
        <v>34</v>
      </c>
      <c r="F102" t="s">
        <v>3827</v>
      </c>
      <c r="G102" t="s">
        <v>6073</v>
      </c>
      <c r="I102" t="s">
        <v>6428</v>
      </c>
      <c r="L102" t="s">
        <v>6429</v>
      </c>
      <c r="M102" t="s">
        <v>6266</v>
      </c>
      <c r="N102" s="61" t="s">
        <v>6430</v>
      </c>
      <c r="O102">
        <v>57118</v>
      </c>
    </row>
    <row r="103" spans="1:15" x14ac:dyDescent="0.2">
      <c r="A103" t="s">
        <v>3828</v>
      </c>
      <c r="B103" s="61" t="s">
        <v>6431</v>
      </c>
      <c r="C103" s="61" t="s">
        <v>34</v>
      </c>
      <c r="F103" t="s">
        <v>3828</v>
      </c>
      <c r="G103" t="s">
        <v>6073</v>
      </c>
      <c r="L103" t="s">
        <v>6432</v>
      </c>
      <c r="M103" t="s">
        <v>6433</v>
      </c>
      <c r="N103" s="61" t="s">
        <v>6434</v>
      </c>
      <c r="O103">
        <v>57117</v>
      </c>
    </row>
    <row r="104" spans="1:15" x14ac:dyDescent="0.2">
      <c r="A104" t="s">
        <v>3829</v>
      </c>
      <c r="B104" s="61" t="s">
        <v>6435</v>
      </c>
      <c r="C104" s="61" t="s">
        <v>6436</v>
      </c>
      <c r="F104" t="s">
        <v>3829</v>
      </c>
      <c r="G104" t="s">
        <v>6073</v>
      </c>
      <c r="L104" t="s">
        <v>6437</v>
      </c>
      <c r="M104" t="s">
        <v>6078</v>
      </c>
      <c r="N104" s="61" t="s">
        <v>6438</v>
      </c>
      <c r="O104">
        <v>57116</v>
      </c>
    </row>
    <row r="105" spans="1:15" x14ac:dyDescent="0.2">
      <c r="A105" t="s">
        <v>3830</v>
      </c>
      <c r="B105" s="61" t="s">
        <v>6439</v>
      </c>
      <c r="C105" s="61" t="s">
        <v>34</v>
      </c>
      <c r="F105" t="s">
        <v>3830</v>
      </c>
      <c r="G105" t="s">
        <v>6073</v>
      </c>
      <c r="H105" t="s">
        <v>6440</v>
      </c>
      <c r="J105" t="s">
        <v>6441</v>
      </c>
      <c r="K105" t="s">
        <v>6442</v>
      </c>
      <c r="L105" t="s">
        <v>6443</v>
      </c>
      <c r="M105" t="s">
        <v>6078</v>
      </c>
      <c r="N105" s="61" t="s">
        <v>6444</v>
      </c>
      <c r="O105">
        <v>92363</v>
      </c>
    </row>
    <row r="106" spans="1:15" x14ac:dyDescent="0.2">
      <c r="A106" t="s">
        <v>3831</v>
      </c>
      <c r="B106" s="61" t="s">
        <v>6445</v>
      </c>
      <c r="C106" s="61" t="s">
        <v>34</v>
      </c>
      <c r="F106" t="s">
        <v>3831</v>
      </c>
      <c r="G106" t="s">
        <v>6073</v>
      </c>
      <c r="L106" t="s">
        <v>6446</v>
      </c>
      <c r="M106" t="s">
        <v>6078</v>
      </c>
      <c r="N106" s="61" t="s">
        <v>6447</v>
      </c>
      <c r="O106">
        <v>57115</v>
      </c>
    </row>
    <row r="107" spans="1:15" x14ac:dyDescent="0.2">
      <c r="A107" t="s">
        <v>301</v>
      </c>
      <c r="B107" s="61" t="s">
        <v>6448</v>
      </c>
      <c r="C107" s="61" t="s">
        <v>34</v>
      </c>
      <c r="F107" t="s">
        <v>301</v>
      </c>
      <c r="G107" t="s">
        <v>6073</v>
      </c>
      <c r="I107" t="s">
        <v>6449</v>
      </c>
      <c r="L107" t="s">
        <v>6450</v>
      </c>
      <c r="M107" t="s">
        <v>6095</v>
      </c>
      <c r="N107" s="61" t="s">
        <v>6451</v>
      </c>
      <c r="O107">
        <v>57114</v>
      </c>
    </row>
    <row r="108" spans="1:15" x14ac:dyDescent="0.2">
      <c r="A108" t="s">
        <v>304</v>
      </c>
      <c r="B108" s="61" t="s">
        <v>6452</v>
      </c>
      <c r="C108" s="61" t="s">
        <v>34</v>
      </c>
      <c r="F108" t="s">
        <v>304</v>
      </c>
      <c r="G108" t="s">
        <v>6073</v>
      </c>
      <c r="I108" t="s">
        <v>6453</v>
      </c>
      <c r="L108" t="s">
        <v>6454</v>
      </c>
      <c r="M108" t="s">
        <v>6078</v>
      </c>
      <c r="N108" s="61" t="s">
        <v>6455</v>
      </c>
      <c r="O108">
        <v>57113</v>
      </c>
    </row>
    <row r="109" spans="1:15" x14ac:dyDescent="0.2">
      <c r="A109" t="s">
        <v>3832</v>
      </c>
      <c r="B109" s="61" t="s">
        <v>6456</v>
      </c>
      <c r="C109" s="61" t="s">
        <v>34</v>
      </c>
      <c r="F109" t="s">
        <v>3832</v>
      </c>
      <c r="G109" t="s">
        <v>6073</v>
      </c>
      <c r="L109" t="s">
        <v>6457</v>
      </c>
      <c r="M109" t="s">
        <v>6095</v>
      </c>
      <c r="N109" s="61" t="s">
        <v>6458</v>
      </c>
      <c r="O109">
        <v>57112</v>
      </c>
    </row>
    <row r="110" spans="1:15" x14ac:dyDescent="0.2">
      <c r="A110" t="s">
        <v>3833</v>
      </c>
      <c r="B110" s="61" t="s">
        <v>6459</v>
      </c>
      <c r="C110" s="61" t="s">
        <v>6460</v>
      </c>
      <c r="F110" t="s">
        <v>3833</v>
      </c>
      <c r="G110" t="s">
        <v>6073</v>
      </c>
      <c r="M110" t="s">
        <v>6461</v>
      </c>
      <c r="N110" s="61" t="s">
        <v>6462</v>
      </c>
      <c r="O110">
        <v>57111</v>
      </c>
    </row>
    <row r="111" spans="1:15" x14ac:dyDescent="0.2">
      <c r="A111" t="s">
        <v>309</v>
      </c>
      <c r="B111" s="61" t="s">
        <v>6463</v>
      </c>
      <c r="C111" s="61" t="s">
        <v>34</v>
      </c>
      <c r="F111" t="s">
        <v>309</v>
      </c>
      <c r="G111" t="s">
        <v>6073</v>
      </c>
      <c r="I111" t="s">
        <v>6464</v>
      </c>
      <c r="L111" t="s">
        <v>6465</v>
      </c>
      <c r="M111" t="s">
        <v>6078</v>
      </c>
      <c r="N111" s="61" t="s">
        <v>6466</v>
      </c>
      <c r="O111">
        <v>57110</v>
      </c>
    </row>
    <row r="112" spans="1:15" x14ac:dyDescent="0.2">
      <c r="A112" t="s">
        <v>3834</v>
      </c>
      <c r="B112" s="61" t="s">
        <v>6467</v>
      </c>
      <c r="C112" s="61" t="s">
        <v>34</v>
      </c>
      <c r="F112" t="s">
        <v>3834</v>
      </c>
      <c r="G112" t="s">
        <v>6073</v>
      </c>
      <c r="L112" t="s">
        <v>6468</v>
      </c>
      <c r="M112" t="s">
        <v>6235</v>
      </c>
      <c r="N112" s="61" t="s">
        <v>6469</v>
      </c>
      <c r="O112">
        <v>117320</v>
      </c>
    </row>
    <row r="113" spans="1:15" x14ac:dyDescent="0.2">
      <c r="A113" t="s">
        <v>3835</v>
      </c>
      <c r="B113" s="61" t="s">
        <v>6470</v>
      </c>
      <c r="C113" s="61" t="s">
        <v>34</v>
      </c>
      <c r="F113" t="s">
        <v>3835</v>
      </c>
      <c r="G113" t="s">
        <v>6073</v>
      </c>
      <c r="I113" t="s">
        <v>6471</v>
      </c>
      <c r="L113" t="s">
        <v>6472</v>
      </c>
      <c r="M113" t="s">
        <v>6095</v>
      </c>
      <c r="N113" s="61" t="s">
        <v>6473</v>
      </c>
      <c r="O113">
        <v>57109</v>
      </c>
    </row>
    <row r="114" spans="1:15" x14ac:dyDescent="0.2">
      <c r="A114" t="s">
        <v>3836</v>
      </c>
      <c r="B114" s="61" t="s">
        <v>6474</v>
      </c>
      <c r="C114" s="61" t="s">
        <v>34</v>
      </c>
      <c r="F114" t="s">
        <v>3836</v>
      </c>
      <c r="G114" t="s">
        <v>6073</v>
      </c>
      <c r="I114" t="s">
        <v>6475</v>
      </c>
      <c r="L114" t="s">
        <v>6476</v>
      </c>
      <c r="M114" t="s">
        <v>6078</v>
      </c>
      <c r="N114" s="61" t="s">
        <v>6215</v>
      </c>
      <c r="O114">
        <v>57108</v>
      </c>
    </row>
    <row r="115" spans="1:15" x14ac:dyDescent="0.2">
      <c r="A115" t="s">
        <v>3837</v>
      </c>
      <c r="B115" s="61" t="s">
        <v>6477</v>
      </c>
      <c r="C115" s="61" t="s">
        <v>34</v>
      </c>
      <c r="F115" t="s">
        <v>3837</v>
      </c>
      <c r="G115" t="s">
        <v>6073</v>
      </c>
      <c r="L115" t="s">
        <v>6478</v>
      </c>
      <c r="M115" t="s">
        <v>6104</v>
      </c>
      <c r="N115" s="61" t="s">
        <v>6479</v>
      </c>
      <c r="O115">
        <v>57107</v>
      </c>
    </row>
    <row r="116" spans="1:15" x14ac:dyDescent="0.2">
      <c r="A116" t="s">
        <v>3838</v>
      </c>
      <c r="B116" s="61" t="s">
        <v>6480</v>
      </c>
      <c r="C116" s="61" t="s">
        <v>34</v>
      </c>
      <c r="F116" t="s">
        <v>3838</v>
      </c>
      <c r="G116" t="s">
        <v>6073</v>
      </c>
      <c r="I116" t="s">
        <v>6481</v>
      </c>
      <c r="L116" t="s">
        <v>6482</v>
      </c>
      <c r="M116" t="s">
        <v>6078</v>
      </c>
      <c r="N116" s="61" t="s">
        <v>6444</v>
      </c>
      <c r="O116">
        <v>57106</v>
      </c>
    </row>
    <row r="117" spans="1:15" x14ac:dyDescent="0.2">
      <c r="A117" t="s">
        <v>3839</v>
      </c>
      <c r="B117" s="61" t="s">
        <v>34</v>
      </c>
      <c r="C117" s="61" t="s">
        <v>34</v>
      </c>
      <c r="F117" t="s">
        <v>3839</v>
      </c>
      <c r="G117" t="s">
        <v>6073</v>
      </c>
      <c r="H117" t="s">
        <v>34</v>
      </c>
      <c r="I117" t="s">
        <v>34</v>
      </c>
      <c r="L117" t="s">
        <v>34</v>
      </c>
      <c r="N117" s="61" t="s">
        <v>3784</v>
      </c>
      <c r="O117">
        <v>58321</v>
      </c>
    </row>
    <row r="118" spans="1:15" x14ac:dyDescent="0.2">
      <c r="A118" t="s">
        <v>3840</v>
      </c>
      <c r="B118" s="61" t="s">
        <v>6483</v>
      </c>
      <c r="C118" s="61" t="s">
        <v>34</v>
      </c>
      <c r="F118" t="s">
        <v>3840</v>
      </c>
      <c r="G118" t="s">
        <v>6073</v>
      </c>
      <c r="L118" t="s">
        <v>6484</v>
      </c>
      <c r="M118" t="s">
        <v>6235</v>
      </c>
      <c r="N118" s="61" t="s">
        <v>6485</v>
      </c>
      <c r="O118">
        <v>57105</v>
      </c>
    </row>
    <row r="119" spans="1:15" x14ac:dyDescent="0.2">
      <c r="A119" t="s">
        <v>3841</v>
      </c>
      <c r="B119" s="61" t="s">
        <v>6486</v>
      </c>
      <c r="C119" s="61" t="s">
        <v>34</v>
      </c>
      <c r="F119" t="s">
        <v>3841</v>
      </c>
      <c r="G119" t="s">
        <v>6073</v>
      </c>
      <c r="L119" t="s">
        <v>6487</v>
      </c>
      <c r="M119" t="s">
        <v>6078</v>
      </c>
      <c r="N119" s="61" t="s">
        <v>6100</v>
      </c>
      <c r="O119">
        <v>57104</v>
      </c>
    </row>
    <row r="120" spans="1:15" x14ac:dyDescent="0.2">
      <c r="A120" t="s">
        <v>3842</v>
      </c>
      <c r="B120" s="61" t="s">
        <v>34</v>
      </c>
      <c r="C120" s="61" t="s">
        <v>34</v>
      </c>
      <c r="F120" t="s">
        <v>3842</v>
      </c>
      <c r="G120" t="s">
        <v>6073</v>
      </c>
      <c r="H120" t="s">
        <v>34</v>
      </c>
      <c r="I120" t="s">
        <v>34</v>
      </c>
      <c r="L120" t="s">
        <v>34</v>
      </c>
      <c r="N120" s="61" t="s">
        <v>3784</v>
      </c>
      <c r="O120">
        <v>58320</v>
      </c>
    </row>
    <row r="121" spans="1:15" x14ac:dyDescent="0.2">
      <c r="A121" t="s">
        <v>3843</v>
      </c>
      <c r="B121" s="61" t="s">
        <v>6488</v>
      </c>
      <c r="C121" s="61" t="s">
        <v>34</v>
      </c>
      <c r="F121" t="s">
        <v>3843</v>
      </c>
      <c r="G121" t="s">
        <v>6073</v>
      </c>
      <c r="H121" t="s">
        <v>6489</v>
      </c>
      <c r="J121" t="s">
        <v>6490</v>
      </c>
      <c r="K121" t="s">
        <v>6491</v>
      </c>
      <c r="L121" t="s">
        <v>6492</v>
      </c>
      <c r="M121" t="s">
        <v>6078</v>
      </c>
      <c r="N121" s="61" t="s">
        <v>6164</v>
      </c>
      <c r="O121">
        <v>64550</v>
      </c>
    </row>
    <row r="122" spans="1:15" x14ac:dyDescent="0.2">
      <c r="A122" t="s">
        <v>3844</v>
      </c>
      <c r="B122" s="61" t="s">
        <v>6488</v>
      </c>
      <c r="C122" s="61" t="s">
        <v>34</v>
      </c>
      <c r="F122" t="s">
        <v>3844</v>
      </c>
      <c r="G122" t="s">
        <v>6073</v>
      </c>
      <c r="I122" t="s">
        <v>6493</v>
      </c>
      <c r="L122" t="s">
        <v>6492</v>
      </c>
      <c r="M122" t="s">
        <v>6078</v>
      </c>
      <c r="N122" s="61" t="s">
        <v>6164</v>
      </c>
      <c r="O122">
        <v>67139</v>
      </c>
    </row>
    <row r="123" spans="1:15" x14ac:dyDescent="0.2">
      <c r="A123" t="s">
        <v>3845</v>
      </c>
      <c r="B123" s="61" t="s">
        <v>34</v>
      </c>
      <c r="C123" s="61" t="s">
        <v>34</v>
      </c>
      <c r="F123" t="s">
        <v>3845</v>
      </c>
      <c r="G123" t="s">
        <v>6073</v>
      </c>
      <c r="H123" t="s">
        <v>34</v>
      </c>
      <c r="I123" t="s">
        <v>34</v>
      </c>
      <c r="L123" t="s">
        <v>34</v>
      </c>
      <c r="N123" s="61" t="s">
        <v>3784</v>
      </c>
      <c r="O123">
        <v>58319</v>
      </c>
    </row>
    <row r="124" spans="1:15" x14ac:dyDescent="0.2">
      <c r="A124" t="s">
        <v>3846</v>
      </c>
      <c r="B124" s="61" t="s">
        <v>6494</v>
      </c>
      <c r="C124" s="61" t="s">
        <v>34</v>
      </c>
      <c r="F124" t="s">
        <v>3846</v>
      </c>
      <c r="G124" t="s">
        <v>6073</v>
      </c>
      <c r="I124" t="s">
        <v>6495</v>
      </c>
      <c r="L124" t="s">
        <v>6496</v>
      </c>
      <c r="M124" t="s">
        <v>6095</v>
      </c>
      <c r="N124" s="61" t="s">
        <v>6497</v>
      </c>
      <c r="O124">
        <v>57103</v>
      </c>
    </row>
    <row r="125" spans="1:15" x14ac:dyDescent="0.2">
      <c r="A125" t="s">
        <v>311</v>
      </c>
      <c r="B125" s="61" t="s">
        <v>6498</v>
      </c>
      <c r="C125" s="61" t="s">
        <v>34</v>
      </c>
      <c r="F125" t="s">
        <v>311</v>
      </c>
      <c r="G125" t="s">
        <v>6073</v>
      </c>
      <c r="I125" t="s">
        <v>6499</v>
      </c>
      <c r="L125" t="s">
        <v>6500</v>
      </c>
      <c r="M125" t="s">
        <v>6078</v>
      </c>
      <c r="N125" s="61" t="s">
        <v>6211</v>
      </c>
      <c r="O125">
        <v>57102</v>
      </c>
    </row>
    <row r="126" spans="1:15" x14ac:dyDescent="0.2">
      <c r="A126" t="s">
        <v>3847</v>
      </c>
      <c r="B126" s="61" t="s">
        <v>6501</v>
      </c>
      <c r="C126" s="61" t="s">
        <v>34</v>
      </c>
      <c r="F126" t="s">
        <v>3847</v>
      </c>
      <c r="G126" t="s">
        <v>6073</v>
      </c>
      <c r="I126" t="s">
        <v>6502</v>
      </c>
      <c r="L126" t="s">
        <v>6503</v>
      </c>
      <c r="M126" t="s">
        <v>6104</v>
      </c>
      <c r="N126" s="61" t="s">
        <v>6504</v>
      </c>
      <c r="O126">
        <v>57101</v>
      </c>
    </row>
    <row r="127" spans="1:15" x14ac:dyDescent="0.2">
      <c r="A127" t="s">
        <v>3848</v>
      </c>
      <c r="B127" s="61" t="s">
        <v>6505</v>
      </c>
      <c r="C127" s="61" t="s">
        <v>34</v>
      </c>
      <c r="F127" t="s">
        <v>3848</v>
      </c>
      <c r="G127" t="s">
        <v>6073</v>
      </c>
      <c r="I127" t="s">
        <v>6506</v>
      </c>
      <c r="L127" t="s">
        <v>6507</v>
      </c>
      <c r="M127" t="s">
        <v>6078</v>
      </c>
      <c r="N127" s="61" t="s">
        <v>6128</v>
      </c>
      <c r="O127">
        <v>57100</v>
      </c>
    </row>
    <row r="128" spans="1:15" x14ac:dyDescent="0.2">
      <c r="A128" t="s">
        <v>3849</v>
      </c>
      <c r="B128" s="61" t="s">
        <v>6508</v>
      </c>
      <c r="C128" s="61" t="s">
        <v>34</v>
      </c>
      <c r="F128" t="s">
        <v>3849</v>
      </c>
      <c r="G128" t="s">
        <v>6073</v>
      </c>
      <c r="I128" t="s">
        <v>6509</v>
      </c>
      <c r="L128" t="s">
        <v>6510</v>
      </c>
      <c r="M128" t="s">
        <v>6078</v>
      </c>
      <c r="N128" s="61" t="s">
        <v>6511</v>
      </c>
      <c r="O128">
        <v>57099</v>
      </c>
    </row>
    <row r="129" spans="1:15" x14ac:dyDescent="0.2">
      <c r="A129" t="s">
        <v>3850</v>
      </c>
      <c r="B129" s="61" t="s">
        <v>6512</v>
      </c>
      <c r="C129" s="61" t="s">
        <v>34</v>
      </c>
      <c r="F129" t="s">
        <v>3850</v>
      </c>
      <c r="G129" t="s">
        <v>6073</v>
      </c>
      <c r="L129" t="s">
        <v>6513</v>
      </c>
      <c r="M129" t="s">
        <v>6266</v>
      </c>
      <c r="N129" s="61" t="s">
        <v>6514</v>
      </c>
      <c r="O129">
        <v>57098</v>
      </c>
    </row>
    <row r="130" spans="1:15" x14ac:dyDescent="0.2">
      <c r="A130" t="s">
        <v>3851</v>
      </c>
      <c r="B130" s="61" t="s">
        <v>6515</v>
      </c>
      <c r="C130" s="61" t="s">
        <v>34</v>
      </c>
      <c r="F130" t="s">
        <v>3851</v>
      </c>
      <c r="G130" t="s">
        <v>6073</v>
      </c>
      <c r="I130" t="s">
        <v>6516</v>
      </c>
      <c r="L130" t="s">
        <v>6517</v>
      </c>
      <c r="M130" t="s">
        <v>6078</v>
      </c>
      <c r="N130" s="61" t="s">
        <v>6518</v>
      </c>
      <c r="O130">
        <v>57158</v>
      </c>
    </row>
    <row r="131" spans="1:15" x14ac:dyDescent="0.2">
      <c r="A131" t="s">
        <v>3852</v>
      </c>
      <c r="B131" s="61" t="s">
        <v>6519</v>
      </c>
      <c r="C131" s="61" t="s">
        <v>34</v>
      </c>
      <c r="F131" t="s">
        <v>3852</v>
      </c>
      <c r="G131" t="s">
        <v>6073</v>
      </c>
      <c r="I131" t="s">
        <v>6520</v>
      </c>
      <c r="L131" t="s">
        <v>6521</v>
      </c>
      <c r="M131" t="s">
        <v>6078</v>
      </c>
      <c r="N131" s="61" t="s">
        <v>6083</v>
      </c>
      <c r="O131">
        <v>57171</v>
      </c>
    </row>
    <row r="132" spans="1:15" x14ac:dyDescent="0.2">
      <c r="A132" t="s">
        <v>3853</v>
      </c>
      <c r="B132" s="61" t="s">
        <v>6522</v>
      </c>
      <c r="C132" s="61" t="s">
        <v>34</v>
      </c>
      <c r="F132" t="s">
        <v>3853</v>
      </c>
      <c r="G132" t="s">
        <v>6073</v>
      </c>
      <c r="I132" t="s">
        <v>6523</v>
      </c>
      <c r="L132" t="s">
        <v>6524</v>
      </c>
      <c r="M132" t="s">
        <v>6078</v>
      </c>
      <c r="N132" s="61" t="s">
        <v>6525</v>
      </c>
      <c r="O132">
        <v>57172</v>
      </c>
    </row>
    <row r="133" spans="1:15" x14ac:dyDescent="0.2">
      <c r="A133" t="s">
        <v>3854</v>
      </c>
      <c r="B133" s="61" t="s">
        <v>6526</v>
      </c>
      <c r="C133" s="61" t="s">
        <v>34</v>
      </c>
      <c r="F133" t="s">
        <v>3854</v>
      </c>
      <c r="G133" t="s">
        <v>6073</v>
      </c>
      <c r="M133" t="s">
        <v>6078</v>
      </c>
      <c r="N133" s="61" t="s">
        <v>6079</v>
      </c>
      <c r="O133">
        <v>57243</v>
      </c>
    </row>
    <row r="134" spans="1:15" x14ac:dyDescent="0.2">
      <c r="A134" t="s">
        <v>3855</v>
      </c>
      <c r="B134" s="61" t="s">
        <v>6527</v>
      </c>
      <c r="C134" s="61" t="s">
        <v>34</v>
      </c>
      <c r="F134" t="s">
        <v>3855</v>
      </c>
      <c r="G134" t="s">
        <v>6073</v>
      </c>
      <c r="L134" t="s">
        <v>6528</v>
      </c>
      <c r="M134" t="s">
        <v>6078</v>
      </c>
      <c r="N134" s="61" t="s">
        <v>6299</v>
      </c>
      <c r="O134">
        <v>57242</v>
      </c>
    </row>
    <row r="135" spans="1:15" x14ac:dyDescent="0.2">
      <c r="A135" t="s">
        <v>3856</v>
      </c>
      <c r="B135" s="61" t="s">
        <v>6529</v>
      </c>
      <c r="C135" s="61" t="s">
        <v>34</v>
      </c>
      <c r="F135" t="s">
        <v>3856</v>
      </c>
      <c r="G135" t="s">
        <v>6073</v>
      </c>
      <c r="I135" t="s">
        <v>6530</v>
      </c>
      <c r="L135" t="s">
        <v>6531</v>
      </c>
      <c r="M135" t="s">
        <v>6078</v>
      </c>
      <c r="N135" s="61" t="s">
        <v>6223</v>
      </c>
      <c r="O135">
        <v>57241</v>
      </c>
    </row>
    <row r="136" spans="1:15" x14ac:dyDescent="0.2">
      <c r="A136" t="s">
        <v>3857</v>
      </c>
      <c r="B136" s="61" t="s">
        <v>6532</v>
      </c>
      <c r="C136" s="61" t="s">
        <v>34</v>
      </c>
      <c r="F136" t="s">
        <v>3857</v>
      </c>
      <c r="G136" t="s">
        <v>6073</v>
      </c>
      <c r="I136" t="s">
        <v>6533</v>
      </c>
      <c r="L136" t="s">
        <v>6533</v>
      </c>
      <c r="M136" t="s">
        <v>6078</v>
      </c>
      <c r="N136" s="61" t="s">
        <v>6083</v>
      </c>
      <c r="O136">
        <v>57240</v>
      </c>
    </row>
    <row r="137" spans="1:15" x14ac:dyDescent="0.2">
      <c r="A137" t="s">
        <v>5948</v>
      </c>
      <c r="B137" s="61" t="s">
        <v>6534</v>
      </c>
      <c r="C137" s="61" t="s">
        <v>34</v>
      </c>
      <c r="F137" t="s">
        <v>5948</v>
      </c>
      <c r="G137" t="s">
        <v>6073</v>
      </c>
      <c r="L137" t="s">
        <v>6535</v>
      </c>
      <c r="M137" t="s">
        <v>6078</v>
      </c>
      <c r="N137" s="61" t="s">
        <v>6128</v>
      </c>
      <c r="O137">
        <v>129592</v>
      </c>
    </row>
    <row r="138" spans="1:15" x14ac:dyDescent="0.2">
      <c r="A138" t="s">
        <v>3858</v>
      </c>
      <c r="B138" s="61" t="s">
        <v>6536</v>
      </c>
      <c r="C138" s="61" t="s">
        <v>34</v>
      </c>
      <c r="F138" t="s">
        <v>3858</v>
      </c>
      <c r="G138" t="s">
        <v>6073</v>
      </c>
      <c r="J138" t="s">
        <v>6537</v>
      </c>
      <c r="K138" t="s">
        <v>6538</v>
      </c>
      <c r="L138" t="s">
        <v>6539</v>
      </c>
      <c r="M138" t="s">
        <v>6266</v>
      </c>
      <c r="N138" s="61" t="s">
        <v>6540</v>
      </c>
      <c r="O138">
        <v>88195</v>
      </c>
    </row>
    <row r="139" spans="1:15" x14ac:dyDescent="0.2">
      <c r="A139" t="s">
        <v>3859</v>
      </c>
      <c r="B139" s="61" t="s">
        <v>6541</v>
      </c>
      <c r="C139" s="61" t="s">
        <v>34</v>
      </c>
      <c r="F139" t="s">
        <v>3859</v>
      </c>
      <c r="G139" t="s">
        <v>6073</v>
      </c>
      <c r="H139" t="s">
        <v>6542</v>
      </c>
      <c r="J139" t="s">
        <v>6543</v>
      </c>
      <c r="K139" t="s">
        <v>6544</v>
      </c>
      <c r="L139" t="s">
        <v>6545</v>
      </c>
      <c r="M139" t="s">
        <v>6078</v>
      </c>
      <c r="N139" s="61" t="s">
        <v>6386</v>
      </c>
      <c r="O139">
        <v>124831</v>
      </c>
    </row>
    <row r="140" spans="1:15" x14ac:dyDescent="0.2">
      <c r="A140" t="s">
        <v>3860</v>
      </c>
      <c r="B140" s="61" t="s">
        <v>6546</v>
      </c>
      <c r="C140" s="61" t="s">
        <v>34</v>
      </c>
      <c r="F140" t="s">
        <v>3860</v>
      </c>
      <c r="G140" t="s">
        <v>6073</v>
      </c>
      <c r="H140" t="s">
        <v>6547</v>
      </c>
      <c r="J140" t="s">
        <v>6548</v>
      </c>
      <c r="K140" t="s">
        <v>6549</v>
      </c>
      <c r="L140" t="s">
        <v>6550</v>
      </c>
      <c r="M140" t="s">
        <v>6078</v>
      </c>
      <c r="N140" s="61" t="s">
        <v>6551</v>
      </c>
      <c r="O140">
        <v>115955</v>
      </c>
    </row>
    <row r="141" spans="1:15" x14ac:dyDescent="0.2">
      <c r="A141" t="s">
        <v>3861</v>
      </c>
      <c r="B141" s="61" t="s">
        <v>6552</v>
      </c>
      <c r="C141" s="61" t="s">
        <v>34</v>
      </c>
      <c r="F141" t="s">
        <v>3861</v>
      </c>
      <c r="G141" t="s">
        <v>6073</v>
      </c>
      <c r="L141" t="s">
        <v>6553</v>
      </c>
      <c r="M141" t="s">
        <v>6095</v>
      </c>
      <c r="N141" s="61" t="s">
        <v>6141</v>
      </c>
      <c r="O141">
        <v>57090</v>
      </c>
    </row>
    <row r="142" spans="1:15" x14ac:dyDescent="0.2">
      <c r="A142" t="s">
        <v>3862</v>
      </c>
      <c r="B142" s="61" t="s">
        <v>6554</v>
      </c>
      <c r="C142" s="61" t="s">
        <v>34</v>
      </c>
      <c r="F142" t="s">
        <v>3862</v>
      </c>
      <c r="G142" t="s">
        <v>6073</v>
      </c>
      <c r="H142" t="s">
        <v>6555</v>
      </c>
      <c r="J142" t="s">
        <v>6556</v>
      </c>
      <c r="K142" t="s">
        <v>6557</v>
      </c>
      <c r="L142" t="s">
        <v>6558</v>
      </c>
      <c r="M142" t="s">
        <v>6078</v>
      </c>
      <c r="N142" s="61" t="s">
        <v>6128</v>
      </c>
      <c r="O142">
        <v>126717</v>
      </c>
    </row>
    <row r="143" spans="1:15" x14ac:dyDescent="0.2">
      <c r="A143" t="s">
        <v>3863</v>
      </c>
      <c r="B143" s="61" t="s">
        <v>6559</v>
      </c>
      <c r="C143" s="61" t="s">
        <v>34</v>
      </c>
      <c r="F143" t="s">
        <v>3863</v>
      </c>
      <c r="G143" t="s">
        <v>6073</v>
      </c>
      <c r="J143" t="s">
        <v>6560</v>
      </c>
      <c r="K143" t="s">
        <v>6561</v>
      </c>
      <c r="L143" t="s">
        <v>6562</v>
      </c>
      <c r="M143" t="s">
        <v>6078</v>
      </c>
      <c r="N143" s="61" t="s">
        <v>6086</v>
      </c>
      <c r="O143">
        <v>101283</v>
      </c>
    </row>
    <row r="144" spans="1:15" x14ac:dyDescent="0.2">
      <c r="A144" t="s">
        <v>3864</v>
      </c>
      <c r="B144" s="61" t="s">
        <v>6563</v>
      </c>
      <c r="C144" s="61" t="s">
        <v>34</v>
      </c>
      <c r="F144" t="s">
        <v>3864</v>
      </c>
      <c r="G144" t="s">
        <v>6073</v>
      </c>
      <c r="H144" t="s">
        <v>6564</v>
      </c>
      <c r="J144" t="s">
        <v>6565</v>
      </c>
      <c r="K144" t="s">
        <v>6566</v>
      </c>
      <c r="L144" t="s">
        <v>6567</v>
      </c>
      <c r="M144" t="s">
        <v>6078</v>
      </c>
      <c r="N144" s="61" t="s">
        <v>6568</v>
      </c>
      <c r="O144">
        <v>125886</v>
      </c>
    </row>
    <row r="145" spans="1:15" x14ac:dyDescent="0.2">
      <c r="A145" t="s">
        <v>3865</v>
      </c>
      <c r="B145" s="61" t="s">
        <v>6569</v>
      </c>
      <c r="C145" s="61" t="s">
        <v>34</v>
      </c>
      <c r="F145" t="s">
        <v>3865</v>
      </c>
      <c r="G145" t="s">
        <v>6073</v>
      </c>
      <c r="I145" t="s">
        <v>6570</v>
      </c>
      <c r="L145" t="s">
        <v>6571</v>
      </c>
      <c r="M145" t="s">
        <v>6078</v>
      </c>
      <c r="N145" s="61" t="s">
        <v>6128</v>
      </c>
      <c r="O145">
        <v>57239</v>
      </c>
    </row>
    <row r="146" spans="1:15" x14ac:dyDescent="0.2">
      <c r="A146" t="s">
        <v>3866</v>
      </c>
      <c r="B146" s="61" t="s">
        <v>6572</v>
      </c>
      <c r="C146" s="61" t="s">
        <v>34</v>
      </c>
      <c r="F146" t="s">
        <v>3866</v>
      </c>
      <c r="G146" t="s">
        <v>6073</v>
      </c>
      <c r="I146" t="s">
        <v>6573</v>
      </c>
      <c r="L146" t="s">
        <v>6574</v>
      </c>
      <c r="M146" t="s">
        <v>6078</v>
      </c>
      <c r="N146" s="61" t="s">
        <v>6525</v>
      </c>
      <c r="O146">
        <v>57238</v>
      </c>
    </row>
    <row r="147" spans="1:15" x14ac:dyDescent="0.2">
      <c r="A147" t="s">
        <v>3867</v>
      </c>
      <c r="B147" s="61" t="s">
        <v>6575</v>
      </c>
      <c r="C147" s="61" t="s">
        <v>34</v>
      </c>
      <c r="F147" t="s">
        <v>3867</v>
      </c>
      <c r="G147" t="s">
        <v>6073</v>
      </c>
      <c r="H147" t="s">
        <v>34</v>
      </c>
      <c r="I147" t="s">
        <v>34</v>
      </c>
      <c r="L147" t="s">
        <v>6576</v>
      </c>
      <c r="M147" t="s">
        <v>6078</v>
      </c>
      <c r="N147" s="61" t="s">
        <v>6577</v>
      </c>
      <c r="O147">
        <v>57237</v>
      </c>
    </row>
    <row r="148" spans="1:15" x14ac:dyDescent="0.2">
      <c r="A148" t="s">
        <v>3868</v>
      </c>
      <c r="B148" s="61" t="s">
        <v>6578</v>
      </c>
      <c r="C148" s="61" t="s">
        <v>34</v>
      </c>
      <c r="F148" t="s">
        <v>3868</v>
      </c>
      <c r="G148" t="s">
        <v>6073</v>
      </c>
      <c r="H148" t="s">
        <v>34</v>
      </c>
      <c r="I148" t="s">
        <v>34</v>
      </c>
      <c r="L148" t="s">
        <v>6579</v>
      </c>
      <c r="M148" t="s">
        <v>6078</v>
      </c>
      <c r="N148" s="61" t="s">
        <v>6580</v>
      </c>
      <c r="O148">
        <v>57236</v>
      </c>
    </row>
    <row r="149" spans="1:15" x14ac:dyDescent="0.2">
      <c r="A149" t="s">
        <v>3869</v>
      </c>
      <c r="B149" s="61" t="s">
        <v>6581</v>
      </c>
      <c r="C149" s="61" t="s">
        <v>34</v>
      </c>
      <c r="F149" t="s">
        <v>3869</v>
      </c>
      <c r="G149" t="s">
        <v>6073</v>
      </c>
      <c r="I149" t="s">
        <v>6582</v>
      </c>
      <c r="L149" t="s">
        <v>6583</v>
      </c>
      <c r="M149" t="s">
        <v>6078</v>
      </c>
      <c r="N149" s="61" t="s">
        <v>6584</v>
      </c>
      <c r="O149">
        <v>57235</v>
      </c>
    </row>
    <row r="150" spans="1:15" x14ac:dyDescent="0.2">
      <c r="A150" t="s">
        <v>3870</v>
      </c>
      <c r="B150" s="61" t="s">
        <v>6585</v>
      </c>
      <c r="C150" s="61" t="s">
        <v>34</v>
      </c>
      <c r="F150" t="s">
        <v>3870</v>
      </c>
      <c r="G150" t="s">
        <v>6073</v>
      </c>
      <c r="L150" t="s">
        <v>6586</v>
      </c>
      <c r="M150" t="s">
        <v>6078</v>
      </c>
      <c r="N150" s="61" t="s">
        <v>6587</v>
      </c>
      <c r="O150">
        <v>57234</v>
      </c>
    </row>
    <row r="151" spans="1:15" x14ac:dyDescent="0.2">
      <c r="A151" t="s">
        <v>3871</v>
      </c>
      <c r="B151" s="61" t="s">
        <v>6588</v>
      </c>
      <c r="C151" s="61" t="s">
        <v>34</v>
      </c>
      <c r="F151" t="s">
        <v>3871</v>
      </c>
      <c r="G151" t="s">
        <v>6073</v>
      </c>
      <c r="I151" t="s">
        <v>6589</v>
      </c>
      <c r="L151" t="s">
        <v>6590</v>
      </c>
      <c r="M151" t="s">
        <v>6078</v>
      </c>
      <c r="N151" s="61" t="s">
        <v>6591</v>
      </c>
      <c r="O151">
        <v>57233</v>
      </c>
    </row>
    <row r="152" spans="1:15" x14ac:dyDescent="0.2">
      <c r="A152" t="s">
        <v>3872</v>
      </c>
      <c r="B152" s="61" t="s">
        <v>6592</v>
      </c>
      <c r="C152" s="61" t="s">
        <v>34</v>
      </c>
      <c r="F152" t="s">
        <v>3872</v>
      </c>
      <c r="G152" t="s">
        <v>6073</v>
      </c>
      <c r="L152" t="s">
        <v>6593</v>
      </c>
      <c r="M152" t="s">
        <v>6078</v>
      </c>
      <c r="N152" s="61" t="s">
        <v>6219</v>
      </c>
      <c r="O152">
        <v>57232</v>
      </c>
    </row>
    <row r="153" spans="1:15" x14ac:dyDescent="0.2">
      <c r="A153" t="s">
        <v>3873</v>
      </c>
      <c r="B153" s="61" t="s">
        <v>6594</v>
      </c>
      <c r="C153" s="61" t="s">
        <v>34</v>
      </c>
      <c r="F153" t="s">
        <v>3873</v>
      </c>
      <c r="G153" t="s">
        <v>6073</v>
      </c>
      <c r="L153" t="s">
        <v>6595</v>
      </c>
      <c r="M153" t="s">
        <v>6078</v>
      </c>
      <c r="N153" s="61" t="s">
        <v>6596</v>
      </c>
      <c r="O153">
        <v>57231</v>
      </c>
    </row>
    <row r="154" spans="1:15" x14ac:dyDescent="0.2">
      <c r="A154" t="s">
        <v>3874</v>
      </c>
      <c r="B154" s="61" t="s">
        <v>6597</v>
      </c>
      <c r="C154" s="61" t="s">
        <v>34</v>
      </c>
      <c r="F154" t="s">
        <v>3874</v>
      </c>
      <c r="G154" t="s">
        <v>6073</v>
      </c>
      <c r="H154" t="s">
        <v>34</v>
      </c>
      <c r="I154" t="s">
        <v>34</v>
      </c>
      <c r="L154" t="s">
        <v>6598</v>
      </c>
      <c r="M154" t="s">
        <v>6078</v>
      </c>
      <c r="N154" s="61" t="s">
        <v>6599</v>
      </c>
      <c r="O154">
        <v>57230</v>
      </c>
    </row>
    <row r="155" spans="1:15" x14ac:dyDescent="0.2">
      <c r="A155" t="s">
        <v>3875</v>
      </c>
      <c r="B155" s="61" t="s">
        <v>6600</v>
      </c>
      <c r="C155" s="61" t="s">
        <v>34</v>
      </c>
      <c r="F155" t="s">
        <v>3875</v>
      </c>
      <c r="G155" t="s">
        <v>6073</v>
      </c>
      <c r="H155" t="s">
        <v>34</v>
      </c>
      <c r="I155" t="s">
        <v>6601</v>
      </c>
      <c r="L155" t="s">
        <v>6602</v>
      </c>
      <c r="M155" t="s">
        <v>6078</v>
      </c>
      <c r="N155" s="61" t="s">
        <v>6603</v>
      </c>
      <c r="O155">
        <v>57229</v>
      </c>
    </row>
    <row r="156" spans="1:15" x14ac:dyDescent="0.2">
      <c r="A156" t="s">
        <v>3876</v>
      </c>
      <c r="B156" s="61" t="s">
        <v>6604</v>
      </c>
      <c r="C156" s="61" t="s">
        <v>34</v>
      </c>
      <c r="F156" t="s">
        <v>3876</v>
      </c>
      <c r="G156" t="s">
        <v>6073</v>
      </c>
      <c r="I156" t="s">
        <v>6605</v>
      </c>
      <c r="L156" t="s">
        <v>6606</v>
      </c>
      <c r="M156" t="s">
        <v>6078</v>
      </c>
      <c r="N156" s="61" t="s">
        <v>6525</v>
      </c>
      <c r="O156">
        <v>57228</v>
      </c>
    </row>
    <row r="157" spans="1:15" x14ac:dyDescent="0.2">
      <c r="A157" t="s">
        <v>3877</v>
      </c>
      <c r="B157" s="61" t="s">
        <v>6607</v>
      </c>
      <c r="C157" s="61" t="s">
        <v>34</v>
      </c>
      <c r="F157" t="s">
        <v>3877</v>
      </c>
      <c r="G157" t="s">
        <v>6073</v>
      </c>
      <c r="H157" t="s">
        <v>34</v>
      </c>
      <c r="I157" t="s">
        <v>34</v>
      </c>
      <c r="L157" t="s">
        <v>34</v>
      </c>
      <c r="M157" t="s">
        <v>6608</v>
      </c>
      <c r="N157" s="61" t="s">
        <v>6609</v>
      </c>
      <c r="O157">
        <v>57227</v>
      </c>
    </row>
    <row r="158" spans="1:15" x14ac:dyDescent="0.2">
      <c r="A158" t="s">
        <v>3878</v>
      </c>
      <c r="B158" s="61" t="s">
        <v>6610</v>
      </c>
      <c r="C158" s="61" t="s">
        <v>34</v>
      </c>
      <c r="F158" t="s">
        <v>3878</v>
      </c>
      <c r="G158" t="s">
        <v>6073</v>
      </c>
      <c r="M158" t="s">
        <v>6095</v>
      </c>
      <c r="N158" s="61" t="s">
        <v>6611</v>
      </c>
      <c r="O158">
        <v>121059</v>
      </c>
    </row>
    <row r="159" spans="1:15" x14ac:dyDescent="0.2">
      <c r="A159" t="s">
        <v>3879</v>
      </c>
      <c r="B159" s="61" t="s">
        <v>6612</v>
      </c>
      <c r="C159" s="61" t="s">
        <v>34</v>
      </c>
      <c r="F159" t="s">
        <v>3879</v>
      </c>
      <c r="G159" t="s">
        <v>6073</v>
      </c>
      <c r="I159" t="s">
        <v>6613</v>
      </c>
      <c r="L159" t="s">
        <v>6614</v>
      </c>
      <c r="M159" t="s">
        <v>6078</v>
      </c>
      <c r="N159" s="61" t="s">
        <v>6215</v>
      </c>
      <c r="O159">
        <v>57226</v>
      </c>
    </row>
    <row r="160" spans="1:15" x14ac:dyDescent="0.2">
      <c r="A160" t="s">
        <v>3880</v>
      </c>
      <c r="B160" s="61" t="s">
        <v>34</v>
      </c>
      <c r="C160" s="61" t="s">
        <v>34</v>
      </c>
      <c r="F160" t="s">
        <v>3880</v>
      </c>
      <c r="G160" t="s">
        <v>6073</v>
      </c>
      <c r="H160" t="s">
        <v>34</v>
      </c>
      <c r="I160" t="s">
        <v>34</v>
      </c>
      <c r="L160" t="s">
        <v>34</v>
      </c>
      <c r="N160" s="61" t="s">
        <v>3784</v>
      </c>
      <c r="O160">
        <v>57225</v>
      </c>
    </row>
    <row r="161" spans="1:15" x14ac:dyDescent="0.2">
      <c r="A161" t="s">
        <v>3881</v>
      </c>
      <c r="B161" s="61" t="s">
        <v>6615</v>
      </c>
      <c r="C161" s="61" t="s">
        <v>34</v>
      </c>
      <c r="F161" t="s">
        <v>3881</v>
      </c>
      <c r="G161" t="s">
        <v>6073</v>
      </c>
      <c r="H161" t="s">
        <v>34</v>
      </c>
      <c r="I161" t="s">
        <v>6616</v>
      </c>
      <c r="L161" t="s">
        <v>6617</v>
      </c>
      <c r="M161" t="s">
        <v>6608</v>
      </c>
      <c r="N161" s="61" t="s">
        <v>6618</v>
      </c>
      <c r="O161">
        <v>57224</v>
      </c>
    </row>
    <row r="162" spans="1:15" x14ac:dyDescent="0.2">
      <c r="A162" t="s">
        <v>3882</v>
      </c>
      <c r="B162" s="61" t="s">
        <v>6619</v>
      </c>
      <c r="C162" s="61" t="s">
        <v>34</v>
      </c>
      <c r="F162" t="s">
        <v>6620</v>
      </c>
      <c r="G162" t="s">
        <v>6073</v>
      </c>
      <c r="H162" t="s">
        <v>6621</v>
      </c>
      <c r="J162" t="s">
        <v>6622</v>
      </c>
      <c r="K162" t="s">
        <v>3882</v>
      </c>
      <c r="L162" t="s">
        <v>6623</v>
      </c>
      <c r="M162" t="s">
        <v>6266</v>
      </c>
      <c r="N162" s="61" t="s">
        <v>6267</v>
      </c>
      <c r="O162">
        <v>92715</v>
      </c>
    </row>
    <row r="163" spans="1:15" x14ac:dyDescent="0.2">
      <c r="A163" t="s">
        <v>3883</v>
      </c>
      <c r="B163" s="61" t="s">
        <v>6624</v>
      </c>
      <c r="C163" s="61" t="s">
        <v>34</v>
      </c>
      <c r="F163" t="s">
        <v>3883</v>
      </c>
      <c r="G163" t="s">
        <v>6073</v>
      </c>
      <c r="H163" t="s">
        <v>34</v>
      </c>
      <c r="I163" t="s">
        <v>34</v>
      </c>
      <c r="L163" t="s">
        <v>6625</v>
      </c>
      <c r="M163" t="s">
        <v>6095</v>
      </c>
      <c r="N163" s="61" t="s">
        <v>6626</v>
      </c>
      <c r="O163">
        <v>57223</v>
      </c>
    </row>
    <row r="164" spans="1:15" x14ac:dyDescent="0.2">
      <c r="A164" t="s">
        <v>3884</v>
      </c>
      <c r="B164" s="61" t="s">
        <v>6627</v>
      </c>
      <c r="C164" s="61" t="s">
        <v>6628</v>
      </c>
      <c r="F164" t="s">
        <v>3884</v>
      </c>
      <c r="G164" t="s">
        <v>6073</v>
      </c>
      <c r="I164" t="s">
        <v>6629</v>
      </c>
      <c r="L164" t="s">
        <v>6630</v>
      </c>
      <c r="M164" t="s">
        <v>6104</v>
      </c>
      <c r="N164" s="61" t="s">
        <v>6631</v>
      </c>
      <c r="O164">
        <v>57268</v>
      </c>
    </row>
    <row r="165" spans="1:15" x14ac:dyDescent="0.2">
      <c r="A165" t="s">
        <v>3885</v>
      </c>
      <c r="B165" s="61" t="s">
        <v>6632</v>
      </c>
      <c r="C165" s="61" t="s">
        <v>34</v>
      </c>
      <c r="F165" t="s">
        <v>3885</v>
      </c>
      <c r="G165" t="s">
        <v>6073</v>
      </c>
      <c r="H165" t="s">
        <v>34</v>
      </c>
      <c r="I165" t="s">
        <v>6633</v>
      </c>
      <c r="L165" t="s">
        <v>6634</v>
      </c>
      <c r="M165" t="s">
        <v>6635</v>
      </c>
      <c r="N165" s="61" t="s">
        <v>6636</v>
      </c>
      <c r="O165">
        <v>57244</v>
      </c>
    </row>
    <row r="166" spans="1:15" x14ac:dyDescent="0.2">
      <c r="A166" t="s">
        <v>3886</v>
      </c>
      <c r="B166" s="61" t="s">
        <v>34</v>
      </c>
      <c r="C166" s="61" t="s">
        <v>34</v>
      </c>
      <c r="F166" t="s">
        <v>3886</v>
      </c>
      <c r="G166" t="s">
        <v>6073</v>
      </c>
      <c r="H166" t="s">
        <v>34</v>
      </c>
      <c r="I166" t="s">
        <v>34</v>
      </c>
      <c r="L166" t="s">
        <v>34</v>
      </c>
      <c r="N166" s="61" t="s">
        <v>3784</v>
      </c>
      <c r="O166">
        <v>58318</v>
      </c>
    </row>
    <row r="167" spans="1:15" x14ac:dyDescent="0.2">
      <c r="A167" t="s">
        <v>3887</v>
      </c>
      <c r="B167" s="61" t="s">
        <v>6637</v>
      </c>
      <c r="C167" s="61" t="s">
        <v>34</v>
      </c>
      <c r="F167" t="s">
        <v>3887</v>
      </c>
      <c r="G167" t="s">
        <v>6073</v>
      </c>
      <c r="H167" t="s">
        <v>34</v>
      </c>
      <c r="I167" t="s">
        <v>34</v>
      </c>
      <c r="L167" t="s">
        <v>6638</v>
      </c>
      <c r="M167" t="s">
        <v>6078</v>
      </c>
      <c r="N167" s="61" t="s">
        <v>6386</v>
      </c>
      <c r="O167">
        <v>57245</v>
      </c>
    </row>
    <row r="168" spans="1:15" x14ac:dyDescent="0.2">
      <c r="A168" t="s">
        <v>3888</v>
      </c>
      <c r="B168" s="61" t="s">
        <v>6639</v>
      </c>
      <c r="C168" s="61" t="s">
        <v>34</v>
      </c>
      <c r="F168" t="s">
        <v>3888</v>
      </c>
      <c r="G168" t="s">
        <v>6073</v>
      </c>
      <c r="H168" t="s">
        <v>34</v>
      </c>
      <c r="I168" t="s">
        <v>34</v>
      </c>
      <c r="L168" t="s">
        <v>6640</v>
      </c>
      <c r="M168" t="s">
        <v>6078</v>
      </c>
      <c r="N168" s="61" t="s">
        <v>6128</v>
      </c>
      <c r="O168">
        <v>57246</v>
      </c>
    </row>
    <row r="169" spans="1:15" x14ac:dyDescent="0.2">
      <c r="A169" t="s">
        <v>3889</v>
      </c>
      <c r="B169" s="61" t="s">
        <v>6641</v>
      </c>
      <c r="C169" s="61" t="s">
        <v>34</v>
      </c>
      <c r="F169" t="s">
        <v>3889</v>
      </c>
      <c r="G169" t="s">
        <v>6073</v>
      </c>
      <c r="H169" t="s">
        <v>34</v>
      </c>
      <c r="I169" t="s">
        <v>6642</v>
      </c>
      <c r="L169" t="s">
        <v>6643</v>
      </c>
      <c r="M169" t="s">
        <v>6078</v>
      </c>
      <c r="N169" s="61" t="s">
        <v>6145</v>
      </c>
      <c r="O169">
        <v>57247</v>
      </c>
    </row>
    <row r="170" spans="1:15" x14ac:dyDescent="0.2">
      <c r="A170" t="s">
        <v>3890</v>
      </c>
      <c r="B170" s="61" t="s">
        <v>6644</v>
      </c>
      <c r="C170" s="61" t="s">
        <v>34</v>
      </c>
      <c r="F170" t="s">
        <v>3890</v>
      </c>
      <c r="G170" t="s">
        <v>6073</v>
      </c>
      <c r="M170" t="s">
        <v>6078</v>
      </c>
      <c r="N170" s="61" t="s">
        <v>6645</v>
      </c>
      <c r="O170">
        <v>57269</v>
      </c>
    </row>
    <row r="171" spans="1:15" x14ac:dyDescent="0.2">
      <c r="A171" t="s">
        <v>3891</v>
      </c>
      <c r="B171" s="61" t="s">
        <v>6646</v>
      </c>
      <c r="C171" s="61" t="s">
        <v>34</v>
      </c>
      <c r="F171" t="s">
        <v>6647</v>
      </c>
      <c r="G171" t="s">
        <v>6073</v>
      </c>
      <c r="H171" t="s">
        <v>6648</v>
      </c>
      <c r="J171" t="s">
        <v>6649</v>
      </c>
      <c r="K171" t="s">
        <v>6650</v>
      </c>
      <c r="L171" t="s">
        <v>6651</v>
      </c>
      <c r="M171" t="s">
        <v>6078</v>
      </c>
      <c r="N171" s="61" t="s">
        <v>6518</v>
      </c>
      <c r="O171">
        <v>93934</v>
      </c>
    </row>
    <row r="172" spans="1:15" x14ac:dyDescent="0.2">
      <c r="A172" t="s">
        <v>3892</v>
      </c>
      <c r="B172" s="61" t="s">
        <v>6652</v>
      </c>
      <c r="C172" s="61" t="s">
        <v>34</v>
      </c>
      <c r="F172" t="s">
        <v>3892</v>
      </c>
      <c r="G172" t="s">
        <v>6073</v>
      </c>
      <c r="H172" t="s">
        <v>6653</v>
      </c>
      <c r="J172" t="s">
        <v>6654</v>
      </c>
      <c r="K172" t="s">
        <v>6655</v>
      </c>
      <c r="L172" t="s">
        <v>6656</v>
      </c>
      <c r="M172" t="s">
        <v>6078</v>
      </c>
      <c r="N172" s="61" t="s">
        <v>6255</v>
      </c>
      <c r="O172">
        <v>94028</v>
      </c>
    </row>
    <row r="173" spans="1:15" x14ac:dyDescent="0.2">
      <c r="A173" t="s">
        <v>3893</v>
      </c>
      <c r="B173" s="61" t="s">
        <v>6657</v>
      </c>
      <c r="C173" s="61" t="s">
        <v>34</v>
      </c>
      <c r="F173" t="s">
        <v>3893</v>
      </c>
      <c r="G173" t="s">
        <v>6073</v>
      </c>
      <c r="L173" t="s">
        <v>6658</v>
      </c>
      <c r="M173" t="s">
        <v>6078</v>
      </c>
      <c r="N173" s="61" t="s">
        <v>6386</v>
      </c>
      <c r="O173">
        <v>92717</v>
      </c>
    </row>
    <row r="174" spans="1:15" x14ac:dyDescent="0.2">
      <c r="A174" t="s">
        <v>3894</v>
      </c>
      <c r="B174" s="61" t="s">
        <v>6659</v>
      </c>
      <c r="C174" s="61" t="s">
        <v>34</v>
      </c>
      <c r="F174" t="s">
        <v>3894</v>
      </c>
      <c r="G174" t="s">
        <v>6073</v>
      </c>
      <c r="H174" t="s">
        <v>6660</v>
      </c>
      <c r="J174" t="s">
        <v>6661</v>
      </c>
      <c r="K174" t="s">
        <v>6662</v>
      </c>
      <c r="L174" t="s">
        <v>6663</v>
      </c>
      <c r="M174" t="s">
        <v>6078</v>
      </c>
      <c r="N174" s="61" t="s">
        <v>6083</v>
      </c>
      <c r="O174">
        <v>57267</v>
      </c>
    </row>
    <row r="175" spans="1:15" x14ac:dyDescent="0.2">
      <c r="A175" t="s">
        <v>3895</v>
      </c>
      <c r="B175" s="61" t="s">
        <v>6664</v>
      </c>
      <c r="C175" s="61" t="s">
        <v>34</v>
      </c>
      <c r="F175" t="s">
        <v>3895</v>
      </c>
      <c r="G175" t="s">
        <v>6073</v>
      </c>
      <c r="H175" t="s">
        <v>6665</v>
      </c>
      <c r="I175" t="s">
        <v>6666</v>
      </c>
      <c r="J175" t="s">
        <v>6667</v>
      </c>
      <c r="K175" t="s">
        <v>6668</v>
      </c>
      <c r="L175" t="s">
        <v>6669</v>
      </c>
      <c r="M175" t="s">
        <v>6078</v>
      </c>
      <c r="N175" s="61" t="s">
        <v>6092</v>
      </c>
      <c r="O175">
        <v>57266</v>
      </c>
    </row>
    <row r="176" spans="1:15" x14ac:dyDescent="0.2">
      <c r="A176" t="s">
        <v>3896</v>
      </c>
      <c r="B176" s="61" t="s">
        <v>6670</v>
      </c>
      <c r="C176" s="61" t="s">
        <v>34</v>
      </c>
      <c r="F176" t="s">
        <v>3896</v>
      </c>
      <c r="G176" t="s">
        <v>6073</v>
      </c>
      <c r="I176" t="s">
        <v>6671</v>
      </c>
      <c r="L176" t="s">
        <v>6671</v>
      </c>
      <c r="M176" t="s">
        <v>6078</v>
      </c>
      <c r="N176" s="61" t="s">
        <v>6299</v>
      </c>
      <c r="O176">
        <v>57265</v>
      </c>
    </row>
    <row r="177" spans="1:15" x14ac:dyDescent="0.2">
      <c r="A177" t="s">
        <v>3897</v>
      </c>
      <c r="B177" s="61" t="s">
        <v>6672</v>
      </c>
      <c r="C177" s="61" t="s">
        <v>34</v>
      </c>
      <c r="F177" t="s">
        <v>3897</v>
      </c>
      <c r="G177" t="s">
        <v>6073</v>
      </c>
      <c r="H177" t="s">
        <v>34</v>
      </c>
      <c r="I177" t="s">
        <v>6673</v>
      </c>
      <c r="L177" t="s">
        <v>6674</v>
      </c>
      <c r="M177" t="s">
        <v>6078</v>
      </c>
      <c r="N177" s="61" t="s">
        <v>6211</v>
      </c>
      <c r="O177">
        <v>57264</v>
      </c>
    </row>
    <row r="178" spans="1:15" x14ac:dyDescent="0.2">
      <c r="A178" t="s">
        <v>3898</v>
      </c>
      <c r="B178" s="61" t="s">
        <v>6675</v>
      </c>
      <c r="C178" s="61" t="s">
        <v>34</v>
      </c>
      <c r="F178" t="s">
        <v>3898</v>
      </c>
      <c r="G178" t="s">
        <v>6073</v>
      </c>
      <c r="H178" t="s">
        <v>34</v>
      </c>
      <c r="I178" t="s">
        <v>34</v>
      </c>
      <c r="L178" t="s">
        <v>6676</v>
      </c>
      <c r="M178" t="s">
        <v>6078</v>
      </c>
      <c r="N178" s="61" t="s">
        <v>6677</v>
      </c>
      <c r="O178">
        <v>57263</v>
      </c>
    </row>
    <row r="179" spans="1:15" x14ac:dyDescent="0.2">
      <c r="A179" t="s">
        <v>3899</v>
      </c>
      <c r="B179" s="61" t="s">
        <v>6678</v>
      </c>
      <c r="C179" s="61" t="s">
        <v>34</v>
      </c>
      <c r="F179" t="s">
        <v>3899</v>
      </c>
      <c r="G179" t="s">
        <v>6073</v>
      </c>
      <c r="I179" t="s">
        <v>6679</v>
      </c>
      <c r="L179" t="s">
        <v>6680</v>
      </c>
      <c r="M179" t="s">
        <v>6309</v>
      </c>
      <c r="N179" s="61" t="s">
        <v>6310</v>
      </c>
      <c r="O179">
        <v>57262</v>
      </c>
    </row>
    <row r="180" spans="1:15" x14ac:dyDescent="0.2">
      <c r="A180" t="s">
        <v>3900</v>
      </c>
      <c r="B180" s="61" t="s">
        <v>6681</v>
      </c>
      <c r="C180" s="61" t="s">
        <v>34</v>
      </c>
      <c r="F180" t="s">
        <v>3900</v>
      </c>
      <c r="G180" t="s">
        <v>6073</v>
      </c>
      <c r="M180" t="s">
        <v>6635</v>
      </c>
      <c r="N180" s="61" t="s">
        <v>6682</v>
      </c>
      <c r="O180">
        <v>57261</v>
      </c>
    </row>
    <row r="181" spans="1:15" x14ac:dyDescent="0.2">
      <c r="A181" t="s">
        <v>3901</v>
      </c>
      <c r="B181" s="61" t="s">
        <v>34</v>
      </c>
      <c r="C181" s="61" t="s">
        <v>34</v>
      </c>
      <c r="F181" t="s">
        <v>3901</v>
      </c>
      <c r="G181" t="s">
        <v>6073</v>
      </c>
      <c r="H181" t="s">
        <v>34</v>
      </c>
      <c r="I181" t="s">
        <v>34</v>
      </c>
      <c r="L181" t="s">
        <v>34</v>
      </c>
      <c r="N181" s="61" t="s">
        <v>3784</v>
      </c>
      <c r="O181">
        <v>58317</v>
      </c>
    </row>
    <row r="182" spans="1:15" x14ac:dyDescent="0.2">
      <c r="A182" t="s">
        <v>3902</v>
      </c>
      <c r="B182" s="61" t="s">
        <v>6683</v>
      </c>
      <c r="C182" s="61" t="s">
        <v>34</v>
      </c>
      <c r="F182" t="s">
        <v>3902</v>
      </c>
      <c r="G182" t="s">
        <v>6073</v>
      </c>
      <c r="I182" t="s">
        <v>6684</v>
      </c>
      <c r="L182" t="s">
        <v>6685</v>
      </c>
      <c r="M182" t="s">
        <v>6686</v>
      </c>
      <c r="N182" s="61" t="s">
        <v>6687</v>
      </c>
      <c r="O182">
        <v>57260</v>
      </c>
    </row>
    <row r="183" spans="1:15" x14ac:dyDescent="0.2">
      <c r="A183" t="s">
        <v>3903</v>
      </c>
      <c r="B183" s="61" t="s">
        <v>6688</v>
      </c>
      <c r="C183" s="61" t="s">
        <v>34</v>
      </c>
      <c r="F183" t="s">
        <v>3903</v>
      </c>
      <c r="G183" t="s">
        <v>6073</v>
      </c>
      <c r="H183" t="s">
        <v>34</v>
      </c>
      <c r="I183" t="s">
        <v>6689</v>
      </c>
      <c r="L183" t="s">
        <v>6690</v>
      </c>
      <c r="M183" t="s">
        <v>6078</v>
      </c>
      <c r="N183" s="61" t="s">
        <v>6691</v>
      </c>
      <c r="O183">
        <v>57270</v>
      </c>
    </row>
    <row r="184" spans="1:15" x14ac:dyDescent="0.2">
      <c r="A184" t="s">
        <v>3904</v>
      </c>
      <c r="B184" s="61" t="s">
        <v>6692</v>
      </c>
      <c r="C184" s="61" t="s">
        <v>34</v>
      </c>
      <c r="F184" t="s">
        <v>3904</v>
      </c>
      <c r="G184" t="s">
        <v>6073</v>
      </c>
      <c r="H184" t="s">
        <v>34</v>
      </c>
      <c r="I184" t="s">
        <v>6693</v>
      </c>
      <c r="L184" t="s">
        <v>6694</v>
      </c>
      <c r="M184" t="s">
        <v>6104</v>
      </c>
      <c r="N184" s="61" t="s">
        <v>6695</v>
      </c>
      <c r="O184">
        <v>57259</v>
      </c>
    </row>
    <row r="185" spans="1:15" x14ac:dyDescent="0.2">
      <c r="A185" t="s">
        <v>3905</v>
      </c>
      <c r="B185" s="61" t="s">
        <v>6696</v>
      </c>
      <c r="C185" s="61" t="s">
        <v>34</v>
      </c>
      <c r="F185" t="s">
        <v>3905</v>
      </c>
      <c r="G185" t="s">
        <v>6073</v>
      </c>
      <c r="L185" t="s">
        <v>6697</v>
      </c>
      <c r="M185" t="s">
        <v>6686</v>
      </c>
      <c r="N185" s="61" t="s">
        <v>6698</v>
      </c>
      <c r="O185">
        <v>57256</v>
      </c>
    </row>
    <row r="186" spans="1:15" x14ac:dyDescent="0.2">
      <c r="A186" t="s">
        <v>3906</v>
      </c>
      <c r="B186" s="61" t="s">
        <v>6699</v>
      </c>
      <c r="C186" s="61" t="s">
        <v>34</v>
      </c>
      <c r="F186" t="s">
        <v>3906</v>
      </c>
      <c r="G186" t="s">
        <v>6073</v>
      </c>
      <c r="M186" t="s">
        <v>6266</v>
      </c>
      <c r="N186" s="61" t="s">
        <v>6700</v>
      </c>
      <c r="O186">
        <v>58384</v>
      </c>
    </row>
    <row r="187" spans="1:15" x14ac:dyDescent="0.2">
      <c r="A187" t="s">
        <v>3907</v>
      </c>
      <c r="B187" s="61" t="s">
        <v>6701</v>
      </c>
      <c r="C187" s="61" t="s">
        <v>34</v>
      </c>
      <c r="F187" t="s">
        <v>3907</v>
      </c>
      <c r="G187" t="s">
        <v>6073</v>
      </c>
      <c r="M187" t="s">
        <v>6078</v>
      </c>
      <c r="N187" s="61" t="s">
        <v>6702</v>
      </c>
      <c r="O187">
        <v>58383</v>
      </c>
    </row>
    <row r="188" spans="1:15" x14ac:dyDescent="0.2">
      <c r="A188" t="s">
        <v>3908</v>
      </c>
      <c r="B188" s="61" t="s">
        <v>6703</v>
      </c>
      <c r="C188" s="61" t="s">
        <v>34</v>
      </c>
      <c r="F188" t="s">
        <v>3908</v>
      </c>
      <c r="G188" t="s">
        <v>6073</v>
      </c>
      <c r="H188" t="s">
        <v>34</v>
      </c>
      <c r="I188" t="s">
        <v>34</v>
      </c>
      <c r="L188" t="s">
        <v>6704</v>
      </c>
      <c r="M188" t="s">
        <v>6078</v>
      </c>
      <c r="N188" s="61" t="s">
        <v>6314</v>
      </c>
      <c r="O188">
        <v>57255</v>
      </c>
    </row>
    <row r="189" spans="1:15" x14ac:dyDescent="0.2">
      <c r="A189" t="s">
        <v>3909</v>
      </c>
      <c r="B189" s="61" t="s">
        <v>6705</v>
      </c>
      <c r="C189" s="61" t="s">
        <v>34</v>
      </c>
      <c r="F189" t="s">
        <v>3909</v>
      </c>
      <c r="G189" t="s">
        <v>6073</v>
      </c>
      <c r="H189" t="s">
        <v>34</v>
      </c>
      <c r="I189" t="s">
        <v>34</v>
      </c>
      <c r="L189" t="s">
        <v>6706</v>
      </c>
      <c r="M189" t="s">
        <v>6078</v>
      </c>
      <c r="N189" s="61" t="s">
        <v>6122</v>
      </c>
      <c r="O189">
        <v>57254</v>
      </c>
    </row>
    <row r="190" spans="1:15" x14ac:dyDescent="0.2">
      <c r="A190" t="s">
        <v>3910</v>
      </c>
      <c r="B190" s="61" t="s">
        <v>6707</v>
      </c>
      <c r="C190" s="61" t="s">
        <v>34</v>
      </c>
      <c r="F190" t="s">
        <v>3910</v>
      </c>
      <c r="G190" t="s">
        <v>6073</v>
      </c>
      <c r="H190" t="s">
        <v>34</v>
      </c>
      <c r="I190" t="s">
        <v>34</v>
      </c>
      <c r="L190" t="s">
        <v>6708</v>
      </c>
      <c r="M190" t="s">
        <v>6104</v>
      </c>
      <c r="N190" s="61" t="s">
        <v>6709</v>
      </c>
      <c r="O190">
        <v>57253</v>
      </c>
    </row>
    <row r="191" spans="1:15" x14ac:dyDescent="0.2">
      <c r="A191" t="s">
        <v>3911</v>
      </c>
      <c r="B191" s="61" t="s">
        <v>6710</v>
      </c>
      <c r="C191" s="61" t="s">
        <v>34</v>
      </c>
      <c r="F191" t="s">
        <v>3911</v>
      </c>
      <c r="G191" t="s">
        <v>6073</v>
      </c>
      <c r="H191" t="s">
        <v>34</v>
      </c>
      <c r="I191" t="s">
        <v>34</v>
      </c>
      <c r="L191" t="s">
        <v>6711</v>
      </c>
      <c r="M191" t="s">
        <v>6095</v>
      </c>
      <c r="N191" s="61" t="s">
        <v>6712</v>
      </c>
      <c r="O191">
        <v>57252</v>
      </c>
    </row>
    <row r="192" spans="1:15" x14ac:dyDescent="0.2">
      <c r="A192" t="s">
        <v>3912</v>
      </c>
      <c r="B192" s="61" t="s">
        <v>6713</v>
      </c>
      <c r="C192" s="61" t="s">
        <v>34</v>
      </c>
      <c r="F192" t="s">
        <v>3912</v>
      </c>
      <c r="G192" t="s">
        <v>6073</v>
      </c>
      <c r="L192" t="s">
        <v>6714</v>
      </c>
      <c r="M192" t="s">
        <v>6148</v>
      </c>
      <c r="N192" s="61" t="s">
        <v>6715</v>
      </c>
      <c r="O192">
        <v>57251</v>
      </c>
    </row>
    <row r="193" spans="1:15" x14ac:dyDescent="0.2">
      <c r="A193" t="s">
        <v>3913</v>
      </c>
      <c r="B193" s="61" t="s">
        <v>6716</v>
      </c>
      <c r="C193" s="61" t="s">
        <v>34</v>
      </c>
      <c r="F193" t="s">
        <v>6717</v>
      </c>
      <c r="G193" t="s">
        <v>6073</v>
      </c>
      <c r="L193" t="s">
        <v>6718</v>
      </c>
      <c r="M193" t="s">
        <v>6095</v>
      </c>
      <c r="N193" s="61" t="s">
        <v>6141</v>
      </c>
      <c r="O193">
        <v>57250</v>
      </c>
    </row>
    <row r="194" spans="1:15" x14ac:dyDescent="0.2">
      <c r="A194" t="s">
        <v>3914</v>
      </c>
      <c r="B194" s="61" t="s">
        <v>6719</v>
      </c>
      <c r="C194" s="61" t="s">
        <v>34</v>
      </c>
      <c r="F194" t="s">
        <v>3914</v>
      </c>
      <c r="G194" t="s">
        <v>6073</v>
      </c>
      <c r="H194" t="s">
        <v>34</v>
      </c>
      <c r="I194" t="s">
        <v>6720</v>
      </c>
      <c r="L194" t="s">
        <v>6721</v>
      </c>
      <c r="M194" t="s">
        <v>6078</v>
      </c>
      <c r="N194" s="61" t="s">
        <v>6083</v>
      </c>
      <c r="O194">
        <v>57249</v>
      </c>
    </row>
    <row r="195" spans="1:15" x14ac:dyDescent="0.2">
      <c r="A195" t="s">
        <v>314</v>
      </c>
      <c r="B195" s="61" t="s">
        <v>6722</v>
      </c>
      <c r="C195" s="61" t="s">
        <v>34</v>
      </c>
      <c r="F195" t="s">
        <v>314</v>
      </c>
      <c r="G195" t="s">
        <v>6073</v>
      </c>
      <c r="I195" t="s">
        <v>6723</v>
      </c>
      <c r="L195" t="s">
        <v>6724</v>
      </c>
      <c r="M195" t="s">
        <v>6078</v>
      </c>
      <c r="N195" s="61" t="s">
        <v>6083</v>
      </c>
      <c r="O195">
        <v>57248</v>
      </c>
    </row>
    <row r="196" spans="1:15" x14ac:dyDescent="0.2">
      <c r="A196" t="s">
        <v>3915</v>
      </c>
      <c r="B196" s="61" t="s">
        <v>6725</v>
      </c>
      <c r="C196" s="61" t="s">
        <v>34</v>
      </c>
      <c r="F196" t="s">
        <v>3915</v>
      </c>
      <c r="G196" t="s">
        <v>6073</v>
      </c>
      <c r="I196" t="s">
        <v>6726</v>
      </c>
      <c r="L196" t="s">
        <v>6727</v>
      </c>
      <c r="M196" t="s">
        <v>6095</v>
      </c>
      <c r="N196" s="61" t="s">
        <v>6473</v>
      </c>
      <c r="O196">
        <v>57222</v>
      </c>
    </row>
    <row r="197" spans="1:15" x14ac:dyDescent="0.2">
      <c r="A197" t="s">
        <v>3916</v>
      </c>
      <c r="B197" s="61" t="s">
        <v>6728</v>
      </c>
      <c r="C197" s="61" t="s">
        <v>34</v>
      </c>
      <c r="F197" t="s">
        <v>3916</v>
      </c>
      <c r="G197" t="s">
        <v>6073</v>
      </c>
      <c r="I197" t="s">
        <v>6729</v>
      </c>
      <c r="L197" t="s">
        <v>6730</v>
      </c>
      <c r="M197" t="s">
        <v>6078</v>
      </c>
      <c r="N197" s="61" t="s">
        <v>6083</v>
      </c>
      <c r="O197">
        <v>57221</v>
      </c>
    </row>
    <row r="198" spans="1:15" x14ac:dyDescent="0.2">
      <c r="A198" t="s">
        <v>3917</v>
      </c>
      <c r="B198" s="61" t="s">
        <v>6731</v>
      </c>
      <c r="C198" s="61" t="s">
        <v>34</v>
      </c>
      <c r="F198" t="s">
        <v>3917</v>
      </c>
      <c r="G198" t="s">
        <v>6073</v>
      </c>
      <c r="L198" t="s">
        <v>6732</v>
      </c>
      <c r="M198" t="s">
        <v>6266</v>
      </c>
      <c r="N198" s="61" t="s">
        <v>6733</v>
      </c>
      <c r="O198">
        <v>58108</v>
      </c>
    </row>
    <row r="199" spans="1:15" x14ac:dyDescent="0.2">
      <c r="A199" t="s">
        <v>3918</v>
      </c>
      <c r="B199" s="61" t="s">
        <v>6734</v>
      </c>
      <c r="C199" s="61" t="s">
        <v>34</v>
      </c>
      <c r="F199" t="s">
        <v>3918</v>
      </c>
      <c r="G199" t="s">
        <v>6073</v>
      </c>
      <c r="H199" t="s">
        <v>6735</v>
      </c>
      <c r="L199" t="s">
        <v>6736</v>
      </c>
      <c r="M199" t="s">
        <v>6078</v>
      </c>
      <c r="N199" s="61" t="s">
        <v>6231</v>
      </c>
      <c r="O199">
        <v>57220</v>
      </c>
    </row>
    <row r="200" spans="1:15" x14ac:dyDescent="0.2">
      <c r="A200" t="s">
        <v>3919</v>
      </c>
      <c r="B200" s="61" t="s">
        <v>34</v>
      </c>
      <c r="C200" s="61" t="s">
        <v>34</v>
      </c>
      <c r="F200" t="s">
        <v>3919</v>
      </c>
      <c r="G200" t="s">
        <v>6073</v>
      </c>
      <c r="H200" t="s">
        <v>34</v>
      </c>
      <c r="I200" t="s">
        <v>34</v>
      </c>
      <c r="L200" t="s">
        <v>34</v>
      </c>
      <c r="N200" s="61" t="s">
        <v>3784</v>
      </c>
      <c r="O200">
        <v>57195</v>
      </c>
    </row>
    <row r="201" spans="1:15" x14ac:dyDescent="0.2">
      <c r="A201" t="s">
        <v>315</v>
      </c>
      <c r="B201" s="61" t="s">
        <v>6737</v>
      </c>
      <c r="C201" s="61" t="s">
        <v>34</v>
      </c>
      <c r="F201" t="s">
        <v>315</v>
      </c>
      <c r="G201" t="s">
        <v>6073</v>
      </c>
      <c r="L201" t="s">
        <v>6738</v>
      </c>
      <c r="M201" t="s">
        <v>6078</v>
      </c>
      <c r="N201" s="61" t="s">
        <v>6128</v>
      </c>
      <c r="O201">
        <v>57193</v>
      </c>
    </row>
    <row r="202" spans="1:15" x14ac:dyDescent="0.2">
      <c r="A202" t="s">
        <v>3920</v>
      </c>
      <c r="B202" s="61" t="s">
        <v>6739</v>
      </c>
      <c r="C202" s="61" t="s">
        <v>6740</v>
      </c>
      <c r="F202" t="s">
        <v>3920</v>
      </c>
      <c r="G202" t="s">
        <v>6135</v>
      </c>
      <c r="H202" t="s">
        <v>34</v>
      </c>
      <c r="I202" t="s">
        <v>34</v>
      </c>
      <c r="L202" t="s">
        <v>6741</v>
      </c>
      <c r="M202" t="s">
        <v>6136</v>
      </c>
      <c r="N202" s="61" t="s">
        <v>6742</v>
      </c>
      <c r="O202">
        <v>57192</v>
      </c>
    </row>
    <row r="203" spans="1:15" x14ac:dyDescent="0.2">
      <c r="A203" t="s">
        <v>3921</v>
      </c>
      <c r="B203" s="61" t="s">
        <v>6743</v>
      </c>
      <c r="C203" s="61" t="s">
        <v>34</v>
      </c>
      <c r="F203" t="s">
        <v>3921</v>
      </c>
      <c r="G203" t="s">
        <v>6073</v>
      </c>
      <c r="H203" t="s">
        <v>34</v>
      </c>
      <c r="I203" t="s">
        <v>34</v>
      </c>
      <c r="L203" t="s">
        <v>34</v>
      </c>
      <c r="M203" t="s">
        <v>6635</v>
      </c>
      <c r="N203" s="61" t="s">
        <v>6744</v>
      </c>
      <c r="O203">
        <v>57191</v>
      </c>
    </row>
    <row r="204" spans="1:15" x14ac:dyDescent="0.2">
      <c r="A204" t="s">
        <v>3922</v>
      </c>
      <c r="B204" s="61" t="s">
        <v>6745</v>
      </c>
      <c r="C204" s="61" t="s">
        <v>34</v>
      </c>
      <c r="F204" t="s">
        <v>3922</v>
      </c>
      <c r="G204" t="s">
        <v>6073</v>
      </c>
      <c r="H204" t="s">
        <v>34</v>
      </c>
      <c r="I204" t="s">
        <v>34</v>
      </c>
      <c r="L204" t="s">
        <v>6746</v>
      </c>
      <c r="M204" t="s">
        <v>6078</v>
      </c>
      <c r="N204" s="61" t="s">
        <v>6114</v>
      </c>
      <c r="O204">
        <v>57190</v>
      </c>
    </row>
    <row r="205" spans="1:15" x14ac:dyDescent="0.2">
      <c r="A205" t="s">
        <v>3923</v>
      </c>
      <c r="B205" s="61" t="s">
        <v>6747</v>
      </c>
      <c r="C205" s="61" t="s">
        <v>34</v>
      </c>
      <c r="F205" t="s">
        <v>3923</v>
      </c>
      <c r="G205" t="s">
        <v>6073</v>
      </c>
      <c r="H205" t="s">
        <v>34</v>
      </c>
      <c r="I205" t="s">
        <v>6748</v>
      </c>
      <c r="L205" t="s">
        <v>6749</v>
      </c>
      <c r="M205" t="s">
        <v>6346</v>
      </c>
      <c r="N205" s="61" t="s">
        <v>6750</v>
      </c>
      <c r="O205">
        <v>57189</v>
      </c>
    </row>
    <row r="206" spans="1:15" x14ac:dyDescent="0.2">
      <c r="A206" t="s">
        <v>3924</v>
      </c>
      <c r="B206" s="61" t="s">
        <v>6751</v>
      </c>
      <c r="C206" s="61" t="s">
        <v>34</v>
      </c>
      <c r="F206" t="s">
        <v>3924</v>
      </c>
      <c r="G206" t="s">
        <v>6073</v>
      </c>
      <c r="I206" t="s">
        <v>6752</v>
      </c>
      <c r="L206" t="s">
        <v>6753</v>
      </c>
      <c r="M206" t="s">
        <v>6346</v>
      </c>
      <c r="N206" s="61" t="s">
        <v>6754</v>
      </c>
      <c r="O206">
        <v>57188</v>
      </c>
    </row>
    <row r="207" spans="1:15" x14ac:dyDescent="0.2">
      <c r="A207" t="s">
        <v>3925</v>
      </c>
      <c r="B207" s="61" t="s">
        <v>6755</v>
      </c>
      <c r="C207" s="61" t="s">
        <v>34</v>
      </c>
      <c r="F207" t="s">
        <v>3925</v>
      </c>
      <c r="G207" t="s">
        <v>6073</v>
      </c>
      <c r="I207" t="s">
        <v>6756</v>
      </c>
      <c r="L207" t="s">
        <v>6757</v>
      </c>
      <c r="M207" t="s">
        <v>6346</v>
      </c>
      <c r="N207" s="61" t="s">
        <v>6758</v>
      </c>
      <c r="O207">
        <v>57187</v>
      </c>
    </row>
    <row r="208" spans="1:15" x14ac:dyDescent="0.2">
      <c r="A208" t="s">
        <v>3926</v>
      </c>
      <c r="B208" s="61" t="s">
        <v>6759</v>
      </c>
      <c r="C208" s="61" t="s">
        <v>34</v>
      </c>
      <c r="F208" t="s">
        <v>3926</v>
      </c>
      <c r="G208" t="s">
        <v>6073</v>
      </c>
      <c r="H208" t="s">
        <v>34</v>
      </c>
      <c r="I208" t="s">
        <v>6760</v>
      </c>
      <c r="L208" t="s">
        <v>6761</v>
      </c>
      <c r="M208" t="s">
        <v>6078</v>
      </c>
      <c r="N208" s="61" t="s">
        <v>6164</v>
      </c>
      <c r="O208">
        <v>57186</v>
      </c>
    </row>
    <row r="209" spans="1:15" x14ac:dyDescent="0.2">
      <c r="A209" t="s">
        <v>3927</v>
      </c>
      <c r="B209" s="61" t="s">
        <v>6762</v>
      </c>
      <c r="C209" s="61" t="s">
        <v>34</v>
      </c>
      <c r="F209" t="s">
        <v>3927</v>
      </c>
      <c r="G209" t="s">
        <v>6073</v>
      </c>
      <c r="H209" t="s">
        <v>6763</v>
      </c>
      <c r="I209" t="s">
        <v>6764</v>
      </c>
      <c r="J209" t="s">
        <v>6765</v>
      </c>
      <c r="K209" t="s">
        <v>6766</v>
      </c>
      <c r="L209" t="s">
        <v>6767</v>
      </c>
      <c r="M209" t="s">
        <v>6078</v>
      </c>
      <c r="N209" s="61" t="s">
        <v>6768</v>
      </c>
      <c r="O209">
        <v>57185</v>
      </c>
    </row>
    <row r="210" spans="1:15" x14ac:dyDescent="0.2">
      <c r="A210" t="s">
        <v>3928</v>
      </c>
      <c r="B210" s="61" t="s">
        <v>6769</v>
      </c>
      <c r="C210" s="61" t="s">
        <v>34</v>
      </c>
      <c r="F210" t="s">
        <v>3928</v>
      </c>
      <c r="G210" t="s">
        <v>6073</v>
      </c>
      <c r="L210" t="s">
        <v>6770</v>
      </c>
      <c r="M210" t="s">
        <v>6078</v>
      </c>
      <c r="N210" s="61" t="s">
        <v>6577</v>
      </c>
      <c r="O210">
        <v>57181</v>
      </c>
    </row>
    <row r="211" spans="1:15" x14ac:dyDescent="0.2">
      <c r="A211" t="s">
        <v>3929</v>
      </c>
      <c r="B211" s="61" t="s">
        <v>6771</v>
      </c>
      <c r="C211" s="61" t="s">
        <v>34</v>
      </c>
      <c r="F211" t="s">
        <v>3929</v>
      </c>
      <c r="G211" t="s">
        <v>6073</v>
      </c>
      <c r="H211" t="s">
        <v>6772</v>
      </c>
      <c r="I211" t="s">
        <v>6773</v>
      </c>
      <c r="L211" t="s">
        <v>6774</v>
      </c>
      <c r="M211" t="s">
        <v>6775</v>
      </c>
      <c r="N211" s="61" t="s">
        <v>6776</v>
      </c>
      <c r="O211">
        <v>57184</v>
      </c>
    </row>
    <row r="212" spans="1:15" x14ac:dyDescent="0.2">
      <c r="A212" t="s">
        <v>3930</v>
      </c>
      <c r="B212" s="61" t="s">
        <v>6777</v>
      </c>
      <c r="C212" s="61" t="s">
        <v>34</v>
      </c>
      <c r="F212" t="s">
        <v>3930</v>
      </c>
      <c r="G212" t="s">
        <v>6073</v>
      </c>
      <c r="H212" t="s">
        <v>34</v>
      </c>
      <c r="I212" t="s">
        <v>6778</v>
      </c>
      <c r="L212" t="s">
        <v>6779</v>
      </c>
      <c r="M212" t="s">
        <v>6078</v>
      </c>
      <c r="N212" s="61" t="s">
        <v>6780</v>
      </c>
      <c r="O212">
        <v>57183</v>
      </c>
    </row>
    <row r="213" spans="1:15" x14ac:dyDescent="0.2">
      <c r="A213" t="s">
        <v>3931</v>
      </c>
      <c r="B213" s="61" t="s">
        <v>6781</v>
      </c>
      <c r="C213" s="61" t="s">
        <v>34</v>
      </c>
      <c r="F213" t="s">
        <v>3931</v>
      </c>
      <c r="G213" t="s">
        <v>6073</v>
      </c>
      <c r="I213" t="s">
        <v>6782</v>
      </c>
      <c r="L213" t="s">
        <v>6783</v>
      </c>
      <c r="M213" t="s">
        <v>6078</v>
      </c>
      <c r="N213" s="61" t="s">
        <v>6211</v>
      </c>
      <c r="O213">
        <v>57182</v>
      </c>
    </row>
    <row r="214" spans="1:15" x14ac:dyDescent="0.2">
      <c r="A214" t="s">
        <v>3932</v>
      </c>
      <c r="B214" s="61" t="s">
        <v>6784</v>
      </c>
      <c r="C214" s="61" t="s">
        <v>34</v>
      </c>
      <c r="F214" t="s">
        <v>3932</v>
      </c>
      <c r="G214" t="s">
        <v>6073</v>
      </c>
      <c r="H214" t="s">
        <v>34</v>
      </c>
      <c r="I214" t="s">
        <v>6785</v>
      </c>
      <c r="L214" t="s">
        <v>6786</v>
      </c>
      <c r="M214" t="s">
        <v>6078</v>
      </c>
      <c r="N214" s="61" t="s">
        <v>6386</v>
      </c>
      <c r="O214">
        <v>57180</v>
      </c>
    </row>
    <row r="215" spans="1:15" x14ac:dyDescent="0.2">
      <c r="A215" t="s">
        <v>3933</v>
      </c>
      <c r="B215" s="61" t="s">
        <v>6787</v>
      </c>
      <c r="C215" s="61" t="s">
        <v>34</v>
      </c>
      <c r="F215" t="s">
        <v>3933</v>
      </c>
      <c r="G215" t="s">
        <v>6073</v>
      </c>
      <c r="I215" t="s">
        <v>6788</v>
      </c>
      <c r="L215" t="s">
        <v>6789</v>
      </c>
      <c r="M215" t="s">
        <v>6266</v>
      </c>
      <c r="N215" s="61" t="s">
        <v>6790</v>
      </c>
      <c r="O215">
        <v>57179</v>
      </c>
    </row>
    <row r="216" spans="1:15" x14ac:dyDescent="0.2">
      <c r="A216" t="s">
        <v>3934</v>
      </c>
      <c r="B216" s="61" t="s">
        <v>6791</v>
      </c>
      <c r="C216" s="61" t="s">
        <v>34</v>
      </c>
      <c r="F216" t="s">
        <v>6792</v>
      </c>
      <c r="G216" t="s">
        <v>6073</v>
      </c>
      <c r="L216" t="s">
        <v>6793</v>
      </c>
      <c r="M216" t="s">
        <v>6078</v>
      </c>
      <c r="N216" s="61" t="s">
        <v>6386</v>
      </c>
      <c r="O216">
        <v>115600</v>
      </c>
    </row>
    <row r="217" spans="1:15" x14ac:dyDescent="0.2">
      <c r="A217" t="s">
        <v>3935</v>
      </c>
      <c r="B217" s="61" t="s">
        <v>6794</v>
      </c>
      <c r="C217" s="61" t="s">
        <v>34</v>
      </c>
      <c r="F217" t="s">
        <v>3935</v>
      </c>
      <c r="G217" t="s">
        <v>6073</v>
      </c>
      <c r="M217" t="s">
        <v>6078</v>
      </c>
      <c r="N217" s="61" t="s">
        <v>6795</v>
      </c>
      <c r="O217">
        <v>97053</v>
      </c>
    </row>
    <row r="218" spans="1:15" x14ac:dyDescent="0.2">
      <c r="A218" t="s">
        <v>3936</v>
      </c>
      <c r="B218" s="61" t="s">
        <v>6796</v>
      </c>
      <c r="C218" s="61" t="s">
        <v>34</v>
      </c>
      <c r="F218" t="s">
        <v>3936</v>
      </c>
      <c r="G218" t="s">
        <v>6073</v>
      </c>
      <c r="H218" t="s">
        <v>6797</v>
      </c>
      <c r="I218" t="s">
        <v>6798</v>
      </c>
      <c r="L218" t="s">
        <v>6799</v>
      </c>
      <c r="M218" t="s">
        <v>6266</v>
      </c>
      <c r="N218" s="61" t="s">
        <v>6336</v>
      </c>
      <c r="O218">
        <v>87373</v>
      </c>
    </row>
    <row r="219" spans="1:15" x14ac:dyDescent="0.2">
      <c r="A219" t="s">
        <v>3937</v>
      </c>
      <c r="B219" s="61" t="s">
        <v>6800</v>
      </c>
      <c r="C219" s="61" t="s">
        <v>34</v>
      </c>
      <c r="F219" t="s">
        <v>3937</v>
      </c>
      <c r="G219" t="s">
        <v>6073</v>
      </c>
      <c r="I219" t="s">
        <v>6801</v>
      </c>
      <c r="L219" t="s">
        <v>6802</v>
      </c>
      <c r="M219" t="s">
        <v>6266</v>
      </c>
      <c r="N219" s="61" t="s">
        <v>6803</v>
      </c>
      <c r="O219">
        <v>57178</v>
      </c>
    </row>
    <row r="220" spans="1:15" x14ac:dyDescent="0.2">
      <c r="A220" t="s">
        <v>3938</v>
      </c>
      <c r="B220" s="61" t="s">
        <v>6804</v>
      </c>
      <c r="C220" s="61" t="s">
        <v>34</v>
      </c>
      <c r="F220" t="s">
        <v>3938</v>
      </c>
      <c r="G220" t="s">
        <v>6073</v>
      </c>
      <c r="H220" t="s">
        <v>34</v>
      </c>
      <c r="I220" t="s">
        <v>34</v>
      </c>
      <c r="L220" t="s">
        <v>6805</v>
      </c>
      <c r="M220" t="s">
        <v>6078</v>
      </c>
      <c r="N220" s="61" t="s">
        <v>6806</v>
      </c>
      <c r="O220">
        <v>57177</v>
      </c>
    </row>
    <row r="221" spans="1:15" x14ac:dyDescent="0.2">
      <c r="A221" t="s">
        <v>3939</v>
      </c>
      <c r="B221" s="61" t="s">
        <v>6807</v>
      </c>
      <c r="C221" s="61" t="s">
        <v>34</v>
      </c>
      <c r="F221" t="s">
        <v>3939</v>
      </c>
      <c r="G221" t="s">
        <v>6073</v>
      </c>
      <c r="L221" t="s">
        <v>6808</v>
      </c>
      <c r="M221" t="s">
        <v>6095</v>
      </c>
      <c r="N221" s="61" t="s">
        <v>6141</v>
      </c>
      <c r="O221">
        <v>57176</v>
      </c>
    </row>
    <row r="222" spans="1:15" x14ac:dyDescent="0.2">
      <c r="A222" t="s">
        <v>3940</v>
      </c>
      <c r="B222" s="61" t="s">
        <v>6809</v>
      </c>
      <c r="C222" s="61" t="s">
        <v>34</v>
      </c>
      <c r="F222" t="s">
        <v>3940</v>
      </c>
      <c r="G222" t="s">
        <v>6073</v>
      </c>
      <c r="L222" t="s">
        <v>6810</v>
      </c>
      <c r="M222" t="s">
        <v>6078</v>
      </c>
      <c r="N222" s="61" t="s">
        <v>6811</v>
      </c>
      <c r="O222">
        <v>57175</v>
      </c>
    </row>
    <row r="223" spans="1:15" x14ac:dyDescent="0.2">
      <c r="A223" t="s">
        <v>3941</v>
      </c>
      <c r="B223" s="61" t="s">
        <v>6812</v>
      </c>
      <c r="C223" s="61" t="s">
        <v>34</v>
      </c>
      <c r="F223" t="s">
        <v>3941</v>
      </c>
      <c r="G223" t="s">
        <v>6073</v>
      </c>
      <c r="I223" t="s">
        <v>6813</v>
      </c>
      <c r="L223" t="s">
        <v>6814</v>
      </c>
      <c r="M223" t="s">
        <v>6078</v>
      </c>
      <c r="N223" s="61" t="s">
        <v>6314</v>
      </c>
      <c r="O223">
        <v>57174</v>
      </c>
    </row>
    <row r="224" spans="1:15" x14ac:dyDescent="0.2">
      <c r="A224" t="s">
        <v>3942</v>
      </c>
      <c r="B224" s="61" t="s">
        <v>6815</v>
      </c>
      <c r="C224" s="61" t="s">
        <v>34</v>
      </c>
      <c r="F224" t="s">
        <v>3942</v>
      </c>
      <c r="G224" t="s">
        <v>6073</v>
      </c>
      <c r="H224" t="s">
        <v>34</v>
      </c>
      <c r="I224" t="s">
        <v>6816</v>
      </c>
      <c r="L224" t="s">
        <v>6817</v>
      </c>
      <c r="M224" t="s">
        <v>6078</v>
      </c>
      <c r="N224" s="61" t="s">
        <v>6525</v>
      </c>
      <c r="O224">
        <v>57173</v>
      </c>
    </row>
    <row r="225" spans="1:15" x14ac:dyDescent="0.2">
      <c r="A225" t="s">
        <v>3943</v>
      </c>
      <c r="B225" s="61" t="s">
        <v>6818</v>
      </c>
      <c r="C225" s="61" t="s">
        <v>34</v>
      </c>
      <c r="F225" t="s">
        <v>3943</v>
      </c>
      <c r="G225" t="s">
        <v>6073</v>
      </c>
      <c r="I225" t="s">
        <v>6819</v>
      </c>
      <c r="L225" t="s">
        <v>6820</v>
      </c>
      <c r="M225" t="s">
        <v>6078</v>
      </c>
      <c r="N225" s="61" t="s">
        <v>6821</v>
      </c>
      <c r="O225">
        <v>57194</v>
      </c>
    </row>
    <row r="226" spans="1:15" x14ac:dyDescent="0.2">
      <c r="A226" t="s">
        <v>3944</v>
      </c>
      <c r="B226" s="61" t="s">
        <v>6822</v>
      </c>
      <c r="C226" s="61" t="s">
        <v>34</v>
      </c>
      <c r="F226" t="s">
        <v>3944</v>
      </c>
      <c r="G226" t="s">
        <v>6073</v>
      </c>
      <c r="I226" t="s">
        <v>6823</v>
      </c>
      <c r="L226" t="s">
        <v>6824</v>
      </c>
      <c r="M226" t="s">
        <v>6078</v>
      </c>
      <c r="N226" s="61" t="s">
        <v>6314</v>
      </c>
      <c r="O226">
        <v>57443</v>
      </c>
    </row>
    <row r="227" spans="1:15" x14ac:dyDescent="0.2">
      <c r="A227" t="s">
        <v>3945</v>
      </c>
      <c r="B227" s="61" t="s">
        <v>6825</v>
      </c>
      <c r="C227" s="61" t="s">
        <v>34</v>
      </c>
      <c r="F227" t="s">
        <v>3945</v>
      </c>
      <c r="G227" t="s">
        <v>6073</v>
      </c>
      <c r="I227" t="s">
        <v>6826</v>
      </c>
      <c r="L227" t="s">
        <v>6827</v>
      </c>
      <c r="M227" t="s">
        <v>6078</v>
      </c>
      <c r="N227" s="61" t="s">
        <v>6525</v>
      </c>
      <c r="O227">
        <v>57196</v>
      </c>
    </row>
    <row r="228" spans="1:15" x14ac:dyDescent="0.2">
      <c r="A228" t="s">
        <v>3946</v>
      </c>
      <c r="B228" s="61" t="s">
        <v>6828</v>
      </c>
      <c r="C228" s="61" t="s">
        <v>34</v>
      </c>
      <c r="F228" t="s">
        <v>3946</v>
      </c>
      <c r="G228" t="s">
        <v>6073</v>
      </c>
      <c r="L228" t="s">
        <v>6829</v>
      </c>
      <c r="M228" t="s">
        <v>6266</v>
      </c>
      <c r="N228" s="61" t="s">
        <v>6830</v>
      </c>
      <c r="O228">
        <v>57219</v>
      </c>
    </row>
    <row r="229" spans="1:15" x14ac:dyDescent="0.2">
      <c r="A229" t="s">
        <v>3947</v>
      </c>
      <c r="B229" s="61" t="s">
        <v>6831</v>
      </c>
      <c r="C229" s="61" t="s">
        <v>34</v>
      </c>
      <c r="F229" t="s">
        <v>3947</v>
      </c>
      <c r="G229" t="s">
        <v>6073</v>
      </c>
      <c r="H229" t="s">
        <v>34</v>
      </c>
      <c r="I229" t="s">
        <v>34</v>
      </c>
      <c r="L229" t="s">
        <v>6832</v>
      </c>
      <c r="M229" t="s">
        <v>6078</v>
      </c>
      <c r="N229" s="61" t="s">
        <v>6182</v>
      </c>
      <c r="O229">
        <v>57197</v>
      </c>
    </row>
    <row r="230" spans="1:15" x14ac:dyDescent="0.2">
      <c r="A230" t="s">
        <v>326</v>
      </c>
      <c r="B230" s="61" t="s">
        <v>6833</v>
      </c>
      <c r="C230" s="61" t="s">
        <v>34</v>
      </c>
      <c r="F230" t="s">
        <v>326</v>
      </c>
      <c r="G230" t="s">
        <v>6073</v>
      </c>
      <c r="H230" t="s">
        <v>6834</v>
      </c>
      <c r="I230" t="s">
        <v>6835</v>
      </c>
      <c r="L230" t="s">
        <v>6836</v>
      </c>
      <c r="M230" t="s">
        <v>6078</v>
      </c>
      <c r="N230" s="61" t="s">
        <v>6577</v>
      </c>
      <c r="O230">
        <v>57218</v>
      </c>
    </row>
    <row r="231" spans="1:15" x14ac:dyDescent="0.2">
      <c r="A231" t="s">
        <v>3948</v>
      </c>
      <c r="B231" s="61" t="s">
        <v>6837</v>
      </c>
      <c r="C231" s="61" t="s">
        <v>34</v>
      </c>
      <c r="F231" t="s">
        <v>3948</v>
      </c>
      <c r="G231" t="s">
        <v>6073</v>
      </c>
      <c r="H231" t="s">
        <v>34</v>
      </c>
      <c r="I231" t="s">
        <v>6838</v>
      </c>
      <c r="L231" t="s">
        <v>6839</v>
      </c>
      <c r="M231" t="s">
        <v>6078</v>
      </c>
      <c r="N231" s="61" t="s">
        <v>6083</v>
      </c>
      <c r="O231">
        <v>57217</v>
      </c>
    </row>
    <row r="232" spans="1:15" x14ac:dyDescent="0.2">
      <c r="A232" t="s">
        <v>3949</v>
      </c>
      <c r="B232" s="61" t="s">
        <v>6840</v>
      </c>
      <c r="C232" s="61" t="s">
        <v>34</v>
      </c>
      <c r="F232" t="s">
        <v>3949</v>
      </c>
      <c r="G232" t="s">
        <v>6073</v>
      </c>
      <c r="L232" t="s">
        <v>6841</v>
      </c>
      <c r="M232" t="s">
        <v>6608</v>
      </c>
      <c r="N232" s="61" t="s">
        <v>6842</v>
      </c>
      <c r="O232">
        <v>57216</v>
      </c>
    </row>
    <row r="233" spans="1:15" x14ac:dyDescent="0.2">
      <c r="A233" t="s">
        <v>3950</v>
      </c>
      <c r="B233" s="61" t="s">
        <v>6843</v>
      </c>
      <c r="C233" s="61" t="s">
        <v>34</v>
      </c>
      <c r="F233" t="s">
        <v>3950</v>
      </c>
      <c r="G233" t="s">
        <v>6073</v>
      </c>
      <c r="H233" t="s">
        <v>6844</v>
      </c>
      <c r="L233" t="s">
        <v>6845</v>
      </c>
      <c r="M233" t="s">
        <v>6078</v>
      </c>
      <c r="N233" s="61" t="s">
        <v>6846</v>
      </c>
      <c r="O233">
        <v>117029</v>
      </c>
    </row>
    <row r="234" spans="1:15" x14ac:dyDescent="0.2">
      <c r="A234" t="s">
        <v>3951</v>
      </c>
      <c r="B234" s="61" t="s">
        <v>6847</v>
      </c>
      <c r="C234" s="61" t="s">
        <v>34</v>
      </c>
      <c r="F234" t="s">
        <v>3951</v>
      </c>
      <c r="G234" t="s">
        <v>6073</v>
      </c>
      <c r="I234" t="s">
        <v>6848</v>
      </c>
      <c r="L234" t="s">
        <v>6849</v>
      </c>
      <c r="M234" t="s">
        <v>6078</v>
      </c>
      <c r="N234" s="61" t="s">
        <v>6092</v>
      </c>
      <c r="O234">
        <v>57215</v>
      </c>
    </row>
    <row r="235" spans="1:15" x14ac:dyDescent="0.2">
      <c r="A235" t="s">
        <v>3952</v>
      </c>
      <c r="B235" s="61" t="s">
        <v>6850</v>
      </c>
      <c r="C235" s="61" t="s">
        <v>34</v>
      </c>
      <c r="F235" t="s">
        <v>3952</v>
      </c>
      <c r="G235" t="s">
        <v>6073</v>
      </c>
      <c r="H235" t="s">
        <v>34</v>
      </c>
      <c r="I235" t="s">
        <v>6851</v>
      </c>
      <c r="L235" t="s">
        <v>6852</v>
      </c>
      <c r="M235" t="s">
        <v>6078</v>
      </c>
      <c r="N235" s="61" t="s">
        <v>6853</v>
      </c>
      <c r="O235">
        <v>57214</v>
      </c>
    </row>
    <row r="236" spans="1:15" x14ac:dyDescent="0.2">
      <c r="A236" t="s">
        <v>3953</v>
      </c>
      <c r="B236" s="61" t="s">
        <v>6854</v>
      </c>
      <c r="C236" s="61" t="s">
        <v>34</v>
      </c>
      <c r="F236" t="s">
        <v>3953</v>
      </c>
      <c r="G236" t="s">
        <v>6073</v>
      </c>
      <c r="H236" t="s">
        <v>6855</v>
      </c>
      <c r="J236" t="s">
        <v>6856</v>
      </c>
      <c r="K236" t="s">
        <v>6857</v>
      </c>
      <c r="L236" t="s">
        <v>6858</v>
      </c>
      <c r="M236" t="s">
        <v>6078</v>
      </c>
      <c r="N236" s="61" t="s">
        <v>6859</v>
      </c>
      <c r="O236">
        <v>116918</v>
      </c>
    </row>
    <row r="237" spans="1:15" x14ac:dyDescent="0.2">
      <c r="A237" t="s">
        <v>3954</v>
      </c>
      <c r="B237" s="61" t="s">
        <v>6860</v>
      </c>
      <c r="C237" s="61" t="s">
        <v>34</v>
      </c>
      <c r="F237" t="s">
        <v>6861</v>
      </c>
      <c r="G237" t="s">
        <v>6073</v>
      </c>
      <c r="H237" t="s">
        <v>6862</v>
      </c>
      <c r="J237" t="s">
        <v>6863</v>
      </c>
      <c r="K237" t="s">
        <v>6864</v>
      </c>
      <c r="L237" t="s">
        <v>6865</v>
      </c>
      <c r="M237" t="s">
        <v>6078</v>
      </c>
      <c r="N237" s="61" t="s">
        <v>6551</v>
      </c>
      <c r="O237">
        <v>115307</v>
      </c>
    </row>
    <row r="238" spans="1:15" x14ac:dyDescent="0.2">
      <c r="A238" t="s">
        <v>3955</v>
      </c>
      <c r="B238" s="61" t="s">
        <v>6866</v>
      </c>
      <c r="C238" s="61" t="s">
        <v>34</v>
      </c>
      <c r="F238" t="s">
        <v>3955</v>
      </c>
      <c r="G238" t="s">
        <v>6073</v>
      </c>
      <c r="H238" t="s">
        <v>6867</v>
      </c>
      <c r="J238" t="s">
        <v>6868</v>
      </c>
      <c r="K238" t="s">
        <v>6869</v>
      </c>
      <c r="L238" t="s">
        <v>6870</v>
      </c>
      <c r="M238" t="s">
        <v>6871</v>
      </c>
      <c r="N238" s="61" t="s">
        <v>6872</v>
      </c>
      <c r="O238">
        <v>97134</v>
      </c>
    </row>
    <row r="239" spans="1:15" x14ac:dyDescent="0.2">
      <c r="A239" t="s">
        <v>3956</v>
      </c>
      <c r="B239" s="61" t="s">
        <v>6873</v>
      </c>
      <c r="C239" s="61" t="s">
        <v>34</v>
      </c>
      <c r="F239" t="s">
        <v>3956</v>
      </c>
      <c r="G239" t="s">
        <v>6073</v>
      </c>
      <c r="J239" t="s">
        <v>6874</v>
      </c>
      <c r="K239" t="s">
        <v>6875</v>
      </c>
      <c r="L239" t="s">
        <v>6876</v>
      </c>
      <c r="M239" t="s">
        <v>6148</v>
      </c>
      <c r="N239" s="61" t="s">
        <v>6877</v>
      </c>
      <c r="O239">
        <v>114548</v>
      </c>
    </row>
    <row r="240" spans="1:15" x14ac:dyDescent="0.2">
      <c r="A240" t="s">
        <v>3957</v>
      </c>
      <c r="B240" s="61" t="s">
        <v>6878</v>
      </c>
      <c r="C240" s="61" t="s">
        <v>6879</v>
      </c>
      <c r="F240" t="s">
        <v>3957</v>
      </c>
      <c r="G240" t="s">
        <v>6073</v>
      </c>
      <c r="M240" t="s">
        <v>6880</v>
      </c>
      <c r="N240" s="61" t="s">
        <v>6881</v>
      </c>
      <c r="O240">
        <v>64387</v>
      </c>
    </row>
    <row r="241" spans="1:15" x14ac:dyDescent="0.2">
      <c r="A241" t="s">
        <v>3958</v>
      </c>
      <c r="B241" s="61" t="s">
        <v>6882</v>
      </c>
      <c r="C241" s="61" t="s">
        <v>34</v>
      </c>
      <c r="F241" t="s">
        <v>3958</v>
      </c>
      <c r="G241" t="s">
        <v>6073</v>
      </c>
      <c r="H241" t="s">
        <v>34</v>
      </c>
      <c r="I241" t="s">
        <v>6883</v>
      </c>
      <c r="L241" t="s">
        <v>6884</v>
      </c>
      <c r="M241" t="s">
        <v>6078</v>
      </c>
      <c r="N241" s="61" t="s">
        <v>6677</v>
      </c>
      <c r="O241">
        <v>57213</v>
      </c>
    </row>
    <row r="242" spans="1:15" x14ac:dyDescent="0.2">
      <c r="A242" t="s">
        <v>3959</v>
      </c>
      <c r="B242" s="61" t="s">
        <v>6885</v>
      </c>
      <c r="C242" s="61" t="s">
        <v>34</v>
      </c>
      <c r="F242" t="s">
        <v>3959</v>
      </c>
      <c r="G242" t="s">
        <v>6073</v>
      </c>
      <c r="L242" t="s">
        <v>6886</v>
      </c>
      <c r="M242" t="s">
        <v>6078</v>
      </c>
      <c r="N242" s="61" t="s">
        <v>6128</v>
      </c>
      <c r="O242">
        <v>57212</v>
      </c>
    </row>
    <row r="243" spans="1:15" x14ac:dyDescent="0.2">
      <c r="A243" t="s">
        <v>3960</v>
      </c>
      <c r="B243" s="61" t="s">
        <v>6887</v>
      </c>
      <c r="C243" s="61" t="s">
        <v>34</v>
      </c>
      <c r="F243" t="s">
        <v>3960</v>
      </c>
      <c r="G243" t="s">
        <v>6073</v>
      </c>
      <c r="H243" t="s">
        <v>34</v>
      </c>
      <c r="I243" t="s">
        <v>6888</v>
      </c>
      <c r="L243" t="s">
        <v>6889</v>
      </c>
      <c r="M243" t="s">
        <v>6266</v>
      </c>
      <c r="N243" s="61" t="s">
        <v>6890</v>
      </c>
      <c r="O243">
        <v>57211</v>
      </c>
    </row>
    <row r="244" spans="1:15" x14ac:dyDescent="0.2">
      <c r="A244" t="s">
        <v>3961</v>
      </c>
      <c r="B244" s="61" t="s">
        <v>6891</v>
      </c>
      <c r="C244" s="61" t="s">
        <v>34</v>
      </c>
      <c r="F244" t="s">
        <v>3961</v>
      </c>
      <c r="G244" t="s">
        <v>6073</v>
      </c>
      <c r="H244" t="s">
        <v>34</v>
      </c>
      <c r="I244" t="s">
        <v>34</v>
      </c>
      <c r="L244" t="s">
        <v>6892</v>
      </c>
      <c r="M244" t="s">
        <v>6309</v>
      </c>
      <c r="N244" s="61" t="s">
        <v>6893</v>
      </c>
      <c r="O244">
        <v>57210</v>
      </c>
    </row>
    <row r="245" spans="1:15" x14ac:dyDescent="0.2">
      <c r="A245" t="s">
        <v>3962</v>
      </c>
      <c r="B245" s="61" t="s">
        <v>6894</v>
      </c>
      <c r="C245" s="61" t="s">
        <v>34</v>
      </c>
      <c r="F245" t="s">
        <v>3962</v>
      </c>
      <c r="G245" t="s">
        <v>6073</v>
      </c>
      <c r="H245" t="s">
        <v>34</v>
      </c>
      <c r="I245" t="s">
        <v>6895</v>
      </c>
      <c r="L245" t="s">
        <v>6896</v>
      </c>
      <c r="M245" t="s">
        <v>6078</v>
      </c>
      <c r="N245" s="61" t="s">
        <v>6897</v>
      </c>
      <c r="O245">
        <v>57209</v>
      </c>
    </row>
    <row r="246" spans="1:15" x14ac:dyDescent="0.2">
      <c r="A246" t="s">
        <v>3963</v>
      </c>
      <c r="B246" s="61" t="s">
        <v>6898</v>
      </c>
      <c r="C246" s="61" t="s">
        <v>34</v>
      </c>
      <c r="F246" t="s">
        <v>3963</v>
      </c>
      <c r="G246" t="s">
        <v>6073</v>
      </c>
      <c r="H246" t="s">
        <v>6899</v>
      </c>
      <c r="J246" t="s">
        <v>6900</v>
      </c>
      <c r="K246" t="s">
        <v>6901</v>
      </c>
      <c r="L246" t="s">
        <v>6902</v>
      </c>
      <c r="M246" t="s">
        <v>6095</v>
      </c>
      <c r="N246" s="61" t="s">
        <v>6903</v>
      </c>
      <c r="O246">
        <v>94075</v>
      </c>
    </row>
    <row r="247" spans="1:15" x14ac:dyDescent="0.2">
      <c r="A247" t="s">
        <v>3964</v>
      </c>
      <c r="B247" s="61" t="s">
        <v>6904</v>
      </c>
      <c r="C247" s="61" t="s">
        <v>34</v>
      </c>
      <c r="F247" t="s">
        <v>3964</v>
      </c>
      <c r="G247" t="s">
        <v>6073</v>
      </c>
      <c r="L247" t="s">
        <v>6902</v>
      </c>
      <c r="M247" t="s">
        <v>6095</v>
      </c>
      <c r="N247" s="61" t="s">
        <v>6903</v>
      </c>
      <c r="O247">
        <v>92463</v>
      </c>
    </row>
    <row r="248" spans="1:15" x14ac:dyDescent="0.2">
      <c r="A248" t="s">
        <v>3965</v>
      </c>
      <c r="B248" s="61" t="s">
        <v>6905</v>
      </c>
      <c r="C248" s="61" t="s">
        <v>34</v>
      </c>
      <c r="F248" t="s">
        <v>3965</v>
      </c>
      <c r="G248" t="s">
        <v>6073</v>
      </c>
      <c r="I248" t="s">
        <v>6906</v>
      </c>
      <c r="L248" t="s">
        <v>6907</v>
      </c>
      <c r="M248" t="s">
        <v>6908</v>
      </c>
      <c r="N248" s="61" t="s">
        <v>6909</v>
      </c>
      <c r="O248">
        <v>57208</v>
      </c>
    </row>
    <row r="249" spans="1:15" x14ac:dyDescent="0.2">
      <c r="A249" t="s">
        <v>3966</v>
      </c>
      <c r="B249" s="61" t="s">
        <v>34</v>
      </c>
      <c r="C249" s="61" t="s">
        <v>34</v>
      </c>
      <c r="F249" t="s">
        <v>3966</v>
      </c>
      <c r="G249" t="s">
        <v>6073</v>
      </c>
      <c r="H249" t="s">
        <v>34</v>
      </c>
      <c r="I249" t="s">
        <v>34</v>
      </c>
      <c r="L249" t="s">
        <v>34</v>
      </c>
      <c r="N249" s="61" t="s">
        <v>3784</v>
      </c>
      <c r="O249">
        <v>58316</v>
      </c>
    </row>
    <row r="250" spans="1:15" x14ac:dyDescent="0.2">
      <c r="A250" t="s">
        <v>5949</v>
      </c>
      <c r="B250" s="61" t="s">
        <v>6910</v>
      </c>
      <c r="C250" s="61" t="s">
        <v>34</v>
      </c>
      <c r="F250" t="s">
        <v>5949</v>
      </c>
      <c r="G250" t="s">
        <v>6135</v>
      </c>
      <c r="H250" t="s">
        <v>6911</v>
      </c>
      <c r="J250" t="s">
        <v>6912</v>
      </c>
      <c r="K250" t="s">
        <v>6913</v>
      </c>
      <c r="L250" t="s">
        <v>6914</v>
      </c>
      <c r="M250" t="s">
        <v>6136</v>
      </c>
      <c r="N250" s="61" t="s">
        <v>6915</v>
      </c>
      <c r="O250">
        <v>129589</v>
      </c>
    </row>
    <row r="251" spans="1:15" x14ac:dyDescent="0.2">
      <c r="A251" t="s">
        <v>3967</v>
      </c>
      <c r="B251" s="61" t="s">
        <v>6916</v>
      </c>
      <c r="C251" s="61" t="s">
        <v>34</v>
      </c>
      <c r="F251" t="s">
        <v>3967</v>
      </c>
      <c r="G251" t="s">
        <v>6073</v>
      </c>
      <c r="L251" t="s">
        <v>6917</v>
      </c>
      <c r="M251" t="s">
        <v>6240</v>
      </c>
      <c r="N251" s="61" t="s">
        <v>6918</v>
      </c>
      <c r="O251">
        <v>96996</v>
      </c>
    </row>
    <row r="252" spans="1:15" x14ac:dyDescent="0.2">
      <c r="A252" t="s">
        <v>3968</v>
      </c>
      <c r="B252" s="61" t="s">
        <v>6919</v>
      </c>
      <c r="C252" s="61" t="s">
        <v>34</v>
      </c>
      <c r="F252" t="s">
        <v>3968</v>
      </c>
      <c r="G252" t="s">
        <v>6073</v>
      </c>
      <c r="H252" t="s">
        <v>34</v>
      </c>
      <c r="I252" t="s">
        <v>6920</v>
      </c>
      <c r="L252" t="s">
        <v>6921</v>
      </c>
      <c r="M252" t="s">
        <v>6078</v>
      </c>
      <c r="N252" s="61" t="s">
        <v>6922</v>
      </c>
      <c r="O252">
        <v>57207</v>
      </c>
    </row>
    <row r="253" spans="1:15" x14ac:dyDescent="0.2">
      <c r="A253" t="s">
        <v>3969</v>
      </c>
      <c r="B253" s="61" t="s">
        <v>6923</v>
      </c>
      <c r="C253" s="61" t="s">
        <v>34</v>
      </c>
      <c r="F253" t="s">
        <v>3969</v>
      </c>
      <c r="G253" t="s">
        <v>6073</v>
      </c>
      <c r="I253" t="s">
        <v>6924</v>
      </c>
      <c r="L253" t="s">
        <v>6925</v>
      </c>
      <c r="M253" t="s">
        <v>6078</v>
      </c>
      <c r="N253" s="61" t="s">
        <v>6926</v>
      </c>
      <c r="O253">
        <v>85029</v>
      </c>
    </row>
    <row r="254" spans="1:15" x14ac:dyDescent="0.2">
      <c r="A254" t="s">
        <v>3970</v>
      </c>
      <c r="B254" s="61" t="s">
        <v>6927</v>
      </c>
      <c r="C254" s="61" t="s">
        <v>34</v>
      </c>
      <c r="F254" t="s">
        <v>3970</v>
      </c>
      <c r="G254" t="s">
        <v>6073</v>
      </c>
      <c r="H254" t="s">
        <v>6928</v>
      </c>
      <c r="J254" t="s">
        <v>6929</v>
      </c>
      <c r="K254" t="s">
        <v>6930</v>
      </c>
      <c r="L254" t="s">
        <v>6931</v>
      </c>
      <c r="M254" t="s">
        <v>6078</v>
      </c>
      <c r="N254" s="61" t="s">
        <v>6596</v>
      </c>
      <c r="O254">
        <v>84249</v>
      </c>
    </row>
    <row r="255" spans="1:15" x14ac:dyDescent="0.2">
      <c r="A255" t="s">
        <v>3971</v>
      </c>
      <c r="B255" s="61" t="s">
        <v>6932</v>
      </c>
      <c r="C255" s="61" t="s">
        <v>34</v>
      </c>
      <c r="F255" t="s">
        <v>3971</v>
      </c>
      <c r="G255" t="s">
        <v>6073</v>
      </c>
      <c r="J255" t="s">
        <v>6933</v>
      </c>
      <c r="L255" t="s">
        <v>6934</v>
      </c>
      <c r="M255" t="s">
        <v>6078</v>
      </c>
      <c r="N255" s="61" t="s">
        <v>6211</v>
      </c>
      <c r="O255">
        <v>89141</v>
      </c>
    </row>
    <row r="256" spans="1:15" x14ac:dyDescent="0.2">
      <c r="A256" t="s">
        <v>211</v>
      </c>
      <c r="B256" s="61" t="s">
        <v>6935</v>
      </c>
      <c r="C256" s="61" t="s">
        <v>34</v>
      </c>
      <c r="F256" t="s">
        <v>211</v>
      </c>
      <c r="G256" t="s">
        <v>6073</v>
      </c>
      <c r="I256" t="s">
        <v>6936</v>
      </c>
      <c r="L256" t="s">
        <v>6937</v>
      </c>
      <c r="M256" t="s">
        <v>6078</v>
      </c>
      <c r="N256" s="61" t="s">
        <v>6083</v>
      </c>
      <c r="O256">
        <v>57206</v>
      </c>
    </row>
    <row r="257" spans="1:15" x14ac:dyDescent="0.2">
      <c r="A257" t="s">
        <v>336</v>
      </c>
      <c r="B257" s="61" t="s">
        <v>6938</v>
      </c>
      <c r="C257" s="61" t="s">
        <v>34</v>
      </c>
      <c r="F257" t="s">
        <v>336</v>
      </c>
      <c r="G257" t="s">
        <v>6073</v>
      </c>
      <c r="I257" t="s">
        <v>6936</v>
      </c>
      <c r="L257" t="s">
        <v>6937</v>
      </c>
      <c r="M257" t="s">
        <v>6078</v>
      </c>
      <c r="N257" s="61" t="s">
        <v>6083</v>
      </c>
      <c r="O257">
        <v>57205</v>
      </c>
    </row>
    <row r="258" spans="1:15" x14ac:dyDescent="0.2">
      <c r="A258" t="s">
        <v>3972</v>
      </c>
      <c r="B258" s="61" t="s">
        <v>6939</v>
      </c>
      <c r="C258" s="61" t="s">
        <v>34</v>
      </c>
      <c r="F258" t="s">
        <v>3972</v>
      </c>
      <c r="G258" t="s">
        <v>6073</v>
      </c>
      <c r="L258" t="s">
        <v>6940</v>
      </c>
      <c r="M258" t="s">
        <v>6104</v>
      </c>
      <c r="N258" s="61" t="s">
        <v>6941</v>
      </c>
      <c r="O258">
        <v>57204</v>
      </c>
    </row>
    <row r="259" spans="1:15" x14ac:dyDescent="0.2">
      <c r="A259" t="s">
        <v>3973</v>
      </c>
      <c r="B259" s="61" t="s">
        <v>6942</v>
      </c>
      <c r="C259" s="61" t="s">
        <v>34</v>
      </c>
      <c r="F259" t="s">
        <v>3973</v>
      </c>
      <c r="G259" t="s">
        <v>6073</v>
      </c>
      <c r="H259" t="s">
        <v>34</v>
      </c>
      <c r="I259" t="s">
        <v>6943</v>
      </c>
      <c r="L259" t="s">
        <v>6944</v>
      </c>
      <c r="M259" t="s">
        <v>6266</v>
      </c>
      <c r="N259" s="61" t="s">
        <v>6945</v>
      </c>
      <c r="O259">
        <v>57203</v>
      </c>
    </row>
    <row r="260" spans="1:15" x14ac:dyDescent="0.2">
      <c r="A260" t="s">
        <v>3974</v>
      </c>
      <c r="B260" s="61" t="s">
        <v>6946</v>
      </c>
      <c r="C260" s="61" t="s">
        <v>34</v>
      </c>
      <c r="F260" t="s">
        <v>3974</v>
      </c>
      <c r="G260" t="s">
        <v>6073</v>
      </c>
      <c r="I260" t="s">
        <v>6947</v>
      </c>
      <c r="L260" t="s">
        <v>6948</v>
      </c>
      <c r="M260" t="s">
        <v>6078</v>
      </c>
      <c r="N260" s="61" t="s">
        <v>6211</v>
      </c>
      <c r="O260">
        <v>57202</v>
      </c>
    </row>
    <row r="261" spans="1:15" x14ac:dyDescent="0.2">
      <c r="A261" t="s">
        <v>3975</v>
      </c>
      <c r="B261" s="61" t="s">
        <v>6949</v>
      </c>
      <c r="C261" s="61" t="s">
        <v>34</v>
      </c>
      <c r="F261" t="s">
        <v>3975</v>
      </c>
      <c r="G261" t="s">
        <v>6073</v>
      </c>
      <c r="L261" t="s">
        <v>6948</v>
      </c>
      <c r="M261" t="s">
        <v>6078</v>
      </c>
      <c r="N261" s="61" t="s">
        <v>6211</v>
      </c>
      <c r="O261">
        <v>57201</v>
      </c>
    </row>
    <row r="262" spans="1:15" x14ac:dyDescent="0.2">
      <c r="A262" t="s">
        <v>3976</v>
      </c>
      <c r="B262" s="61" t="s">
        <v>6950</v>
      </c>
      <c r="C262" s="61" t="s">
        <v>34</v>
      </c>
      <c r="F262" t="s">
        <v>3976</v>
      </c>
      <c r="G262" t="s">
        <v>6073</v>
      </c>
      <c r="H262" t="s">
        <v>34</v>
      </c>
      <c r="I262" t="s">
        <v>34</v>
      </c>
      <c r="L262" t="s">
        <v>34</v>
      </c>
      <c r="M262" t="s">
        <v>6608</v>
      </c>
      <c r="N262" s="61" t="s">
        <v>6951</v>
      </c>
      <c r="O262">
        <v>57200</v>
      </c>
    </row>
    <row r="263" spans="1:15" x14ac:dyDescent="0.2">
      <c r="A263" t="s">
        <v>3977</v>
      </c>
      <c r="B263" s="61" t="s">
        <v>6952</v>
      </c>
      <c r="C263" s="61" t="s">
        <v>34</v>
      </c>
      <c r="F263" t="s">
        <v>3977</v>
      </c>
      <c r="G263" t="s">
        <v>6073</v>
      </c>
      <c r="H263" t="s">
        <v>34</v>
      </c>
      <c r="I263" t="s">
        <v>6953</v>
      </c>
      <c r="L263" t="s">
        <v>6954</v>
      </c>
      <c r="M263" t="s">
        <v>6078</v>
      </c>
      <c r="N263" s="61" t="s">
        <v>6955</v>
      </c>
      <c r="O263">
        <v>57199</v>
      </c>
    </row>
    <row r="264" spans="1:15" x14ac:dyDescent="0.2">
      <c r="A264" t="s">
        <v>3978</v>
      </c>
      <c r="B264" s="61" t="s">
        <v>6956</v>
      </c>
      <c r="C264" s="61" t="s">
        <v>34</v>
      </c>
      <c r="F264" t="s">
        <v>3978</v>
      </c>
      <c r="G264" t="s">
        <v>6073</v>
      </c>
      <c r="I264" t="s">
        <v>6957</v>
      </c>
      <c r="L264" t="s">
        <v>6958</v>
      </c>
      <c r="M264" t="s">
        <v>6078</v>
      </c>
      <c r="N264" s="61" t="s">
        <v>6314</v>
      </c>
      <c r="O264">
        <v>57198</v>
      </c>
    </row>
    <row r="265" spans="1:15" x14ac:dyDescent="0.2">
      <c r="A265" t="s">
        <v>3979</v>
      </c>
      <c r="B265" s="61" t="s">
        <v>6959</v>
      </c>
      <c r="C265" s="61" t="s">
        <v>34</v>
      </c>
      <c r="F265" t="s">
        <v>3979</v>
      </c>
      <c r="G265" t="s">
        <v>6073</v>
      </c>
      <c r="I265" t="s">
        <v>6960</v>
      </c>
      <c r="L265" t="s">
        <v>6961</v>
      </c>
      <c r="M265" t="s">
        <v>6422</v>
      </c>
      <c r="N265" s="61" t="s">
        <v>6962</v>
      </c>
      <c r="O265">
        <v>57271</v>
      </c>
    </row>
    <row r="266" spans="1:15" x14ac:dyDescent="0.2">
      <c r="A266" t="s">
        <v>3980</v>
      </c>
      <c r="B266" s="61" t="s">
        <v>6963</v>
      </c>
      <c r="C266" s="61" t="s">
        <v>34</v>
      </c>
      <c r="F266" t="s">
        <v>3980</v>
      </c>
      <c r="G266" t="s">
        <v>6073</v>
      </c>
      <c r="H266" t="s">
        <v>34</v>
      </c>
      <c r="I266" t="s">
        <v>6964</v>
      </c>
      <c r="L266" t="s">
        <v>6965</v>
      </c>
      <c r="M266" t="s">
        <v>6078</v>
      </c>
      <c r="N266" s="61" t="s">
        <v>6322</v>
      </c>
      <c r="O266">
        <v>57272</v>
      </c>
    </row>
    <row r="267" spans="1:15" x14ac:dyDescent="0.2">
      <c r="A267" t="s">
        <v>3981</v>
      </c>
      <c r="B267" s="61" t="s">
        <v>6966</v>
      </c>
      <c r="C267" s="61" t="s">
        <v>34</v>
      </c>
      <c r="F267" t="s">
        <v>3981</v>
      </c>
      <c r="G267" t="s">
        <v>6073</v>
      </c>
      <c r="H267" t="s">
        <v>34</v>
      </c>
      <c r="I267" t="s">
        <v>6967</v>
      </c>
      <c r="L267" t="s">
        <v>6968</v>
      </c>
      <c r="M267" t="s">
        <v>6078</v>
      </c>
      <c r="N267" s="61" t="s">
        <v>6969</v>
      </c>
      <c r="O267">
        <v>57343</v>
      </c>
    </row>
    <row r="268" spans="1:15" x14ac:dyDescent="0.2">
      <c r="A268" t="s">
        <v>3982</v>
      </c>
      <c r="B268" s="61" t="s">
        <v>6970</v>
      </c>
      <c r="C268" s="61" t="s">
        <v>34</v>
      </c>
      <c r="F268" t="s">
        <v>3982</v>
      </c>
      <c r="G268" t="s">
        <v>6073</v>
      </c>
      <c r="L268" t="s">
        <v>6971</v>
      </c>
      <c r="M268" t="s">
        <v>6078</v>
      </c>
      <c r="N268" s="61" t="s">
        <v>6255</v>
      </c>
      <c r="O268">
        <v>57341</v>
      </c>
    </row>
    <row r="269" spans="1:15" x14ac:dyDescent="0.2">
      <c r="A269" t="s">
        <v>3983</v>
      </c>
      <c r="B269" s="61" t="s">
        <v>6972</v>
      </c>
      <c r="C269" s="61" t="s">
        <v>34</v>
      </c>
      <c r="F269" t="s">
        <v>3983</v>
      </c>
      <c r="G269" t="s">
        <v>6073</v>
      </c>
      <c r="H269" t="s">
        <v>34</v>
      </c>
      <c r="I269" t="s">
        <v>6973</v>
      </c>
      <c r="L269" t="s">
        <v>6974</v>
      </c>
      <c r="M269" t="s">
        <v>6078</v>
      </c>
      <c r="N269" s="61" t="s">
        <v>6145</v>
      </c>
      <c r="O269">
        <v>57340</v>
      </c>
    </row>
    <row r="270" spans="1:15" x14ac:dyDescent="0.2">
      <c r="A270" t="s">
        <v>3984</v>
      </c>
      <c r="B270" s="61" t="s">
        <v>6975</v>
      </c>
      <c r="C270" s="61" t="s">
        <v>34</v>
      </c>
      <c r="F270" t="s">
        <v>3984</v>
      </c>
      <c r="G270" t="s">
        <v>6073</v>
      </c>
      <c r="H270" t="s">
        <v>34</v>
      </c>
      <c r="I270" t="s">
        <v>34</v>
      </c>
      <c r="L270" t="s">
        <v>6976</v>
      </c>
      <c r="M270" t="s">
        <v>6078</v>
      </c>
      <c r="N270" s="61" t="s">
        <v>6977</v>
      </c>
      <c r="O270">
        <v>57339</v>
      </c>
    </row>
    <row r="271" spans="1:15" x14ac:dyDescent="0.2">
      <c r="A271" t="s">
        <v>3985</v>
      </c>
      <c r="B271" s="61" t="s">
        <v>6978</v>
      </c>
      <c r="C271" s="61" t="s">
        <v>34</v>
      </c>
      <c r="F271" t="s">
        <v>3985</v>
      </c>
      <c r="G271" t="s">
        <v>6073</v>
      </c>
      <c r="H271" t="s">
        <v>34</v>
      </c>
      <c r="I271" t="s">
        <v>6979</v>
      </c>
      <c r="L271" t="s">
        <v>6980</v>
      </c>
      <c r="M271" t="s">
        <v>6104</v>
      </c>
      <c r="N271" s="61" t="s">
        <v>6981</v>
      </c>
      <c r="O271">
        <v>57338</v>
      </c>
    </row>
    <row r="272" spans="1:15" x14ac:dyDescent="0.2">
      <c r="A272" t="s">
        <v>3986</v>
      </c>
      <c r="B272" s="61" t="s">
        <v>6982</v>
      </c>
      <c r="C272" s="61" t="s">
        <v>34</v>
      </c>
      <c r="F272" t="s">
        <v>3986</v>
      </c>
      <c r="G272" t="s">
        <v>6983</v>
      </c>
      <c r="N272" s="61" t="s">
        <v>6984</v>
      </c>
      <c r="O272">
        <v>58337</v>
      </c>
    </row>
    <row r="273" spans="1:15" x14ac:dyDescent="0.2">
      <c r="A273" t="s">
        <v>3987</v>
      </c>
      <c r="B273" s="61" t="s">
        <v>6985</v>
      </c>
      <c r="C273" s="61" t="s">
        <v>34</v>
      </c>
      <c r="F273" t="s">
        <v>3987</v>
      </c>
      <c r="G273" t="s">
        <v>6073</v>
      </c>
      <c r="I273" t="s">
        <v>6986</v>
      </c>
      <c r="L273" t="s">
        <v>6987</v>
      </c>
      <c r="M273" t="s">
        <v>6078</v>
      </c>
      <c r="N273" s="61" t="s">
        <v>6988</v>
      </c>
      <c r="O273">
        <v>57337</v>
      </c>
    </row>
    <row r="274" spans="1:15" x14ac:dyDescent="0.2">
      <c r="A274" t="s">
        <v>3988</v>
      </c>
      <c r="B274" s="61" t="s">
        <v>6989</v>
      </c>
      <c r="C274" s="61" t="s">
        <v>34</v>
      </c>
      <c r="F274" t="s">
        <v>3988</v>
      </c>
      <c r="G274" t="s">
        <v>6073</v>
      </c>
      <c r="H274" t="s">
        <v>34</v>
      </c>
      <c r="I274" t="s">
        <v>6990</v>
      </c>
      <c r="L274" t="s">
        <v>6991</v>
      </c>
      <c r="M274" t="s">
        <v>6078</v>
      </c>
      <c r="N274" s="61" t="s">
        <v>6079</v>
      </c>
      <c r="O274">
        <v>57336</v>
      </c>
    </row>
    <row r="275" spans="1:15" x14ac:dyDescent="0.2">
      <c r="A275" t="s">
        <v>3989</v>
      </c>
      <c r="B275" s="61" t="s">
        <v>6992</v>
      </c>
      <c r="C275" s="61" t="s">
        <v>34</v>
      </c>
      <c r="F275" t="s">
        <v>3989</v>
      </c>
      <c r="G275" t="s">
        <v>6073</v>
      </c>
      <c r="H275" t="s">
        <v>6993</v>
      </c>
      <c r="I275" t="s">
        <v>6994</v>
      </c>
      <c r="L275" t="s">
        <v>6995</v>
      </c>
      <c r="M275" t="s">
        <v>6078</v>
      </c>
      <c r="N275" s="61" t="s">
        <v>6525</v>
      </c>
      <c r="O275">
        <v>57335</v>
      </c>
    </row>
    <row r="276" spans="1:15" x14ac:dyDescent="0.2">
      <c r="A276" t="s">
        <v>3990</v>
      </c>
      <c r="B276" s="61" t="s">
        <v>6996</v>
      </c>
      <c r="C276" s="61" t="s">
        <v>34</v>
      </c>
      <c r="F276" t="s">
        <v>3990</v>
      </c>
      <c r="G276" t="s">
        <v>6073</v>
      </c>
      <c r="I276" t="s">
        <v>6997</v>
      </c>
      <c r="L276" t="s">
        <v>6998</v>
      </c>
      <c r="M276" t="s">
        <v>6078</v>
      </c>
      <c r="N276" s="61" t="s">
        <v>6092</v>
      </c>
      <c r="O276">
        <v>57334</v>
      </c>
    </row>
    <row r="277" spans="1:15" x14ac:dyDescent="0.2">
      <c r="A277" t="s">
        <v>3991</v>
      </c>
      <c r="B277" s="61" t="s">
        <v>6999</v>
      </c>
      <c r="C277" s="61" t="s">
        <v>34</v>
      </c>
      <c r="F277" t="s">
        <v>3991</v>
      </c>
      <c r="G277" t="s">
        <v>6073</v>
      </c>
      <c r="H277" t="s">
        <v>34</v>
      </c>
      <c r="I277" t="s">
        <v>7000</v>
      </c>
      <c r="L277" t="s">
        <v>7001</v>
      </c>
      <c r="M277" t="s">
        <v>6104</v>
      </c>
      <c r="N277" s="61" t="s">
        <v>7002</v>
      </c>
      <c r="O277">
        <v>57333</v>
      </c>
    </row>
    <row r="278" spans="1:15" x14ac:dyDescent="0.2">
      <c r="A278" t="s">
        <v>3992</v>
      </c>
      <c r="B278" s="61" t="s">
        <v>7003</v>
      </c>
      <c r="C278" s="61" t="s">
        <v>34</v>
      </c>
      <c r="F278" t="s">
        <v>3992</v>
      </c>
      <c r="G278" t="s">
        <v>6073</v>
      </c>
      <c r="I278" t="s">
        <v>7004</v>
      </c>
      <c r="L278" t="s">
        <v>7005</v>
      </c>
      <c r="M278" t="s">
        <v>6078</v>
      </c>
      <c r="N278" s="61" t="s">
        <v>6128</v>
      </c>
      <c r="O278">
        <v>57332</v>
      </c>
    </row>
    <row r="279" spans="1:15" x14ac:dyDescent="0.2">
      <c r="A279" t="s">
        <v>3993</v>
      </c>
      <c r="B279" s="61" t="s">
        <v>7006</v>
      </c>
      <c r="C279" s="61" t="s">
        <v>34</v>
      </c>
      <c r="F279" t="s">
        <v>3993</v>
      </c>
      <c r="G279" t="s">
        <v>6073</v>
      </c>
      <c r="H279" t="s">
        <v>34</v>
      </c>
      <c r="I279" t="s">
        <v>7007</v>
      </c>
      <c r="L279" t="s">
        <v>7008</v>
      </c>
      <c r="M279" t="s">
        <v>6104</v>
      </c>
      <c r="N279" s="61" t="s">
        <v>7009</v>
      </c>
      <c r="O279">
        <v>57331</v>
      </c>
    </row>
    <row r="280" spans="1:15" x14ac:dyDescent="0.2">
      <c r="A280" t="s">
        <v>3994</v>
      </c>
      <c r="B280" s="61" t="s">
        <v>7010</v>
      </c>
      <c r="C280" s="61" t="s">
        <v>34</v>
      </c>
      <c r="F280" t="s">
        <v>3994</v>
      </c>
      <c r="G280" t="s">
        <v>6073</v>
      </c>
      <c r="I280" t="s">
        <v>7011</v>
      </c>
      <c r="L280" t="s">
        <v>7012</v>
      </c>
      <c r="M280" t="s">
        <v>6078</v>
      </c>
      <c r="N280" s="61" t="s">
        <v>6128</v>
      </c>
      <c r="O280">
        <v>57330</v>
      </c>
    </row>
    <row r="281" spans="1:15" x14ac:dyDescent="0.2">
      <c r="A281" t="s">
        <v>346</v>
      </c>
      <c r="B281" s="61" t="s">
        <v>7013</v>
      </c>
      <c r="C281" s="61" t="s">
        <v>34</v>
      </c>
      <c r="F281" t="s">
        <v>346</v>
      </c>
      <c r="G281" t="s">
        <v>6073</v>
      </c>
      <c r="I281" t="s">
        <v>7014</v>
      </c>
      <c r="L281" t="s">
        <v>7015</v>
      </c>
      <c r="M281" t="s">
        <v>6078</v>
      </c>
      <c r="N281" s="61" t="s">
        <v>7016</v>
      </c>
      <c r="O281">
        <v>57329</v>
      </c>
    </row>
    <row r="282" spans="1:15" x14ac:dyDescent="0.2">
      <c r="A282" t="s">
        <v>3995</v>
      </c>
      <c r="B282" s="61" t="s">
        <v>7017</v>
      </c>
      <c r="C282" s="61" t="s">
        <v>34</v>
      </c>
      <c r="F282" t="s">
        <v>3995</v>
      </c>
      <c r="G282" t="s">
        <v>6073</v>
      </c>
      <c r="H282" t="s">
        <v>34</v>
      </c>
      <c r="I282" t="s">
        <v>34</v>
      </c>
      <c r="L282" t="s">
        <v>7018</v>
      </c>
      <c r="M282" t="s">
        <v>6104</v>
      </c>
      <c r="N282" s="61" t="s">
        <v>7019</v>
      </c>
      <c r="O282">
        <v>57328</v>
      </c>
    </row>
    <row r="283" spans="1:15" x14ac:dyDescent="0.2">
      <c r="A283" t="s">
        <v>347</v>
      </c>
      <c r="B283" s="61" t="s">
        <v>7020</v>
      </c>
      <c r="C283" s="61" t="s">
        <v>34</v>
      </c>
      <c r="F283" t="s">
        <v>347</v>
      </c>
      <c r="G283" t="s">
        <v>6073</v>
      </c>
      <c r="H283" t="s">
        <v>7021</v>
      </c>
      <c r="I283" t="s">
        <v>7022</v>
      </c>
      <c r="L283" t="s">
        <v>7023</v>
      </c>
      <c r="M283" t="s">
        <v>6078</v>
      </c>
      <c r="N283" s="61" t="s">
        <v>7024</v>
      </c>
      <c r="O283">
        <v>57327</v>
      </c>
    </row>
    <row r="284" spans="1:15" x14ac:dyDescent="0.2">
      <c r="A284" t="s">
        <v>3996</v>
      </c>
      <c r="B284" s="61" t="s">
        <v>7025</v>
      </c>
      <c r="C284" s="61" t="s">
        <v>34</v>
      </c>
      <c r="F284" t="s">
        <v>3996</v>
      </c>
      <c r="G284" t="s">
        <v>6073</v>
      </c>
      <c r="H284" t="s">
        <v>34</v>
      </c>
      <c r="I284" t="s">
        <v>7026</v>
      </c>
      <c r="L284" t="s">
        <v>7027</v>
      </c>
      <c r="M284" t="s">
        <v>6095</v>
      </c>
      <c r="N284" s="61" t="s">
        <v>7028</v>
      </c>
      <c r="O284">
        <v>57326</v>
      </c>
    </row>
    <row r="285" spans="1:15" x14ac:dyDescent="0.2">
      <c r="A285" t="s">
        <v>3997</v>
      </c>
      <c r="B285" s="61" t="s">
        <v>7029</v>
      </c>
      <c r="C285" s="61" t="s">
        <v>34</v>
      </c>
      <c r="F285" t="s">
        <v>3997</v>
      </c>
      <c r="G285" t="s">
        <v>6073</v>
      </c>
      <c r="H285" t="s">
        <v>34</v>
      </c>
      <c r="I285" t="s">
        <v>7030</v>
      </c>
      <c r="L285" t="s">
        <v>7031</v>
      </c>
      <c r="M285" t="s">
        <v>6078</v>
      </c>
      <c r="N285" s="61" t="s">
        <v>6083</v>
      </c>
      <c r="O285">
        <v>57325</v>
      </c>
    </row>
    <row r="286" spans="1:15" x14ac:dyDescent="0.2">
      <c r="A286" t="s">
        <v>3998</v>
      </c>
      <c r="B286" s="61" t="s">
        <v>7032</v>
      </c>
      <c r="C286" s="61" t="s">
        <v>34</v>
      </c>
      <c r="F286" t="s">
        <v>3998</v>
      </c>
      <c r="G286" t="s">
        <v>6073</v>
      </c>
      <c r="H286" t="s">
        <v>34</v>
      </c>
      <c r="I286" t="s">
        <v>34</v>
      </c>
      <c r="L286" t="s">
        <v>7033</v>
      </c>
      <c r="M286" t="s">
        <v>6078</v>
      </c>
      <c r="N286" s="61" t="s">
        <v>7034</v>
      </c>
      <c r="O286">
        <v>57324</v>
      </c>
    </row>
    <row r="287" spans="1:15" x14ac:dyDescent="0.2">
      <c r="A287" t="s">
        <v>3999</v>
      </c>
      <c r="B287" s="61" t="s">
        <v>7035</v>
      </c>
      <c r="C287" s="61" t="s">
        <v>34</v>
      </c>
      <c r="F287" t="s">
        <v>3999</v>
      </c>
      <c r="G287" t="s">
        <v>6073</v>
      </c>
      <c r="I287" t="s">
        <v>7036</v>
      </c>
      <c r="L287" t="s">
        <v>7037</v>
      </c>
      <c r="M287" t="s">
        <v>6104</v>
      </c>
      <c r="N287" s="61" t="s">
        <v>7038</v>
      </c>
      <c r="O287">
        <v>57323</v>
      </c>
    </row>
    <row r="288" spans="1:15" x14ac:dyDescent="0.2">
      <c r="A288" t="s">
        <v>4000</v>
      </c>
      <c r="B288" s="61" t="s">
        <v>7039</v>
      </c>
      <c r="C288" s="61" t="s">
        <v>34</v>
      </c>
      <c r="F288" t="s">
        <v>4000</v>
      </c>
      <c r="G288" t="s">
        <v>6073</v>
      </c>
      <c r="L288" t="s">
        <v>7040</v>
      </c>
      <c r="M288" t="s">
        <v>6078</v>
      </c>
      <c r="N288" s="61" t="s">
        <v>6645</v>
      </c>
      <c r="O288">
        <v>57344</v>
      </c>
    </row>
    <row r="289" spans="1:15" x14ac:dyDescent="0.2">
      <c r="A289" t="s">
        <v>4001</v>
      </c>
      <c r="B289" s="61" t="s">
        <v>7041</v>
      </c>
      <c r="C289" s="61" t="s">
        <v>34</v>
      </c>
      <c r="F289" t="s">
        <v>4001</v>
      </c>
      <c r="G289" t="s">
        <v>6073</v>
      </c>
      <c r="H289" t="s">
        <v>34</v>
      </c>
      <c r="I289" t="s">
        <v>34</v>
      </c>
      <c r="L289" t="s">
        <v>7042</v>
      </c>
      <c r="M289" t="s">
        <v>6078</v>
      </c>
      <c r="N289" s="61" t="s">
        <v>6092</v>
      </c>
      <c r="O289">
        <v>57345</v>
      </c>
    </row>
    <row r="290" spans="1:15" x14ac:dyDescent="0.2">
      <c r="A290" t="s">
        <v>4002</v>
      </c>
      <c r="B290" s="61" t="s">
        <v>7043</v>
      </c>
      <c r="C290" s="61" t="s">
        <v>34</v>
      </c>
      <c r="F290" t="s">
        <v>4002</v>
      </c>
      <c r="G290" t="s">
        <v>6073</v>
      </c>
      <c r="H290" t="s">
        <v>34</v>
      </c>
      <c r="I290" t="s">
        <v>34</v>
      </c>
      <c r="L290" t="s">
        <v>7044</v>
      </c>
      <c r="M290" t="s">
        <v>6078</v>
      </c>
      <c r="N290" s="61" t="s">
        <v>6215</v>
      </c>
      <c r="O290">
        <v>57346</v>
      </c>
    </row>
    <row r="291" spans="1:15" x14ac:dyDescent="0.2">
      <c r="A291" t="s">
        <v>4003</v>
      </c>
      <c r="B291" s="61" t="s">
        <v>7045</v>
      </c>
      <c r="C291" s="61" t="s">
        <v>34</v>
      </c>
      <c r="F291" t="s">
        <v>4003</v>
      </c>
      <c r="G291" t="s">
        <v>6073</v>
      </c>
      <c r="H291" t="s">
        <v>34</v>
      </c>
      <c r="I291" t="s">
        <v>34</v>
      </c>
      <c r="L291" t="s">
        <v>7046</v>
      </c>
      <c r="M291" t="s">
        <v>6078</v>
      </c>
      <c r="N291" s="61" t="s">
        <v>6577</v>
      </c>
      <c r="O291">
        <v>57369</v>
      </c>
    </row>
    <row r="292" spans="1:15" x14ac:dyDescent="0.2">
      <c r="A292" t="s">
        <v>4004</v>
      </c>
      <c r="B292" s="61" t="s">
        <v>7047</v>
      </c>
      <c r="C292" s="61" t="s">
        <v>34</v>
      </c>
      <c r="F292" t="s">
        <v>4004</v>
      </c>
      <c r="G292" t="s">
        <v>6073</v>
      </c>
      <c r="H292" t="s">
        <v>34</v>
      </c>
      <c r="I292" t="s">
        <v>34</v>
      </c>
      <c r="L292" t="s">
        <v>7048</v>
      </c>
      <c r="M292" t="s">
        <v>6078</v>
      </c>
      <c r="N292" s="61" t="s">
        <v>6577</v>
      </c>
      <c r="O292">
        <v>57368</v>
      </c>
    </row>
    <row r="293" spans="1:15" x14ac:dyDescent="0.2">
      <c r="A293" t="s">
        <v>4005</v>
      </c>
      <c r="B293" s="61" t="s">
        <v>7049</v>
      </c>
      <c r="C293" s="61" t="s">
        <v>34</v>
      </c>
      <c r="F293" t="s">
        <v>4005</v>
      </c>
      <c r="G293" t="s">
        <v>6073</v>
      </c>
      <c r="H293" t="s">
        <v>34</v>
      </c>
      <c r="I293" t="s">
        <v>7050</v>
      </c>
      <c r="L293" t="s">
        <v>7051</v>
      </c>
      <c r="M293" t="s">
        <v>6078</v>
      </c>
      <c r="N293" s="61" t="s">
        <v>6128</v>
      </c>
      <c r="O293">
        <v>57367</v>
      </c>
    </row>
    <row r="294" spans="1:15" x14ac:dyDescent="0.2">
      <c r="A294" t="s">
        <v>4006</v>
      </c>
      <c r="B294" s="61" t="s">
        <v>34</v>
      </c>
      <c r="C294" s="61" t="s">
        <v>34</v>
      </c>
      <c r="F294" t="s">
        <v>4006</v>
      </c>
      <c r="G294" t="s">
        <v>6073</v>
      </c>
      <c r="H294" t="s">
        <v>34</v>
      </c>
      <c r="I294" t="s">
        <v>34</v>
      </c>
      <c r="L294" t="s">
        <v>34</v>
      </c>
      <c r="N294" s="61" t="s">
        <v>3784</v>
      </c>
      <c r="O294">
        <v>58339</v>
      </c>
    </row>
    <row r="295" spans="1:15" x14ac:dyDescent="0.2">
      <c r="A295" t="s">
        <v>4007</v>
      </c>
      <c r="B295" s="61" t="s">
        <v>7052</v>
      </c>
      <c r="C295" s="61" t="s">
        <v>34</v>
      </c>
      <c r="F295" t="s">
        <v>4007</v>
      </c>
      <c r="G295" t="s">
        <v>6073</v>
      </c>
      <c r="H295" t="s">
        <v>34</v>
      </c>
      <c r="I295" t="s">
        <v>34</v>
      </c>
      <c r="L295" t="s">
        <v>7053</v>
      </c>
      <c r="M295" t="s">
        <v>6078</v>
      </c>
      <c r="N295" s="61" t="s">
        <v>6577</v>
      </c>
      <c r="O295">
        <v>57366</v>
      </c>
    </row>
    <row r="296" spans="1:15" x14ac:dyDescent="0.2">
      <c r="A296" t="s">
        <v>4008</v>
      </c>
      <c r="B296" s="61" t="s">
        <v>7052</v>
      </c>
      <c r="C296" s="61" t="s">
        <v>34</v>
      </c>
      <c r="F296" t="s">
        <v>4008</v>
      </c>
      <c r="G296" t="s">
        <v>6073</v>
      </c>
      <c r="H296" t="s">
        <v>34</v>
      </c>
      <c r="I296" t="s">
        <v>34</v>
      </c>
      <c r="L296" t="s">
        <v>34</v>
      </c>
      <c r="M296" t="s">
        <v>6078</v>
      </c>
      <c r="N296" s="61" t="s">
        <v>6577</v>
      </c>
      <c r="O296">
        <v>57365</v>
      </c>
    </row>
    <row r="297" spans="1:15" x14ac:dyDescent="0.2">
      <c r="A297" t="s">
        <v>4009</v>
      </c>
      <c r="B297" s="61" t="s">
        <v>7054</v>
      </c>
      <c r="C297" s="61" t="s">
        <v>34</v>
      </c>
      <c r="F297" t="s">
        <v>4009</v>
      </c>
      <c r="G297" t="s">
        <v>6073</v>
      </c>
      <c r="H297" t="s">
        <v>34</v>
      </c>
      <c r="I297" t="s">
        <v>34</v>
      </c>
      <c r="L297" t="s">
        <v>34</v>
      </c>
      <c r="M297" t="s">
        <v>6078</v>
      </c>
      <c r="N297" s="61" t="s">
        <v>6438</v>
      </c>
      <c r="O297">
        <v>57364</v>
      </c>
    </row>
    <row r="298" spans="1:15" x14ac:dyDescent="0.2">
      <c r="A298" t="s">
        <v>4010</v>
      </c>
      <c r="B298" s="61" t="s">
        <v>7055</v>
      </c>
      <c r="C298" s="61" t="s">
        <v>34</v>
      </c>
      <c r="F298" t="s">
        <v>4010</v>
      </c>
      <c r="G298" t="s">
        <v>6073</v>
      </c>
      <c r="H298" t="s">
        <v>34</v>
      </c>
      <c r="I298" t="s">
        <v>34</v>
      </c>
      <c r="L298" t="s">
        <v>7056</v>
      </c>
      <c r="M298" t="s">
        <v>6078</v>
      </c>
      <c r="N298" s="61" t="s">
        <v>6577</v>
      </c>
      <c r="O298">
        <v>57363</v>
      </c>
    </row>
    <row r="299" spans="1:15" x14ac:dyDescent="0.2">
      <c r="A299" t="s">
        <v>4011</v>
      </c>
      <c r="B299" s="61" t="s">
        <v>7055</v>
      </c>
      <c r="C299" s="61" t="s">
        <v>34</v>
      </c>
      <c r="F299" t="s">
        <v>4011</v>
      </c>
      <c r="G299" t="s">
        <v>6073</v>
      </c>
      <c r="H299" t="s">
        <v>34</v>
      </c>
      <c r="I299" t="s">
        <v>34</v>
      </c>
      <c r="L299" t="s">
        <v>7057</v>
      </c>
      <c r="M299" t="s">
        <v>6078</v>
      </c>
      <c r="N299" s="61" t="s">
        <v>6128</v>
      </c>
      <c r="O299">
        <v>57362</v>
      </c>
    </row>
    <row r="300" spans="1:15" x14ac:dyDescent="0.2">
      <c r="A300" t="s">
        <v>4012</v>
      </c>
      <c r="B300" s="61" t="s">
        <v>7054</v>
      </c>
      <c r="C300" s="61" t="s">
        <v>34</v>
      </c>
      <c r="F300" t="s">
        <v>4012</v>
      </c>
      <c r="G300" t="s">
        <v>6073</v>
      </c>
      <c r="H300" t="s">
        <v>34</v>
      </c>
      <c r="I300" t="s">
        <v>7058</v>
      </c>
      <c r="L300" t="s">
        <v>7059</v>
      </c>
      <c r="M300" t="s">
        <v>6078</v>
      </c>
      <c r="N300" s="61" t="s">
        <v>6438</v>
      </c>
      <c r="O300">
        <v>57361</v>
      </c>
    </row>
    <row r="301" spans="1:15" x14ac:dyDescent="0.2">
      <c r="A301" t="s">
        <v>4013</v>
      </c>
      <c r="B301" s="61" t="s">
        <v>7054</v>
      </c>
      <c r="C301" s="61" t="s">
        <v>7060</v>
      </c>
      <c r="F301" t="s">
        <v>4013</v>
      </c>
      <c r="G301" t="s">
        <v>6073</v>
      </c>
      <c r="H301" t="s">
        <v>34</v>
      </c>
      <c r="I301" t="s">
        <v>34</v>
      </c>
      <c r="L301" t="s">
        <v>34</v>
      </c>
      <c r="M301" t="s">
        <v>6078</v>
      </c>
      <c r="N301" s="61" t="s">
        <v>6438</v>
      </c>
      <c r="O301">
        <v>57360</v>
      </c>
    </row>
    <row r="302" spans="1:15" x14ac:dyDescent="0.2">
      <c r="A302" t="s">
        <v>4014</v>
      </c>
      <c r="B302" s="61" t="s">
        <v>7054</v>
      </c>
      <c r="C302" s="61" t="s">
        <v>34</v>
      </c>
      <c r="F302" t="s">
        <v>4014</v>
      </c>
      <c r="G302" t="s">
        <v>6073</v>
      </c>
      <c r="H302" t="s">
        <v>34</v>
      </c>
      <c r="I302" t="s">
        <v>7061</v>
      </c>
      <c r="L302" t="s">
        <v>7062</v>
      </c>
      <c r="M302" t="s">
        <v>6078</v>
      </c>
      <c r="N302" s="61" t="s">
        <v>6438</v>
      </c>
      <c r="O302">
        <v>57370</v>
      </c>
    </row>
    <row r="303" spans="1:15" x14ac:dyDescent="0.2">
      <c r="A303" t="s">
        <v>4015</v>
      </c>
      <c r="B303" s="61" t="s">
        <v>7054</v>
      </c>
      <c r="C303" s="61" t="s">
        <v>34</v>
      </c>
      <c r="F303" t="s">
        <v>4015</v>
      </c>
      <c r="G303" t="s">
        <v>6073</v>
      </c>
      <c r="H303" t="s">
        <v>34</v>
      </c>
      <c r="I303" t="s">
        <v>34</v>
      </c>
      <c r="L303" t="s">
        <v>7063</v>
      </c>
      <c r="M303" t="s">
        <v>6078</v>
      </c>
      <c r="N303" s="61" t="s">
        <v>6438</v>
      </c>
      <c r="O303">
        <v>57359</v>
      </c>
    </row>
    <row r="304" spans="1:15" x14ac:dyDescent="0.2">
      <c r="A304" t="s">
        <v>4016</v>
      </c>
      <c r="B304" s="61" t="s">
        <v>7052</v>
      </c>
      <c r="C304" s="61" t="s">
        <v>34</v>
      </c>
      <c r="F304" t="s">
        <v>4016</v>
      </c>
      <c r="G304" t="s">
        <v>6073</v>
      </c>
      <c r="H304" t="s">
        <v>34</v>
      </c>
      <c r="I304" t="s">
        <v>34</v>
      </c>
      <c r="L304" t="s">
        <v>7064</v>
      </c>
      <c r="M304" t="s">
        <v>6078</v>
      </c>
      <c r="N304" s="61" t="s">
        <v>7065</v>
      </c>
      <c r="O304">
        <v>57357</v>
      </c>
    </row>
    <row r="305" spans="1:15" x14ac:dyDescent="0.2">
      <c r="A305" t="s">
        <v>4017</v>
      </c>
      <c r="B305" s="61" t="s">
        <v>7066</v>
      </c>
      <c r="C305" s="61" t="s">
        <v>34</v>
      </c>
      <c r="F305" t="s">
        <v>4017</v>
      </c>
      <c r="G305" t="s">
        <v>6073</v>
      </c>
      <c r="H305" t="s">
        <v>34</v>
      </c>
      <c r="I305" t="s">
        <v>7067</v>
      </c>
      <c r="L305" t="s">
        <v>7068</v>
      </c>
      <c r="M305" t="s">
        <v>6078</v>
      </c>
      <c r="N305" s="61" t="s">
        <v>7069</v>
      </c>
      <c r="O305">
        <v>57356</v>
      </c>
    </row>
    <row r="306" spans="1:15" x14ac:dyDescent="0.2">
      <c r="A306" t="s">
        <v>4018</v>
      </c>
      <c r="B306" s="61" t="s">
        <v>7054</v>
      </c>
      <c r="C306" s="61" t="s">
        <v>34</v>
      </c>
      <c r="F306" t="s">
        <v>4018</v>
      </c>
      <c r="G306" t="s">
        <v>6073</v>
      </c>
      <c r="H306" t="s">
        <v>34</v>
      </c>
      <c r="I306" t="s">
        <v>34</v>
      </c>
      <c r="L306" t="s">
        <v>7070</v>
      </c>
      <c r="M306" t="s">
        <v>6078</v>
      </c>
      <c r="N306" s="61" t="s">
        <v>6438</v>
      </c>
      <c r="O306">
        <v>57355</v>
      </c>
    </row>
    <row r="307" spans="1:15" x14ac:dyDescent="0.2">
      <c r="A307" t="s">
        <v>4019</v>
      </c>
      <c r="B307" s="61" t="s">
        <v>34</v>
      </c>
      <c r="C307" s="61" t="s">
        <v>34</v>
      </c>
      <c r="F307" t="s">
        <v>4019</v>
      </c>
      <c r="G307" t="s">
        <v>6073</v>
      </c>
      <c r="H307" t="s">
        <v>34</v>
      </c>
      <c r="I307" t="s">
        <v>34</v>
      </c>
      <c r="L307" t="s">
        <v>34</v>
      </c>
      <c r="N307" s="61" t="s">
        <v>3784</v>
      </c>
      <c r="O307">
        <v>58363</v>
      </c>
    </row>
    <row r="308" spans="1:15" x14ac:dyDescent="0.2">
      <c r="A308" t="s">
        <v>4020</v>
      </c>
      <c r="B308" s="61" t="s">
        <v>7071</v>
      </c>
      <c r="C308" s="61" t="s">
        <v>34</v>
      </c>
      <c r="F308" t="s">
        <v>4020</v>
      </c>
      <c r="G308" t="s">
        <v>6073</v>
      </c>
      <c r="H308" t="s">
        <v>34</v>
      </c>
      <c r="I308" t="s">
        <v>34</v>
      </c>
      <c r="L308" t="s">
        <v>7072</v>
      </c>
      <c r="M308" t="s">
        <v>6078</v>
      </c>
      <c r="N308" s="61" t="s">
        <v>6577</v>
      </c>
      <c r="O308">
        <v>57354</v>
      </c>
    </row>
    <row r="309" spans="1:15" x14ac:dyDescent="0.2">
      <c r="A309" t="s">
        <v>4021</v>
      </c>
      <c r="B309" s="61" t="s">
        <v>34</v>
      </c>
      <c r="C309" s="61" t="s">
        <v>34</v>
      </c>
      <c r="F309" t="s">
        <v>4021</v>
      </c>
      <c r="G309" t="s">
        <v>6073</v>
      </c>
      <c r="H309" t="s">
        <v>34</v>
      </c>
      <c r="I309" t="s">
        <v>34</v>
      </c>
      <c r="L309" t="s">
        <v>34</v>
      </c>
      <c r="N309" s="61" t="s">
        <v>3784</v>
      </c>
      <c r="O309">
        <v>58362</v>
      </c>
    </row>
    <row r="310" spans="1:15" x14ac:dyDescent="0.2">
      <c r="A310" t="s">
        <v>4022</v>
      </c>
      <c r="B310" s="61" t="s">
        <v>7071</v>
      </c>
      <c r="C310" s="61" t="s">
        <v>34</v>
      </c>
      <c r="F310" t="s">
        <v>4022</v>
      </c>
      <c r="G310" t="s">
        <v>6073</v>
      </c>
      <c r="H310" t="s">
        <v>34</v>
      </c>
      <c r="I310" t="s">
        <v>7073</v>
      </c>
      <c r="L310" t="s">
        <v>7074</v>
      </c>
      <c r="M310" t="s">
        <v>6078</v>
      </c>
      <c r="N310" s="61" t="s">
        <v>6577</v>
      </c>
      <c r="O310">
        <v>57353</v>
      </c>
    </row>
    <row r="311" spans="1:15" x14ac:dyDescent="0.2">
      <c r="A311" t="s">
        <v>4023</v>
      </c>
      <c r="B311" s="61" t="s">
        <v>7075</v>
      </c>
      <c r="C311" s="61" t="s">
        <v>34</v>
      </c>
      <c r="F311" t="s">
        <v>4023</v>
      </c>
      <c r="G311" t="s">
        <v>6073</v>
      </c>
      <c r="L311" t="s">
        <v>7076</v>
      </c>
      <c r="M311" t="s">
        <v>6078</v>
      </c>
      <c r="N311" s="61" t="s">
        <v>6988</v>
      </c>
      <c r="O311">
        <v>57351</v>
      </c>
    </row>
    <row r="312" spans="1:15" x14ac:dyDescent="0.2">
      <c r="A312" t="s">
        <v>4024</v>
      </c>
      <c r="B312" s="61" t="s">
        <v>7047</v>
      </c>
      <c r="C312" s="61" t="s">
        <v>34</v>
      </c>
      <c r="F312" t="s">
        <v>4024</v>
      </c>
      <c r="G312" t="s">
        <v>6073</v>
      </c>
      <c r="H312" t="s">
        <v>34</v>
      </c>
      <c r="I312" t="s">
        <v>34</v>
      </c>
      <c r="L312" t="s">
        <v>7077</v>
      </c>
      <c r="M312" t="s">
        <v>6078</v>
      </c>
      <c r="N312" s="61" t="s">
        <v>6577</v>
      </c>
      <c r="O312">
        <v>57352</v>
      </c>
    </row>
    <row r="313" spans="1:15" x14ac:dyDescent="0.2">
      <c r="A313" t="s">
        <v>4025</v>
      </c>
      <c r="B313" s="61" t="s">
        <v>7054</v>
      </c>
      <c r="C313" s="61" t="s">
        <v>34</v>
      </c>
      <c r="F313" t="s">
        <v>4025</v>
      </c>
      <c r="G313" t="s">
        <v>6073</v>
      </c>
      <c r="H313" t="s">
        <v>34</v>
      </c>
      <c r="I313" t="s">
        <v>34</v>
      </c>
      <c r="L313" t="s">
        <v>7078</v>
      </c>
      <c r="M313" t="s">
        <v>6078</v>
      </c>
      <c r="N313" s="61" t="s">
        <v>7079</v>
      </c>
      <c r="O313">
        <v>57350</v>
      </c>
    </row>
    <row r="314" spans="1:15" x14ac:dyDescent="0.2">
      <c r="A314" t="s">
        <v>4026</v>
      </c>
      <c r="B314" s="61" t="s">
        <v>7071</v>
      </c>
      <c r="C314" s="61" t="s">
        <v>34</v>
      </c>
      <c r="F314" t="s">
        <v>4026</v>
      </c>
      <c r="G314" t="s">
        <v>6073</v>
      </c>
      <c r="H314" t="s">
        <v>34</v>
      </c>
      <c r="I314" t="s">
        <v>34</v>
      </c>
      <c r="L314" t="s">
        <v>7080</v>
      </c>
      <c r="M314" t="s">
        <v>6078</v>
      </c>
      <c r="N314" s="61" t="s">
        <v>6577</v>
      </c>
      <c r="O314">
        <v>57349</v>
      </c>
    </row>
    <row r="315" spans="1:15" x14ac:dyDescent="0.2">
      <c r="A315" t="s">
        <v>4027</v>
      </c>
      <c r="B315" s="61" t="s">
        <v>7071</v>
      </c>
      <c r="C315" s="61" t="s">
        <v>34</v>
      </c>
      <c r="F315" t="s">
        <v>4027</v>
      </c>
      <c r="G315" t="s">
        <v>6073</v>
      </c>
      <c r="H315" t="s">
        <v>34</v>
      </c>
      <c r="I315" t="s">
        <v>34</v>
      </c>
      <c r="L315" t="s">
        <v>7081</v>
      </c>
      <c r="M315" t="s">
        <v>6078</v>
      </c>
      <c r="N315" s="61" t="s">
        <v>6438</v>
      </c>
      <c r="O315">
        <v>57348</v>
      </c>
    </row>
    <row r="316" spans="1:15" x14ac:dyDescent="0.2">
      <c r="A316" t="s">
        <v>4028</v>
      </c>
      <c r="B316" s="61" t="s">
        <v>7054</v>
      </c>
      <c r="C316" s="61" t="s">
        <v>34</v>
      </c>
      <c r="F316" t="s">
        <v>4028</v>
      </c>
      <c r="G316" t="s">
        <v>6073</v>
      </c>
      <c r="H316" t="s">
        <v>34</v>
      </c>
      <c r="I316" t="s">
        <v>34</v>
      </c>
      <c r="L316" t="s">
        <v>34</v>
      </c>
      <c r="M316" t="s">
        <v>6078</v>
      </c>
      <c r="N316" s="61" t="s">
        <v>7079</v>
      </c>
      <c r="O316">
        <v>57322</v>
      </c>
    </row>
    <row r="317" spans="1:15" x14ac:dyDescent="0.2">
      <c r="A317" t="s">
        <v>4029</v>
      </c>
      <c r="B317" s="61" t="s">
        <v>7082</v>
      </c>
      <c r="C317" s="61" t="s">
        <v>34</v>
      </c>
      <c r="F317" t="s">
        <v>4029</v>
      </c>
      <c r="G317" t="s">
        <v>6073</v>
      </c>
      <c r="H317" t="s">
        <v>34</v>
      </c>
      <c r="I317" t="s">
        <v>7083</v>
      </c>
      <c r="L317" t="s">
        <v>7084</v>
      </c>
      <c r="M317" t="s">
        <v>6078</v>
      </c>
      <c r="N317" s="61" t="s">
        <v>6577</v>
      </c>
      <c r="O317">
        <v>57321</v>
      </c>
    </row>
    <row r="318" spans="1:15" x14ac:dyDescent="0.2">
      <c r="A318" t="s">
        <v>4030</v>
      </c>
      <c r="B318" s="61" t="s">
        <v>7085</v>
      </c>
      <c r="C318" s="61" t="s">
        <v>34</v>
      </c>
      <c r="F318" t="s">
        <v>4030</v>
      </c>
      <c r="G318" t="s">
        <v>6073</v>
      </c>
      <c r="H318" t="s">
        <v>34</v>
      </c>
      <c r="I318" t="s">
        <v>7086</v>
      </c>
      <c r="L318" t="s">
        <v>7077</v>
      </c>
      <c r="M318" t="s">
        <v>6078</v>
      </c>
      <c r="N318" s="61" t="s">
        <v>6577</v>
      </c>
      <c r="O318">
        <v>57320</v>
      </c>
    </row>
    <row r="319" spans="1:15" x14ac:dyDescent="0.2">
      <c r="A319" t="s">
        <v>4031</v>
      </c>
      <c r="B319" s="61" t="s">
        <v>7087</v>
      </c>
      <c r="C319" s="61" t="s">
        <v>34</v>
      </c>
      <c r="F319" t="s">
        <v>4031</v>
      </c>
      <c r="G319" t="s">
        <v>6073</v>
      </c>
      <c r="H319" t="s">
        <v>34</v>
      </c>
      <c r="I319" t="s">
        <v>7088</v>
      </c>
      <c r="L319" t="s">
        <v>7089</v>
      </c>
      <c r="M319" t="s">
        <v>6078</v>
      </c>
      <c r="N319" s="61" t="s">
        <v>6083</v>
      </c>
      <c r="O319">
        <v>57293</v>
      </c>
    </row>
    <row r="320" spans="1:15" x14ac:dyDescent="0.2">
      <c r="A320" t="s">
        <v>4032</v>
      </c>
      <c r="B320" s="61" t="s">
        <v>7090</v>
      </c>
      <c r="C320" s="61" t="s">
        <v>34</v>
      </c>
      <c r="F320" t="s">
        <v>4032</v>
      </c>
      <c r="G320" t="s">
        <v>6073</v>
      </c>
      <c r="H320" t="s">
        <v>34</v>
      </c>
      <c r="I320" t="s">
        <v>34</v>
      </c>
      <c r="L320" t="s">
        <v>7091</v>
      </c>
      <c r="M320" t="s">
        <v>6104</v>
      </c>
      <c r="N320" s="61" t="s">
        <v>7092</v>
      </c>
      <c r="O320">
        <v>57292</v>
      </c>
    </row>
    <row r="321" spans="1:15" x14ac:dyDescent="0.2">
      <c r="A321" t="s">
        <v>4033</v>
      </c>
      <c r="B321" s="61" t="s">
        <v>7093</v>
      </c>
      <c r="C321" s="61" t="s">
        <v>34</v>
      </c>
      <c r="F321" t="s">
        <v>4033</v>
      </c>
      <c r="G321" t="s">
        <v>6073</v>
      </c>
      <c r="H321" t="s">
        <v>34</v>
      </c>
      <c r="I321" t="s">
        <v>34</v>
      </c>
      <c r="L321" t="s">
        <v>7094</v>
      </c>
      <c r="M321" t="s">
        <v>6078</v>
      </c>
      <c r="N321" s="61" t="s">
        <v>6128</v>
      </c>
      <c r="O321">
        <v>57291</v>
      </c>
    </row>
    <row r="322" spans="1:15" x14ac:dyDescent="0.2">
      <c r="A322" t="s">
        <v>4034</v>
      </c>
      <c r="B322" s="61" t="s">
        <v>34</v>
      </c>
      <c r="C322" s="61" t="s">
        <v>34</v>
      </c>
      <c r="F322" t="s">
        <v>4034</v>
      </c>
      <c r="G322" t="s">
        <v>6073</v>
      </c>
      <c r="H322" t="s">
        <v>34</v>
      </c>
      <c r="I322" t="s">
        <v>34</v>
      </c>
      <c r="L322" t="s">
        <v>34</v>
      </c>
      <c r="N322" s="61" t="s">
        <v>3784</v>
      </c>
      <c r="O322">
        <v>58382</v>
      </c>
    </row>
    <row r="323" spans="1:15" x14ac:dyDescent="0.2">
      <c r="A323" t="s">
        <v>352</v>
      </c>
      <c r="B323" s="61" t="s">
        <v>7095</v>
      </c>
      <c r="C323" s="61" t="s">
        <v>34</v>
      </c>
      <c r="F323" t="s">
        <v>352</v>
      </c>
      <c r="G323" t="s">
        <v>6073</v>
      </c>
      <c r="H323" t="s">
        <v>7096</v>
      </c>
      <c r="I323" t="s">
        <v>7097</v>
      </c>
      <c r="L323" t="s">
        <v>7098</v>
      </c>
      <c r="M323" t="s">
        <v>6078</v>
      </c>
      <c r="N323" s="61" t="s">
        <v>6086</v>
      </c>
      <c r="O323">
        <v>57290</v>
      </c>
    </row>
    <row r="324" spans="1:15" x14ac:dyDescent="0.2">
      <c r="A324" t="s">
        <v>4035</v>
      </c>
      <c r="B324" s="61" t="s">
        <v>7099</v>
      </c>
      <c r="C324" s="61" t="s">
        <v>34</v>
      </c>
      <c r="F324" t="s">
        <v>4035</v>
      </c>
      <c r="G324" t="s">
        <v>6073</v>
      </c>
      <c r="H324" t="s">
        <v>34</v>
      </c>
      <c r="I324" t="s">
        <v>34</v>
      </c>
      <c r="L324" t="s">
        <v>7100</v>
      </c>
      <c r="M324" t="s">
        <v>6078</v>
      </c>
      <c r="N324" s="61" t="s">
        <v>7101</v>
      </c>
      <c r="O324">
        <v>57289</v>
      </c>
    </row>
    <row r="325" spans="1:15" x14ac:dyDescent="0.2">
      <c r="A325" t="s">
        <v>4036</v>
      </c>
      <c r="B325" s="61" t="s">
        <v>7102</v>
      </c>
      <c r="C325" s="61" t="s">
        <v>34</v>
      </c>
      <c r="F325" t="s">
        <v>4036</v>
      </c>
      <c r="G325" t="s">
        <v>6073</v>
      </c>
      <c r="H325" t="s">
        <v>34</v>
      </c>
      <c r="I325" t="s">
        <v>7103</v>
      </c>
      <c r="L325" t="s">
        <v>7104</v>
      </c>
      <c r="M325" t="s">
        <v>6095</v>
      </c>
      <c r="N325" s="61" t="s">
        <v>7105</v>
      </c>
      <c r="O325">
        <v>57288</v>
      </c>
    </row>
    <row r="326" spans="1:15" x14ac:dyDescent="0.2">
      <c r="A326" t="s">
        <v>4037</v>
      </c>
      <c r="B326" s="61" t="s">
        <v>7106</v>
      </c>
      <c r="C326" s="61" t="s">
        <v>34</v>
      </c>
      <c r="F326" t="s">
        <v>4037</v>
      </c>
      <c r="G326" t="s">
        <v>6073</v>
      </c>
      <c r="H326" t="s">
        <v>34</v>
      </c>
      <c r="I326" t="s">
        <v>7107</v>
      </c>
      <c r="L326" t="s">
        <v>7108</v>
      </c>
      <c r="M326" t="s">
        <v>6095</v>
      </c>
      <c r="N326" s="61" t="s">
        <v>7105</v>
      </c>
      <c r="O326">
        <v>57287</v>
      </c>
    </row>
    <row r="327" spans="1:15" x14ac:dyDescent="0.2">
      <c r="A327" t="s">
        <v>4038</v>
      </c>
      <c r="B327" s="61" t="s">
        <v>7109</v>
      </c>
      <c r="C327" s="61" t="s">
        <v>34</v>
      </c>
      <c r="F327" t="s">
        <v>4038</v>
      </c>
      <c r="G327" t="s">
        <v>6073</v>
      </c>
      <c r="I327" t="s">
        <v>7110</v>
      </c>
      <c r="L327" t="s">
        <v>7111</v>
      </c>
      <c r="M327" t="s">
        <v>6078</v>
      </c>
      <c r="N327" s="61" t="s">
        <v>6977</v>
      </c>
      <c r="O327">
        <v>57286</v>
      </c>
    </row>
    <row r="328" spans="1:15" x14ac:dyDescent="0.2">
      <c r="A328" t="s">
        <v>4039</v>
      </c>
      <c r="B328" s="61" t="s">
        <v>7112</v>
      </c>
      <c r="C328" s="61" t="s">
        <v>34</v>
      </c>
      <c r="F328" t="s">
        <v>354</v>
      </c>
      <c r="G328" t="s">
        <v>6073</v>
      </c>
      <c r="I328" t="s">
        <v>7113</v>
      </c>
      <c r="L328" t="s">
        <v>7114</v>
      </c>
      <c r="M328" t="s">
        <v>6078</v>
      </c>
      <c r="N328" s="61" t="s">
        <v>6977</v>
      </c>
      <c r="O328">
        <v>57283</v>
      </c>
    </row>
    <row r="329" spans="1:15" x14ac:dyDescent="0.2">
      <c r="A329" t="s">
        <v>4040</v>
      </c>
      <c r="B329" s="61" t="s">
        <v>6938</v>
      </c>
      <c r="C329" s="61" t="s">
        <v>34</v>
      </c>
      <c r="F329" t="s">
        <v>4040</v>
      </c>
      <c r="G329" t="s">
        <v>6073</v>
      </c>
      <c r="H329" t="s">
        <v>34</v>
      </c>
      <c r="I329" t="s">
        <v>7113</v>
      </c>
      <c r="L329" t="s">
        <v>7114</v>
      </c>
      <c r="M329" t="s">
        <v>6078</v>
      </c>
      <c r="N329" s="61" t="s">
        <v>6083</v>
      </c>
      <c r="O329">
        <v>57285</v>
      </c>
    </row>
    <row r="330" spans="1:15" x14ac:dyDescent="0.2">
      <c r="A330" t="s">
        <v>4041</v>
      </c>
      <c r="B330" s="61" t="s">
        <v>6938</v>
      </c>
      <c r="C330" s="61" t="s">
        <v>34</v>
      </c>
      <c r="F330" t="s">
        <v>4041</v>
      </c>
      <c r="G330" t="s">
        <v>6073</v>
      </c>
      <c r="H330" t="s">
        <v>7115</v>
      </c>
      <c r="I330" t="s">
        <v>6936</v>
      </c>
      <c r="L330" t="s">
        <v>6937</v>
      </c>
      <c r="M330" t="s">
        <v>6078</v>
      </c>
      <c r="N330" s="61" t="s">
        <v>6083</v>
      </c>
      <c r="O330">
        <v>57282</v>
      </c>
    </row>
    <row r="331" spans="1:15" x14ac:dyDescent="0.2">
      <c r="A331" t="s">
        <v>4042</v>
      </c>
      <c r="B331" s="61" t="s">
        <v>7116</v>
      </c>
      <c r="C331" s="61" t="s">
        <v>34</v>
      </c>
      <c r="F331" t="s">
        <v>4042</v>
      </c>
      <c r="G331" t="s">
        <v>6073</v>
      </c>
      <c r="H331" t="s">
        <v>34</v>
      </c>
      <c r="I331" t="s">
        <v>7117</v>
      </c>
      <c r="L331" t="s">
        <v>7118</v>
      </c>
      <c r="M331" t="s">
        <v>6078</v>
      </c>
      <c r="N331" s="61" t="s">
        <v>6215</v>
      </c>
      <c r="O331">
        <v>57284</v>
      </c>
    </row>
    <row r="332" spans="1:15" x14ac:dyDescent="0.2">
      <c r="A332" t="s">
        <v>4043</v>
      </c>
      <c r="B332" s="61" t="s">
        <v>34</v>
      </c>
      <c r="C332" s="61" t="s">
        <v>34</v>
      </c>
      <c r="F332" t="s">
        <v>4043</v>
      </c>
      <c r="G332" t="s">
        <v>6073</v>
      </c>
      <c r="H332" t="s">
        <v>34</v>
      </c>
      <c r="I332" t="s">
        <v>34</v>
      </c>
      <c r="L332" t="s">
        <v>34</v>
      </c>
      <c r="N332" s="61" t="s">
        <v>3784</v>
      </c>
      <c r="O332">
        <v>58333</v>
      </c>
    </row>
    <row r="333" spans="1:15" x14ac:dyDescent="0.2">
      <c r="A333" t="s">
        <v>4044</v>
      </c>
      <c r="B333" s="61" t="s">
        <v>7119</v>
      </c>
      <c r="C333" s="61" t="s">
        <v>34</v>
      </c>
      <c r="F333" t="s">
        <v>4044</v>
      </c>
      <c r="G333" t="s">
        <v>6073</v>
      </c>
      <c r="H333" t="s">
        <v>34</v>
      </c>
      <c r="I333" t="s">
        <v>7120</v>
      </c>
      <c r="L333" t="s">
        <v>7121</v>
      </c>
      <c r="M333" t="s">
        <v>6346</v>
      </c>
      <c r="N333" s="61" t="s">
        <v>7122</v>
      </c>
      <c r="O333">
        <v>57281</v>
      </c>
    </row>
    <row r="334" spans="1:15" x14ac:dyDescent="0.2">
      <c r="A334" t="s">
        <v>4045</v>
      </c>
      <c r="B334" s="61" t="s">
        <v>7123</v>
      </c>
      <c r="C334" s="61" t="s">
        <v>34</v>
      </c>
      <c r="F334" t="s">
        <v>4045</v>
      </c>
      <c r="G334" t="s">
        <v>6073</v>
      </c>
      <c r="J334" t="s">
        <v>7124</v>
      </c>
      <c r="K334" t="s">
        <v>7125</v>
      </c>
      <c r="L334" t="s">
        <v>7126</v>
      </c>
      <c r="M334" t="s">
        <v>6104</v>
      </c>
      <c r="N334" s="61" t="s">
        <v>7127</v>
      </c>
      <c r="O334">
        <v>95478</v>
      </c>
    </row>
    <row r="335" spans="1:15" x14ac:dyDescent="0.2">
      <c r="A335" t="s">
        <v>4046</v>
      </c>
      <c r="B335" s="61" t="s">
        <v>7128</v>
      </c>
      <c r="C335" s="61" t="s">
        <v>34</v>
      </c>
      <c r="F335" t="s">
        <v>4046</v>
      </c>
      <c r="G335" t="s">
        <v>6073</v>
      </c>
      <c r="H335" t="s">
        <v>7129</v>
      </c>
      <c r="J335" t="s">
        <v>7130</v>
      </c>
      <c r="K335" t="s">
        <v>7131</v>
      </c>
      <c r="L335" t="s">
        <v>7132</v>
      </c>
      <c r="M335" t="s">
        <v>6078</v>
      </c>
      <c r="N335" s="61" t="s">
        <v>6083</v>
      </c>
      <c r="O335">
        <v>62547</v>
      </c>
    </row>
    <row r="336" spans="1:15" x14ac:dyDescent="0.2">
      <c r="A336" t="s">
        <v>4047</v>
      </c>
      <c r="B336" s="61" t="s">
        <v>7133</v>
      </c>
      <c r="C336" s="61" t="s">
        <v>34</v>
      </c>
      <c r="F336" t="s">
        <v>4047</v>
      </c>
      <c r="G336" t="s">
        <v>6073</v>
      </c>
      <c r="M336" t="s">
        <v>6266</v>
      </c>
      <c r="N336" s="61" t="s">
        <v>7134</v>
      </c>
      <c r="O336">
        <v>61727</v>
      </c>
    </row>
    <row r="337" spans="1:15" x14ac:dyDescent="0.2">
      <c r="A337" t="s">
        <v>4048</v>
      </c>
      <c r="B337" s="61" t="s">
        <v>7135</v>
      </c>
      <c r="C337" s="61" t="s">
        <v>34</v>
      </c>
      <c r="F337" t="s">
        <v>4048</v>
      </c>
      <c r="G337" t="s">
        <v>6073</v>
      </c>
      <c r="H337" t="s">
        <v>34</v>
      </c>
      <c r="I337" t="s">
        <v>7136</v>
      </c>
      <c r="L337" t="s">
        <v>7137</v>
      </c>
      <c r="M337" t="s">
        <v>6078</v>
      </c>
      <c r="N337" s="61" t="s">
        <v>6110</v>
      </c>
      <c r="O337">
        <v>57280</v>
      </c>
    </row>
    <row r="338" spans="1:15" x14ac:dyDescent="0.2">
      <c r="A338" t="s">
        <v>4049</v>
      </c>
      <c r="B338" s="61" t="s">
        <v>7138</v>
      </c>
      <c r="C338" s="61" t="s">
        <v>34</v>
      </c>
      <c r="F338" t="s">
        <v>4049</v>
      </c>
      <c r="G338" t="s">
        <v>6073</v>
      </c>
      <c r="I338" t="s">
        <v>7139</v>
      </c>
      <c r="L338" t="s">
        <v>7140</v>
      </c>
      <c r="M338" t="s">
        <v>6078</v>
      </c>
      <c r="N338" s="61" t="s">
        <v>6386</v>
      </c>
      <c r="O338">
        <v>57279</v>
      </c>
    </row>
    <row r="339" spans="1:15" x14ac:dyDescent="0.2">
      <c r="A339" t="s">
        <v>4050</v>
      </c>
      <c r="B339" s="61" t="s">
        <v>7141</v>
      </c>
      <c r="C339" s="61" t="s">
        <v>34</v>
      </c>
      <c r="F339" t="s">
        <v>4050</v>
      </c>
      <c r="G339" t="s">
        <v>6073</v>
      </c>
      <c r="H339" t="s">
        <v>34</v>
      </c>
      <c r="I339" t="s">
        <v>7142</v>
      </c>
      <c r="L339" t="s">
        <v>7143</v>
      </c>
      <c r="M339" t="s">
        <v>6078</v>
      </c>
      <c r="N339" s="61" t="s">
        <v>6299</v>
      </c>
      <c r="O339">
        <v>57278</v>
      </c>
    </row>
    <row r="340" spans="1:15" x14ac:dyDescent="0.2">
      <c r="A340" t="s">
        <v>4051</v>
      </c>
      <c r="B340" s="61" t="s">
        <v>7144</v>
      </c>
      <c r="C340" s="61" t="s">
        <v>34</v>
      </c>
      <c r="F340" t="s">
        <v>4051</v>
      </c>
      <c r="G340" t="s">
        <v>6073</v>
      </c>
      <c r="H340" t="s">
        <v>7145</v>
      </c>
      <c r="J340" t="s">
        <v>7146</v>
      </c>
      <c r="K340" t="s">
        <v>7147</v>
      </c>
      <c r="L340" t="s">
        <v>7148</v>
      </c>
      <c r="M340" t="s">
        <v>6078</v>
      </c>
      <c r="N340" s="61" t="s">
        <v>6231</v>
      </c>
      <c r="O340">
        <v>62550</v>
      </c>
    </row>
    <row r="341" spans="1:15" x14ac:dyDescent="0.2">
      <c r="A341" t="s">
        <v>4052</v>
      </c>
      <c r="B341" s="61" t="s">
        <v>7149</v>
      </c>
      <c r="C341" s="61" t="s">
        <v>34</v>
      </c>
      <c r="F341" t="s">
        <v>4052</v>
      </c>
      <c r="G341" t="s">
        <v>6073</v>
      </c>
      <c r="M341" t="s">
        <v>7150</v>
      </c>
      <c r="N341" s="61" t="s">
        <v>7151</v>
      </c>
      <c r="O341">
        <v>61551</v>
      </c>
    </row>
    <row r="342" spans="1:15" x14ac:dyDescent="0.2">
      <c r="A342" t="s">
        <v>4053</v>
      </c>
      <c r="B342" s="61" t="s">
        <v>7152</v>
      </c>
      <c r="C342" s="61" t="s">
        <v>34</v>
      </c>
      <c r="F342" t="s">
        <v>4053</v>
      </c>
      <c r="G342" t="s">
        <v>6073</v>
      </c>
      <c r="L342" t="s">
        <v>7153</v>
      </c>
      <c r="M342" t="s">
        <v>6078</v>
      </c>
      <c r="N342" s="61" t="s">
        <v>7154</v>
      </c>
      <c r="O342">
        <v>57277</v>
      </c>
    </row>
    <row r="343" spans="1:15" x14ac:dyDescent="0.2">
      <c r="A343" t="s">
        <v>4054</v>
      </c>
      <c r="B343" s="61" t="s">
        <v>7155</v>
      </c>
      <c r="C343" s="61" t="s">
        <v>34</v>
      </c>
      <c r="F343" t="s">
        <v>4054</v>
      </c>
      <c r="G343" t="s">
        <v>6073</v>
      </c>
      <c r="H343" t="s">
        <v>7156</v>
      </c>
      <c r="I343" t="s">
        <v>7157</v>
      </c>
      <c r="J343" t="s">
        <v>7158</v>
      </c>
      <c r="K343" t="s">
        <v>7159</v>
      </c>
      <c r="L343" t="s">
        <v>7160</v>
      </c>
      <c r="M343" t="s">
        <v>6309</v>
      </c>
      <c r="N343" s="61" t="s">
        <v>6310</v>
      </c>
      <c r="O343">
        <v>63705</v>
      </c>
    </row>
    <row r="344" spans="1:15" x14ac:dyDescent="0.2">
      <c r="A344" t="s">
        <v>4055</v>
      </c>
      <c r="B344" s="61" t="s">
        <v>7161</v>
      </c>
      <c r="C344" s="61" t="s">
        <v>34</v>
      </c>
      <c r="F344" t="s">
        <v>4055</v>
      </c>
      <c r="G344" t="s">
        <v>6073</v>
      </c>
      <c r="H344" t="s">
        <v>34</v>
      </c>
      <c r="I344" t="s">
        <v>34</v>
      </c>
      <c r="L344" t="s">
        <v>34</v>
      </c>
      <c r="M344" t="s">
        <v>6104</v>
      </c>
      <c r="N344" s="61" t="s">
        <v>7092</v>
      </c>
      <c r="O344">
        <v>57276</v>
      </c>
    </row>
    <row r="345" spans="1:15" x14ac:dyDescent="0.2">
      <c r="A345" t="s">
        <v>4056</v>
      </c>
      <c r="B345" s="61" t="s">
        <v>7162</v>
      </c>
      <c r="C345" s="61" t="s">
        <v>34</v>
      </c>
      <c r="F345" t="s">
        <v>4056</v>
      </c>
      <c r="G345" t="s">
        <v>6073</v>
      </c>
      <c r="H345" t="s">
        <v>34</v>
      </c>
      <c r="I345" t="s">
        <v>7163</v>
      </c>
      <c r="L345" t="s">
        <v>7164</v>
      </c>
      <c r="M345" t="s">
        <v>6908</v>
      </c>
      <c r="N345" s="61" t="s">
        <v>7165</v>
      </c>
      <c r="O345">
        <v>57275</v>
      </c>
    </row>
    <row r="346" spans="1:15" x14ac:dyDescent="0.2">
      <c r="A346" t="s">
        <v>4057</v>
      </c>
      <c r="B346" s="61" t="s">
        <v>7166</v>
      </c>
      <c r="C346" s="61" t="s">
        <v>34</v>
      </c>
      <c r="F346" t="s">
        <v>4057</v>
      </c>
      <c r="G346" t="s">
        <v>6073</v>
      </c>
      <c r="H346" t="s">
        <v>34</v>
      </c>
      <c r="I346" t="s">
        <v>34</v>
      </c>
      <c r="L346" t="s">
        <v>7167</v>
      </c>
      <c r="M346" t="s">
        <v>6078</v>
      </c>
      <c r="N346" s="61" t="s">
        <v>6299</v>
      </c>
      <c r="O346">
        <v>57274</v>
      </c>
    </row>
    <row r="347" spans="1:15" x14ac:dyDescent="0.2">
      <c r="A347" t="s">
        <v>4058</v>
      </c>
      <c r="B347" s="61" t="s">
        <v>7168</v>
      </c>
      <c r="C347" s="61" t="s">
        <v>34</v>
      </c>
      <c r="F347" t="s">
        <v>4058</v>
      </c>
      <c r="G347" t="s">
        <v>6073</v>
      </c>
      <c r="I347" t="s">
        <v>7169</v>
      </c>
      <c r="L347" t="s">
        <v>7170</v>
      </c>
      <c r="M347" t="s">
        <v>6078</v>
      </c>
      <c r="N347" s="61" t="s">
        <v>6577</v>
      </c>
      <c r="O347">
        <v>57273</v>
      </c>
    </row>
    <row r="348" spans="1:15" x14ac:dyDescent="0.2">
      <c r="A348" t="s">
        <v>4059</v>
      </c>
      <c r="B348" s="61" t="s">
        <v>7168</v>
      </c>
      <c r="C348" s="61" t="s">
        <v>34</v>
      </c>
      <c r="F348" t="s">
        <v>4059</v>
      </c>
      <c r="G348" t="s">
        <v>6073</v>
      </c>
      <c r="I348" t="s">
        <v>7169</v>
      </c>
      <c r="L348" t="s">
        <v>7170</v>
      </c>
      <c r="M348" t="s">
        <v>6078</v>
      </c>
      <c r="N348" s="61" t="s">
        <v>6577</v>
      </c>
      <c r="O348">
        <v>57294</v>
      </c>
    </row>
    <row r="349" spans="1:15" x14ac:dyDescent="0.2">
      <c r="A349" t="s">
        <v>4060</v>
      </c>
      <c r="B349" s="61" t="s">
        <v>7171</v>
      </c>
      <c r="C349" s="61" t="s">
        <v>34</v>
      </c>
      <c r="F349" t="s">
        <v>4060</v>
      </c>
      <c r="G349" t="s">
        <v>6073</v>
      </c>
      <c r="J349" t="s">
        <v>7172</v>
      </c>
      <c r="L349" t="s">
        <v>7173</v>
      </c>
      <c r="M349" t="s">
        <v>7174</v>
      </c>
      <c r="N349" s="61" t="s">
        <v>7175</v>
      </c>
      <c r="O349">
        <v>114801</v>
      </c>
    </row>
    <row r="350" spans="1:15" x14ac:dyDescent="0.2">
      <c r="A350" t="s">
        <v>4061</v>
      </c>
      <c r="B350" s="61" t="s">
        <v>7176</v>
      </c>
      <c r="C350" s="61" t="s">
        <v>34</v>
      </c>
      <c r="F350" t="s">
        <v>4061</v>
      </c>
      <c r="G350" t="s">
        <v>6073</v>
      </c>
      <c r="H350" t="s">
        <v>34</v>
      </c>
      <c r="I350" t="s">
        <v>7177</v>
      </c>
      <c r="L350" t="s">
        <v>7178</v>
      </c>
      <c r="M350" t="s">
        <v>6078</v>
      </c>
      <c r="N350" s="61" t="s">
        <v>6577</v>
      </c>
      <c r="O350">
        <v>57296</v>
      </c>
    </row>
    <row r="351" spans="1:15" x14ac:dyDescent="0.2">
      <c r="A351" t="s">
        <v>4062</v>
      </c>
      <c r="B351" s="61" t="s">
        <v>7179</v>
      </c>
      <c r="C351" s="61" t="s">
        <v>34</v>
      </c>
      <c r="F351" t="s">
        <v>4062</v>
      </c>
      <c r="G351" t="s">
        <v>6073</v>
      </c>
      <c r="I351" t="s">
        <v>7180</v>
      </c>
      <c r="L351" t="s">
        <v>7181</v>
      </c>
      <c r="M351" t="s">
        <v>6078</v>
      </c>
      <c r="N351" s="61" t="s">
        <v>6155</v>
      </c>
      <c r="O351">
        <v>57319</v>
      </c>
    </row>
    <row r="352" spans="1:15" x14ac:dyDescent="0.2">
      <c r="A352" t="s">
        <v>4063</v>
      </c>
      <c r="B352" s="61" t="s">
        <v>7182</v>
      </c>
      <c r="C352" s="61" t="s">
        <v>34</v>
      </c>
      <c r="F352" t="s">
        <v>4063</v>
      </c>
      <c r="G352" t="s">
        <v>6073</v>
      </c>
      <c r="H352" t="s">
        <v>34</v>
      </c>
      <c r="I352" t="s">
        <v>7183</v>
      </c>
      <c r="L352" t="s">
        <v>7184</v>
      </c>
      <c r="M352" t="s">
        <v>6078</v>
      </c>
      <c r="N352" s="61" t="s">
        <v>6386</v>
      </c>
      <c r="O352">
        <v>57297</v>
      </c>
    </row>
    <row r="353" spans="1:15" x14ac:dyDescent="0.2">
      <c r="A353" t="s">
        <v>4064</v>
      </c>
      <c r="B353" s="61" t="s">
        <v>7185</v>
      </c>
      <c r="C353" s="61" t="s">
        <v>34</v>
      </c>
      <c r="F353" t="s">
        <v>4064</v>
      </c>
      <c r="G353" t="s">
        <v>6073</v>
      </c>
      <c r="H353" t="s">
        <v>34</v>
      </c>
      <c r="I353" t="s">
        <v>34</v>
      </c>
      <c r="L353" t="s">
        <v>7186</v>
      </c>
      <c r="M353" t="s">
        <v>6078</v>
      </c>
      <c r="N353" s="61" t="s">
        <v>6223</v>
      </c>
      <c r="O353">
        <v>57318</v>
      </c>
    </row>
    <row r="354" spans="1:15" x14ac:dyDescent="0.2">
      <c r="A354" t="s">
        <v>4065</v>
      </c>
      <c r="B354" s="61" t="s">
        <v>7187</v>
      </c>
      <c r="C354" s="61" t="s">
        <v>34</v>
      </c>
      <c r="F354" t="s">
        <v>4065</v>
      </c>
      <c r="G354" t="s">
        <v>6073</v>
      </c>
      <c r="H354" t="s">
        <v>34</v>
      </c>
      <c r="I354" t="s">
        <v>34</v>
      </c>
      <c r="L354" t="s">
        <v>7188</v>
      </c>
      <c r="M354" t="s">
        <v>6078</v>
      </c>
      <c r="N354" s="61" t="s">
        <v>6314</v>
      </c>
      <c r="O354">
        <v>57317</v>
      </c>
    </row>
    <row r="355" spans="1:15" x14ac:dyDescent="0.2">
      <c r="A355" t="s">
        <v>4066</v>
      </c>
      <c r="B355" s="61" t="s">
        <v>7189</v>
      </c>
      <c r="C355" s="61" t="s">
        <v>34</v>
      </c>
      <c r="F355" t="s">
        <v>4066</v>
      </c>
      <c r="G355" t="s">
        <v>6073</v>
      </c>
      <c r="H355" t="s">
        <v>34</v>
      </c>
      <c r="I355" t="s">
        <v>7190</v>
      </c>
      <c r="L355" t="s">
        <v>7191</v>
      </c>
      <c r="M355" t="s">
        <v>6078</v>
      </c>
      <c r="N355" s="61" t="s">
        <v>6211</v>
      </c>
      <c r="O355">
        <v>57316</v>
      </c>
    </row>
    <row r="356" spans="1:15" x14ac:dyDescent="0.2">
      <c r="A356" t="s">
        <v>4067</v>
      </c>
      <c r="B356" s="61" t="s">
        <v>7192</v>
      </c>
      <c r="C356" s="61" t="s">
        <v>34</v>
      </c>
      <c r="F356" t="s">
        <v>4067</v>
      </c>
      <c r="G356" t="s">
        <v>6073</v>
      </c>
      <c r="M356" t="s">
        <v>6078</v>
      </c>
      <c r="N356" s="61" t="s">
        <v>7193</v>
      </c>
      <c r="O356">
        <v>57315</v>
      </c>
    </row>
    <row r="357" spans="1:15" x14ac:dyDescent="0.2">
      <c r="A357" t="s">
        <v>4068</v>
      </c>
      <c r="B357" s="61" t="s">
        <v>7194</v>
      </c>
      <c r="C357" s="61" t="s">
        <v>34</v>
      </c>
      <c r="F357" t="s">
        <v>4068</v>
      </c>
      <c r="G357" t="s">
        <v>6073</v>
      </c>
      <c r="H357" t="s">
        <v>34</v>
      </c>
      <c r="I357" t="s">
        <v>7195</v>
      </c>
      <c r="L357" t="s">
        <v>7196</v>
      </c>
      <c r="M357" t="s">
        <v>7197</v>
      </c>
      <c r="N357" s="61" t="s">
        <v>7198</v>
      </c>
      <c r="O357">
        <v>57314</v>
      </c>
    </row>
    <row r="358" spans="1:15" x14ac:dyDescent="0.2">
      <c r="A358" t="s">
        <v>4069</v>
      </c>
      <c r="B358" s="61" t="s">
        <v>7199</v>
      </c>
      <c r="C358" s="61" t="s">
        <v>34</v>
      </c>
      <c r="F358" t="s">
        <v>4069</v>
      </c>
      <c r="G358" t="s">
        <v>6073</v>
      </c>
      <c r="H358" t="s">
        <v>34</v>
      </c>
      <c r="I358" t="s">
        <v>34</v>
      </c>
      <c r="L358" t="s">
        <v>34</v>
      </c>
      <c r="M358" t="s">
        <v>6078</v>
      </c>
      <c r="N358" s="61" t="s">
        <v>7200</v>
      </c>
      <c r="O358">
        <v>57313</v>
      </c>
    </row>
    <row r="359" spans="1:15" x14ac:dyDescent="0.2">
      <c r="A359" t="s">
        <v>4070</v>
      </c>
      <c r="B359" s="61" t="s">
        <v>34</v>
      </c>
      <c r="C359" s="61" t="s">
        <v>34</v>
      </c>
      <c r="F359" t="s">
        <v>4070</v>
      </c>
      <c r="G359" t="s">
        <v>6073</v>
      </c>
      <c r="H359" t="s">
        <v>34</v>
      </c>
      <c r="I359" t="s">
        <v>34</v>
      </c>
      <c r="L359" t="s">
        <v>34</v>
      </c>
      <c r="N359" s="61" t="s">
        <v>3784</v>
      </c>
      <c r="O359">
        <v>58381</v>
      </c>
    </row>
    <row r="360" spans="1:15" x14ac:dyDescent="0.2">
      <c r="A360" t="s">
        <v>4071</v>
      </c>
      <c r="B360" s="61" t="s">
        <v>7201</v>
      </c>
      <c r="C360" s="61" t="s">
        <v>34</v>
      </c>
      <c r="F360" t="s">
        <v>4071</v>
      </c>
      <c r="G360" t="s">
        <v>6073</v>
      </c>
      <c r="H360" t="s">
        <v>34</v>
      </c>
      <c r="I360" t="s">
        <v>7202</v>
      </c>
      <c r="L360" t="s">
        <v>7203</v>
      </c>
      <c r="M360" t="s">
        <v>6078</v>
      </c>
      <c r="N360" s="61" t="s">
        <v>6083</v>
      </c>
      <c r="O360">
        <v>57312</v>
      </c>
    </row>
    <row r="361" spans="1:15" x14ac:dyDescent="0.2">
      <c r="A361" t="s">
        <v>4072</v>
      </c>
      <c r="B361" s="61" t="s">
        <v>7204</v>
      </c>
      <c r="C361" s="61" t="s">
        <v>34</v>
      </c>
      <c r="F361" t="s">
        <v>4072</v>
      </c>
      <c r="G361" t="s">
        <v>6073</v>
      </c>
      <c r="L361" t="s">
        <v>7205</v>
      </c>
      <c r="M361" t="s">
        <v>6078</v>
      </c>
      <c r="N361" s="61" t="s">
        <v>6231</v>
      </c>
      <c r="O361">
        <v>57311</v>
      </c>
    </row>
    <row r="362" spans="1:15" x14ac:dyDescent="0.2">
      <c r="A362" t="s">
        <v>4073</v>
      </c>
      <c r="B362" s="61" t="s">
        <v>7206</v>
      </c>
      <c r="C362" s="61" t="s">
        <v>34</v>
      </c>
      <c r="F362" t="s">
        <v>4073</v>
      </c>
      <c r="G362" t="s">
        <v>6073</v>
      </c>
      <c r="I362" t="s">
        <v>7207</v>
      </c>
      <c r="L362" t="s">
        <v>7208</v>
      </c>
      <c r="M362" t="s">
        <v>6078</v>
      </c>
      <c r="N362" s="61" t="s">
        <v>6083</v>
      </c>
      <c r="O362">
        <v>57310</v>
      </c>
    </row>
    <row r="363" spans="1:15" x14ac:dyDescent="0.2">
      <c r="A363" t="s">
        <v>4074</v>
      </c>
      <c r="B363" s="61" t="s">
        <v>34</v>
      </c>
      <c r="C363" s="61" t="s">
        <v>34</v>
      </c>
      <c r="F363" t="s">
        <v>4074</v>
      </c>
      <c r="G363" t="s">
        <v>6073</v>
      </c>
      <c r="H363" t="s">
        <v>34</v>
      </c>
      <c r="I363" t="s">
        <v>34</v>
      </c>
      <c r="L363" t="s">
        <v>34</v>
      </c>
      <c r="N363" s="61" t="s">
        <v>3784</v>
      </c>
      <c r="O363">
        <v>58340</v>
      </c>
    </row>
    <row r="364" spans="1:15" x14ac:dyDescent="0.2">
      <c r="A364" t="s">
        <v>4075</v>
      </c>
      <c r="B364" s="61" t="s">
        <v>7209</v>
      </c>
      <c r="C364" s="61" t="s">
        <v>34</v>
      </c>
      <c r="F364" t="s">
        <v>4075</v>
      </c>
      <c r="G364" t="s">
        <v>6073</v>
      </c>
      <c r="I364" t="s">
        <v>7210</v>
      </c>
      <c r="L364" t="s">
        <v>7211</v>
      </c>
      <c r="M364" t="s">
        <v>6078</v>
      </c>
      <c r="N364" s="61" t="s">
        <v>7212</v>
      </c>
      <c r="O364">
        <v>57309</v>
      </c>
    </row>
    <row r="365" spans="1:15" x14ac:dyDescent="0.2">
      <c r="A365" t="s">
        <v>4076</v>
      </c>
      <c r="B365" s="61" t="s">
        <v>7213</v>
      </c>
      <c r="C365" s="61" t="s">
        <v>34</v>
      </c>
      <c r="F365" t="s">
        <v>4076</v>
      </c>
      <c r="G365" t="s">
        <v>6073</v>
      </c>
      <c r="L365" t="s">
        <v>7214</v>
      </c>
      <c r="M365" t="s">
        <v>6078</v>
      </c>
      <c r="N365" s="61" t="s">
        <v>7215</v>
      </c>
      <c r="O365">
        <v>70779</v>
      </c>
    </row>
    <row r="366" spans="1:15" x14ac:dyDescent="0.2">
      <c r="A366" t="s">
        <v>4077</v>
      </c>
      <c r="B366" s="61" t="s">
        <v>7216</v>
      </c>
      <c r="C366" s="61" t="s">
        <v>34</v>
      </c>
      <c r="F366" t="s">
        <v>4077</v>
      </c>
      <c r="G366" t="s">
        <v>6073</v>
      </c>
      <c r="H366" t="s">
        <v>34</v>
      </c>
      <c r="I366" t="s">
        <v>34</v>
      </c>
      <c r="L366" t="s">
        <v>7217</v>
      </c>
      <c r="M366" t="s">
        <v>6078</v>
      </c>
      <c r="N366" s="61" t="s">
        <v>7218</v>
      </c>
      <c r="O366">
        <v>57308</v>
      </c>
    </row>
    <row r="367" spans="1:15" x14ac:dyDescent="0.2">
      <c r="A367" t="s">
        <v>4078</v>
      </c>
      <c r="B367" s="61" t="s">
        <v>7219</v>
      </c>
      <c r="C367" s="61" t="s">
        <v>34</v>
      </c>
      <c r="F367" t="s">
        <v>4078</v>
      </c>
      <c r="G367" t="s">
        <v>6073</v>
      </c>
      <c r="H367" t="s">
        <v>34</v>
      </c>
      <c r="I367" t="s">
        <v>7220</v>
      </c>
      <c r="L367" t="s">
        <v>7221</v>
      </c>
      <c r="M367" t="s">
        <v>6078</v>
      </c>
      <c r="N367" s="61" t="s">
        <v>7222</v>
      </c>
      <c r="O367">
        <v>57307</v>
      </c>
    </row>
    <row r="368" spans="1:15" x14ac:dyDescent="0.2">
      <c r="A368" t="s">
        <v>4079</v>
      </c>
      <c r="B368" s="61" t="s">
        <v>7223</v>
      </c>
      <c r="C368" s="61" t="s">
        <v>34</v>
      </c>
      <c r="F368" t="s">
        <v>4079</v>
      </c>
      <c r="G368" t="s">
        <v>6073</v>
      </c>
      <c r="H368" t="s">
        <v>34</v>
      </c>
      <c r="I368" t="s">
        <v>34</v>
      </c>
      <c r="L368" t="s">
        <v>7224</v>
      </c>
      <c r="M368" t="s">
        <v>6078</v>
      </c>
      <c r="N368" s="61" t="s">
        <v>7225</v>
      </c>
      <c r="O368">
        <v>57306</v>
      </c>
    </row>
    <row r="369" spans="1:15" x14ac:dyDescent="0.2">
      <c r="A369" t="s">
        <v>4080</v>
      </c>
      <c r="B369" s="61" t="s">
        <v>7226</v>
      </c>
      <c r="C369" s="61" t="s">
        <v>34</v>
      </c>
      <c r="F369" t="s">
        <v>4080</v>
      </c>
      <c r="G369" t="s">
        <v>6073</v>
      </c>
      <c r="I369" t="s">
        <v>7227</v>
      </c>
      <c r="L369" t="s">
        <v>7228</v>
      </c>
      <c r="M369" t="s">
        <v>6078</v>
      </c>
      <c r="N369" s="61" t="s">
        <v>7229</v>
      </c>
      <c r="O369">
        <v>57686</v>
      </c>
    </row>
    <row r="370" spans="1:15" x14ac:dyDescent="0.2">
      <c r="A370" t="s">
        <v>4081</v>
      </c>
      <c r="B370" s="61" t="s">
        <v>7230</v>
      </c>
      <c r="C370" s="61" t="s">
        <v>34</v>
      </c>
      <c r="F370" t="s">
        <v>4081</v>
      </c>
      <c r="G370" t="s">
        <v>6073</v>
      </c>
      <c r="I370" t="s">
        <v>7231</v>
      </c>
      <c r="L370" t="s">
        <v>7232</v>
      </c>
      <c r="M370" t="s">
        <v>6078</v>
      </c>
      <c r="N370" s="61" t="s">
        <v>6079</v>
      </c>
      <c r="O370">
        <v>57304</v>
      </c>
    </row>
    <row r="371" spans="1:15" x14ac:dyDescent="0.2">
      <c r="A371" t="s">
        <v>4082</v>
      </c>
      <c r="B371" s="61" t="s">
        <v>7233</v>
      </c>
      <c r="C371" s="61" t="s">
        <v>34</v>
      </c>
      <c r="F371" t="s">
        <v>4082</v>
      </c>
      <c r="G371" t="s">
        <v>6073</v>
      </c>
      <c r="L371" t="s">
        <v>7234</v>
      </c>
      <c r="N371" s="61" t="s">
        <v>7235</v>
      </c>
      <c r="O371">
        <v>114750</v>
      </c>
    </row>
    <row r="372" spans="1:15" x14ac:dyDescent="0.2">
      <c r="A372" t="s">
        <v>4083</v>
      </c>
      <c r="B372" s="61" t="s">
        <v>7236</v>
      </c>
      <c r="C372" s="61" t="s">
        <v>34</v>
      </c>
      <c r="F372" t="s">
        <v>4083</v>
      </c>
      <c r="G372" t="s">
        <v>6316</v>
      </c>
      <c r="H372" t="s">
        <v>34</v>
      </c>
      <c r="I372" t="s">
        <v>7237</v>
      </c>
      <c r="L372" t="s">
        <v>7238</v>
      </c>
      <c r="M372" t="s">
        <v>7239</v>
      </c>
      <c r="N372" s="61" t="s">
        <v>7240</v>
      </c>
      <c r="O372">
        <v>57303</v>
      </c>
    </row>
    <row r="373" spans="1:15" x14ac:dyDescent="0.2">
      <c r="A373" t="s">
        <v>4084</v>
      </c>
      <c r="B373" s="61" t="s">
        <v>7241</v>
      </c>
      <c r="C373" s="61" t="s">
        <v>34</v>
      </c>
      <c r="F373" t="s">
        <v>4084</v>
      </c>
      <c r="G373" t="s">
        <v>6073</v>
      </c>
      <c r="H373" t="s">
        <v>34</v>
      </c>
      <c r="I373" t="s">
        <v>34</v>
      </c>
      <c r="L373" t="s">
        <v>7242</v>
      </c>
      <c r="M373" t="s">
        <v>6078</v>
      </c>
      <c r="N373" s="61" t="s">
        <v>6255</v>
      </c>
      <c r="O373">
        <v>57302</v>
      </c>
    </row>
    <row r="374" spans="1:15" x14ac:dyDescent="0.2">
      <c r="A374" t="s">
        <v>4085</v>
      </c>
      <c r="B374" s="61" t="s">
        <v>7243</v>
      </c>
      <c r="C374" s="61" t="s">
        <v>34</v>
      </c>
      <c r="F374" t="s">
        <v>4085</v>
      </c>
      <c r="G374" t="s">
        <v>6073</v>
      </c>
      <c r="H374" t="s">
        <v>34</v>
      </c>
      <c r="I374" t="s">
        <v>7244</v>
      </c>
      <c r="L374" t="s">
        <v>7245</v>
      </c>
      <c r="M374" t="s">
        <v>6078</v>
      </c>
      <c r="N374" s="61" t="s">
        <v>6525</v>
      </c>
      <c r="O374">
        <v>57301</v>
      </c>
    </row>
    <row r="375" spans="1:15" x14ac:dyDescent="0.2">
      <c r="A375" t="s">
        <v>4086</v>
      </c>
      <c r="B375" s="61" t="s">
        <v>7246</v>
      </c>
      <c r="C375" s="61" t="s">
        <v>34</v>
      </c>
      <c r="F375" t="s">
        <v>4086</v>
      </c>
      <c r="G375" t="s">
        <v>6073</v>
      </c>
      <c r="L375" t="s">
        <v>7247</v>
      </c>
      <c r="M375" t="s">
        <v>6078</v>
      </c>
      <c r="N375" s="61" t="s">
        <v>6223</v>
      </c>
      <c r="O375">
        <v>57299</v>
      </c>
    </row>
    <row r="376" spans="1:15" x14ac:dyDescent="0.2">
      <c r="A376" t="s">
        <v>4087</v>
      </c>
      <c r="B376" s="61" t="s">
        <v>7248</v>
      </c>
      <c r="C376" s="61" t="s">
        <v>34</v>
      </c>
      <c r="F376" t="s">
        <v>4087</v>
      </c>
      <c r="G376" t="s">
        <v>6073</v>
      </c>
      <c r="J376" t="s">
        <v>7249</v>
      </c>
      <c r="K376" t="s">
        <v>7250</v>
      </c>
      <c r="L376" t="s">
        <v>7251</v>
      </c>
      <c r="M376" t="s">
        <v>6078</v>
      </c>
      <c r="N376" s="61" t="s">
        <v>6219</v>
      </c>
      <c r="O376">
        <v>61560</v>
      </c>
    </row>
    <row r="377" spans="1:15" x14ac:dyDescent="0.2">
      <c r="A377" t="s">
        <v>4088</v>
      </c>
      <c r="B377" s="61" t="s">
        <v>7252</v>
      </c>
      <c r="C377" s="61" t="s">
        <v>34</v>
      </c>
      <c r="F377" t="s">
        <v>4088</v>
      </c>
      <c r="G377" t="s">
        <v>6073</v>
      </c>
      <c r="I377" t="s">
        <v>7253</v>
      </c>
      <c r="L377" t="s">
        <v>7254</v>
      </c>
      <c r="M377" t="s">
        <v>6078</v>
      </c>
      <c r="N377" s="61" t="s">
        <v>7255</v>
      </c>
      <c r="O377">
        <v>57298</v>
      </c>
    </row>
    <row r="378" spans="1:15" x14ac:dyDescent="0.2">
      <c r="A378" t="s">
        <v>4089</v>
      </c>
      <c r="B378" s="61" t="s">
        <v>7256</v>
      </c>
      <c r="C378" s="61" t="s">
        <v>34</v>
      </c>
      <c r="F378" t="s">
        <v>4089</v>
      </c>
      <c r="G378" t="s">
        <v>6073</v>
      </c>
      <c r="I378" t="s">
        <v>7257</v>
      </c>
      <c r="L378" t="s">
        <v>7254</v>
      </c>
      <c r="M378" t="s">
        <v>6078</v>
      </c>
      <c r="N378" s="61" t="s">
        <v>6568</v>
      </c>
      <c r="O378">
        <v>57358</v>
      </c>
    </row>
    <row r="379" spans="1:15" x14ac:dyDescent="0.2">
      <c r="A379" t="s">
        <v>4090</v>
      </c>
      <c r="B379" s="61" t="s">
        <v>7256</v>
      </c>
      <c r="C379" s="61" t="s">
        <v>34</v>
      </c>
      <c r="F379" t="s">
        <v>4090</v>
      </c>
      <c r="G379" t="s">
        <v>6073</v>
      </c>
      <c r="H379" t="s">
        <v>34</v>
      </c>
      <c r="I379" t="s">
        <v>34</v>
      </c>
      <c r="L379" t="s">
        <v>7258</v>
      </c>
      <c r="M379" t="s">
        <v>6078</v>
      </c>
      <c r="N379" s="61" t="s">
        <v>6568</v>
      </c>
      <c r="O379">
        <v>57371</v>
      </c>
    </row>
    <row r="380" spans="1:15" x14ac:dyDescent="0.2">
      <c r="A380" t="s">
        <v>4091</v>
      </c>
      <c r="B380" s="61" t="s">
        <v>7259</v>
      </c>
      <c r="C380" s="61" t="s">
        <v>34</v>
      </c>
      <c r="F380" t="s">
        <v>4091</v>
      </c>
      <c r="G380" t="s">
        <v>6073</v>
      </c>
      <c r="H380" t="s">
        <v>34</v>
      </c>
      <c r="I380" t="s">
        <v>34</v>
      </c>
      <c r="L380" t="s">
        <v>7260</v>
      </c>
      <c r="M380" t="s">
        <v>6078</v>
      </c>
      <c r="N380" s="61" t="s">
        <v>7215</v>
      </c>
      <c r="O380">
        <v>57372</v>
      </c>
    </row>
    <row r="381" spans="1:15" x14ac:dyDescent="0.2">
      <c r="A381" t="s">
        <v>4092</v>
      </c>
      <c r="B381" s="61" t="s">
        <v>7261</v>
      </c>
      <c r="C381" s="61" t="s">
        <v>34</v>
      </c>
      <c r="F381" t="s">
        <v>4092</v>
      </c>
      <c r="G381" t="s">
        <v>6073</v>
      </c>
      <c r="H381" t="s">
        <v>34</v>
      </c>
      <c r="I381" t="s">
        <v>7262</v>
      </c>
      <c r="L381" t="s">
        <v>7263</v>
      </c>
      <c r="M381" t="s">
        <v>6078</v>
      </c>
      <c r="N381" s="61" t="s">
        <v>6128</v>
      </c>
      <c r="O381">
        <v>57442</v>
      </c>
    </row>
    <row r="382" spans="1:15" x14ac:dyDescent="0.2">
      <c r="A382" t="s">
        <v>4093</v>
      </c>
      <c r="B382" s="61" t="s">
        <v>7264</v>
      </c>
      <c r="C382" s="61" t="s">
        <v>34</v>
      </c>
      <c r="F382" t="s">
        <v>4093</v>
      </c>
      <c r="G382" t="s">
        <v>6073</v>
      </c>
      <c r="M382" t="s">
        <v>6104</v>
      </c>
      <c r="N382" s="61" t="s">
        <v>7265</v>
      </c>
      <c r="O382">
        <v>57441</v>
      </c>
    </row>
    <row r="383" spans="1:15" x14ac:dyDescent="0.2">
      <c r="A383" t="s">
        <v>4094</v>
      </c>
      <c r="B383" s="61" t="s">
        <v>7266</v>
      </c>
      <c r="C383" s="61" t="s">
        <v>34</v>
      </c>
      <c r="F383" t="s">
        <v>4094</v>
      </c>
      <c r="G383" t="s">
        <v>6073</v>
      </c>
      <c r="J383" t="s">
        <v>7267</v>
      </c>
      <c r="K383" t="s">
        <v>7268</v>
      </c>
      <c r="L383" t="s">
        <v>7269</v>
      </c>
      <c r="M383" t="s">
        <v>6078</v>
      </c>
      <c r="N383" s="61" t="s">
        <v>6128</v>
      </c>
      <c r="O383">
        <v>115452</v>
      </c>
    </row>
    <row r="384" spans="1:15" x14ac:dyDescent="0.2">
      <c r="A384" t="s">
        <v>4095</v>
      </c>
      <c r="B384" s="61" t="s">
        <v>7270</v>
      </c>
      <c r="C384" s="61" t="s">
        <v>34</v>
      </c>
      <c r="F384" t="s">
        <v>4095</v>
      </c>
      <c r="G384" t="s">
        <v>6073</v>
      </c>
      <c r="H384" t="s">
        <v>34</v>
      </c>
      <c r="I384" t="s">
        <v>7271</v>
      </c>
      <c r="L384" t="s">
        <v>7272</v>
      </c>
      <c r="M384" t="s">
        <v>6078</v>
      </c>
      <c r="N384" s="61" t="s">
        <v>6977</v>
      </c>
      <c r="O384">
        <v>57440</v>
      </c>
    </row>
    <row r="385" spans="1:15" x14ac:dyDescent="0.2">
      <c r="A385" t="s">
        <v>4096</v>
      </c>
      <c r="B385" s="61" t="s">
        <v>7273</v>
      </c>
      <c r="C385" s="61" t="s">
        <v>34</v>
      </c>
      <c r="F385" t="s">
        <v>4096</v>
      </c>
      <c r="G385" t="s">
        <v>6073</v>
      </c>
      <c r="I385" t="s">
        <v>7274</v>
      </c>
      <c r="L385" t="s">
        <v>7275</v>
      </c>
      <c r="M385" t="s">
        <v>6078</v>
      </c>
      <c r="N385" s="61" t="s">
        <v>6969</v>
      </c>
      <c r="O385">
        <v>57439</v>
      </c>
    </row>
    <row r="386" spans="1:15" x14ac:dyDescent="0.2">
      <c r="A386" t="s">
        <v>4097</v>
      </c>
      <c r="B386" s="61" t="s">
        <v>7276</v>
      </c>
      <c r="C386" s="61" t="s">
        <v>34</v>
      </c>
      <c r="F386" t="s">
        <v>4097</v>
      </c>
      <c r="G386" t="s">
        <v>6073</v>
      </c>
      <c r="H386" t="s">
        <v>34</v>
      </c>
      <c r="I386" t="s">
        <v>7277</v>
      </c>
      <c r="L386" t="s">
        <v>7278</v>
      </c>
      <c r="M386" t="s">
        <v>6078</v>
      </c>
      <c r="N386" s="61" t="s">
        <v>6159</v>
      </c>
      <c r="O386">
        <v>57438</v>
      </c>
    </row>
    <row r="387" spans="1:15" x14ac:dyDescent="0.2">
      <c r="A387" t="s">
        <v>4098</v>
      </c>
      <c r="B387" s="61" t="s">
        <v>7279</v>
      </c>
      <c r="C387" s="61" t="s">
        <v>34</v>
      </c>
      <c r="F387" t="s">
        <v>4098</v>
      </c>
      <c r="G387" t="s">
        <v>6073</v>
      </c>
      <c r="I387" t="s">
        <v>7280</v>
      </c>
      <c r="L387" t="s">
        <v>7281</v>
      </c>
      <c r="M387" t="s">
        <v>6078</v>
      </c>
      <c r="N387" s="61" t="s">
        <v>7282</v>
      </c>
      <c r="O387">
        <v>57437</v>
      </c>
    </row>
    <row r="388" spans="1:15" x14ac:dyDescent="0.2">
      <c r="A388" t="s">
        <v>4099</v>
      </c>
      <c r="B388" s="61" t="s">
        <v>7283</v>
      </c>
      <c r="C388" s="61" t="s">
        <v>7284</v>
      </c>
      <c r="F388" t="s">
        <v>4099</v>
      </c>
      <c r="G388" t="s">
        <v>6073</v>
      </c>
      <c r="J388" t="s">
        <v>7285</v>
      </c>
      <c r="K388" t="s">
        <v>6076</v>
      </c>
      <c r="L388" t="s">
        <v>7286</v>
      </c>
      <c r="M388" t="s">
        <v>7287</v>
      </c>
      <c r="N388" s="61" t="s">
        <v>7288</v>
      </c>
      <c r="O388">
        <v>57589</v>
      </c>
    </row>
    <row r="389" spans="1:15" x14ac:dyDescent="0.2">
      <c r="A389" t="s">
        <v>4100</v>
      </c>
      <c r="B389" s="61" t="s">
        <v>7289</v>
      </c>
      <c r="C389" s="61" t="s">
        <v>34</v>
      </c>
      <c r="F389" t="s">
        <v>4100</v>
      </c>
      <c r="G389" t="s">
        <v>6073</v>
      </c>
      <c r="I389" t="s">
        <v>7290</v>
      </c>
      <c r="L389" t="s">
        <v>7291</v>
      </c>
      <c r="M389" t="s">
        <v>6078</v>
      </c>
      <c r="N389" s="61" t="s">
        <v>6314</v>
      </c>
      <c r="O389">
        <v>57968</v>
      </c>
    </row>
    <row r="390" spans="1:15" x14ac:dyDescent="0.2">
      <c r="A390" t="s">
        <v>4101</v>
      </c>
      <c r="B390" s="61" t="s">
        <v>34</v>
      </c>
      <c r="C390" s="61" t="s">
        <v>34</v>
      </c>
      <c r="F390" t="s">
        <v>4101</v>
      </c>
      <c r="G390" t="s">
        <v>6073</v>
      </c>
      <c r="H390" t="s">
        <v>34</v>
      </c>
      <c r="I390" t="s">
        <v>34</v>
      </c>
      <c r="L390" t="s">
        <v>34</v>
      </c>
      <c r="N390" s="61" t="s">
        <v>3784</v>
      </c>
      <c r="O390">
        <v>58361</v>
      </c>
    </row>
    <row r="391" spans="1:15" x14ac:dyDescent="0.2">
      <c r="A391" t="s">
        <v>4102</v>
      </c>
      <c r="B391" s="61" t="s">
        <v>7292</v>
      </c>
      <c r="C391" s="61" t="s">
        <v>34</v>
      </c>
      <c r="F391" t="s">
        <v>4102</v>
      </c>
      <c r="G391" t="s">
        <v>6073</v>
      </c>
      <c r="H391" t="s">
        <v>34</v>
      </c>
      <c r="I391" t="s">
        <v>34</v>
      </c>
      <c r="L391" t="s">
        <v>7293</v>
      </c>
      <c r="M391" t="s">
        <v>6078</v>
      </c>
      <c r="N391" s="61" t="s">
        <v>6231</v>
      </c>
      <c r="O391">
        <v>57436</v>
      </c>
    </row>
    <row r="392" spans="1:15" x14ac:dyDescent="0.2">
      <c r="A392" t="s">
        <v>4103</v>
      </c>
      <c r="B392" s="61" t="s">
        <v>7294</v>
      </c>
      <c r="C392" s="61" t="s">
        <v>34</v>
      </c>
      <c r="F392" t="s">
        <v>4103</v>
      </c>
      <c r="G392" t="s">
        <v>6073</v>
      </c>
      <c r="H392" t="s">
        <v>34</v>
      </c>
      <c r="I392" t="s">
        <v>34</v>
      </c>
      <c r="L392" t="s">
        <v>34</v>
      </c>
      <c r="M392" t="s">
        <v>6908</v>
      </c>
      <c r="N392" s="61" t="s">
        <v>7295</v>
      </c>
      <c r="O392">
        <v>58380</v>
      </c>
    </row>
    <row r="393" spans="1:15" x14ac:dyDescent="0.2">
      <c r="A393" t="s">
        <v>4104</v>
      </c>
      <c r="B393" s="61" t="s">
        <v>7296</v>
      </c>
      <c r="C393" s="61" t="s">
        <v>34</v>
      </c>
      <c r="F393" t="s">
        <v>4104</v>
      </c>
      <c r="G393" t="s">
        <v>6073</v>
      </c>
      <c r="L393" t="s">
        <v>7297</v>
      </c>
      <c r="M393" t="s">
        <v>6104</v>
      </c>
      <c r="N393" s="61" t="s">
        <v>7298</v>
      </c>
      <c r="O393">
        <v>117024</v>
      </c>
    </row>
    <row r="394" spans="1:15" x14ac:dyDescent="0.2">
      <c r="A394" t="s">
        <v>4105</v>
      </c>
      <c r="B394" s="61" t="s">
        <v>7299</v>
      </c>
      <c r="C394" s="61" t="s">
        <v>34</v>
      </c>
      <c r="F394" t="s">
        <v>4105</v>
      </c>
      <c r="G394" t="s">
        <v>6073</v>
      </c>
      <c r="I394" t="s">
        <v>7300</v>
      </c>
      <c r="L394" t="s">
        <v>7301</v>
      </c>
      <c r="M394" t="s">
        <v>6078</v>
      </c>
      <c r="N394" s="61" t="s">
        <v>7302</v>
      </c>
      <c r="O394">
        <v>57435</v>
      </c>
    </row>
    <row r="395" spans="1:15" x14ac:dyDescent="0.2">
      <c r="A395" t="s">
        <v>4106</v>
      </c>
      <c r="B395" s="61" t="s">
        <v>7303</v>
      </c>
      <c r="C395" s="61" t="s">
        <v>34</v>
      </c>
      <c r="F395" t="s">
        <v>4106</v>
      </c>
      <c r="G395" t="s">
        <v>6073</v>
      </c>
      <c r="H395" t="s">
        <v>34</v>
      </c>
      <c r="I395" t="s">
        <v>7304</v>
      </c>
      <c r="L395" t="s">
        <v>7305</v>
      </c>
      <c r="M395" t="s">
        <v>7287</v>
      </c>
      <c r="N395" s="61" t="s">
        <v>7306</v>
      </c>
      <c r="O395">
        <v>57434</v>
      </c>
    </row>
    <row r="396" spans="1:15" x14ac:dyDescent="0.2">
      <c r="A396" t="s">
        <v>4107</v>
      </c>
      <c r="B396" s="61" t="s">
        <v>7307</v>
      </c>
      <c r="C396" s="61" t="s">
        <v>34</v>
      </c>
      <c r="F396" t="s">
        <v>4107</v>
      </c>
      <c r="G396" t="s">
        <v>6073</v>
      </c>
      <c r="M396" t="s">
        <v>6078</v>
      </c>
      <c r="N396" s="61" t="s">
        <v>6110</v>
      </c>
      <c r="O396">
        <v>115462</v>
      </c>
    </row>
    <row r="397" spans="1:15" x14ac:dyDescent="0.2">
      <c r="A397" t="s">
        <v>4108</v>
      </c>
      <c r="B397" s="61" t="s">
        <v>7308</v>
      </c>
      <c r="C397" s="61" t="s">
        <v>34</v>
      </c>
      <c r="F397" t="s">
        <v>4108</v>
      </c>
      <c r="G397" t="s">
        <v>6073</v>
      </c>
      <c r="H397" t="s">
        <v>7309</v>
      </c>
      <c r="J397" t="s">
        <v>7310</v>
      </c>
      <c r="K397" t="s">
        <v>7311</v>
      </c>
      <c r="L397" t="s">
        <v>7312</v>
      </c>
      <c r="M397" t="s">
        <v>6078</v>
      </c>
      <c r="N397" s="61" t="s">
        <v>6568</v>
      </c>
      <c r="O397">
        <v>124900</v>
      </c>
    </row>
    <row r="398" spans="1:15" x14ac:dyDescent="0.2">
      <c r="A398" t="s">
        <v>4109</v>
      </c>
      <c r="B398" s="61" t="s">
        <v>7313</v>
      </c>
      <c r="C398" s="61" t="s">
        <v>34</v>
      </c>
      <c r="F398" t="s">
        <v>4109</v>
      </c>
      <c r="G398" t="s">
        <v>6073</v>
      </c>
      <c r="H398" t="s">
        <v>7314</v>
      </c>
      <c r="J398" t="s">
        <v>7315</v>
      </c>
      <c r="K398" t="s">
        <v>7316</v>
      </c>
      <c r="L398" t="s">
        <v>7317</v>
      </c>
      <c r="M398" t="s">
        <v>6078</v>
      </c>
      <c r="N398" s="61" t="s">
        <v>6128</v>
      </c>
      <c r="O398">
        <v>116803</v>
      </c>
    </row>
    <row r="399" spans="1:15" x14ac:dyDescent="0.2">
      <c r="A399" t="s">
        <v>4110</v>
      </c>
      <c r="B399" s="61" t="s">
        <v>7318</v>
      </c>
      <c r="C399" s="61" t="s">
        <v>34</v>
      </c>
      <c r="F399" t="s">
        <v>4110</v>
      </c>
      <c r="G399" t="s">
        <v>6073</v>
      </c>
      <c r="H399" t="s">
        <v>7319</v>
      </c>
      <c r="L399" t="s">
        <v>7320</v>
      </c>
      <c r="M399" t="s">
        <v>6078</v>
      </c>
      <c r="N399" s="61" t="s">
        <v>7200</v>
      </c>
      <c r="O399">
        <v>128512</v>
      </c>
    </row>
    <row r="400" spans="1:15" x14ac:dyDescent="0.2">
      <c r="A400" t="s">
        <v>4111</v>
      </c>
      <c r="B400" s="61" t="s">
        <v>7321</v>
      </c>
      <c r="C400" s="61" t="s">
        <v>34</v>
      </c>
      <c r="F400" t="s">
        <v>4111</v>
      </c>
      <c r="G400" t="s">
        <v>6073</v>
      </c>
      <c r="J400" t="s">
        <v>7322</v>
      </c>
      <c r="K400" t="s">
        <v>7323</v>
      </c>
      <c r="L400" t="s">
        <v>7324</v>
      </c>
      <c r="M400" t="s">
        <v>6078</v>
      </c>
      <c r="N400" s="61" t="s">
        <v>6977</v>
      </c>
      <c r="O400">
        <v>96814</v>
      </c>
    </row>
    <row r="401" spans="1:15" x14ac:dyDescent="0.2">
      <c r="A401" t="s">
        <v>4112</v>
      </c>
      <c r="B401" s="61" t="s">
        <v>7325</v>
      </c>
      <c r="C401" s="61" t="s">
        <v>34</v>
      </c>
      <c r="F401" t="s">
        <v>4112</v>
      </c>
      <c r="G401" t="s">
        <v>6073</v>
      </c>
      <c r="H401" t="s">
        <v>7326</v>
      </c>
      <c r="J401" t="s">
        <v>7327</v>
      </c>
      <c r="K401" t="s">
        <v>7328</v>
      </c>
      <c r="L401" t="s">
        <v>7329</v>
      </c>
      <c r="M401" t="s">
        <v>6078</v>
      </c>
      <c r="N401" s="61" t="s">
        <v>6122</v>
      </c>
      <c r="O401">
        <v>117444</v>
      </c>
    </row>
    <row r="402" spans="1:15" x14ac:dyDescent="0.2">
      <c r="A402" t="s">
        <v>4113</v>
      </c>
      <c r="B402" s="61" t="s">
        <v>4113</v>
      </c>
      <c r="C402" s="61" t="s">
        <v>34</v>
      </c>
      <c r="G402" t="s">
        <v>6073</v>
      </c>
      <c r="M402" t="s">
        <v>6078</v>
      </c>
      <c r="N402" s="61" t="s">
        <v>6219</v>
      </c>
      <c r="O402">
        <v>57342</v>
      </c>
    </row>
    <row r="403" spans="1:15" x14ac:dyDescent="0.2">
      <c r="A403" t="s">
        <v>4114</v>
      </c>
      <c r="B403" s="61" t="s">
        <v>7330</v>
      </c>
      <c r="C403" s="61" t="s">
        <v>34</v>
      </c>
      <c r="F403" t="s">
        <v>4114</v>
      </c>
      <c r="G403" t="s">
        <v>6073</v>
      </c>
      <c r="H403" t="s">
        <v>7331</v>
      </c>
      <c r="J403" t="s">
        <v>7332</v>
      </c>
      <c r="K403" t="s">
        <v>7268</v>
      </c>
      <c r="L403" t="s">
        <v>7333</v>
      </c>
      <c r="M403" t="s">
        <v>6104</v>
      </c>
      <c r="N403" s="61" t="s">
        <v>7334</v>
      </c>
      <c r="O403">
        <v>120053</v>
      </c>
    </row>
    <row r="404" spans="1:15" x14ac:dyDescent="0.2">
      <c r="A404" t="s">
        <v>4115</v>
      </c>
      <c r="B404" s="61" t="s">
        <v>7335</v>
      </c>
      <c r="C404" s="61" t="s">
        <v>34</v>
      </c>
      <c r="F404" t="s">
        <v>4115</v>
      </c>
      <c r="G404" t="s">
        <v>6073</v>
      </c>
      <c r="H404" t="s">
        <v>7336</v>
      </c>
      <c r="K404" t="s">
        <v>7337</v>
      </c>
      <c r="L404" t="s">
        <v>7338</v>
      </c>
      <c r="M404" t="s">
        <v>6078</v>
      </c>
      <c r="N404" s="61" t="s">
        <v>6083</v>
      </c>
      <c r="O404">
        <v>124959</v>
      </c>
    </row>
    <row r="405" spans="1:15" x14ac:dyDescent="0.2">
      <c r="A405" t="s">
        <v>4116</v>
      </c>
      <c r="B405" s="61" t="s">
        <v>34</v>
      </c>
      <c r="C405" s="61" t="s">
        <v>34</v>
      </c>
      <c r="F405" t="s">
        <v>4116</v>
      </c>
      <c r="G405" t="s">
        <v>6073</v>
      </c>
      <c r="H405" t="s">
        <v>34</v>
      </c>
      <c r="I405" t="s">
        <v>34</v>
      </c>
      <c r="L405" t="s">
        <v>34</v>
      </c>
      <c r="N405" s="61" t="s">
        <v>3784</v>
      </c>
      <c r="O405">
        <v>57295</v>
      </c>
    </row>
    <row r="406" spans="1:15" x14ac:dyDescent="0.2">
      <c r="A406" t="s">
        <v>4117</v>
      </c>
      <c r="B406" s="61" t="s">
        <v>7339</v>
      </c>
      <c r="C406" s="61" t="s">
        <v>34</v>
      </c>
      <c r="F406" t="s">
        <v>4117</v>
      </c>
      <c r="G406" t="s">
        <v>6073</v>
      </c>
      <c r="J406" t="s">
        <v>7315</v>
      </c>
      <c r="K406" t="s">
        <v>7340</v>
      </c>
      <c r="L406" t="s">
        <v>7341</v>
      </c>
      <c r="M406" t="s">
        <v>6078</v>
      </c>
      <c r="N406" s="61" t="s">
        <v>6977</v>
      </c>
      <c r="O406">
        <v>127892</v>
      </c>
    </row>
    <row r="407" spans="1:15" x14ac:dyDescent="0.2">
      <c r="A407" t="s">
        <v>4118</v>
      </c>
      <c r="B407" s="61" t="s">
        <v>7342</v>
      </c>
      <c r="C407" s="61" t="s">
        <v>34</v>
      </c>
      <c r="F407" t="s">
        <v>4118</v>
      </c>
      <c r="G407" t="s">
        <v>6073</v>
      </c>
      <c r="H407" t="s">
        <v>7343</v>
      </c>
      <c r="J407" t="s">
        <v>7344</v>
      </c>
      <c r="K407" t="s">
        <v>7345</v>
      </c>
      <c r="L407" t="s">
        <v>7346</v>
      </c>
      <c r="M407" t="s">
        <v>6078</v>
      </c>
      <c r="N407" s="61" t="s">
        <v>7347</v>
      </c>
      <c r="O407">
        <v>115418</v>
      </c>
    </row>
    <row r="408" spans="1:15" x14ac:dyDescent="0.2">
      <c r="A408" t="s">
        <v>4119</v>
      </c>
      <c r="B408" s="61" t="s">
        <v>7348</v>
      </c>
      <c r="C408" s="61" t="s">
        <v>34</v>
      </c>
      <c r="F408" t="s">
        <v>4119</v>
      </c>
      <c r="G408" t="s">
        <v>6073</v>
      </c>
      <c r="H408" t="s">
        <v>7349</v>
      </c>
      <c r="J408" t="s">
        <v>7350</v>
      </c>
      <c r="K408" t="s">
        <v>7351</v>
      </c>
      <c r="L408" t="s">
        <v>7352</v>
      </c>
      <c r="M408" t="s">
        <v>6078</v>
      </c>
      <c r="N408" s="61" t="s">
        <v>6215</v>
      </c>
      <c r="O408">
        <v>126348</v>
      </c>
    </row>
    <row r="409" spans="1:15" x14ac:dyDescent="0.2">
      <c r="A409" t="s">
        <v>4120</v>
      </c>
      <c r="B409" s="61" t="s">
        <v>7353</v>
      </c>
      <c r="C409" s="61" t="s">
        <v>34</v>
      </c>
      <c r="F409" t="s">
        <v>4120</v>
      </c>
      <c r="G409" t="s">
        <v>6073</v>
      </c>
      <c r="H409" t="s">
        <v>7354</v>
      </c>
      <c r="J409" t="s">
        <v>7355</v>
      </c>
      <c r="K409" t="s">
        <v>7356</v>
      </c>
      <c r="L409" t="s">
        <v>7357</v>
      </c>
      <c r="M409" t="s">
        <v>6078</v>
      </c>
      <c r="N409" s="61" t="s">
        <v>6083</v>
      </c>
      <c r="O409">
        <v>117576</v>
      </c>
    </row>
    <row r="410" spans="1:15" x14ac:dyDescent="0.2">
      <c r="A410" t="s">
        <v>4121</v>
      </c>
      <c r="B410" s="61" t="s">
        <v>7358</v>
      </c>
      <c r="C410" s="61" t="s">
        <v>34</v>
      </c>
      <c r="F410" t="s">
        <v>4121</v>
      </c>
      <c r="G410" t="s">
        <v>6073</v>
      </c>
      <c r="H410" t="s">
        <v>7359</v>
      </c>
      <c r="J410" t="s">
        <v>7360</v>
      </c>
      <c r="K410" t="s">
        <v>7361</v>
      </c>
      <c r="L410" t="s">
        <v>7362</v>
      </c>
      <c r="M410" t="s">
        <v>6078</v>
      </c>
      <c r="N410" s="61" t="s">
        <v>6811</v>
      </c>
      <c r="O410">
        <v>117460</v>
      </c>
    </row>
    <row r="411" spans="1:15" x14ac:dyDescent="0.2">
      <c r="A411" t="s">
        <v>11067</v>
      </c>
      <c r="B411" s="61" t="s">
        <v>11068</v>
      </c>
      <c r="C411" s="61" t="s">
        <v>34</v>
      </c>
      <c r="F411" t="s">
        <v>11067</v>
      </c>
      <c r="G411" t="s">
        <v>6073</v>
      </c>
      <c r="H411" t="s">
        <v>11069</v>
      </c>
      <c r="J411" t="s">
        <v>11070</v>
      </c>
      <c r="K411" t="s">
        <v>11071</v>
      </c>
      <c r="M411" t="s">
        <v>6266</v>
      </c>
      <c r="N411" s="61" t="s">
        <v>8815</v>
      </c>
      <c r="O411">
        <v>131345</v>
      </c>
    </row>
    <row r="412" spans="1:15" x14ac:dyDescent="0.2">
      <c r="A412" t="s">
        <v>4122</v>
      </c>
      <c r="B412" s="61" t="s">
        <v>7363</v>
      </c>
      <c r="C412" s="61" t="s">
        <v>34</v>
      </c>
      <c r="F412" t="s">
        <v>4122</v>
      </c>
      <c r="G412" t="s">
        <v>6073</v>
      </c>
      <c r="H412" t="s">
        <v>7364</v>
      </c>
      <c r="J412" t="s">
        <v>7365</v>
      </c>
      <c r="K412" t="s">
        <v>7366</v>
      </c>
      <c r="L412" t="s">
        <v>7367</v>
      </c>
      <c r="M412" t="s">
        <v>6078</v>
      </c>
      <c r="N412" s="61" t="s">
        <v>6386</v>
      </c>
      <c r="O412">
        <v>125883</v>
      </c>
    </row>
    <row r="413" spans="1:15" x14ac:dyDescent="0.2">
      <c r="A413" t="s">
        <v>4123</v>
      </c>
      <c r="B413" s="61" t="s">
        <v>7368</v>
      </c>
      <c r="C413" s="61" t="s">
        <v>34</v>
      </c>
      <c r="F413" t="s">
        <v>4123</v>
      </c>
      <c r="G413" t="s">
        <v>6073</v>
      </c>
      <c r="H413" t="s">
        <v>7369</v>
      </c>
      <c r="I413" t="s">
        <v>7370</v>
      </c>
      <c r="L413" t="s">
        <v>7371</v>
      </c>
      <c r="M413" t="s">
        <v>6078</v>
      </c>
      <c r="N413" s="61" t="s">
        <v>6128</v>
      </c>
      <c r="O413">
        <v>57433</v>
      </c>
    </row>
    <row r="414" spans="1:15" x14ac:dyDescent="0.2">
      <c r="A414" t="s">
        <v>4124</v>
      </c>
      <c r="B414" s="61" t="s">
        <v>7372</v>
      </c>
      <c r="C414" s="61" t="s">
        <v>34</v>
      </c>
      <c r="F414" t="s">
        <v>4124</v>
      </c>
      <c r="G414" t="s">
        <v>6073</v>
      </c>
      <c r="H414" t="s">
        <v>34</v>
      </c>
      <c r="I414" t="s">
        <v>34</v>
      </c>
      <c r="L414" t="s">
        <v>7373</v>
      </c>
      <c r="M414" t="s">
        <v>6078</v>
      </c>
      <c r="N414" s="61" t="s">
        <v>6083</v>
      </c>
      <c r="O414">
        <v>57432</v>
      </c>
    </row>
    <row r="415" spans="1:15" x14ac:dyDescent="0.2">
      <c r="A415" t="s">
        <v>4125</v>
      </c>
      <c r="B415" s="61" t="s">
        <v>7374</v>
      </c>
      <c r="C415" s="61" t="s">
        <v>34</v>
      </c>
      <c r="F415" t="s">
        <v>4125</v>
      </c>
      <c r="G415" t="s">
        <v>6073</v>
      </c>
      <c r="L415" t="s">
        <v>7375</v>
      </c>
      <c r="M415" t="s">
        <v>6309</v>
      </c>
      <c r="N415" s="61" t="s">
        <v>7376</v>
      </c>
      <c r="O415">
        <v>115965</v>
      </c>
    </row>
    <row r="416" spans="1:15" x14ac:dyDescent="0.2">
      <c r="A416" t="s">
        <v>4126</v>
      </c>
      <c r="B416" s="61" t="s">
        <v>7377</v>
      </c>
      <c r="C416" s="61" t="s">
        <v>34</v>
      </c>
      <c r="F416" t="s">
        <v>4126</v>
      </c>
      <c r="G416" t="s">
        <v>6073</v>
      </c>
      <c r="I416" t="s">
        <v>7378</v>
      </c>
      <c r="L416" t="s">
        <v>7379</v>
      </c>
      <c r="M416" t="s">
        <v>6078</v>
      </c>
      <c r="N416" s="61" t="s">
        <v>6083</v>
      </c>
      <c r="O416">
        <v>57431</v>
      </c>
    </row>
    <row r="417" spans="1:15" x14ac:dyDescent="0.2">
      <c r="A417" t="s">
        <v>4127</v>
      </c>
      <c r="B417" s="61" t="s">
        <v>7380</v>
      </c>
      <c r="C417" s="61" t="s">
        <v>7381</v>
      </c>
      <c r="F417" t="s">
        <v>4127</v>
      </c>
      <c r="G417" t="s">
        <v>7382</v>
      </c>
      <c r="H417" t="s">
        <v>34</v>
      </c>
      <c r="I417" t="s">
        <v>34</v>
      </c>
      <c r="L417" t="s">
        <v>34</v>
      </c>
      <c r="N417" s="61" t="s">
        <v>7383</v>
      </c>
      <c r="O417">
        <v>57462</v>
      </c>
    </row>
    <row r="418" spans="1:15" x14ac:dyDescent="0.2">
      <c r="A418" t="s">
        <v>359</v>
      </c>
      <c r="B418" s="61" t="s">
        <v>7384</v>
      </c>
      <c r="C418" s="61" t="s">
        <v>34</v>
      </c>
      <c r="F418" t="s">
        <v>359</v>
      </c>
      <c r="G418" t="s">
        <v>6073</v>
      </c>
      <c r="I418" t="s">
        <v>7385</v>
      </c>
      <c r="L418" t="s">
        <v>7386</v>
      </c>
      <c r="M418" t="s">
        <v>6078</v>
      </c>
      <c r="N418" s="61" t="s">
        <v>7387</v>
      </c>
      <c r="O418">
        <v>57461</v>
      </c>
    </row>
    <row r="419" spans="1:15" x14ac:dyDescent="0.2">
      <c r="A419" t="s">
        <v>363</v>
      </c>
      <c r="B419" s="61" t="s">
        <v>7388</v>
      </c>
      <c r="C419" s="61" t="s">
        <v>34</v>
      </c>
      <c r="F419" t="s">
        <v>363</v>
      </c>
      <c r="G419" t="s">
        <v>6073</v>
      </c>
      <c r="I419" t="s">
        <v>7389</v>
      </c>
      <c r="L419" t="s">
        <v>7390</v>
      </c>
      <c r="M419" t="s">
        <v>6078</v>
      </c>
      <c r="N419" s="61" t="s">
        <v>7391</v>
      </c>
      <c r="O419">
        <v>57460</v>
      </c>
    </row>
    <row r="420" spans="1:15" x14ac:dyDescent="0.2">
      <c r="A420" t="s">
        <v>4128</v>
      </c>
      <c r="B420" s="61" t="s">
        <v>7392</v>
      </c>
      <c r="C420" s="61" t="s">
        <v>34</v>
      </c>
      <c r="F420" t="s">
        <v>4128</v>
      </c>
      <c r="G420" t="s">
        <v>6073</v>
      </c>
      <c r="H420" t="s">
        <v>34</v>
      </c>
      <c r="I420" t="s">
        <v>7393</v>
      </c>
      <c r="L420" t="s">
        <v>7394</v>
      </c>
      <c r="M420" t="s">
        <v>6104</v>
      </c>
      <c r="N420" s="61" t="s">
        <v>7395</v>
      </c>
      <c r="O420">
        <v>57430</v>
      </c>
    </row>
    <row r="421" spans="1:15" x14ac:dyDescent="0.2">
      <c r="A421" t="s">
        <v>4129</v>
      </c>
      <c r="B421" s="61" t="s">
        <v>7396</v>
      </c>
      <c r="C421" s="61" t="s">
        <v>34</v>
      </c>
      <c r="F421" t="s">
        <v>4129</v>
      </c>
      <c r="G421" t="s">
        <v>6073</v>
      </c>
      <c r="H421" t="s">
        <v>34</v>
      </c>
      <c r="I421" t="s">
        <v>7397</v>
      </c>
      <c r="L421" t="s">
        <v>7398</v>
      </c>
      <c r="M421" t="s">
        <v>6078</v>
      </c>
      <c r="N421" s="61" t="s">
        <v>6363</v>
      </c>
      <c r="O421">
        <v>57429</v>
      </c>
    </row>
    <row r="422" spans="1:15" x14ac:dyDescent="0.2">
      <c r="A422" t="s">
        <v>4130</v>
      </c>
      <c r="B422" s="61" t="s">
        <v>34</v>
      </c>
      <c r="C422" s="61" t="s">
        <v>34</v>
      </c>
      <c r="F422" t="s">
        <v>4130</v>
      </c>
      <c r="G422" t="s">
        <v>6073</v>
      </c>
      <c r="H422" t="s">
        <v>34</v>
      </c>
      <c r="I422" t="s">
        <v>34</v>
      </c>
      <c r="L422" t="s">
        <v>34</v>
      </c>
      <c r="N422" s="61" t="s">
        <v>3784</v>
      </c>
      <c r="O422">
        <v>58360</v>
      </c>
    </row>
    <row r="423" spans="1:15" x14ac:dyDescent="0.2">
      <c r="A423" t="s">
        <v>4131</v>
      </c>
      <c r="B423" s="61" t="s">
        <v>34</v>
      </c>
      <c r="C423" s="61" t="s">
        <v>34</v>
      </c>
      <c r="F423" t="s">
        <v>4131</v>
      </c>
      <c r="G423" t="s">
        <v>6073</v>
      </c>
      <c r="H423" t="s">
        <v>34</v>
      </c>
      <c r="I423" t="s">
        <v>34</v>
      </c>
      <c r="L423" t="s">
        <v>34</v>
      </c>
      <c r="N423" s="61" t="s">
        <v>3784</v>
      </c>
      <c r="O423">
        <v>58359</v>
      </c>
    </row>
    <row r="424" spans="1:15" x14ac:dyDescent="0.2">
      <c r="A424" t="s">
        <v>4132</v>
      </c>
      <c r="B424" s="61" t="s">
        <v>7399</v>
      </c>
      <c r="C424" s="61" t="s">
        <v>34</v>
      </c>
      <c r="F424" t="s">
        <v>4132</v>
      </c>
      <c r="G424" t="s">
        <v>6073</v>
      </c>
      <c r="H424" t="s">
        <v>34</v>
      </c>
      <c r="I424" t="s">
        <v>34</v>
      </c>
      <c r="L424" t="s">
        <v>7400</v>
      </c>
      <c r="M424" t="s">
        <v>6078</v>
      </c>
      <c r="N424" s="61" t="s">
        <v>6223</v>
      </c>
      <c r="O424">
        <v>57428</v>
      </c>
    </row>
    <row r="425" spans="1:15" x14ac:dyDescent="0.2">
      <c r="A425" t="s">
        <v>4133</v>
      </c>
      <c r="B425" s="61" t="s">
        <v>7401</v>
      </c>
      <c r="C425" s="61" t="s">
        <v>34</v>
      </c>
      <c r="F425" t="s">
        <v>4133</v>
      </c>
      <c r="G425" t="s">
        <v>6073</v>
      </c>
      <c r="H425" t="s">
        <v>34</v>
      </c>
      <c r="I425" t="s">
        <v>34</v>
      </c>
      <c r="L425" t="s">
        <v>7402</v>
      </c>
      <c r="M425" t="s">
        <v>6078</v>
      </c>
      <c r="N425" s="61" t="s">
        <v>6182</v>
      </c>
      <c r="O425">
        <v>57427</v>
      </c>
    </row>
    <row r="426" spans="1:15" x14ac:dyDescent="0.2">
      <c r="A426" t="s">
        <v>4134</v>
      </c>
      <c r="B426" s="61" t="s">
        <v>7403</v>
      </c>
      <c r="C426" s="61" t="s">
        <v>34</v>
      </c>
      <c r="F426" t="s">
        <v>4134</v>
      </c>
      <c r="G426" t="s">
        <v>6073</v>
      </c>
      <c r="H426" t="s">
        <v>34</v>
      </c>
      <c r="I426" t="s">
        <v>7404</v>
      </c>
      <c r="L426" t="s">
        <v>7405</v>
      </c>
      <c r="M426" t="s">
        <v>6078</v>
      </c>
      <c r="N426" s="61" t="s">
        <v>6083</v>
      </c>
      <c r="O426">
        <v>57426</v>
      </c>
    </row>
    <row r="427" spans="1:15" x14ac:dyDescent="0.2">
      <c r="A427" t="s">
        <v>4135</v>
      </c>
      <c r="B427" s="61" t="s">
        <v>7406</v>
      </c>
      <c r="C427" s="61" t="s">
        <v>34</v>
      </c>
      <c r="F427" t="s">
        <v>4135</v>
      </c>
      <c r="G427" t="s">
        <v>6073</v>
      </c>
      <c r="H427" t="s">
        <v>34</v>
      </c>
      <c r="I427" t="s">
        <v>7407</v>
      </c>
      <c r="L427" t="s">
        <v>7408</v>
      </c>
      <c r="M427" t="s">
        <v>6346</v>
      </c>
      <c r="N427" s="61" t="s">
        <v>7409</v>
      </c>
      <c r="O427">
        <v>57425</v>
      </c>
    </row>
    <row r="428" spans="1:15" x14ac:dyDescent="0.2">
      <c r="A428" t="s">
        <v>4136</v>
      </c>
      <c r="B428" s="61" t="s">
        <v>7410</v>
      </c>
      <c r="C428" s="61" t="s">
        <v>34</v>
      </c>
      <c r="F428" t="s">
        <v>4136</v>
      </c>
      <c r="G428" t="s">
        <v>6073</v>
      </c>
      <c r="H428" t="s">
        <v>34</v>
      </c>
      <c r="I428" t="s">
        <v>7411</v>
      </c>
      <c r="L428" t="s">
        <v>7412</v>
      </c>
      <c r="M428" t="s">
        <v>6078</v>
      </c>
      <c r="N428" s="61" t="s">
        <v>6314</v>
      </c>
      <c r="O428">
        <v>57424</v>
      </c>
    </row>
    <row r="429" spans="1:15" x14ac:dyDescent="0.2">
      <c r="A429" t="s">
        <v>4137</v>
      </c>
      <c r="B429" s="61" t="s">
        <v>7413</v>
      </c>
      <c r="C429" s="61" t="s">
        <v>34</v>
      </c>
      <c r="F429" t="s">
        <v>4137</v>
      </c>
      <c r="G429" t="s">
        <v>6073</v>
      </c>
      <c r="H429" t="s">
        <v>34</v>
      </c>
      <c r="I429" t="s">
        <v>7414</v>
      </c>
      <c r="L429" t="s">
        <v>7415</v>
      </c>
      <c r="M429" t="s">
        <v>6078</v>
      </c>
      <c r="N429" s="61" t="s">
        <v>6083</v>
      </c>
      <c r="O429">
        <v>57423</v>
      </c>
    </row>
    <row r="430" spans="1:15" x14ac:dyDescent="0.2">
      <c r="A430" t="s">
        <v>4138</v>
      </c>
      <c r="B430" s="61" t="s">
        <v>34</v>
      </c>
      <c r="C430" s="61" t="s">
        <v>34</v>
      </c>
      <c r="F430" t="s">
        <v>4138</v>
      </c>
      <c r="G430" t="s">
        <v>6073</v>
      </c>
      <c r="H430" t="s">
        <v>34</v>
      </c>
      <c r="I430" t="s">
        <v>34</v>
      </c>
      <c r="L430" t="s">
        <v>34</v>
      </c>
      <c r="N430" s="61" t="s">
        <v>3784</v>
      </c>
      <c r="O430">
        <v>58358</v>
      </c>
    </row>
    <row r="431" spans="1:15" x14ac:dyDescent="0.2">
      <c r="A431" t="s">
        <v>4139</v>
      </c>
      <c r="B431" s="61" t="s">
        <v>34</v>
      </c>
      <c r="C431" s="61" t="s">
        <v>34</v>
      </c>
      <c r="F431" t="s">
        <v>4139</v>
      </c>
      <c r="G431" t="s">
        <v>6073</v>
      </c>
      <c r="H431" t="s">
        <v>34</v>
      </c>
      <c r="I431" t="s">
        <v>34</v>
      </c>
      <c r="L431" t="s">
        <v>34</v>
      </c>
      <c r="N431" s="61" t="s">
        <v>3784</v>
      </c>
      <c r="O431">
        <v>58357</v>
      </c>
    </row>
    <row r="432" spans="1:15" x14ac:dyDescent="0.2">
      <c r="A432" t="s">
        <v>4140</v>
      </c>
      <c r="B432" s="61" t="s">
        <v>7416</v>
      </c>
      <c r="C432" s="61" t="s">
        <v>34</v>
      </c>
      <c r="F432" t="s">
        <v>4140</v>
      </c>
      <c r="G432" t="s">
        <v>6073</v>
      </c>
      <c r="I432" t="s">
        <v>7417</v>
      </c>
      <c r="L432" t="s">
        <v>7418</v>
      </c>
      <c r="M432" t="s">
        <v>6078</v>
      </c>
      <c r="N432" s="61" t="s">
        <v>6128</v>
      </c>
      <c r="O432">
        <v>57444</v>
      </c>
    </row>
    <row r="433" spans="1:15" x14ac:dyDescent="0.2">
      <c r="A433" t="s">
        <v>4141</v>
      </c>
      <c r="B433" s="61" t="s">
        <v>7419</v>
      </c>
      <c r="C433" s="61" t="s">
        <v>34</v>
      </c>
      <c r="F433" t="s">
        <v>4141</v>
      </c>
      <c r="G433" t="s">
        <v>6073</v>
      </c>
      <c r="L433" t="s">
        <v>7420</v>
      </c>
      <c r="M433" t="s">
        <v>6266</v>
      </c>
      <c r="N433" s="61" t="s">
        <v>7421</v>
      </c>
      <c r="O433">
        <v>57445</v>
      </c>
    </row>
    <row r="434" spans="1:15" x14ac:dyDescent="0.2">
      <c r="A434" t="s">
        <v>4142</v>
      </c>
      <c r="B434" s="61" t="s">
        <v>7422</v>
      </c>
      <c r="C434" s="61" t="s">
        <v>34</v>
      </c>
      <c r="F434" t="s">
        <v>4142</v>
      </c>
      <c r="G434" t="s">
        <v>6073</v>
      </c>
      <c r="H434" t="s">
        <v>34</v>
      </c>
      <c r="I434" t="s">
        <v>7423</v>
      </c>
      <c r="L434" t="s">
        <v>7424</v>
      </c>
      <c r="M434" t="s">
        <v>6078</v>
      </c>
      <c r="N434" s="61" t="s">
        <v>6386</v>
      </c>
      <c r="O434">
        <v>57446</v>
      </c>
    </row>
    <row r="435" spans="1:15" x14ac:dyDescent="0.2">
      <c r="A435" t="s">
        <v>4143</v>
      </c>
      <c r="B435" s="61" t="s">
        <v>7425</v>
      </c>
      <c r="C435" s="61" t="s">
        <v>34</v>
      </c>
      <c r="F435" t="s">
        <v>4143</v>
      </c>
      <c r="G435" t="s">
        <v>6073</v>
      </c>
      <c r="H435" t="s">
        <v>34</v>
      </c>
      <c r="I435" t="s">
        <v>7426</v>
      </c>
      <c r="L435" t="s">
        <v>7427</v>
      </c>
      <c r="M435" t="s">
        <v>6078</v>
      </c>
      <c r="N435" s="61" t="s">
        <v>6525</v>
      </c>
      <c r="O435">
        <v>57447</v>
      </c>
    </row>
    <row r="436" spans="1:15" x14ac:dyDescent="0.2">
      <c r="A436" t="s">
        <v>4144</v>
      </c>
      <c r="B436" s="61" t="s">
        <v>7428</v>
      </c>
      <c r="C436" s="61" t="s">
        <v>34</v>
      </c>
      <c r="F436" t="s">
        <v>4144</v>
      </c>
      <c r="G436" t="s">
        <v>6073</v>
      </c>
      <c r="H436" t="s">
        <v>34</v>
      </c>
      <c r="I436" t="s">
        <v>34</v>
      </c>
      <c r="L436" t="s">
        <v>7429</v>
      </c>
      <c r="M436" t="s">
        <v>6078</v>
      </c>
      <c r="N436" s="61" t="s">
        <v>6128</v>
      </c>
      <c r="O436">
        <v>57468</v>
      </c>
    </row>
    <row r="437" spans="1:15" x14ac:dyDescent="0.2">
      <c r="A437" t="s">
        <v>4145</v>
      </c>
      <c r="B437" s="61" t="s">
        <v>34</v>
      </c>
      <c r="C437" s="61" t="s">
        <v>34</v>
      </c>
      <c r="F437" t="s">
        <v>4145</v>
      </c>
      <c r="G437" t="s">
        <v>6073</v>
      </c>
      <c r="H437" t="s">
        <v>34</v>
      </c>
      <c r="I437" t="s">
        <v>34</v>
      </c>
      <c r="L437" t="s">
        <v>34</v>
      </c>
      <c r="N437" s="61" t="s">
        <v>3784</v>
      </c>
      <c r="O437">
        <v>58332</v>
      </c>
    </row>
    <row r="438" spans="1:15" x14ac:dyDescent="0.2">
      <c r="A438" t="s">
        <v>4146</v>
      </c>
      <c r="B438" s="61" t="s">
        <v>7430</v>
      </c>
      <c r="C438" s="61" t="s">
        <v>34</v>
      </c>
      <c r="F438" t="s">
        <v>4146</v>
      </c>
      <c r="G438" t="s">
        <v>6073</v>
      </c>
      <c r="H438" t="s">
        <v>34</v>
      </c>
      <c r="I438" t="s">
        <v>34</v>
      </c>
      <c r="L438" t="s">
        <v>7431</v>
      </c>
      <c r="M438" t="s">
        <v>6078</v>
      </c>
      <c r="N438" s="61" t="s">
        <v>6211</v>
      </c>
      <c r="O438">
        <v>57467</v>
      </c>
    </row>
    <row r="439" spans="1:15" x14ac:dyDescent="0.2">
      <c r="A439" t="s">
        <v>4147</v>
      </c>
      <c r="B439" s="61" t="s">
        <v>7432</v>
      </c>
      <c r="C439" s="61" t="s">
        <v>34</v>
      </c>
      <c r="F439" t="s">
        <v>4147</v>
      </c>
      <c r="G439" t="s">
        <v>6073</v>
      </c>
      <c r="H439" t="s">
        <v>34</v>
      </c>
      <c r="I439" t="s">
        <v>7433</v>
      </c>
      <c r="L439" t="s">
        <v>7434</v>
      </c>
      <c r="M439" t="s">
        <v>6078</v>
      </c>
      <c r="N439" s="61" t="s">
        <v>6299</v>
      </c>
      <c r="O439">
        <v>57466</v>
      </c>
    </row>
    <row r="440" spans="1:15" x14ac:dyDescent="0.2">
      <c r="A440" t="s">
        <v>4148</v>
      </c>
      <c r="B440" s="61" t="s">
        <v>34</v>
      </c>
      <c r="C440" s="61" t="s">
        <v>34</v>
      </c>
      <c r="F440" t="s">
        <v>4148</v>
      </c>
      <c r="G440" t="s">
        <v>6073</v>
      </c>
      <c r="H440" t="s">
        <v>34</v>
      </c>
      <c r="I440" t="s">
        <v>34</v>
      </c>
      <c r="L440" t="s">
        <v>7435</v>
      </c>
      <c r="N440" s="61" t="s">
        <v>3784</v>
      </c>
      <c r="O440">
        <v>57465</v>
      </c>
    </row>
    <row r="441" spans="1:15" x14ac:dyDescent="0.2">
      <c r="A441" t="s">
        <v>365</v>
      </c>
      <c r="B441" s="61" t="s">
        <v>7436</v>
      </c>
      <c r="C441" s="61" t="s">
        <v>34</v>
      </c>
      <c r="F441" t="s">
        <v>365</v>
      </c>
      <c r="G441" t="s">
        <v>6073</v>
      </c>
      <c r="H441" t="s">
        <v>7437</v>
      </c>
      <c r="I441" t="s">
        <v>7438</v>
      </c>
      <c r="L441" t="s">
        <v>7438</v>
      </c>
      <c r="M441" t="s">
        <v>6078</v>
      </c>
      <c r="N441" s="61" t="s">
        <v>6110</v>
      </c>
      <c r="O441">
        <v>57464</v>
      </c>
    </row>
    <row r="442" spans="1:15" x14ac:dyDescent="0.2">
      <c r="A442" t="s">
        <v>4149</v>
      </c>
      <c r="B442" s="61" t="s">
        <v>7439</v>
      </c>
      <c r="C442" s="61" t="s">
        <v>34</v>
      </c>
      <c r="F442" t="s">
        <v>4149</v>
      </c>
      <c r="G442" t="s">
        <v>6073</v>
      </c>
      <c r="H442" t="s">
        <v>34</v>
      </c>
      <c r="I442" t="s">
        <v>7440</v>
      </c>
      <c r="L442" t="s">
        <v>7441</v>
      </c>
      <c r="M442" t="s">
        <v>6078</v>
      </c>
      <c r="N442" s="61" t="s">
        <v>6211</v>
      </c>
      <c r="O442">
        <v>57463</v>
      </c>
    </row>
    <row r="443" spans="1:15" x14ac:dyDescent="0.2">
      <c r="A443" t="s">
        <v>4150</v>
      </c>
      <c r="B443" s="61" t="s">
        <v>7442</v>
      </c>
      <c r="C443" s="61" t="s">
        <v>34</v>
      </c>
      <c r="F443" t="s">
        <v>4150</v>
      </c>
      <c r="G443" t="s">
        <v>6073</v>
      </c>
      <c r="I443" t="s">
        <v>7443</v>
      </c>
      <c r="L443" t="s">
        <v>6640</v>
      </c>
      <c r="N443" s="61" t="s">
        <v>6128</v>
      </c>
      <c r="O443">
        <v>57470</v>
      </c>
    </row>
    <row r="444" spans="1:15" x14ac:dyDescent="0.2">
      <c r="A444" t="s">
        <v>4151</v>
      </c>
      <c r="B444" s="61" t="s">
        <v>7444</v>
      </c>
      <c r="C444" s="61" t="s">
        <v>34</v>
      </c>
      <c r="F444" t="s">
        <v>4151</v>
      </c>
      <c r="G444" t="s">
        <v>6073</v>
      </c>
      <c r="H444" t="s">
        <v>34</v>
      </c>
      <c r="I444" t="s">
        <v>34</v>
      </c>
      <c r="L444" t="s">
        <v>7445</v>
      </c>
      <c r="M444" t="s">
        <v>6078</v>
      </c>
      <c r="N444" s="61" t="s">
        <v>6100</v>
      </c>
      <c r="O444">
        <v>57459</v>
      </c>
    </row>
    <row r="445" spans="1:15" x14ac:dyDescent="0.2">
      <c r="A445" t="s">
        <v>4152</v>
      </c>
      <c r="B445" s="61" t="s">
        <v>7446</v>
      </c>
      <c r="C445" s="61" t="s">
        <v>34</v>
      </c>
      <c r="F445" t="s">
        <v>4152</v>
      </c>
      <c r="G445" t="s">
        <v>6073</v>
      </c>
      <c r="H445" t="s">
        <v>34</v>
      </c>
      <c r="I445" t="s">
        <v>34</v>
      </c>
      <c r="L445" t="s">
        <v>34</v>
      </c>
      <c r="M445" t="s">
        <v>6078</v>
      </c>
      <c r="N445" s="61" t="s">
        <v>7447</v>
      </c>
      <c r="O445">
        <v>57457</v>
      </c>
    </row>
    <row r="446" spans="1:15" x14ac:dyDescent="0.2">
      <c r="A446" t="s">
        <v>4153</v>
      </c>
      <c r="B446" s="61" t="s">
        <v>7448</v>
      </c>
      <c r="C446" s="61" t="s">
        <v>34</v>
      </c>
      <c r="F446" t="s">
        <v>4153</v>
      </c>
      <c r="G446" t="s">
        <v>6073</v>
      </c>
      <c r="L446" t="s">
        <v>7449</v>
      </c>
      <c r="M446" t="s">
        <v>6078</v>
      </c>
      <c r="N446" s="61" t="s">
        <v>6083</v>
      </c>
      <c r="O446">
        <v>76086</v>
      </c>
    </row>
    <row r="447" spans="1:15" x14ac:dyDescent="0.2">
      <c r="A447" t="s">
        <v>4154</v>
      </c>
      <c r="B447" s="61" t="s">
        <v>7450</v>
      </c>
      <c r="C447" s="61" t="s">
        <v>34</v>
      </c>
      <c r="F447" t="s">
        <v>4154</v>
      </c>
      <c r="G447" t="s">
        <v>6073</v>
      </c>
      <c r="H447" t="s">
        <v>34</v>
      </c>
      <c r="I447" t="s">
        <v>34</v>
      </c>
      <c r="L447" t="s">
        <v>7451</v>
      </c>
      <c r="M447" t="s">
        <v>6078</v>
      </c>
      <c r="N447" s="61" t="s">
        <v>6164</v>
      </c>
      <c r="O447">
        <v>57456</v>
      </c>
    </row>
    <row r="448" spans="1:15" x14ac:dyDescent="0.2">
      <c r="A448" t="s">
        <v>4155</v>
      </c>
      <c r="B448" s="61" t="s">
        <v>7452</v>
      </c>
      <c r="C448" s="61" t="s">
        <v>34</v>
      </c>
      <c r="F448" t="s">
        <v>4155</v>
      </c>
      <c r="G448" t="s">
        <v>6073</v>
      </c>
      <c r="H448" t="s">
        <v>34</v>
      </c>
      <c r="I448" t="s">
        <v>34</v>
      </c>
      <c r="L448" t="s">
        <v>7453</v>
      </c>
      <c r="M448" t="s">
        <v>6078</v>
      </c>
      <c r="N448" s="61" t="s">
        <v>6444</v>
      </c>
      <c r="O448">
        <v>57455</v>
      </c>
    </row>
    <row r="449" spans="1:15" x14ac:dyDescent="0.2">
      <c r="A449" t="s">
        <v>4156</v>
      </c>
      <c r="B449" s="61" t="s">
        <v>7454</v>
      </c>
      <c r="C449" s="61" t="s">
        <v>34</v>
      </c>
      <c r="F449" t="s">
        <v>4156</v>
      </c>
      <c r="G449" t="s">
        <v>6073</v>
      </c>
      <c r="H449" t="s">
        <v>34</v>
      </c>
      <c r="I449" t="s">
        <v>34</v>
      </c>
      <c r="L449" t="s">
        <v>7455</v>
      </c>
      <c r="M449" t="s">
        <v>6078</v>
      </c>
      <c r="N449" s="61" t="s">
        <v>6211</v>
      </c>
      <c r="O449">
        <v>57454</v>
      </c>
    </row>
    <row r="450" spans="1:15" x14ac:dyDescent="0.2">
      <c r="A450" t="s">
        <v>4157</v>
      </c>
      <c r="B450" s="61" t="s">
        <v>7456</v>
      </c>
      <c r="C450" s="61" t="s">
        <v>34</v>
      </c>
      <c r="F450" t="s">
        <v>4157</v>
      </c>
      <c r="G450" t="s">
        <v>6073</v>
      </c>
      <c r="H450" t="s">
        <v>34</v>
      </c>
      <c r="I450" t="s">
        <v>34</v>
      </c>
      <c r="L450" t="s">
        <v>34</v>
      </c>
      <c r="M450" t="s">
        <v>6635</v>
      </c>
      <c r="N450" s="61" t="s">
        <v>7457</v>
      </c>
      <c r="O450">
        <v>58379</v>
      </c>
    </row>
    <row r="451" spans="1:15" x14ac:dyDescent="0.2">
      <c r="A451" t="s">
        <v>4158</v>
      </c>
      <c r="B451" s="61" t="s">
        <v>7458</v>
      </c>
      <c r="C451" s="61" t="s">
        <v>34</v>
      </c>
      <c r="F451" t="s">
        <v>4158</v>
      </c>
      <c r="G451" t="s">
        <v>6073</v>
      </c>
      <c r="I451" t="s">
        <v>7459</v>
      </c>
      <c r="L451" t="s">
        <v>7460</v>
      </c>
      <c r="M451" t="s">
        <v>6240</v>
      </c>
      <c r="N451" s="61" t="s">
        <v>7461</v>
      </c>
      <c r="O451">
        <v>57453</v>
      </c>
    </row>
    <row r="452" spans="1:15" x14ac:dyDescent="0.2">
      <c r="A452" t="s">
        <v>368</v>
      </c>
      <c r="B452" s="61" t="s">
        <v>7462</v>
      </c>
      <c r="C452" s="61" t="s">
        <v>34</v>
      </c>
      <c r="F452" t="s">
        <v>368</v>
      </c>
      <c r="G452" t="s">
        <v>6073</v>
      </c>
      <c r="I452" t="s">
        <v>7463</v>
      </c>
      <c r="L452" t="s">
        <v>7464</v>
      </c>
      <c r="M452" t="s">
        <v>6078</v>
      </c>
      <c r="N452" s="61" t="s">
        <v>7465</v>
      </c>
      <c r="O452">
        <v>57452</v>
      </c>
    </row>
    <row r="453" spans="1:15" x14ac:dyDescent="0.2">
      <c r="A453" t="s">
        <v>4159</v>
      </c>
      <c r="B453" s="61" t="s">
        <v>7466</v>
      </c>
      <c r="C453" s="61" t="s">
        <v>34</v>
      </c>
      <c r="F453" t="s">
        <v>4159</v>
      </c>
      <c r="G453" t="s">
        <v>6073</v>
      </c>
      <c r="M453" t="s">
        <v>6266</v>
      </c>
      <c r="N453" s="61" t="s">
        <v>7467</v>
      </c>
      <c r="O453">
        <v>57451</v>
      </c>
    </row>
    <row r="454" spans="1:15" x14ac:dyDescent="0.2">
      <c r="A454" t="s">
        <v>4160</v>
      </c>
      <c r="B454" s="61" t="s">
        <v>7468</v>
      </c>
      <c r="C454" s="61" t="s">
        <v>7469</v>
      </c>
      <c r="F454" t="s">
        <v>4160</v>
      </c>
      <c r="G454" t="s">
        <v>6316</v>
      </c>
      <c r="H454" t="s">
        <v>34</v>
      </c>
      <c r="I454" t="s">
        <v>34</v>
      </c>
      <c r="L454" t="s">
        <v>7470</v>
      </c>
      <c r="M454" t="s">
        <v>7471</v>
      </c>
      <c r="N454" s="61" t="s">
        <v>7472</v>
      </c>
      <c r="O454">
        <v>57450</v>
      </c>
    </row>
    <row r="455" spans="1:15" x14ac:dyDescent="0.2">
      <c r="A455" t="s">
        <v>4161</v>
      </c>
      <c r="B455" s="61" t="s">
        <v>7477</v>
      </c>
      <c r="C455" s="61" t="s">
        <v>34</v>
      </c>
      <c r="F455" t="s">
        <v>4161</v>
      </c>
      <c r="G455" t="s">
        <v>6073</v>
      </c>
      <c r="M455" t="s">
        <v>6635</v>
      </c>
      <c r="N455" s="61" t="s">
        <v>7478</v>
      </c>
      <c r="O455">
        <v>63314</v>
      </c>
    </row>
    <row r="456" spans="1:15" x14ac:dyDescent="0.2">
      <c r="A456" t="s">
        <v>4161</v>
      </c>
      <c r="B456" s="61" t="s">
        <v>7473</v>
      </c>
      <c r="C456" s="61" t="s">
        <v>34</v>
      </c>
      <c r="F456" t="s">
        <v>4161</v>
      </c>
      <c r="G456" t="s">
        <v>6073</v>
      </c>
      <c r="I456" t="s">
        <v>7474</v>
      </c>
      <c r="L456" t="s">
        <v>7475</v>
      </c>
      <c r="M456" t="s">
        <v>6635</v>
      </c>
      <c r="N456" s="61" t="s">
        <v>7476</v>
      </c>
      <c r="O456">
        <v>70594</v>
      </c>
    </row>
    <row r="457" spans="1:15" x14ac:dyDescent="0.2">
      <c r="A457" t="s">
        <v>4162</v>
      </c>
      <c r="B457" s="61" t="s">
        <v>7479</v>
      </c>
      <c r="C457" s="61" t="s">
        <v>34</v>
      </c>
      <c r="F457" t="s">
        <v>4162</v>
      </c>
      <c r="G457" t="s">
        <v>6073</v>
      </c>
      <c r="H457" t="s">
        <v>7480</v>
      </c>
      <c r="I457" t="s">
        <v>7481</v>
      </c>
      <c r="J457" t="s">
        <v>7482</v>
      </c>
      <c r="K457" t="s">
        <v>7483</v>
      </c>
      <c r="L457" t="s">
        <v>7484</v>
      </c>
      <c r="M457" t="s">
        <v>6095</v>
      </c>
      <c r="N457" s="61" t="s">
        <v>7485</v>
      </c>
      <c r="O457">
        <v>95087</v>
      </c>
    </row>
    <row r="458" spans="1:15" x14ac:dyDescent="0.2">
      <c r="A458" t="s">
        <v>4163</v>
      </c>
      <c r="B458" s="61" t="s">
        <v>7486</v>
      </c>
      <c r="C458" s="61" t="s">
        <v>34</v>
      </c>
      <c r="F458" t="s">
        <v>4163</v>
      </c>
      <c r="G458" t="s">
        <v>6073</v>
      </c>
      <c r="I458" t="s">
        <v>7487</v>
      </c>
      <c r="L458" t="s">
        <v>7488</v>
      </c>
      <c r="M458" t="s">
        <v>7489</v>
      </c>
      <c r="N458" s="61" t="s">
        <v>7490</v>
      </c>
      <c r="O458">
        <v>57448</v>
      </c>
    </row>
    <row r="459" spans="1:15" x14ac:dyDescent="0.2">
      <c r="A459" t="s">
        <v>4164</v>
      </c>
      <c r="B459" s="61" t="s">
        <v>7491</v>
      </c>
      <c r="C459" s="61" t="s">
        <v>34</v>
      </c>
      <c r="F459" t="s">
        <v>4164</v>
      </c>
      <c r="G459" t="s">
        <v>6073</v>
      </c>
      <c r="L459" t="s">
        <v>7492</v>
      </c>
      <c r="M459" t="s">
        <v>6104</v>
      </c>
      <c r="N459" s="61" t="s">
        <v>7493</v>
      </c>
      <c r="O459">
        <v>71667</v>
      </c>
    </row>
    <row r="460" spans="1:15" x14ac:dyDescent="0.2">
      <c r="A460" t="s">
        <v>4165</v>
      </c>
      <c r="B460" s="61" t="s">
        <v>7494</v>
      </c>
      <c r="C460" s="61" t="s">
        <v>34</v>
      </c>
      <c r="F460" t="s">
        <v>4165</v>
      </c>
      <c r="G460" t="s">
        <v>6073</v>
      </c>
      <c r="H460" t="s">
        <v>7495</v>
      </c>
      <c r="I460" t="s">
        <v>7496</v>
      </c>
      <c r="L460" t="s">
        <v>7497</v>
      </c>
      <c r="M460" t="s">
        <v>6078</v>
      </c>
      <c r="N460" s="61" t="s">
        <v>6363</v>
      </c>
      <c r="O460">
        <v>57421</v>
      </c>
    </row>
    <row r="461" spans="1:15" x14ac:dyDescent="0.2">
      <c r="A461" t="s">
        <v>4166</v>
      </c>
      <c r="B461" s="61" t="s">
        <v>7498</v>
      </c>
      <c r="C461" s="61" t="s">
        <v>34</v>
      </c>
      <c r="F461" t="s">
        <v>4166</v>
      </c>
      <c r="G461" t="s">
        <v>6073</v>
      </c>
      <c r="I461" t="s">
        <v>7499</v>
      </c>
      <c r="L461" t="s">
        <v>7500</v>
      </c>
      <c r="M461" t="s">
        <v>6235</v>
      </c>
      <c r="N461" s="61" t="s">
        <v>6485</v>
      </c>
      <c r="O461">
        <v>57420</v>
      </c>
    </row>
    <row r="462" spans="1:15" x14ac:dyDescent="0.2">
      <c r="A462" t="s">
        <v>4167</v>
      </c>
      <c r="B462" s="61" t="s">
        <v>7501</v>
      </c>
      <c r="C462" s="61" t="s">
        <v>34</v>
      </c>
      <c r="F462" t="s">
        <v>4167</v>
      </c>
      <c r="G462" t="s">
        <v>6073</v>
      </c>
      <c r="H462" t="s">
        <v>34</v>
      </c>
      <c r="I462" t="s">
        <v>34</v>
      </c>
      <c r="L462" t="s">
        <v>7502</v>
      </c>
      <c r="M462" t="s">
        <v>6168</v>
      </c>
      <c r="N462" s="61" t="s">
        <v>7503</v>
      </c>
      <c r="O462">
        <v>57395</v>
      </c>
    </row>
    <row r="463" spans="1:15" x14ac:dyDescent="0.2">
      <c r="A463" t="s">
        <v>4168</v>
      </c>
      <c r="B463" s="61" t="s">
        <v>7504</v>
      </c>
      <c r="C463" s="61" t="s">
        <v>34</v>
      </c>
      <c r="F463" t="s">
        <v>4168</v>
      </c>
      <c r="G463" t="s">
        <v>6073</v>
      </c>
      <c r="H463" t="s">
        <v>34</v>
      </c>
      <c r="I463" t="s">
        <v>7505</v>
      </c>
      <c r="L463" t="s">
        <v>7506</v>
      </c>
      <c r="M463" t="s">
        <v>6104</v>
      </c>
      <c r="N463" s="61" t="s">
        <v>7507</v>
      </c>
      <c r="O463">
        <v>57393</v>
      </c>
    </row>
    <row r="464" spans="1:15" x14ac:dyDescent="0.2">
      <c r="A464" t="s">
        <v>4169</v>
      </c>
      <c r="B464" s="61" t="s">
        <v>7508</v>
      </c>
      <c r="C464" s="61" t="s">
        <v>34</v>
      </c>
      <c r="F464" t="s">
        <v>4169</v>
      </c>
      <c r="G464" t="s">
        <v>6073</v>
      </c>
      <c r="H464" t="s">
        <v>34</v>
      </c>
      <c r="I464" t="s">
        <v>7509</v>
      </c>
      <c r="L464" t="s">
        <v>7510</v>
      </c>
      <c r="M464" t="s">
        <v>6078</v>
      </c>
      <c r="N464" s="61" t="s">
        <v>6568</v>
      </c>
      <c r="O464">
        <v>57469</v>
      </c>
    </row>
    <row r="465" spans="1:15" x14ac:dyDescent="0.2">
      <c r="A465" t="s">
        <v>4170</v>
      </c>
      <c r="B465" s="61" t="s">
        <v>7511</v>
      </c>
      <c r="C465" s="61" t="s">
        <v>34</v>
      </c>
      <c r="F465" t="s">
        <v>4170</v>
      </c>
      <c r="G465" t="s">
        <v>6073</v>
      </c>
      <c r="H465" t="s">
        <v>7512</v>
      </c>
      <c r="J465" t="s">
        <v>7513</v>
      </c>
      <c r="K465" t="s">
        <v>7514</v>
      </c>
      <c r="L465" t="s">
        <v>7515</v>
      </c>
      <c r="M465" t="s">
        <v>6078</v>
      </c>
      <c r="N465" s="61" t="s">
        <v>7516</v>
      </c>
      <c r="O465">
        <v>125709</v>
      </c>
    </row>
    <row r="466" spans="1:15" x14ac:dyDescent="0.2">
      <c r="A466" t="s">
        <v>4171</v>
      </c>
      <c r="B466" s="61" t="s">
        <v>7517</v>
      </c>
      <c r="C466" s="61" t="s">
        <v>34</v>
      </c>
      <c r="F466" t="s">
        <v>4171</v>
      </c>
      <c r="G466" t="s">
        <v>6073</v>
      </c>
      <c r="J466" t="s">
        <v>7518</v>
      </c>
      <c r="K466" t="s">
        <v>7519</v>
      </c>
      <c r="L466" t="s">
        <v>7520</v>
      </c>
      <c r="M466" t="s">
        <v>6078</v>
      </c>
      <c r="N466" s="61" t="s">
        <v>6584</v>
      </c>
      <c r="O466">
        <v>118668</v>
      </c>
    </row>
    <row r="467" spans="1:15" x14ac:dyDescent="0.2">
      <c r="A467" t="s">
        <v>4172</v>
      </c>
      <c r="B467" s="61" t="s">
        <v>7521</v>
      </c>
      <c r="C467" s="61" t="s">
        <v>34</v>
      </c>
      <c r="F467" t="s">
        <v>4172</v>
      </c>
      <c r="G467" t="s">
        <v>6073</v>
      </c>
      <c r="J467" t="s">
        <v>6391</v>
      </c>
      <c r="K467" t="s">
        <v>7522</v>
      </c>
      <c r="L467" t="s">
        <v>7523</v>
      </c>
      <c r="M467" t="s">
        <v>6078</v>
      </c>
      <c r="N467" s="61" t="s">
        <v>6577</v>
      </c>
      <c r="O467">
        <v>94313</v>
      </c>
    </row>
    <row r="468" spans="1:15" x14ac:dyDescent="0.2">
      <c r="A468" t="s">
        <v>4173</v>
      </c>
      <c r="B468" s="61" t="s">
        <v>7524</v>
      </c>
      <c r="C468" s="61" t="s">
        <v>34</v>
      </c>
      <c r="F468" t="s">
        <v>4173</v>
      </c>
      <c r="G468" t="s">
        <v>7525</v>
      </c>
      <c r="H468" t="s">
        <v>34</v>
      </c>
      <c r="I468" t="s">
        <v>34</v>
      </c>
      <c r="L468" t="s">
        <v>34</v>
      </c>
      <c r="N468" s="61" t="s">
        <v>7526</v>
      </c>
      <c r="O468">
        <v>57449</v>
      </c>
    </row>
    <row r="469" spans="1:15" x14ac:dyDescent="0.2">
      <c r="A469" t="s">
        <v>4174</v>
      </c>
      <c r="B469" s="61" t="s">
        <v>7527</v>
      </c>
      <c r="C469" s="61" t="s">
        <v>34</v>
      </c>
      <c r="F469" t="s">
        <v>4174</v>
      </c>
      <c r="G469" t="s">
        <v>6073</v>
      </c>
      <c r="J469" t="s">
        <v>7528</v>
      </c>
      <c r="K469" t="s">
        <v>6662</v>
      </c>
      <c r="L469" t="s">
        <v>7529</v>
      </c>
      <c r="M469" t="s">
        <v>6078</v>
      </c>
      <c r="N469" s="61" t="s">
        <v>6128</v>
      </c>
      <c r="O469">
        <v>115733</v>
      </c>
    </row>
    <row r="470" spans="1:15" x14ac:dyDescent="0.2">
      <c r="A470" t="s">
        <v>4175</v>
      </c>
      <c r="B470" s="61" t="s">
        <v>7530</v>
      </c>
      <c r="C470" s="61" t="s">
        <v>34</v>
      </c>
      <c r="F470" t="s">
        <v>4175</v>
      </c>
      <c r="G470" t="s">
        <v>6073</v>
      </c>
      <c r="I470" t="s">
        <v>7531</v>
      </c>
      <c r="L470" t="s">
        <v>7532</v>
      </c>
      <c r="M470" t="s">
        <v>6078</v>
      </c>
      <c r="N470" s="61" t="s">
        <v>6977</v>
      </c>
      <c r="O470">
        <v>57392</v>
      </c>
    </row>
    <row r="471" spans="1:15" x14ac:dyDescent="0.2">
      <c r="A471" t="s">
        <v>4176</v>
      </c>
      <c r="B471" s="61" t="s">
        <v>7533</v>
      </c>
      <c r="C471" s="61" t="s">
        <v>34</v>
      </c>
      <c r="F471" t="s">
        <v>4176</v>
      </c>
      <c r="G471" t="s">
        <v>6073</v>
      </c>
      <c r="H471" t="s">
        <v>34</v>
      </c>
      <c r="I471" t="s">
        <v>7534</v>
      </c>
      <c r="L471" t="s">
        <v>7535</v>
      </c>
      <c r="M471" t="s">
        <v>6078</v>
      </c>
      <c r="N471" s="61" t="s">
        <v>6128</v>
      </c>
      <c r="O471">
        <v>57391</v>
      </c>
    </row>
    <row r="472" spans="1:15" x14ac:dyDescent="0.2">
      <c r="A472" t="s">
        <v>4177</v>
      </c>
      <c r="B472" s="61" t="s">
        <v>7536</v>
      </c>
      <c r="C472" s="61" t="s">
        <v>34</v>
      </c>
      <c r="F472" t="s">
        <v>4177</v>
      </c>
      <c r="G472" t="s">
        <v>6073</v>
      </c>
      <c r="L472" t="s">
        <v>7537</v>
      </c>
      <c r="M472" t="s">
        <v>6266</v>
      </c>
      <c r="N472" s="61" t="s">
        <v>6267</v>
      </c>
      <c r="O472">
        <v>95470</v>
      </c>
    </row>
    <row r="473" spans="1:15" x14ac:dyDescent="0.2">
      <c r="A473" t="s">
        <v>4178</v>
      </c>
      <c r="B473" s="61" t="s">
        <v>7538</v>
      </c>
      <c r="C473" s="61" t="s">
        <v>34</v>
      </c>
      <c r="F473" t="s">
        <v>7539</v>
      </c>
      <c r="G473" t="s">
        <v>6073</v>
      </c>
      <c r="L473" t="s">
        <v>7537</v>
      </c>
      <c r="M473" t="s">
        <v>6266</v>
      </c>
      <c r="N473" s="61" t="s">
        <v>7467</v>
      </c>
      <c r="O473">
        <v>95471</v>
      </c>
    </row>
    <row r="474" spans="1:15" x14ac:dyDescent="0.2">
      <c r="A474" t="s">
        <v>4179</v>
      </c>
      <c r="B474" s="61" t="s">
        <v>7540</v>
      </c>
      <c r="C474" s="61" t="s">
        <v>34</v>
      </c>
      <c r="F474" t="s">
        <v>4179</v>
      </c>
      <c r="G474" t="s">
        <v>6073</v>
      </c>
      <c r="L474" t="s">
        <v>7537</v>
      </c>
      <c r="M474" t="s">
        <v>6078</v>
      </c>
      <c r="N474" s="61" t="s">
        <v>7215</v>
      </c>
      <c r="O474">
        <v>95472</v>
      </c>
    </row>
    <row r="475" spans="1:15" x14ac:dyDescent="0.2">
      <c r="A475" t="s">
        <v>4180</v>
      </c>
      <c r="B475" s="61" t="s">
        <v>7541</v>
      </c>
      <c r="C475" s="61" t="s">
        <v>34</v>
      </c>
      <c r="F475" t="s">
        <v>4180</v>
      </c>
      <c r="G475" t="s">
        <v>6073</v>
      </c>
      <c r="L475" t="s">
        <v>7537</v>
      </c>
      <c r="M475" t="s">
        <v>6266</v>
      </c>
      <c r="N475" s="61" t="s">
        <v>7542</v>
      </c>
      <c r="O475">
        <v>95475</v>
      </c>
    </row>
    <row r="476" spans="1:15" x14ac:dyDescent="0.2">
      <c r="A476" t="s">
        <v>4181</v>
      </c>
      <c r="B476" s="61" t="s">
        <v>7543</v>
      </c>
      <c r="C476" s="61" t="s">
        <v>34</v>
      </c>
      <c r="F476" t="s">
        <v>4181</v>
      </c>
      <c r="G476" t="s">
        <v>6073</v>
      </c>
      <c r="H476" t="s">
        <v>34</v>
      </c>
      <c r="I476" t="s">
        <v>7544</v>
      </c>
      <c r="L476" t="s">
        <v>7544</v>
      </c>
      <c r="M476" t="s">
        <v>6078</v>
      </c>
      <c r="N476" s="61" t="s">
        <v>6128</v>
      </c>
      <c r="O476">
        <v>57390</v>
      </c>
    </row>
    <row r="477" spans="1:15" x14ac:dyDescent="0.2">
      <c r="A477" t="s">
        <v>4182</v>
      </c>
      <c r="B477" s="61" t="s">
        <v>7545</v>
      </c>
      <c r="C477" s="61" t="s">
        <v>34</v>
      </c>
      <c r="F477" t="s">
        <v>4182</v>
      </c>
      <c r="G477" t="s">
        <v>6073</v>
      </c>
      <c r="H477" t="s">
        <v>34</v>
      </c>
      <c r="I477" t="s">
        <v>34</v>
      </c>
      <c r="L477" t="s">
        <v>7546</v>
      </c>
      <c r="M477" t="s">
        <v>6078</v>
      </c>
      <c r="N477" s="61" t="s">
        <v>7547</v>
      </c>
      <c r="O477">
        <v>57389</v>
      </c>
    </row>
    <row r="478" spans="1:15" x14ac:dyDescent="0.2">
      <c r="A478" t="s">
        <v>4183</v>
      </c>
      <c r="B478" s="61" t="s">
        <v>7548</v>
      </c>
      <c r="C478" s="61" t="s">
        <v>34</v>
      </c>
      <c r="F478" t="s">
        <v>4183</v>
      </c>
      <c r="G478" t="s">
        <v>6073</v>
      </c>
      <c r="H478" t="s">
        <v>34</v>
      </c>
      <c r="I478" t="s">
        <v>7549</v>
      </c>
      <c r="L478" t="s">
        <v>7550</v>
      </c>
      <c r="M478" t="s">
        <v>6078</v>
      </c>
      <c r="N478" s="61" t="s">
        <v>6444</v>
      </c>
      <c r="O478">
        <v>57388</v>
      </c>
    </row>
    <row r="479" spans="1:15" x14ac:dyDescent="0.2">
      <c r="A479" t="s">
        <v>4184</v>
      </c>
      <c r="B479" s="61" t="s">
        <v>7551</v>
      </c>
      <c r="C479" s="61" t="s">
        <v>34</v>
      </c>
      <c r="F479" t="s">
        <v>4184</v>
      </c>
      <c r="G479" t="s">
        <v>6073</v>
      </c>
      <c r="I479" t="s">
        <v>7552</v>
      </c>
      <c r="L479" t="s">
        <v>7553</v>
      </c>
      <c r="M479" t="s">
        <v>6095</v>
      </c>
      <c r="N479" s="61" t="s">
        <v>7554</v>
      </c>
      <c r="O479">
        <v>57387</v>
      </c>
    </row>
    <row r="480" spans="1:15" x14ac:dyDescent="0.2">
      <c r="A480" t="s">
        <v>4185</v>
      </c>
      <c r="B480" s="61" t="s">
        <v>7555</v>
      </c>
      <c r="C480" s="61" t="s">
        <v>34</v>
      </c>
      <c r="F480" t="s">
        <v>4185</v>
      </c>
      <c r="G480" t="s">
        <v>6073</v>
      </c>
      <c r="I480" t="s">
        <v>7556</v>
      </c>
      <c r="L480" t="s">
        <v>7557</v>
      </c>
      <c r="M480" t="s">
        <v>6078</v>
      </c>
      <c r="N480" s="61" t="s">
        <v>6128</v>
      </c>
      <c r="O480">
        <v>57386</v>
      </c>
    </row>
    <row r="481" spans="1:15" x14ac:dyDescent="0.2">
      <c r="A481" t="s">
        <v>4186</v>
      </c>
      <c r="B481" s="61" t="s">
        <v>7558</v>
      </c>
      <c r="C481" s="61" t="s">
        <v>34</v>
      </c>
      <c r="F481" t="s">
        <v>4186</v>
      </c>
      <c r="G481" t="s">
        <v>6073</v>
      </c>
      <c r="H481" t="s">
        <v>34</v>
      </c>
      <c r="I481" t="s">
        <v>34</v>
      </c>
      <c r="L481" t="s">
        <v>7559</v>
      </c>
      <c r="M481" t="s">
        <v>6078</v>
      </c>
      <c r="N481" s="61" t="s">
        <v>6122</v>
      </c>
      <c r="O481">
        <v>57385</v>
      </c>
    </row>
    <row r="482" spans="1:15" x14ac:dyDescent="0.2">
      <c r="A482" t="s">
        <v>4187</v>
      </c>
      <c r="B482" s="61" t="s">
        <v>7560</v>
      </c>
      <c r="C482" s="61" t="s">
        <v>34</v>
      </c>
      <c r="F482" t="s">
        <v>4187</v>
      </c>
      <c r="G482" t="s">
        <v>6073</v>
      </c>
      <c r="H482" t="s">
        <v>34</v>
      </c>
      <c r="I482" t="s">
        <v>34</v>
      </c>
      <c r="L482" t="s">
        <v>7561</v>
      </c>
      <c r="M482" t="s">
        <v>6078</v>
      </c>
      <c r="N482" s="61" t="s">
        <v>6092</v>
      </c>
      <c r="O482">
        <v>57384</v>
      </c>
    </row>
    <row r="483" spans="1:15" x14ac:dyDescent="0.2">
      <c r="A483" t="s">
        <v>4188</v>
      </c>
      <c r="B483" s="61" t="s">
        <v>7562</v>
      </c>
      <c r="C483" s="61" t="s">
        <v>7563</v>
      </c>
      <c r="F483" t="s">
        <v>4188</v>
      </c>
      <c r="G483" t="s">
        <v>6073</v>
      </c>
      <c r="H483" t="s">
        <v>34</v>
      </c>
      <c r="I483" t="s">
        <v>7564</v>
      </c>
      <c r="L483" t="s">
        <v>7565</v>
      </c>
      <c r="M483" t="s">
        <v>6104</v>
      </c>
      <c r="N483" s="61" t="s">
        <v>7566</v>
      </c>
      <c r="O483">
        <v>57383</v>
      </c>
    </row>
    <row r="484" spans="1:15" x14ac:dyDescent="0.2">
      <c r="A484" t="s">
        <v>4189</v>
      </c>
      <c r="B484" s="61" t="s">
        <v>7567</v>
      </c>
      <c r="C484" s="61" t="s">
        <v>34</v>
      </c>
      <c r="F484" t="s">
        <v>7568</v>
      </c>
      <c r="G484" t="s">
        <v>6073</v>
      </c>
      <c r="J484" t="s">
        <v>7569</v>
      </c>
      <c r="L484" t="s">
        <v>7570</v>
      </c>
      <c r="M484" t="s">
        <v>6078</v>
      </c>
      <c r="N484" s="61" t="s">
        <v>6255</v>
      </c>
      <c r="O484">
        <v>89349</v>
      </c>
    </row>
    <row r="485" spans="1:15" x14ac:dyDescent="0.2">
      <c r="A485" t="s">
        <v>4190</v>
      </c>
      <c r="B485" s="61" t="s">
        <v>7571</v>
      </c>
      <c r="C485" s="61" t="s">
        <v>34</v>
      </c>
      <c r="F485" t="s">
        <v>4190</v>
      </c>
      <c r="G485" t="s">
        <v>6073</v>
      </c>
      <c r="H485" t="s">
        <v>34</v>
      </c>
      <c r="I485" t="s">
        <v>34</v>
      </c>
      <c r="L485" t="s">
        <v>7572</v>
      </c>
      <c r="M485" t="s">
        <v>7573</v>
      </c>
      <c r="N485" s="61" t="s">
        <v>7574</v>
      </c>
      <c r="O485">
        <v>57381</v>
      </c>
    </row>
    <row r="486" spans="1:15" x14ac:dyDescent="0.2">
      <c r="A486" t="s">
        <v>379</v>
      </c>
      <c r="B486" s="61" t="s">
        <v>7575</v>
      </c>
      <c r="C486" s="61" t="s">
        <v>34</v>
      </c>
      <c r="F486" t="s">
        <v>379</v>
      </c>
      <c r="G486" t="s">
        <v>6073</v>
      </c>
      <c r="I486" t="s">
        <v>7576</v>
      </c>
      <c r="L486" t="s">
        <v>7577</v>
      </c>
      <c r="M486" t="s">
        <v>6078</v>
      </c>
      <c r="N486" s="61" t="s">
        <v>7578</v>
      </c>
      <c r="O486">
        <v>57382</v>
      </c>
    </row>
    <row r="487" spans="1:15" x14ac:dyDescent="0.2">
      <c r="A487" t="s">
        <v>4191</v>
      </c>
      <c r="B487" s="61" t="s">
        <v>7579</v>
      </c>
      <c r="C487" s="61" t="s">
        <v>34</v>
      </c>
      <c r="F487" t="s">
        <v>7580</v>
      </c>
      <c r="G487" t="s">
        <v>6073</v>
      </c>
      <c r="I487" t="s">
        <v>7581</v>
      </c>
      <c r="L487" t="s">
        <v>7582</v>
      </c>
      <c r="M487" t="s">
        <v>6908</v>
      </c>
      <c r="N487" s="61" t="s">
        <v>7583</v>
      </c>
      <c r="O487">
        <v>57380</v>
      </c>
    </row>
    <row r="488" spans="1:15" x14ac:dyDescent="0.2">
      <c r="A488" t="s">
        <v>4192</v>
      </c>
      <c r="B488" s="61" t="s">
        <v>7584</v>
      </c>
      <c r="C488" s="61" t="s">
        <v>34</v>
      </c>
      <c r="F488" t="s">
        <v>4192</v>
      </c>
      <c r="G488" t="s">
        <v>6073</v>
      </c>
      <c r="I488" t="s">
        <v>7585</v>
      </c>
      <c r="L488" t="s">
        <v>7586</v>
      </c>
      <c r="M488" t="s">
        <v>6078</v>
      </c>
      <c r="N488" s="61" t="s">
        <v>6568</v>
      </c>
      <c r="O488">
        <v>57799</v>
      </c>
    </row>
    <row r="489" spans="1:15" x14ac:dyDescent="0.2">
      <c r="A489" t="s">
        <v>4193</v>
      </c>
      <c r="B489" s="61" t="s">
        <v>7587</v>
      </c>
      <c r="C489" s="61" t="s">
        <v>34</v>
      </c>
      <c r="F489" t="s">
        <v>4193</v>
      </c>
      <c r="G489" t="s">
        <v>6073</v>
      </c>
      <c r="H489" t="s">
        <v>34</v>
      </c>
      <c r="I489" t="s">
        <v>34</v>
      </c>
      <c r="L489" t="s">
        <v>7588</v>
      </c>
      <c r="M489" t="s">
        <v>6078</v>
      </c>
      <c r="N489" s="61" t="s">
        <v>7255</v>
      </c>
      <c r="O489">
        <v>57379</v>
      </c>
    </row>
    <row r="490" spans="1:15" x14ac:dyDescent="0.2">
      <c r="A490" t="s">
        <v>4194</v>
      </c>
      <c r="B490" s="61" t="s">
        <v>7589</v>
      </c>
      <c r="C490" s="61" t="s">
        <v>34</v>
      </c>
      <c r="F490" t="s">
        <v>4194</v>
      </c>
      <c r="G490" t="s">
        <v>6073</v>
      </c>
      <c r="I490" t="s">
        <v>7590</v>
      </c>
      <c r="L490" t="s">
        <v>7591</v>
      </c>
      <c r="M490" t="s">
        <v>6266</v>
      </c>
      <c r="N490" s="61" t="s">
        <v>7592</v>
      </c>
      <c r="O490">
        <v>57378</v>
      </c>
    </row>
    <row r="491" spans="1:15" x14ac:dyDescent="0.2">
      <c r="A491" t="s">
        <v>4195</v>
      </c>
      <c r="B491" s="61" t="s">
        <v>7593</v>
      </c>
      <c r="C491" s="61" t="s">
        <v>34</v>
      </c>
      <c r="F491" t="s">
        <v>4195</v>
      </c>
      <c r="G491" t="s">
        <v>6073</v>
      </c>
      <c r="L491" t="s">
        <v>7594</v>
      </c>
      <c r="M491" t="s">
        <v>6266</v>
      </c>
      <c r="N491" s="61" t="s">
        <v>7595</v>
      </c>
      <c r="O491">
        <v>57377</v>
      </c>
    </row>
    <row r="492" spans="1:15" x14ac:dyDescent="0.2">
      <c r="A492" t="s">
        <v>4196</v>
      </c>
      <c r="B492" s="61" t="s">
        <v>7596</v>
      </c>
      <c r="C492" s="61" t="s">
        <v>34</v>
      </c>
      <c r="F492" t="s">
        <v>4196</v>
      </c>
      <c r="G492" t="s">
        <v>6073</v>
      </c>
      <c r="I492" t="s">
        <v>7597</v>
      </c>
      <c r="L492" t="s">
        <v>6553</v>
      </c>
      <c r="M492" t="s">
        <v>6095</v>
      </c>
      <c r="N492" s="61" t="s">
        <v>7598</v>
      </c>
      <c r="O492">
        <v>57376</v>
      </c>
    </row>
    <row r="493" spans="1:15" x14ac:dyDescent="0.2">
      <c r="A493" t="s">
        <v>4197</v>
      </c>
      <c r="B493" s="61" t="s">
        <v>7599</v>
      </c>
      <c r="C493" s="61" t="s">
        <v>34</v>
      </c>
      <c r="F493" t="s">
        <v>4197</v>
      </c>
      <c r="G493" t="s">
        <v>6073</v>
      </c>
      <c r="H493" t="s">
        <v>34</v>
      </c>
      <c r="I493" t="s">
        <v>34</v>
      </c>
      <c r="L493" t="s">
        <v>7600</v>
      </c>
      <c r="M493" t="s">
        <v>6078</v>
      </c>
      <c r="N493" s="61" t="s">
        <v>7601</v>
      </c>
      <c r="O493">
        <v>57375</v>
      </c>
    </row>
    <row r="494" spans="1:15" x14ac:dyDescent="0.2">
      <c r="A494" t="s">
        <v>4198</v>
      </c>
      <c r="B494" s="61" t="s">
        <v>7602</v>
      </c>
      <c r="C494" s="61" t="s">
        <v>34</v>
      </c>
      <c r="F494" t="s">
        <v>4198</v>
      </c>
      <c r="G494" t="s">
        <v>6073</v>
      </c>
      <c r="I494" t="s">
        <v>7603</v>
      </c>
      <c r="L494" t="s">
        <v>7604</v>
      </c>
      <c r="M494" t="s">
        <v>6078</v>
      </c>
      <c r="N494" s="61" t="s">
        <v>6969</v>
      </c>
      <c r="O494">
        <v>57374</v>
      </c>
    </row>
    <row r="495" spans="1:15" x14ac:dyDescent="0.2">
      <c r="A495" t="s">
        <v>4199</v>
      </c>
      <c r="B495" s="61" t="s">
        <v>7605</v>
      </c>
      <c r="C495" s="61" t="s">
        <v>34</v>
      </c>
      <c r="F495" t="s">
        <v>4199</v>
      </c>
      <c r="G495" t="s">
        <v>6073</v>
      </c>
      <c r="H495" t="s">
        <v>7606</v>
      </c>
      <c r="J495" t="s">
        <v>7607</v>
      </c>
      <c r="K495" t="s">
        <v>7608</v>
      </c>
      <c r="L495" t="s">
        <v>7609</v>
      </c>
      <c r="M495" t="s">
        <v>6266</v>
      </c>
      <c r="N495" s="61" t="s">
        <v>6945</v>
      </c>
      <c r="O495">
        <v>76089</v>
      </c>
    </row>
    <row r="496" spans="1:15" x14ac:dyDescent="0.2">
      <c r="A496" t="s">
        <v>4200</v>
      </c>
      <c r="B496" s="61" t="s">
        <v>7610</v>
      </c>
      <c r="C496" s="61" t="s">
        <v>34</v>
      </c>
      <c r="F496" t="s">
        <v>4200</v>
      </c>
      <c r="G496" t="s">
        <v>6073</v>
      </c>
      <c r="H496" t="s">
        <v>34</v>
      </c>
      <c r="I496" t="s">
        <v>34</v>
      </c>
      <c r="L496" t="s">
        <v>7611</v>
      </c>
      <c r="M496" t="s">
        <v>6078</v>
      </c>
      <c r="N496" s="61" t="s">
        <v>6525</v>
      </c>
      <c r="O496">
        <v>57373</v>
      </c>
    </row>
    <row r="497" spans="1:15" x14ac:dyDescent="0.2">
      <c r="A497" t="s">
        <v>4201</v>
      </c>
      <c r="B497" s="61" t="s">
        <v>7612</v>
      </c>
      <c r="C497" s="61" t="s">
        <v>34</v>
      </c>
      <c r="F497" t="s">
        <v>4201</v>
      </c>
      <c r="G497" t="s">
        <v>6073</v>
      </c>
      <c r="I497" t="s">
        <v>7613</v>
      </c>
      <c r="L497" t="s">
        <v>7614</v>
      </c>
      <c r="M497" t="s">
        <v>6078</v>
      </c>
      <c r="N497" s="61" t="s">
        <v>7615</v>
      </c>
      <c r="O497">
        <v>57394</v>
      </c>
    </row>
    <row r="498" spans="1:15" x14ac:dyDescent="0.2">
      <c r="A498" t="s">
        <v>4202</v>
      </c>
      <c r="B498" s="61" t="s">
        <v>7616</v>
      </c>
      <c r="C498" s="61" t="s">
        <v>34</v>
      </c>
      <c r="F498" t="s">
        <v>4202</v>
      </c>
      <c r="G498" t="s">
        <v>6073</v>
      </c>
      <c r="H498" t="s">
        <v>34</v>
      </c>
      <c r="I498" t="s">
        <v>34</v>
      </c>
      <c r="L498" t="s">
        <v>7617</v>
      </c>
      <c r="M498" t="s">
        <v>6078</v>
      </c>
      <c r="N498" s="61" t="s">
        <v>6386</v>
      </c>
      <c r="O498">
        <v>57396</v>
      </c>
    </row>
    <row r="499" spans="1:15" x14ac:dyDescent="0.2">
      <c r="A499" t="s">
        <v>4203</v>
      </c>
      <c r="B499" s="61" t="s">
        <v>7618</v>
      </c>
      <c r="C499" s="61" t="s">
        <v>34</v>
      </c>
      <c r="F499" t="s">
        <v>4203</v>
      </c>
      <c r="G499" t="s">
        <v>6073</v>
      </c>
      <c r="H499" t="s">
        <v>34</v>
      </c>
      <c r="I499" t="s">
        <v>7619</v>
      </c>
      <c r="L499" t="s">
        <v>7620</v>
      </c>
      <c r="M499" t="s">
        <v>6078</v>
      </c>
      <c r="N499" s="61" t="s">
        <v>6083</v>
      </c>
      <c r="O499">
        <v>57419</v>
      </c>
    </row>
    <row r="500" spans="1:15" x14ac:dyDescent="0.2">
      <c r="A500" t="s">
        <v>4204</v>
      </c>
      <c r="B500" s="61" t="s">
        <v>7621</v>
      </c>
      <c r="C500" s="61" t="s">
        <v>34</v>
      </c>
      <c r="F500" t="s">
        <v>4204</v>
      </c>
      <c r="G500" t="s">
        <v>6073</v>
      </c>
      <c r="H500" t="s">
        <v>34</v>
      </c>
      <c r="I500" t="s">
        <v>34</v>
      </c>
      <c r="L500" t="s">
        <v>34</v>
      </c>
      <c r="M500" t="s">
        <v>6078</v>
      </c>
      <c r="N500" s="61" t="s">
        <v>7622</v>
      </c>
      <c r="O500">
        <v>57397</v>
      </c>
    </row>
    <row r="501" spans="1:15" x14ac:dyDescent="0.2">
      <c r="A501" t="s">
        <v>4205</v>
      </c>
      <c r="B501" s="61" t="s">
        <v>7623</v>
      </c>
      <c r="C501" s="61" t="s">
        <v>34</v>
      </c>
      <c r="F501" t="s">
        <v>4205</v>
      </c>
      <c r="G501" t="s">
        <v>6073</v>
      </c>
      <c r="H501" t="s">
        <v>7624</v>
      </c>
      <c r="J501" t="s">
        <v>7625</v>
      </c>
      <c r="K501" t="s">
        <v>7626</v>
      </c>
      <c r="L501" t="s">
        <v>7627</v>
      </c>
      <c r="M501" t="s">
        <v>6078</v>
      </c>
      <c r="N501" s="61" t="s">
        <v>6551</v>
      </c>
      <c r="O501">
        <v>64497</v>
      </c>
    </row>
    <row r="502" spans="1:15" x14ac:dyDescent="0.2">
      <c r="A502" t="s">
        <v>4206</v>
      </c>
      <c r="B502" s="61" t="s">
        <v>7628</v>
      </c>
      <c r="C502" s="61" t="s">
        <v>34</v>
      </c>
      <c r="F502" t="s">
        <v>4206</v>
      </c>
      <c r="G502" t="s">
        <v>6073</v>
      </c>
      <c r="M502" t="s">
        <v>6104</v>
      </c>
      <c r="N502" s="61" t="s">
        <v>7629</v>
      </c>
      <c r="O502">
        <v>57418</v>
      </c>
    </row>
    <row r="503" spans="1:15" x14ac:dyDescent="0.2">
      <c r="A503" t="s">
        <v>4207</v>
      </c>
      <c r="B503" s="61" t="s">
        <v>7630</v>
      </c>
      <c r="C503" s="61" t="s">
        <v>34</v>
      </c>
      <c r="F503" t="s">
        <v>4207</v>
      </c>
      <c r="G503" t="s">
        <v>6073</v>
      </c>
      <c r="H503" t="s">
        <v>34</v>
      </c>
      <c r="I503" t="s">
        <v>34</v>
      </c>
      <c r="L503" t="s">
        <v>7631</v>
      </c>
      <c r="M503" t="s">
        <v>6078</v>
      </c>
      <c r="N503" s="61" t="s">
        <v>7632</v>
      </c>
      <c r="O503">
        <v>57417</v>
      </c>
    </row>
    <row r="504" spans="1:15" x14ac:dyDescent="0.2">
      <c r="A504" t="s">
        <v>4208</v>
      </c>
      <c r="B504" s="61" t="s">
        <v>7633</v>
      </c>
      <c r="C504" s="61" t="s">
        <v>34</v>
      </c>
      <c r="F504" t="s">
        <v>4208</v>
      </c>
      <c r="G504" t="s">
        <v>6073</v>
      </c>
      <c r="I504" t="s">
        <v>7634</v>
      </c>
      <c r="L504" t="s">
        <v>7635</v>
      </c>
      <c r="M504" t="s">
        <v>6078</v>
      </c>
      <c r="N504" s="61" t="s">
        <v>6114</v>
      </c>
      <c r="O504">
        <v>57416</v>
      </c>
    </row>
    <row r="505" spans="1:15" x14ac:dyDescent="0.2">
      <c r="A505" t="s">
        <v>4209</v>
      </c>
      <c r="B505" s="61" t="s">
        <v>7636</v>
      </c>
      <c r="C505" s="61" t="s">
        <v>34</v>
      </c>
      <c r="F505" t="s">
        <v>4209</v>
      </c>
      <c r="G505" t="s">
        <v>6073</v>
      </c>
      <c r="H505" t="s">
        <v>34</v>
      </c>
      <c r="I505" t="s">
        <v>7637</v>
      </c>
      <c r="L505" t="s">
        <v>7638</v>
      </c>
      <c r="M505" t="s">
        <v>6104</v>
      </c>
      <c r="N505" s="61" t="s">
        <v>7639</v>
      </c>
      <c r="O505">
        <v>57415</v>
      </c>
    </row>
    <row r="506" spans="1:15" x14ac:dyDescent="0.2">
      <c r="A506" t="s">
        <v>4210</v>
      </c>
      <c r="B506" s="61" t="s">
        <v>7640</v>
      </c>
      <c r="C506" s="61" t="s">
        <v>34</v>
      </c>
      <c r="F506" t="s">
        <v>4210</v>
      </c>
      <c r="G506" t="s">
        <v>6073</v>
      </c>
      <c r="H506" t="s">
        <v>34</v>
      </c>
      <c r="I506" t="s">
        <v>7641</v>
      </c>
      <c r="L506" t="s">
        <v>7642</v>
      </c>
      <c r="M506" t="s">
        <v>6078</v>
      </c>
      <c r="N506" s="61" t="s">
        <v>7643</v>
      </c>
      <c r="O506">
        <v>57414</v>
      </c>
    </row>
    <row r="507" spans="1:15" x14ac:dyDescent="0.2">
      <c r="A507" t="s">
        <v>4211</v>
      </c>
      <c r="B507" s="61" t="s">
        <v>7644</v>
      </c>
      <c r="C507" s="61" t="s">
        <v>34</v>
      </c>
      <c r="F507" t="s">
        <v>4211</v>
      </c>
      <c r="G507" t="s">
        <v>6073</v>
      </c>
      <c r="I507" t="s">
        <v>7645</v>
      </c>
      <c r="L507" t="s">
        <v>7646</v>
      </c>
      <c r="M507" t="s">
        <v>6266</v>
      </c>
      <c r="N507" s="61" t="s">
        <v>7647</v>
      </c>
      <c r="O507">
        <v>57413</v>
      </c>
    </row>
    <row r="508" spans="1:15" x14ac:dyDescent="0.2">
      <c r="A508" t="s">
        <v>4212</v>
      </c>
      <c r="B508" s="61" t="s">
        <v>7648</v>
      </c>
      <c r="C508" s="61" t="s">
        <v>34</v>
      </c>
      <c r="F508" t="s">
        <v>4212</v>
      </c>
      <c r="G508" t="s">
        <v>6073</v>
      </c>
      <c r="H508" t="s">
        <v>7649</v>
      </c>
      <c r="J508" t="s">
        <v>7650</v>
      </c>
      <c r="K508" t="s">
        <v>7651</v>
      </c>
      <c r="L508" t="s">
        <v>7652</v>
      </c>
      <c r="M508" t="s">
        <v>6078</v>
      </c>
      <c r="N508" s="61" t="s">
        <v>7653</v>
      </c>
      <c r="O508">
        <v>67492</v>
      </c>
    </row>
    <row r="509" spans="1:15" x14ac:dyDescent="0.2">
      <c r="A509" t="s">
        <v>4213</v>
      </c>
      <c r="B509" s="61" t="s">
        <v>7654</v>
      </c>
      <c r="C509" s="61" t="s">
        <v>34</v>
      </c>
      <c r="F509" t="s">
        <v>4213</v>
      </c>
      <c r="G509" t="s">
        <v>6073</v>
      </c>
      <c r="H509" t="s">
        <v>34</v>
      </c>
      <c r="I509" t="s">
        <v>7655</v>
      </c>
      <c r="L509" t="s">
        <v>7656</v>
      </c>
      <c r="M509" t="s">
        <v>6078</v>
      </c>
      <c r="N509" s="61" t="s">
        <v>6100</v>
      </c>
      <c r="O509">
        <v>57412</v>
      </c>
    </row>
    <row r="510" spans="1:15" x14ac:dyDescent="0.2">
      <c r="A510" t="s">
        <v>4214</v>
      </c>
      <c r="B510" s="61" t="s">
        <v>7657</v>
      </c>
      <c r="C510" s="61" t="s">
        <v>34</v>
      </c>
      <c r="F510" t="s">
        <v>4214</v>
      </c>
      <c r="G510" t="s">
        <v>6073</v>
      </c>
      <c r="H510" t="s">
        <v>7658</v>
      </c>
      <c r="J510" t="s">
        <v>7659</v>
      </c>
      <c r="K510" t="s">
        <v>7660</v>
      </c>
      <c r="L510" t="s">
        <v>7661</v>
      </c>
      <c r="M510" t="s">
        <v>6078</v>
      </c>
      <c r="N510" s="61" t="s">
        <v>6164</v>
      </c>
      <c r="O510">
        <v>97002</v>
      </c>
    </row>
    <row r="511" spans="1:15" x14ac:dyDescent="0.2">
      <c r="A511" t="s">
        <v>4215</v>
      </c>
      <c r="B511" s="61" t="s">
        <v>7662</v>
      </c>
      <c r="C511" s="61" t="s">
        <v>34</v>
      </c>
      <c r="F511" t="s">
        <v>4215</v>
      </c>
      <c r="G511" t="s">
        <v>6073</v>
      </c>
      <c r="H511" t="s">
        <v>34</v>
      </c>
      <c r="I511" t="s">
        <v>7663</v>
      </c>
      <c r="L511" t="s">
        <v>7664</v>
      </c>
      <c r="M511" t="s">
        <v>7665</v>
      </c>
      <c r="N511" s="61" t="s">
        <v>7666</v>
      </c>
      <c r="O511">
        <v>57411</v>
      </c>
    </row>
    <row r="512" spans="1:15" x14ac:dyDescent="0.2">
      <c r="A512" t="s">
        <v>382</v>
      </c>
      <c r="B512" s="61" t="s">
        <v>2989</v>
      </c>
      <c r="C512" s="61" t="s">
        <v>34</v>
      </c>
      <c r="F512" t="s">
        <v>382</v>
      </c>
      <c r="G512" t="s">
        <v>6073</v>
      </c>
      <c r="I512" t="s">
        <v>7667</v>
      </c>
      <c r="L512" t="s">
        <v>7668</v>
      </c>
      <c r="M512" t="s">
        <v>6078</v>
      </c>
      <c r="N512" s="61" t="s">
        <v>7669</v>
      </c>
      <c r="O512">
        <v>57410</v>
      </c>
    </row>
    <row r="513" spans="1:15" x14ac:dyDescent="0.2">
      <c r="A513" t="s">
        <v>2238</v>
      </c>
      <c r="B513" s="61" t="s">
        <v>7670</v>
      </c>
      <c r="C513" s="61" t="s">
        <v>34</v>
      </c>
      <c r="F513" t="s">
        <v>2238</v>
      </c>
      <c r="G513" t="s">
        <v>6073</v>
      </c>
      <c r="I513" t="s">
        <v>7671</v>
      </c>
      <c r="L513" t="s">
        <v>7672</v>
      </c>
      <c r="M513" t="s">
        <v>6078</v>
      </c>
      <c r="N513" s="61" t="s">
        <v>7673</v>
      </c>
      <c r="O513">
        <v>57409</v>
      </c>
    </row>
    <row r="514" spans="1:15" x14ac:dyDescent="0.2">
      <c r="A514" t="s">
        <v>4216</v>
      </c>
      <c r="B514" s="61" t="s">
        <v>7674</v>
      </c>
      <c r="C514" s="61" t="s">
        <v>34</v>
      </c>
      <c r="F514" t="s">
        <v>4216</v>
      </c>
      <c r="G514" t="s">
        <v>6073</v>
      </c>
      <c r="I514" t="s">
        <v>7675</v>
      </c>
      <c r="L514" t="s">
        <v>7676</v>
      </c>
      <c r="M514" t="s">
        <v>6078</v>
      </c>
      <c r="N514" s="61" t="s">
        <v>6274</v>
      </c>
      <c r="O514">
        <v>57408</v>
      </c>
    </row>
    <row r="515" spans="1:15" x14ac:dyDescent="0.2">
      <c r="A515" t="s">
        <v>4217</v>
      </c>
      <c r="B515" s="61" t="s">
        <v>7677</v>
      </c>
      <c r="C515" s="61" t="s">
        <v>34</v>
      </c>
      <c r="F515" t="s">
        <v>4217</v>
      </c>
      <c r="G515" t="s">
        <v>6073</v>
      </c>
      <c r="I515" t="s">
        <v>7678</v>
      </c>
      <c r="L515" t="s">
        <v>7679</v>
      </c>
      <c r="M515" t="s">
        <v>6078</v>
      </c>
      <c r="N515" s="61" t="s">
        <v>7680</v>
      </c>
      <c r="O515">
        <v>57407</v>
      </c>
    </row>
    <row r="516" spans="1:15" x14ac:dyDescent="0.2">
      <c r="A516" t="s">
        <v>4218</v>
      </c>
      <c r="B516" s="61" t="s">
        <v>7681</v>
      </c>
      <c r="C516" s="61" t="s">
        <v>34</v>
      </c>
      <c r="F516" t="s">
        <v>4218</v>
      </c>
      <c r="G516" t="s">
        <v>6073</v>
      </c>
      <c r="H516" t="s">
        <v>34</v>
      </c>
      <c r="I516" t="s">
        <v>34</v>
      </c>
      <c r="L516" t="s">
        <v>7682</v>
      </c>
      <c r="M516" t="s">
        <v>7683</v>
      </c>
      <c r="N516" s="61" t="s">
        <v>7684</v>
      </c>
      <c r="O516">
        <v>57406</v>
      </c>
    </row>
    <row r="517" spans="1:15" x14ac:dyDescent="0.2">
      <c r="A517" t="s">
        <v>4219</v>
      </c>
      <c r="B517" s="61" t="s">
        <v>7685</v>
      </c>
      <c r="C517" s="61" t="s">
        <v>34</v>
      </c>
      <c r="F517" t="s">
        <v>4219</v>
      </c>
      <c r="G517" t="s">
        <v>6073</v>
      </c>
      <c r="H517" t="s">
        <v>34</v>
      </c>
      <c r="I517" t="s">
        <v>34</v>
      </c>
      <c r="L517" t="s">
        <v>7686</v>
      </c>
      <c r="M517" t="s">
        <v>6078</v>
      </c>
      <c r="N517" s="61" t="s">
        <v>6079</v>
      </c>
      <c r="O517">
        <v>57405</v>
      </c>
    </row>
    <row r="518" spans="1:15" x14ac:dyDescent="0.2">
      <c r="A518" t="s">
        <v>4220</v>
      </c>
      <c r="B518" s="61" t="s">
        <v>7687</v>
      </c>
      <c r="C518" s="61" t="s">
        <v>34</v>
      </c>
      <c r="F518" t="s">
        <v>4220</v>
      </c>
      <c r="G518" t="s">
        <v>6073</v>
      </c>
      <c r="H518" t="s">
        <v>34</v>
      </c>
      <c r="I518" t="s">
        <v>7688</v>
      </c>
      <c r="L518" t="s">
        <v>7689</v>
      </c>
      <c r="M518" t="s">
        <v>6422</v>
      </c>
      <c r="N518" s="61" t="s">
        <v>7690</v>
      </c>
      <c r="O518">
        <v>57404</v>
      </c>
    </row>
    <row r="519" spans="1:15" x14ac:dyDescent="0.2">
      <c r="A519" t="s">
        <v>4221</v>
      </c>
      <c r="B519" s="61" t="s">
        <v>7691</v>
      </c>
      <c r="C519" s="61" t="s">
        <v>34</v>
      </c>
      <c r="F519" t="s">
        <v>4221</v>
      </c>
      <c r="G519" t="s">
        <v>6073</v>
      </c>
      <c r="H519" t="s">
        <v>34</v>
      </c>
      <c r="I519" t="s">
        <v>34</v>
      </c>
      <c r="L519" t="s">
        <v>7692</v>
      </c>
      <c r="M519" t="s">
        <v>6078</v>
      </c>
      <c r="N519" s="61" t="s">
        <v>6525</v>
      </c>
      <c r="O519">
        <v>57403</v>
      </c>
    </row>
    <row r="520" spans="1:15" x14ac:dyDescent="0.2">
      <c r="A520" t="s">
        <v>4222</v>
      </c>
      <c r="B520" s="61" t="s">
        <v>7693</v>
      </c>
      <c r="C520" s="61" t="s">
        <v>34</v>
      </c>
      <c r="F520" t="s">
        <v>4222</v>
      </c>
      <c r="G520" t="s">
        <v>6073</v>
      </c>
      <c r="H520" t="s">
        <v>34</v>
      </c>
      <c r="I520" t="s">
        <v>7694</v>
      </c>
      <c r="L520" t="s">
        <v>7695</v>
      </c>
      <c r="M520" t="s">
        <v>6078</v>
      </c>
      <c r="N520" s="61" t="s">
        <v>7696</v>
      </c>
      <c r="O520">
        <v>57402</v>
      </c>
    </row>
    <row r="521" spans="1:15" x14ac:dyDescent="0.2">
      <c r="A521" t="s">
        <v>4223</v>
      </c>
      <c r="B521" s="61" t="s">
        <v>7697</v>
      </c>
      <c r="C521" s="61" t="s">
        <v>34</v>
      </c>
      <c r="F521" t="s">
        <v>4223</v>
      </c>
      <c r="G521" t="s">
        <v>6073</v>
      </c>
      <c r="J521" t="s">
        <v>7698</v>
      </c>
      <c r="L521" t="s">
        <v>7699</v>
      </c>
      <c r="M521" t="s">
        <v>6078</v>
      </c>
      <c r="N521" s="61" t="s">
        <v>6977</v>
      </c>
      <c r="O521">
        <v>115822</v>
      </c>
    </row>
    <row r="522" spans="1:15" x14ac:dyDescent="0.2">
      <c r="A522" t="s">
        <v>4224</v>
      </c>
      <c r="B522" s="61" t="s">
        <v>7700</v>
      </c>
      <c r="C522" s="61" t="s">
        <v>34</v>
      </c>
      <c r="F522" t="s">
        <v>4224</v>
      </c>
      <c r="G522" t="s">
        <v>6073</v>
      </c>
      <c r="H522" t="s">
        <v>7701</v>
      </c>
      <c r="L522" t="s">
        <v>7702</v>
      </c>
      <c r="M522" t="s">
        <v>6078</v>
      </c>
      <c r="N522" s="61" t="s">
        <v>6219</v>
      </c>
      <c r="O522">
        <v>119148</v>
      </c>
    </row>
    <row r="523" spans="1:15" x14ac:dyDescent="0.2">
      <c r="A523" t="s">
        <v>4225</v>
      </c>
      <c r="B523" s="61" t="s">
        <v>7703</v>
      </c>
      <c r="C523" s="61" t="s">
        <v>34</v>
      </c>
      <c r="F523" t="s">
        <v>4225</v>
      </c>
      <c r="G523" t="s">
        <v>6073</v>
      </c>
      <c r="J523" t="s">
        <v>7704</v>
      </c>
      <c r="K523" t="s">
        <v>7705</v>
      </c>
      <c r="L523" t="s">
        <v>7706</v>
      </c>
      <c r="M523" t="s">
        <v>6078</v>
      </c>
      <c r="N523" s="61" t="s">
        <v>6444</v>
      </c>
      <c r="O523">
        <v>75369</v>
      </c>
    </row>
    <row r="524" spans="1:15" x14ac:dyDescent="0.2">
      <c r="A524" t="s">
        <v>4226</v>
      </c>
      <c r="B524" s="61" t="s">
        <v>7707</v>
      </c>
      <c r="C524" s="61" t="s">
        <v>7708</v>
      </c>
      <c r="F524" t="s">
        <v>4226</v>
      </c>
      <c r="G524" t="s">
        <v>6073</v>
      </c>
      <c r="H524" t="s">
        <v>7709</v>
      </c>
      <c r="J524" t="s">
        <v>6874</v>
      </c>
      <c r="K524" t="s">
        <v>7710</v>
      </c>
      <c r="L524" t="s">
        <v>7711</v>
      </c>
      <c r="M524" t="s">
        <v>6078</v>
      </c>
      <c r="N524" s="61" t="s">
        <v>6128</v>
      </c>
      <c r="O524">
        <v>125414</v>
      </c>
    </row>
    <row r="525" spans="1:15" x14ac:dyDescent="0.2">
      <c r="A525" t="s">
        <v>4227</v>
      </c>
      <c r="B525" s="61" t="s">
        <v>7712</v>
      </c>
      <c r="C525" s="61" t="s">
        <v>34</v>
      </c>
      <c r="F525" t="s">
        <v>4227</v>
      </c>
      <c r="G525" t="s">
        <v>6073</v>
      </c>
      <c r="L525" t="s">
        <v>7713</v>
      </c>
      <c r="M525" t="s">
        <v>6078</v>
      </c>
      <c r="N525" s="61" t="s">
        <v>6386</v>
      </c>
      <c r="O525">
        <v>128036</v>
      </c>
    </row>
    <row r="526" spans="1:15" x14ac:dyDescent="0.2">
      <c r="A526" t="s">
        <v>4228</v>
      </c>
      <c r="B526" s="61" t="s">
        <v>7714</v>
      </c>
      <c r="C526" s="61" t="s">
        <v>34</v>
      </c>
      <c r="F526" t="s">
        <v>4228</v>
      </c>
      <c r="G526" t="s">
        <v>6073</v>
      </c>
      <c r="L526" t="s">
        <v>7715</v>
      </c>
      <c r="M526" t="s">
        <v>6078</v>
      </c>
      <c r="N526" s="61" t="s">
        <v>6386</v>
      </c>
      <c r="O526">
        <v>57401</v>
      </c>
    </row>
    <row r="527" spans="1:15" x14ac:dyDescent="0.2">
      <c r="A527" t="s">
        <v>4229</v>
      </c>
      <c r="B527" s="61" t="s">
        <v>7716</v>
      </c>
      <c r="C527" s="61" t="s">
        <v>34</v>
      </c>
      <c r="F527" t="s">
        <v>4229</v>
      </c>
      <c r="G527" t="s">
        <v>6073</v>
      </c>
      <c r="L527" t="s">
        <v>7717</v>
      </c>
      <c r="M527" t="s">
        <v>6078</v>
      </c>
      <c r="N527" s="61" t="s">
        <v>6314</v>
      </c>
      <c r="O527">
        <v>57400</v>
      </c>
    </row>
    <row r="528" spans="1:15" x14ac:dyDescent="0.2">
      <c r="A528" t="s">
        <v>4230</v>
      </c>
      <c r="B528" s="61" t="s">
        <v>7718</v>
      </c>
      <c r="C528" s="61" t="s">
        <v>34</v>
      </c>
      <c r="F528" t="s">
        <v>4230</v>
      </c>
      <c r="G528" t="s">
        <v>6073</v>
      </c>
      <c r="L528" t="s">
        <v>7719</v>
      </c>
      <c r="M528" t="s">
        <v>6078</v>
      </c>
      <c r="N528" s="61" t="s">
        <v>6231</v>
      </c>
      <c r="O528">
        <v>57399</v>
      </c>
    </row>
    <row r="529" spans="1:15" x14ac:dyDescent="0.2">
      <c r="A529" t="s">
        <v>4231</v>
      </c>
      <c r="B529" s="61" t="s">
        <v>7720</v>
      </c>
      <c r="C529" s="61" t="s">
        <v>34</v>
      </c>
      <c r="F529" t="s">
        <v>4231</v>
      </c>
      <c r="G529" t="s">
        <v>6073</v>
      </c>
      <c r="L529" t="s">
        <v>7721</v>
      </c>
      <c r="M529" t="s">
        <v>6078</v>
      </c>
      <c r="N529" s="61" t="s">
        <v>6299</v>
      </c>
      <c r="O529">
        <v>57398</v>
      </c>
    </row>
    <row r="530" spans="1:15" x14ac:dyDescent="0.2">
      <c r="A530" t="s">
        <v>4232</v>
      </c>
      <c r="B530" s="61" t="s">
        <v>7722</v>
      </c>
      <c r="C530" s="61" t="s">
        <v>34</v>
      </c>
      <c r="F530" t="s">
        <v>4232</v>
      </c>
      <c r="G530" t="s">
        <v>6073</v>
      </c>
      <c r="L530" t="s">
        <v>7723</v>
      </c>
      <c r="M530" t="s">
        <v>6078</v>
      </c>
      <c r="N530" s="61" t="s">
        <v>7724</v>
      </c>
      <c r="O530">
        <v>57458</v>
      </c>
    </row>
    <row r="531" spans="1:15" x14ac:dyDescent="0.2">
      <c r="A531" t="s">
        <v>4233</v>
      </c>
      <c r="B531" s="61" t="s">
        <v>7725</v>
      </c>
      <c r="C531" s="61" t="s">
        <v>34</v>
      </c>
      <c r="F531" t="s">
        <v>4233</v>
      </c>
      <c r="G531" t="s">
        <v>6073</v>
      </c>
      <c r="I531" t="s">
        <v>7726</v>
      </c>
      <c r="L531" t="s">
        <v>7727</v>
      </c>
      <c r="M531" t="s">
        <v>6078</v>
      </c>
      <c r="N531" s="61" t="s">
        <v>6118</v>
      </c>
      <c r="O531">
        <v>57471</v>
      </c>
    </row>
    <row r="532" spans="1:15" x14ac:dyDescent="0.2">
      <c r="A532" t="s">
        <v>4234</v>
      </c>
      <c r="B532" s="61" t="s">
        <v>7728</v>
      </c>
      <c r="C532" s="61" t="s">
        <v>34</v>
      </c>
      <c r="F532" t="s">
        <v>4234</v>
      </c>
      <c r="G532" t="s">
        <v>6073</v>
      </c>
      <c r="I532" t="s">
        <v>7729</v>
      </c>
      <c r="L532" t="s">
        <v>7730</v>
      </c>
      <c r="M532" t="s">
        <v>6078</v>
      </c>
      <c r="N532" s="61" t="s">
        <v>7731</v>
      </c>
      <c r="O532">
        <v>57472</v>
      </c>
    </row>
    <row r="533" spans="1:15" x14ac:dyDescent="0.2">
      <c r="A533" t="s">
        <v>4235</v>
      </c>
      <c r="B533" s="61" t="s">
        <v>7732</v>
      </c>
      <c r="C533" s="61" t="s">
        <v>34</v>
      </c>
      <c r="F533" t="s">
        <v>4235</v>
      </c>
      <c r="G533" t="s">
        <v>6073</v>
      </c>
      <c r="I533" t="s">
        <v>7733</v>
      </c>
      <c r="L533" t="s">
        <v>7734</v>
      </c>
      <c r="M533" t="s">
        <v>6078</v>
      </c>
      <c r="N533" s="61" t="s">
        <v>7735</v>
      </c>
      <c r="O533">
        <v>57543</v>
      </c>
    </row>
    <row r="534" spans="1:15" x14ac:dyDescent="0.2">
      <c r="A534" t="s">
        <v>4236</v>
      </c>
      <c r="B534" s="61" t="s">
        <v>7736</v>
      </c>
      <c r="C534" s="61" t="s">
        <v>34</v>
      </c>
      <c r="F534" t="s">
        <v>4236</v>
      </c>
      <c r="G534" t="s">
        <v>6073</v>
      </c>
      <c r="H534" t="s">
        <v>34</v>
      </c>
      <c r="I534" t="s">
        <v>34</v>
      </c>
      <c r="L534" t="s">
        <v>34</v>
      </c>
      <c r="M534" t="s">
        <v>6078</v>
      </c>
      <c r="N534" s="61" t="s">
        <v>6314</v>
      </c>
      <c r="O534">
        <v>57542</v>
      </c>
    </row>
    <row r="535" spans="1:15" x14ac:dyDescent="0.2">
      <c r="A535" t="s">
        <v>4237</v>
      </c>
      <c r="B535" s="61" t="s">
        <v>7737</v>
      </c>
      <c r="C535" s="61" t="s">
        <v>34</v>
      </c>
      <c r="F535" t="s">
        <v>7738</v>
      </c>
      <c r="G535" t="s">
        <v>6073</v>
      </c>
      <c r="L535" t="s">
        <v>7739</v>
      </c>
      <c r="M535" t="s">
        <v>6078</v>
      </c>
      <c r="N535" s="61" t="s">
        <v>6444</v>
      </c>
      <c r="O535">
        <v>57541</v>
      </c>
    </row>
    <row r="536" spans="1:15" x14ac:dyDescent="0.2">
      <c r="A536" t="s">
        <v>4238</v>
      </c>
      <c r="B536" s="61" t="s">
        <v>7740</v>
      </c>
      <c r="C536" s="61" t="s">
        <v>34</v>
      </c>
      <c r="F536" t="s">
        <v>4238</v>
      </c>
      <c r="G536" t="s">
        <v>6073</v>
      </c>
      <c r="L536" t="s">
        <v>7741</v>
      </c>
      <c r="M536" t="s">
        <v>6095</v>
      </c>
      <c r="N536" s="61" t="s">
        <v>7742</v>
      </c>
      <c r="O536">
        <v>57540</v>
      </c>
    </row>
    <row r="537" spans="1:15" x14ac:dyDescent="0.2">
      <c r="A537" t="s">
        <v>4239</v>
      </c>
      <c r="B537" s="61" t="s">
        <v>7743</v>
      </c>
      <c r="C537" s="61" t="s">
        <v>34</v>
      </c>
      <c r="F537" t="s">
        <v>4239</v>
      </c>
      <c r="G537" t="s">
        <v>6073</v>
      </c>
      <c r="H537" t="s">
        <v>34</v>
      </c>
      <c r="I537" t="s">
        <v>34</v>
      </c>
      <c r="L537" t="s">
        <v>7744</v>
      </c>
      <c r="M537" t="s">
        <v>6078</v>
      </c>
      <c r="N537" s="61" t="s">
        <v>6314</v>
      </c>
      <c r="O537">
        <v>57539</v>
      </c>
    </row>
    <row r="538" spans="1:15" x14ac:dyDescent="0.2">
      <c r="A538" t="s">
        <v>4240</v>
      </c>
      <c r="B538" s="61" t="s">
        <v>7745</v>
      </c>
      <c r="C538" s="61" t="s">
        <v>34</v>
      </c>
      <c r="F538" t="s">
        <v>4240</v>
      </c>
      <c r="G538" t="s">
        <v>6073</v>
      </c>
      <c r="I538" t="s">
        <v>7746</v>
      </c>
      <c r="L538" t="s">
        <v>7747</v>
      </c>
      <c r="M538" t="s">
        <v>6078</v>
      </c>
      <c r="N538" s="61" t="s">
        <v>6314</v>
      </c>
      <c r="O538">
        <v>57538</v>
      </c>
    </row>
    <row r="539" spans="1:15" x14ac:dyDescent="0.2">
      <c r="A539" t="s">
        <v>4241</v>
      </c>
      <c r="B539" s="61" t="s">
        <v>7748</v>
      </c>
      <c r="C539" s="61" t="s">
        <v>34</v>
      </c>
      <c r="F539" t="s">
        <v>4241</v>
      </c>
      <c r="G539" t="s">
        <v>6073</v>
      </c>
      <c r="H539" t="s">
        <v>34</v>
      </c>
      <c r="I539" t="s">
        <v>7749</v>
      </c>
      <c r="L539" t="s">
        <v>7750</v>
      </c>
      <c r="M539" t="s">
        <v>6078</v>
      </c>
      <c r="N539" s="61" t="s">
        <v>7751</v>
      </c>
      <c r="O539">
        <v>57537</v>
      </c>
    </row>
    <row r="540" spans="1:15" x14ac:dyDescent="0.2">
      <c r="A540" t="s">
        <v>4242</v>
      </c>
      <c r="B540" s="61" t="s">
        <v>7752</v>
      </c>
      <c r="C540" s="61" t="s">
        <v>34</v>
      </c>
      <c r="F540" t="s">
        <v>4242</v>
      </c>
      <c r="G540" t="s">
        <v>6073</v>
      </c>
      <c r="H540" t="s">
        <v>7753</v>
      </c>
      <c r="I540" t="s">
        <v>7754</v>
      </c>
      <c r="L540" t="s">
        <v>7755</v>
      </c>
      <c r="M540" t="s">
        <v>6078</v>
      </c>
      <c r="N540" s="61" t="s">
        <v>6577</v>
      </c>
      <c r="O540">
        <v>57536</v>
      </c>
    </row>
    <row r="541" spans="1:15" x14ac:dyDescent="0.2">
      <c r="A541" t="s">
        <v>4243</v>
      </c>
      <c r="B541" s="61" t="s">
        <v>7756</v>
      </c>
      <c r="C541" s="61" t="s">
        <v>34</v>
      </c>
      <c r="F541" t="s">
        <v>4243</v>
      </c>
      <c r="G541" t="s">
        <v>6073</v>
      </c>
      <c r="M541" t="s">
        <v>6078</v>
      </c>
      <c r="N541" s="61" t="s">
        <v>6977</v>
      </c>
      <c r="O541">
        <v>61535</v>
      </c>
    </row>
    <row r="542" spans="1:15" x14ac:dyDescent="0.2">
      <c r="A542" t="s">
        <v>4244</v>
      </c>
      <c r="B542" s="61" t="s">
        <v>7757</v>
      </c>
      <c r="C542" s="61" t="s">
        <v>34</v>
      </c>
      <c r="F542" t="s">
        <v>4244</v>
      </c>
      <c r="G542" t="s">
        <v>6073</v>
      </c>
      <c r="H542" t="s">
        <v>34</v>
      </c>
      <c r="I542" t="s">
        <v>34</v>
      </c>
      <c r="L542" t="s">
        <v>7758</v>
      </c>
      <c r="M542" t="s">
        <v>6078</v>
      </c>
      <c r="N542" s="61" t="s">
        <v>6577</v>
      </c>
      <c r="O542">
        <v>57535</v>
      </c>
    </row>
    <row r="543" spans="1:15" x14ac:dyDescent="0.2">
      <c r="A543" t="s">
        <v>384</v>
      </c>
      <c r="B543" s="61" t="s">
        <v>7759</v>
      </c>
      <c r="C543" s="61" t="s">
        <v>34</v>
      </c>
      <c r="F543" t="s">
        <v>384</v>
      </c>
      <c r="G543" t="s">
        <v>6073</v>
      </c>
      <c r="I543" t="s">
        <v>7760</v>
      </c>
      <c r="L543" t="s">
        <v>7761</v>
      </c>
      <c r="M543" t="s">
        <v>6078</v>
      </c>
      <c r="N543" s="61" t="s">
        <v>6231</v>
      </c>
      <c r="O543">
        <v>57534</v>
      </c>
    </row>
    <row r="544" spans="1:15" x14ac:dyDescent="0.2">
      <c r="A544" t="s">
        <v>4245</v>
      </c>
      <c r="B544" s="61" t="s">
        <v>7762</v>
      </c>
      <c r="C544" s="61" t="s">
        <v>34</v>
      </c>
      <c r="F544" t="s">
        <v>4245</v>
      </c>
      <c r="G544" t="s">
        <v>6073</v>
      </c>
      <c r="M544" t="s">
        <v>6078</v>
      </c>
      <c r="N544" s="61" t="s">
        <v>6083</v>
      </c>
      <c r="O544">
        <v>87989</v>
      </c>
    </row>
    <row r="545" spans="1:15" x14ac:dyDescent="0.2">
      <c r="A545" t="s">
        <v>4246</v>
      </c>
      <c r="B545" s="61" t="s">
        <v>7763</v>
      </c>
      <c r="C545" s="61" t="s">
        <v>34</v>
      </c>
      <c r="F545" t="s">
        <v>4246</v>
      </c>
      <c r="G545" t="s">
        <v>6073</v>
      </c>
      <c r="H545" t="s">
        <v>34</v>
      </c>
      <c r="I545" t="s">
        <v>34</v>
      </c>
      <c r="L545" t="s">
        <v>34</v>
      </c>
      <c r="M545" t="s">
        <v>6078</v>
      </c>
      <c r="N545" s="61" t="s">
        <v>7764</v>
      </c>
      <c r="O545">
        <v>57533</v>
      </c>
    </row>
    <row r="546" spans="1:15" x14ac:dyDescent="0.2">
      <c r="A546" t="s">
        <v>4247</v>
      </c>
      <c r="B546" s="61" t="s">
        <v>7765</v>
      </c>
      <c r="C546" s="61" t="s">
        <v>34</v>
      </c>
      <c r="F546" t="s">
        <v>4247</v>
      </c>
      <c r="G546" t="s">
        <v>6073</v>
      </c>
      <c r="H546" t="s">
        <v>34</v>
      </c>
      <c r="I546" t="s">
        <v>34</v>
      </c>
      <c r="L546" t="s">
        <v>7766</v>
      </c>
      <c r="M546" t="s">
        <v>6078</v>
      </c>
      <c r="N546" s="61" t="s">
        <v>6977</v>
      </c>
      <c r="O546">
        <v>57532</v>
      </c>
    </row>
    <row r="547" spans="1:15" x14ac:dyDescent="0.2">
      <c r="A547" t="s">
        <v>4248</v>
      </c>
      <c r="B547" s="61" t="s">
        <v>7767</v>
      </c>
      <c r="C547" s="61" t="s">
        <v>34</v>
      </c>
      <c r="F547" t="s">
        <v>4248</v>
      </c>
      <c r="G547" t="s">
        <v>6073</v>
      </c>
      <c r="H547" t="s">
        <v>34</v>
      </c>
      <c r="I547" t="s">
        <v>7768</v>
      </c>
      <c r="L547" t="s">
        <v>7769</v>
      </c>
      <c r="M547" t="s">
        <v>6309</v>
      </c>
      <c r="N547" s="61" t="s">
        <v>7770</v>
      </c>
      <c r="O547">
        <v>57531</v>
      </c>
    </row>
    <row r="548" spans="1:15" x14ac:dyDescent="0.2">
      <c r="A548" t="s">
        <v>4249</v>
      </c>
      <c r="B548" s="61" t="s">
        <v>7771</v>
      </c>
      <c r="C548" s="61" t="s">
        <v>34</v>
      </c>
      <c r="F548" t="s">
        <v>4249</v>
      </c>
      <c r="G548" t="s">
        <v>6073</v>
      </c>
      <c r="L548" t="s">
        <v>7772</v>
      </c>
      <c r="M548" t="s">
        <v>6078</v>
      </c>
      <c r="N548" s="61" t="s">
        <v>6128</v>
      </c>
      <c r="O548">
        <v>67743</v>
      </c>
    </row>
    <row r="549" spans="1:15" x14ac:dyDescent="0.2">
      <c r="A549" t="s">
        <v>4250</v>
      </c>
      <c r="B549" s="61" t="s">
        <v>7773</v>
      </c>
      <c r="C549" s="61" t="s">
        <v>34</v>
      </c>
      <c r="F549" t="s">
        <v>4250</v>
      </c>
      <c r="G549" t="s">
        <v>6073</v>
      </c>
      <c r="H549" t="s">
        <v>34</v>
      </c>
      <c r="I549" t="s">
        <v>34</v>
      </c>
      <c r="L549" t="s">
        <v>7774</v>
      </c>
      <c r="M549" t="s">
        <v>6078</v>
      </c>
      <c r="N549" s="61" t="s">
        <v>6977</v>
      </c>
      <c r="O549">
        <v>57530</v>
      </c>
    </row>
    <row r="550" spans="1:15" x14ac:dyDescent="0.2">
      <c r="A550" t="s">
        <v>4251</v>
      </c>
      <c r="B550" s="61" t="s">
        <v>7775</v>
      </c>
      <c r="C550" s="61" t="s">
        <v>34</v>
      </c>
      <c r="F550" t="s">
        <v>4251</v>
      </c>
      <c r="G550" t="s">
        <v>6073</v>
      </c>
      <c r="I550" t="s">
        <v>7776</v>
      </c>
      <c r="L550" t="s">
        <v>7777</v>
      </c>
      <c r="M550" t="s">
        <v>6188</v>
      </c>
      <c r="N550" s="61" t="s">
        <v>7778</v>
      </c>
      <c r="O550">
        <v>57529</v>
      </c>
    </row>
    <row r="551" spans="1:15" x14ac:dyDescent="0.2">
      <c r="A551" t="s">
        <v>4252</v>
      </c>
      <c r="B551" s="61" t="s">
        <v>7779</v>
      </c>
      <c r="C551" s="61" t="s">
        <v>34</v>
      </c>
      <c r="F551" t="s">
        <v>4252</v>
      </c>
      <c r="G551" t="s">
        <v>6073</v>
      </c>
      <c r="I551" t="s">
        <v>7780</v>
      </c>
      <c r="L551" t="s">
        <v>7781</v>
      </c>
      <c r="M551" t="s">
        <v>6078</v>
      </c>
      <c r="N551" s="61" t="s">
        <v>6525</v>
      </c>
      <c r="O551">
        <v>57526</v>
      </c>
    </row>
    <row r="552" spans="1:15" x14ac:dyDescent="0.2">
      <c r="A552" t="s">
        <v>4253</v>
      </c>
      <c r="B552" s="61" t="s">
        <v>34</v>
      </c>
      <c r="C552" s="61" t="s">
        <v>34</v>
      </c>
      <c r="F552" t="s">
        <v>4253</v>
      </c>
      <c r="G552" t="s">
        <v>6073</v>
      </c>
      <c r="H552" t="s">
        <v>34</v>
      </c>
      <c r="I552" t="s">
        <v>34</v>
      </c>
      <c r="L552" t="s">
        <v>34</v>
      </c>
      <c r="N552" s="61" t="s">
        <v>3784</v>
      </c>
      <c r="O552">
        <v>58377</v>
      </c>
    </row>
    <row r="553" spans="1:15" x14ac:dyDescent="0.2">
      <c r="A553" t="s">
        <v>4254</v>
      </c>
      <c r="B553" s="61" t="s">
        <v>34</v>
      </c>
      <c r="C553" s="61" t="s">
        <v>34</v>
      </c>
      <c r="F553" t="s">
        <v>4254</v>
      </c>
      <c r="G553" t="s">
        <v>6073</v>
      </c>
      <c r="H553" t="s">
        <v>34</v>
      </c>
      <c r="I553" t="s">
        <v>34</v>
      </c>
      <c r="L553" t="s">
        <v>34</v>
      </c>
      <c r="N553" s="61" t="s">
        <v>3784</v>
      </c>
      <c r="O553">
        <v>58376</v>
      </c>
    </row>
    <row r="554" spans="1:15" x14ac:dyDescent="0.2">
      <c r="A554" t="s">
        <v>4255</v>
      </c>
      <c r="B554" s="61" t="s">
        <v>7782</v>
      </c>
      <c r="C554" s="61" t="s">
        <v>34</v>
      </c>
      <c r="F554" t="s">
        <v>4255</v>
      </c>
      <c r="G554" t="s">
        <v>6073</v>
      </c>
      <c r="M554" t="s">
        <v>6104</v>
      </c>
      <c r="N554" s="61" t="s">
        <v>7783</v>
      </c>
      <c r="O554">
        <v>58375</v>
      </c>
    </row>
    <row r="555" spans="1:15" x14ac:dyDescent="0.2">
      <c r="A555" t="s">
        <v>4256</v>
      </c>
      <c r="B555" s="61" t="s">
        <v>7784</v>
      </c>
      <c r="C555" s="61" t="s">
        <v>34</v>
      </c>
      <c r="F555" t="s">
        <v>4256</v>
      </c>
      <c r="G555" t="s">
        <v>6073</v>
      </c>
      <c r="I555" t="s">
        <v>7785</v>
      </c>
      <c r="L555" t="s">
        <v>7786</v>
      </c>
      <c r="M555" t="s">
        <v>6078</v>
      </c>
      <c r="N555" s="61" t="s">
        <v>6128</v>
      </c>
      <c r="O555">
        <v>57524</v>
      </c>
    </row>
    <row r="556" spans="1:15" x14ac:dyDescent="0.2">
      <c r="A556" t="s">
        <v>4257</v>
      </c>
      <c r="B556" s="61" t="s">
        <v>7787</v>
      </c>
      <c r="C556" s="61" t="s">
        <v>34</v>
      </c>
      <c r="F556" t="s">
        <v>4257</v>
      </c>
      <c r="G556" t="s">
        <v>6073</v>
      </c>
      <c r="H556" t="s">
        <v>34</v>
      </c>
      <c r="I556" t="s">
        <v>7788</v>
      </c>
      <c r="L556" t="s">
        <v>7789</v>
      </c>
      <c r="M556" t="s">
        <v>7790</v>
      </c>
      <c r="N556" s="61" t="s">
        <v>7791</v>
      </c>
      <c r="O556">
        <v>57523</v>
      </c>
    </row>
    <row r="557" spans="1:15" x14ac:dyDescent="0.2">
      <c r="A557" t="s">
        <v>4258</v>
      </c>
      <c r="B557" s="61" t="s">
        <v>7792</v>
      </c>
      <c r="C557" s="61" t="s">
        <v>34</v>
      </c>
      <c r="F557" t="s">
        <v>4258</v>
      </c>
      <c r="G557" t="s">
        <v>6073</v>
      </c>
      <c r="L557" t="s">
        <v>7793</v>
      </c>
      <c r="M557" t="s">
        <v>6078</v>
      </c>
      <c r="N557" s="61" t="s">
        <v>7794</v>
      </c>
      <c r="O557">
        <v>57544</v>
      </c>
    </row>
    <row r="558" spans="1:15" x14ac:dyDescent="0.2">
      <c r="A558" t="s">
        <v>4259</v>
      </c>
      <c r="B558" s="61" t="s">
        <v>7795</v>
      </c>
      <c r="C558" s="61" t="s">
        <v>34</v>
      </c>
      <c r="F558" t="s">
        <v>4259</v>
      </c>
      <c r="G558" t="s">
        <v>6073</v>
      </c>
      <c r="H558" t="s">
        <v>34</v>
      </c>
      <c r="I558" t="s">
        <v>34</v>
      </c>
      <c r="L558" t="s">
        <v>7793</v>
      </c>
      <c r="M558" t="s">
        <v>6078</v>
      </c>
      <c r="N558" s="61" t="s">
        <v>6083</v>
      </c>
      <c r="O558">
        <v>57545</v>
      </c>
    </row>
    <row r="559" spans="1:15" x14ac:dyDescent="0.2">
      <c r="A559" t="s">
        <v>4260</v>
      </c>
      <c r="B559" s="61" t="s">
        <v>7796</v>
      </c>
      <c r="C559" s="61" t="s">
        <v>34</v>
      </c>
      <c r="F559" t="s">
        <v>7797</v>
      </c>
      <c r="G559" t="s">
        <v>6073</v>
      </c>
      <c r="J559" t="s">
        <v>7798</v>
      </c>
      <c r="K559" t="s">
        <v>7799</v>
      </c>
      <c r="L559" t="s">
        <v>7800</v>
      </c>
      <c r="M559" t="s">
        <v>6104</v>
      </c>
      <c r="N559" s="61" t="s">
        <v>7801</v>
      </c>
      <c r="O559">
        <v>61314</v>
      </c>
    </row>
    <row r="560" spans="1:15" x14ac:dyDescent="0.2">
      <c r="A560" t="s">
        <v>4261</v>
      </c>
      <c r="B560" s="61" t="s">
        <v>7802</v>
      </c>
      <c r="C560" s="61" t="s">
        <v>34</v>
      </c>
      <c r="F560" t="s">
        <v>4261</v>
      </c>
      <c r="G560" t="s">
        <v>6073</v>
      </c>
      <c r="H560" t="s">
        <v>34</v>
      </c>
      <c r="I560" t="s">
        <v>34</v>
      </c>
      <c r="L560" t="s">
        <v>7803</v>
      </c>
      <c r="M560" t="s">
        <v>6078</v>
      </c>
      <c r="N560" s="61" t="s">
        <v>7804</v>
      </c>
      <c r="O560">
        <v>57546</v>
      </c>
    </row>
    <row r="561" spans="1:15" x14ac:dyDescent="0.2">
      <c r="A561" t="s">
        <v>4262</v>
      </c>
      <c r="B561" s="61" t="s">
        <v>7805</v>
      </c>
      <c r="C561" s="61" t="s">
        <v>34</v>
      </c>
      <c r="F561" t="s">
        <v>4262</v>
      </c>
      <c r="G561" t="s">
        <v>6073</v>
      </c>
      <c r="H561" t="s">
        <v>34</v>
      </c>
      <c r="I561" t="s">
        <v>7806</v>
      </c>
      <c r="L561" t="s">
        <v>7807</v>
      </c>
      <c r="M561" t="s">
        <v>6078</v>
      </c>
      <c r="N561" s="61" t="s">
        <v>7808</v>
      </c>
      <c r="O561">
        <v>57547</v>
      </c>
    </row>
    <row r="562" spans="1:15" x14ac:dyDescent="0.2">
      <c r="A562" t="s">
        <v>4263</v>
      </c>
      <c r="B562" s="61" t="s">
        <v>7809</v>
      </c>
      <c r="C562" s="61" t="s">
        <v>34</v>
      </c>
      <c r="F562" t="s">
        <v>4263</v>
      </c>
      <c r="G562" t="s">
        <v>6073</v>
      </c>
      <c r="H562" t="s">
        <v>34</v>
      </c>
      <c r="I562" t="s">
        <v>34</v>
      </c>
      <c r="L562" t="s">
        <v>34</v>
      </c>
      <c r="M562" t="s">
        <v>6078</v>
      </c>
      <c r="N562" s="61" t="s">
        <v>7810</v>
      </c>
      <c r="O562">
        <v>57569</v>
      </c>
    </row>
    <row r="563" spans="1:15" x14ac:dyDescent="0.2">
      <c r="A563" t="s">
        <v>4264</v>
      </c>
      <c r="B563" s="61" t="s">
        <v>7811</v>
      </c>
      <c r="C563" s="61" t="s">
        <v>34</v>
      </c>
      <c r="F563" t="s">
        <v>4264</v>
      </c>
      <c r="G563" t="s">
        <v>6073</v>
      </c>
      <c r="J563" t="s">
        <v>7812</v>
      </c>
      <c r="M563" t="s">
        <v>6078</v>
      </c>
      <c r="N563" s="61" t="s">
        <v>6386</v>
      </c>
      <c r="O563">
        <v>68824</v>
      </c>
    </row>
    <row r="564" spans="1:15" x14ac:dyDescent="0.2">
      <c r="A564" t="s">
        <v>4265</v>
      </c>
      <c r="B564" s="61" t="s">
        <v>7813</v>
      </c>
      <c r="C564" s="61" t="s">
        <v>34</v>
      </c>
      <c r="F564" t="s">
        <v>4265</v>
      </c>
      <c r="G564" t="s">
        <v>6073</v>
      </c>
      <c r="H564" t="s">
        <v>34</v>
      </c>
      <c r="I564" t="s">
        <v>7814</v>
      </c>
      <c r="L564" t="s">
        <v>7815</v>
      </c>
      <c r="M564" t="s">
        <v>6095</v>
      </c>
      <c r="N564" s="61" t="s">
        <v>7598</v>
      </c>
      <c r="O564">
        <v>57568</v>
      </c>
    </row>
    <row r="565" spans="1:15" x14ac:dyDescent="0.2">
      <c r="A565" t="s">
        <v>4266</v>
      </c>
      <c r="B565" s="61" t="s">
        <v>7816</v>
      </c>
      <c r="C565" s="61" t="s">
        <v>34</v>
      </c>
      <c r="F565" t="s">
        <v>4266</v>
      </c>
      <c r="G565" t="s">
        <v>6073</v>
      </c>
      <c r="H565" t="s">
        <v>34</v>
      </c>
      <c r="I565" t="s">
        <v>7817</v>
      </c>
      <c r="L565" t="s">
        <v>7818</v>
      </c>
      <c r="M565" t="s">
        <v>6104</v>
      </c>
      <c r="N565" s="61" t="s">
        <v>7819</v>
      </c>
      <c r="O565">
        <v>57566</v>
      </c>
    </row>
    <row r="566" spans="1:15" x14ac:dyDescent="0.2">
      <c r="A566" t="s">
        <v>4267</v>
      </c>
      <c r="B566" s="61" t="s">
        <v>7820</v>
      </c>
      <c r="C566" s="61" t="s">
        <v>34</v>
      </c>
      <c r="F566" t="s">
        <v>4267</v>
      </c>
      <c r="G566" t="s">
        <v>6073</v>
      </c>
      <c r="H566" t="s">
        <v>34</v>
      </c>
      <c r="I566" t="s">
        <v>34</v>
      </c>
      <c r="L566" t="s">
        <v>7821</v>
      </c>
      <c r="M566" t="s">
        <v>6078</v>
      </c>
      <c r="N566" s="61" t="s">
        <v>6128</v>
      </c>
      <c r="O566">
        <v>57565</v>
      </c>
    </row>
    <row r="567" spans="1:15" x14ac:dyDescent="0.2">
      <c r="A567" t="s">
        <v>4268</v>
      </c>
      <c r="B567" s="61" t="s">
        <v>34</v>
      </c>
      <c r="C567" s="61" t="s">
        <v>34</v>
      </c>
      <c r="F567" t="s">
        <v>4268</v>
      </c>
      <c r="G567" t="s">
        <v>6073</v>
      </c>
      <c r="H567" t="s">
        <v>34</v>
      </c>
      <c r="I567" t="s">
        <v>34</v>
      </c>
      <c r="L567" t="s">
        <v>34</v>
      </c>
      <c r="N567" s="61" t="s">
        <v>3784</v>
      </c>
      <c r="O567">
        <v>58356</v>
      </c>
    </row>
    <row r="568" spans="1:15" x14ac:dyDescent="0.2">
      <c r="A568" t="s">
        <v>4269</v>
      </c>
      <c r="B568" s="61" t="s">
        <v>7822</v>
      </c>
      <c r="C568" s="61" t="s">
        <v>34</v>
      </c>
      <c r="F568" t="s">
        <v>4269</v>
      </c>
      <c r="G568" t="s">
        <v>6073</v>
      </c>
      <c r="H568" t="s">
        <v>7823</v>
      </c>
      <c r="L568" t="s">
        <v>7824</v>
      </c>
      <c r="M568" t="s">
        <v>6104</v>
      </c>
      <c r="N568" s="61" t="s">
        <v>7825</v>
      </c>
      <c r="O568">
        <v>120444</v>
      </c>
    </row>
    <row r="569" spans="1:15" x14ac:dyDescent="0.2">
      <c r="A569" t="s">
        <v>4270</v>
      </c>
      <c r="B569" s="61" t="s">
        <v>7826</v>
      </c>
      <c r="C569" s="61" t="s">
        <v>34</v>
      </c>
      <c r="F569" t="s">
        <v>4270</v>
      </c>
      <c r="G569" t="s">
        <v>6073</v>
      </c>
      <c r="H569" t="s">
        <v>34</v>
      </c>
      <c r="I569" t="s">
        <v>7827</v>
      </c>
      <c r="L569" t="s">
        <v>7828</v>
      </c>
      <c r="M569" t="s">
        <v>6078</v>
      </c>
      <c r="N569" s="61" t="s">
        <v>6386</v>
      </c>
      <c r="O569">
        <v>57564</v>
      </c>
    </row>
    <row r="570" spans="1:15" x14ac:dyDescent="0.2">
      <c r="A570" t="s">
        <v>4271</v>
      </c>
      <c r="B570" s="61" t="s">
        <v>7829</v>
      </c>
      <c r="C570" s="61" t="s">
        <v>34</v>
      </c>
      <c r="F570" t="s">
        <v>4271</v>
      </c>
      <c r="G570" t="s">
        <v>6073</v>
      </c>
      <c r="H570" t="s">
        <v>34</v>
      </c>
      <c r="I570" t="s">
        <v>7830</v>
      </c>
      <c r="L570" t="s">
        <v>7831</v>
      </c>
      <c r="M570" t="s">
        <v>6309</v>
      </c>
      <c r="N570" s="61" t="s">
        <v>6310</v>
      </c>
      <c r="O570">
        <v>57563</v>
      </c>
    </row>
    <row r="571" spans="1:15" x14ac:dyDescent="0.2">
      <c r="A571" t="s">
        <v>4272</v>
      </c>
      <c r="B571" s="61" t="s">
        <v>7832</v>
      </c>
      <c r="C571" s="61" t="s">
        <v>34</v>
      </c>
      <c r="F571" t="s">
        <v>4272</v>
      </c>
      <c r="G571" t="s">
        <v>6073</v>
      </c>
      <c r="I571" t="s">
        <v>7833</v>
      </c>
      <c r="L571" t="s">
        <v>7834</v>
      </c>
      <c r="M571" t="s">
        <v>7835</v>
      </c>
      <c r="N571" s="61" t="s">
        <v>7836</v>
      </c>
      <c r="O571">
        <v>57562</v>
      </c>
    </row>
    <row r="572" spans="1:15" x14ac:dyDescent="0.2">
      <c r="A572" t="s">
        <v>392</v>
      </c>
      <c r="B572" s="61" t="s">
        <v>7837</v>
      </c>
      <c r="C572" s="61" t="s">
        <v>34</v>
      </c>
      <c r="F572" t="s">
        <v>392</v>
      </c>
      <c r="G572" t="s">
        <v>6073</v>
      </c>
      <c r="H572" t="s">
        <v>34</v>
      </c>
      <c r="I572" t="s">
        <v>34</v>
      </c>
      <c r="L572" t="s">
        <v>7838</v>
      </c>
      <c r="M572" t="s">
        <v>6078</v>
      </c>
      <c r="N572" s="61" t="s">
        <v>6386</v>
      </c>
      <c r="O572">
        <v>57561</v>
      </c>
    </row>
    <row r="573" spans="1:15" x14ac:dyDescent="0.2">
      <c r="A573" t="s">
        <v>4273</v>
      </c>
      <c r="B573" s="61" t="s">
        <v>7839</v>
      </c>
      <c r="C573" s="61" t="s">
        <v>34</v>
      </c>
      <c r="F573" t="s">
        <v>4273</v>
      </c>
      <c r="G573" t="s">
        <v>6073</v>
      </c>
      <c r="I573" t="s">
        <v>7840</v>
      </c>
      <c r="L573" t="s">
        <v>7841</v>
      </c>
      <c r="M573" t="s">
        <v>6078</v>
      </c>
      <c r="N573" s="61" t="s">
        <v>6525</v>
      </c>
      <c r="O573">
        <v>57560</v>
      </c>
    </row>
    <row r="574" spans="1:15" x14ac:dyDescent="0.2">
      <c r="A574" t="s">
        <v>4274</v>
      </c>
      <c r="B574" s="61" t="s">
        <v>7842</v>
      </c>
      <c r="C574" s="61" t="s">
        <v>34</v>
      </c>
      <c r="F574" t="s">
        <v>4274</v>
      </c>
      <c r="G574" t="s">
        <v>6073</v>
      </c>
      <c r="H574" t="s">
        <v>34</v>
      </c>
      <c r="I574" t="s">
        <v>7843</v>
      </c>
      <c r="L574" t="s">
        <v>7844</v>
      </c>
      <c r="M574" t="s">
        <v>6078</v>
      </c>
      <c r="N574" s="61" t="s">
        <v>7034</v>
      </c>
      <c r="O574">
        <v>57570</v>
      </c>
    </row>
    <row r="575" spans="1:15" x14ac:dyDescent="0.2">
      <c r="A575" t="s">
        <v>4275</v>
      </c>
      <c r="B575" s="61" t="s">
        <v>7845</v>
      </c>
      <c r="C575" s="61" t="s">
        <v>34</v>
      </c>
      <c r="F575" t="s">
        <v>4275</v>
      </c>
      <c r="G575" t="s">
        <v>6073</v>
      </c>
      <c r="H575" t="s">
        <v>34</v>
      </c>
      <c r="I575" t="s">
        <v>7846</v>
      </c>
      <c r="L575" t="s">
        <v>7847</v>
      </c>
      <c r="M575" t="s">
        <v>6078</v>
      </c>
      <c r="N575" s="61" t="s">
        <v>6092</v>
      </c>
      <c r="O575">
        <v>57559</v>
      </c>
    </row>
    <row r="576" spans="1:15" x14ac:dyDescent="0.2">
      <c r="A576" t="s">
        <v>4276</v>
      </c>
      <c r="B576" s="61" t="s">
        <v>7848</v>
      </c>
      <c r="C576" s="61" t="s">
        <v>34</v>
      </c>
      <c r="F576" t="s">
        <v>4276</v>
      </c>
      <c r="G576" t="s">
        <v>6073</v>
      </c>
      <c r="H576" t="s">
        <v>7849</v>
      </c>
      <c r="J576" t="s">
        <v>7850</v>
      </c>
      <c r="K576" t="s">
        <v>7851</v>
      </c>
      <c r="L576" t="s">
        <v>7852</v>
      </c>
      <c r="M576" t="s">
        <v>6078</v>
      </c>
      <c r="N576" s="61" t="s">
        <v>7853</v>
      </c>
      <c r="O576">
        <v>116824</v>
      </c>
    </row>
    <row r="577" spans="1:15" x14ac:dyDescent="0.2">
      <c r="A577" t="s">
        <v>4277</v>
      </c>
      <c r="B577" s="61" t="s">
        <v>7854</v>
      </c>
      <c r="C577" s="61" t="s">
        <v>34</v>
      </c>
      <c r="F577" t="s">
        <v>4277</v>
      </c>
      <c r="G577" t="s">
        <v>6073</v>
      </c>
      <c r="H577" t="s">
        <v>7855</v>
      </c>
      <c r="J577" t="s">
        <v>7856</v>
      </c>
      <c r="K577" t="s">
        <v>7857</v>
      </c>
      <c r="L577" t="s">
        <v>7858</v>
      </c>
      <c r="M577" t="s">
        <v>6078</v>
      </c>
      <c r="N577" s="61" t="s">
        <v>6128</v>
      </c>
      <c r="O577">
        <v>127865</v>
      </c>
    </row>
    <row r="578" spans="1:15" x14ac:dyDescent="0.2">
      <c r="A578" t="s">
        <v>4278</v>
      </c>
      <c r="B578" s="61" t="s">
        <v>6515</v>
      </c>
      <c r="C578" s="61" t="s">
        <v>34</v>
      </c>
      <c r="F578" t="s">
        <v>4278</v>
      </c>
      <c r="G578" t="s">
        <v>6073</v>
      </c>
      <c r="L578" t="s">
        <v>7859</v>
      </c>
      <c r="M578" t="s">
        <v>6078</v>
      </c>
      <c r="N578" s="61" t="s">
        <v>6518</v>
      </c>
      <c r="O578">
        <v>117015</v>
      </c>
    </row>
    <row r="579" spans="1:15" x14ac:dyDescent="0.2">
      <c r="A579" t="s">
        <v>4279</v>
      </c>
      <c r="B579" s="61" t="s">
        <v>7860</v>
      </c>
      <c r="C579" s="61" t="s">
        <v>34</v>
      </c>
      <c r="F579" t="s">
        <v>4279</v>
      </c>
      <c r="G579" t="s">
        <v>6073</v>
      </c>
      <c r="H579" t="s">
        <v>34</v>
      </c>
      <c r="I579" t="s">
        <v>7861</v>
      </c>
      <c r="L579" t="s">
        <v>7862</v>
      </c>
      <c r="M579" t="s">
        <v>6078</v>
      </c>
      <c r="N579" s="61" t="s">
        <v>6386</v>
      </c>
      <c r="O579">
        <v>57557</v>
      </c>
    </row>
    <row r="580" spans="1:15" x14ac:dyDescent="0.2">
      <c r="A580" t="s">
        <v>4280</v>
      </c>
      <c r="B580" s="61" t="s">
        <v>7863</v>
      </c>
      <c r="C580" s="61" t="s">
        <v>34</v>
      </c>
      <c r="F580" t="s">
        <v>4280</v>
      </c>
      <c r="G580" t="s">
        <v>6073</v>
      </c>
      <c r="I580" t="s">
        <v>7864</v>
      </c>
      <c r="L580" t="s">
        <v>7865</v>
      </c>
      <c r="M580" t="s">
        <v>6078</v>
      </c>
      <c r="N580" s="61" t="s">
        <v>7866</v>
      </c>
      <c r="O580">
        <v>57556</v>
      </c>
    </row>
    <row r="581" spans="1:15" x14ac:dyDescent="0.2">
      <c r="A581" t="s">
        <v>4281</v>
      </c>
      <c r="B581" s="61" t="s">
        <v>7867</v>
      </c>
      <c r="C581" s="61" t="s">
        <v>34</v>
      </c>
      <c r="F581" t="s">
        <v>7868</v>
      </c>
      <c r="G581" t="s">
        <v>6073</v>
      </c>
      <c r="L581" t="s">
        <v>7869</v>
      </c>
      <c r="M581" t="s">
        <v>7870</v>
      </c>
      <c r="N581" s="61" t="s">
        <v>7871</v>
      </c>
      <c r="O581">
        <v>57555</v>
      </c>
    </row>
    <row r="582" spans="1:15" x14ac:dyDescent="0.2">
      <c r="A582" t="s">
        <v>4282</v>
      </c>
      <c r="B582" s="61" t="s">
        <v>7872</v>
      </c>
      <c r="C582" s="61" t="s">
        <v>34</v>
      </c>
      <c r="F582" t="s">
        <v>4282</v>
      </c>
      <c r="G582" t="s">
        <v>6073</v>
      </c>
      <c r="J582" t="s">
        <v>7873</v>
      </c>
      <c r="K582" t="s">
        <v>7874</v>
      </c>
      <c r="L582" t="s">
        <v>7875</v>
      </c>
      <c r="M582" t="s">
        <v>6078</v>
      </c>
      <c r="N582" s="61" t="s">
        <v>6444</v>
      </c>
      <c r="O582">
        <v>61312</v>
      </c>
    </row>
    <row r="583" spans="1:15" x14ac:dyDescent="0.2">
      <c r="A583" t="s">
        <v>4283</v>
      </c>
      <c r="B583" s="61" t="s">
        <v>7876</v>
      </c>
      <c r="C583" s="61" t="s">
        <v>34</v>
      </c>
      <c r="F583" t="s">
        <v>7877</v>
      </c>
      <c r="G583" t="s">
        <v>6073</v>
      </c>
      <c r="H583" t="s">
        <v>7878</v>
      </c>
      <c r="J583" t="s">
        <v>7879</v>
      </c>
      <c r="K583" t="s">
        <v>7880</v>
      </c>
      <c r="L583" t="s">
        <v>7881</v>
      </c>
      <c r="M583" t="s">
        <v>6078</v>
      </c>
      <c r="N583" s="61" t="s">
        <v>7882</v>
      </c>
      <c r="O583">
        <v>57554</v>
      </c>
    </row>
    <row r="584" spans="1:15" x14ac:dyDescent="0.2">
      <c r="A584" t="s">
        <v>4284</v>
      </c>
      <c r="B584" s="61" t="s">
        <v>7883</v>
      </c>
      <c r="C584" s="61" t="s">
        <v>34</v>
      </c>
      <c r="F584" t="s">
        <v>4284</v>
      </c>
      <c r="G584" t="s">
        <v>6073</v>
      </c>
      <c r="M584" t="s">
        <v>6309</v>
      </c>
      <c r="N584" s="61" t="s">
        <v>7884</v>
      </c>
      <c r="O584">
        <v>57553</v>
      </c>
    </row>
    <row r="585" spans="1:15" x14ac:dyDescent="0.2">
      <c r="A585" t="s">
        <v>4285</v>
      </c>
      <c r="B585" s="61" t="s">
        <v>7885</v>
      </c>
      <c r="C585" s="61" t="s">
        <v>34</v>
      </c>
      <c r="F585" t="s">
        <v>4285</v>
      </c>
      <c r="G585" t="s">
        <v>6073</v>
      </c>
      <c r="L585" t="s">
        <v>7886</v>
      </c>
      <c r="M585" t="s">
        <v>6078</v>
      </c>
      <c r="N585" s="61" t="s">
        <v>7887</v>
      </c>
      <c r="O585">
        <v>87871</v>
      </c>
    </row>
    <row r="586" spans="1:15" x14ac:dyDescent="0.2">
      <c r="A586" t="s">
        <v>4286</v>
      </c>
      <c r="B586" s="61" t="s">
        <v>34</v>
      </c>
      <c r="C586" s="61" t="s">
        <v>34</v>
      </c>
      <c r="F586" t="s">
        <v>4286</v>
      </c>
      <c r="G586" t="s">
        <v>6073</v>
      </c>
      <c r="H586" t="s">
        <v>34</v>
      </c>
      <c r="I586" t="s">
        <v>34</v>
      </c>
      <c r="L586" t="s">
        <v>34</v>
      </c>
      <c r="N586" s="61" t="s">
        <v>3784</v>
      </c>
      <c r="O586">
        <v>58374</v>
      </c>
    </row>
    <row r="587" spans="1:15" x14ac:dyDescent="0.2">
      <c r="A587" t="s">
        <v>4287</v>
      </c>
      <c r="B587" s="61" t="s">
        <v>7888</v>
      </c>
      <c r="C587" s="61" t="s">
        <v>34</v>
      </c>
      <c r="F587" t="s">
        <v>4287</v>
      </c>
      <c r="G587" t="s">
        <v>6073</v>
      </c>
      <c r="H587" t="s">
        <v>34</v>
      </c>
      <c r="I587" t="s">
        <v>7889</v>
      </c>
      <c r="L587" t="s">
        <v>7890</v>
      </c>
      <c r="M587" t="s">
        <v>6095</v>
      </c>
      <c r="N587" s="61" t="s">
        <v>6141</v>
      </c>
      <c r="O587">
        <v>57552</v>
      </c>
    </row>
    <row r="588" spans="1:15" x14ac:dyDescent="0.2">
      <c r="A588" t="s">
        <v>4288</v>
      </c>
      <c r="B588" s="61" t="s">
        <v>7891</v>
      </c>
      <c r="C588" s="61" t="s">
        <v>34</v>
      </c>
      <c r="F588" t="s">
        <v>4288</v>
      </c>
      <c r="G588" t="s">
        <v>6073</v>
      </c>
      <c r="L588" t="s">
        <v>7892</v>
      </c>
      <c r="M588" t="s">
        <v>6078</v>
      </c>
      <c r="N588" s="61" t="s">
        <v>7882</v>
      </c>
      <c r="O588">
        <v>57551</v>
      </c>
    </row>
    <row r="589" spans="1:15" x14ac:dyDescent="0.2">
      <c r="A589" t="s">
        <v>4289</v>
      </c>
      <c r="B589" s="61" t="s">
        <v>7893</v>
      </c>
      <c r="C589" s="61" t="s">
        <v>34</v>
      </c>
      <c r="F589" t="s">
        <v>4289</v>
      </c>
      <c r="G589" t="s">
        <v>6073</v>
      </c>
      <c r="H589" t="s">
        <v>7894</v>
      </c>
      <c r="I589" t="s">
        <v>7895</v>
      </c>
      <c r="L589" t="s">
        <v>7896</v>
      </c>
      <c r="M589" t="s">
        <v>6078</v>
      </c>
      <c r="N589" s="61" t="s">
        <v>6079</v>
      </c>
      <c r="O589">
        <v>58331</v>
      </c>
    </row>
    <row r="590" spans="1:15" x14ac:dyDescent="0.2">
      <c r="A590" t="s">
        <v>4290</v>
      </c>
      <c r="B590" s="61" t="s">
        <v>7897</v>
      </c>
      <c r="C590" s="61" t="s">
        <v>34</v>
      </c>
      <c r="F590" t="s">
        <v>4290</v>
      </c>
      <c r="G590" t="s">
        <v>6073</v>
      </c>
      <c r="I590" t="s">
        <v>7898</v>
      </c>
      <c r="L590" t="s">
        <v>7899</v>
      </c>
      <c r="M590" t="s">
        <v>6635</v>
      </c>
      <c r="N590" s="61" t="s">
        <v>7900</v>
      </c>
      <c r="O590">
        <v>57550</v>
      </c>
    </row>
    <row r="591" spans="1:15" x14ac:dyDescent="0.2">
      <c r="A591" t="s">
        <v>4291</v>
      </c>
      <c r="B591" s="61" t="s">
        <v>7901</v>
      </c>
      <c r="C591" s="61" t="s">
        <v>34</v>
      </c>
      <c r="F591" t="s">
        <v>4291</v>
      </c>
      <c r="G591" t="s">
        <v>6073</v>
      </c>
      <c r="I591" t="s">
        <v>7902</v>
      </c>
      <c r="L591" t="s">
        <v>7903</v>
      </c>
      <c r="M591" t="s">
        <v>6266</v>
      </c>
      <c r="N591" s="61" t="s">
        <v>7904</v>
      </c>
      <c r="O591">
        <v>66164</v>
      </c>
    </row>
    <row r="592" spans="1:15" x14ac:dyDescent="0.2">
      <c r="A592" t="s">
        <v>4292</v>
      </c>
      <c r="B592" s="61" t="s">
        <v>7905</v>
      </c>
      <c r="C592" s="61" t="s">
        <v>34</v>
      </c>
      <c r="F592" t="s">
        <v>4292</v>
      </c>
      <c r="G592" t="s">
        <v>6073</v>
      </c>
      <c r="H592" t="s">
        <v>7906</v>
      </c>
      <c r="L592" t="s">
        <v>7907</v>
      </c>
      <c r="M592" t="s">
        <v>6078</v>
      </c>
      <c r="N592" s="61" t="s">
        <v>7908</v>
      </c>
      <c r="O592">
        <v>124678</v>
      </c>
    </row>
    <row r="593" spans="1:15" x14ac:dyDescent="0.2">
      <c r="A593" t="s">
        <v>4293</v>
      </c>
      <c r="B593" s="61" t="s">
        <v>7909</v>
      </c>
      <c r="C593" s="61" t="s">
        <v>34</v>
      </c>
      <c r="F593" t="s">
        <v>4293</v>
      </c>
      <c r="G593" t="s">
        <v>6073</v>
      </c>
      <c r="H593" t="s">
        <v>34</v>
      </c>
      <c r="I593" t="s">
        <v>34</v>
      </c>
      <c r="L593" t="s">
        <v>7910</v>
      </c>
      <c r="M593" t="s">
        <v>6078</v>
      </c>
      <c r="N593" s="61" t="s">
        <v>6114</v>
      </c>
      <c r="O593">
        <v>57549</v>
      </c>
    </row>
    <row r="594" spans="1:15" x14ac:dyDescent="0.2">
      <c r="A594" t="s">
        <v>4294</v>
      </c>
      <c r="B594" s="61" t="s">
        <v>7911</v>
      </c>
      <c r="C594" s="61" t="s">
        <v>34</v>
      </c>
      <c r="F594" t="s">
        <v>4294</v>
      </c>
      <c r="G594" t="s">
        <v>6073</v>
      </c>
      <c r="H594" t="s">
        <v>34</v>
      </c>
      <c r="I594" t="s">
        <v>7912</v>
      </c>
      <c r="L594" t="s">
        <v>7913</v>
      </c>
      <c r="M594" t="s">
        <v>6266</v>
      </c>
      <c r="N594" s="61" t="s">
        <v>7914</v>
      </c>
      <c r="O594">
        <v>57548</v>
      </c>
    </row>
    <row r="595" spans="1:15" x14ac:dyDescent="0.2">
      <c r="A595" t="s">
        <v>4295</v>
      </c>
      <c r="B595" s="61" t="s">
        <v>7915</v>
      </c>
      <c r="C595" s="61" t="s">
        <v>34</v>
      </c>
      <c r="F595" t="s">
        <v>4295</v>
      </c>
      <c r="G595" t="s">
        <v>6073</v>
      </c>
      <c r="H595" t="s">
        <v>34</v>
      </c>
      <c r="I595" t="s">
        <v>34</v>
      </c>
      <c r="L595" t="s">
        <v>7916</v>
      </c>
      <c r="M595" t="s">
        <v>6078</v>
      </c>
      <c r="N595" s="61" t="s">
        <v>6182</v>
      </c>
      <c r="O595">
        <v>57522</v>
      </c>
    </row>
    <row r="596" spans="1:15" x14ac:dyDescent="0.2">
      <c r="A596" t="s">
        <v>4296</v>
      </c>
      <c r="B596" s="61" t="s">
        <v>7917</v>
      </c>
      <c r="C596" s="61" t="s">
        <v>34</v>
      </c>
      <c r="F596" t="s">
        <v>4296</v>
      </c>
      <c r="G596" t="s">
        <v>6073</v>
      </c>
      <c r="H596" t="s">
        <v>34</v>
      </c>
      <c r="I596" t="s">
        <v>7918</v>
      </c>
      <c r="L596" t="s">
        <v>7919</v>
      </c>
      <c r="M596" t="s">
        <v>6148</v>
      </c>
      <c r="N596" s="61" t="s">
        <v>7920</v>
      </c>
      <c r="O596">
        <v>57521</v>
      </c>
    </row>
    <row r="597" spans="1:15" x14ac:dyDescent="0.2">
      <c r="A597" t="s">
        <v>4297</v>
      </c>
      <c r="B597" s="61" t="s">
        <v>7921</v>
      </c>
      <c r="C597" s="61" t="s">
        <v>34</v>
      </c>
      <c r="F597" t="s">
        <v>4297</v>
      </c>
      <c r="G597" t="s">
        <v>6073</v>
      </c>
      <c r="H597" t="s">
        <v>34</v>
      </c>
      <c r="I597" t="s">
        <v>7922</v>
      </c>
      <c r="L597" t="s">
        <v>7923</v>
      </c>
      <c r="M597" t="s">
        <v>6266</v>
      </c>
      <c r="N597" s="61" t="s">
        <v>7924</v>
      </c>
      <c r="O597">
        <v>57520</v>
      </c>
    </row>
    <row r="598" spans="1:15" x14ac:dyDescent="0.2">
      <c r="A598" t="s">
        <v>4298</v>
      </c>
      <c r="B598" s="61" t="s">
        <v>7925</v>
      </c>
      <c r="C598" s="61" t="s">
        <v>34</v>
      </c>
      <c r="F598" t="s">
        <v>4298</v>
      </c>
      <c r="G598" t="s">
        <v>6073</v>
      </c>
      <c r="H598" t="s">
        <v>34</v>
      </c>
      <c r="I598" t="s">
        <v>7926</v>
      </c>
      <c r="L598" t="s">
        <v>7927</v>
      </c>
      <c r="M598" t="s">
        <v>7573</v>
      </c>
      <c r="N598" s="61" t="s">
        <v>7928</v>
      </c>
      <c r="O598">
        <v>57495</v>
      </c>
    </row>
    <row r="599" spans="1:15" x14ac:dyDescent="0.2">
      <c r="A599" t="s">
        <v>4299</v>
      </c>
      <c r="B599" s="61" t="s">
        <v>7929</v>
      </c>
      <c r="C599" s="61" t="s">
        <v>34</v>
      </c>
      <c r="F599" t="s">
        <v>4299</v>
      </c>
      <c r="G599" t="s">
        <v>6073</v>
      </c>
      <c r="H599" t="s">
        <v>7930</v>
      </c>
      <c r="J599" t="s">
        <v>7332</v>
      </c>
      <c r="K599" t="s">
        <v>7931</v>
      </c>
      <c r="L599" t="s">
        <v>7932</v>
      </c>
      <c r="M599" t="s">
        <v>6168</v>
      </c>
      <c r="N599" s="61" t="s">
        <v>7933</v>
      </c>
      <c r="O599">
        <v>57493</v>
      </c>
    </row>
    <row r="600" spans="1:15" x14ac:dyDescent="0.2">
      <c r="A600" t="s">
        <v>4300</v>
      </c>
      <c r="B600" s="61" t="s">
        <v>7934</v>
      </c>
      <c r="C600" s="61" t="s">
        <v>34</v>
      </c>
      <c r="F600" t="s">
        <v>4300</v>
      </c>
      <c r="G600" t="s">
        <v>6073</v>
      </c>
      <c r="M600" t="s">
        <v>6078</v>
      </c>
      <c r="N600" s="61" t="s">
        <v>6386</v>
      </c>
      <c r="O600">
        <v>64446</v>
      </c>
    </row>
    <row r="601" spans="1:15" x14ac:dyDescent="0.2">
      <c r="A601" t="s">
        <v>4301</v>
      </c>
      <c r="B601" s="61" t="s">
        <v>7935</v>
      </c>
      <c r="C601" s="61" t="s">
        <v>34</v>
      </c>
      <c r="F601" t="s">
        <v>4301</v>
      </c>
      <c r="G601" t="s">
        <v>6073</v>
      </c>
      <c r="I601" t="s">
        <v>7936</v>
      </c>
      <c r="L601" t="s">
        <v>7937</v>
      </c>
      <c r="M601" t="s">
        <v>6078</v>
      </c>
      <c r="N601" s="61" t="s">
        <v>7938</v>
      </c>
      <c r="O601">
        <v>57492</v>
      </c>
    </row>
    <row r="602" spans="1:15" x14ac:dyDescent="0.2">
      <c r="A602" t="s">
        <v>4302</v>
      </c>
      <c r="B602" s="61" t="s">
        <v>7939</v>
      </c>
      <c r="C602" s="61" t="s">
        <v>34</v>
      </c>
      <c r="F602" t="s">
        <v>4302</v>
      </c>
      <c r="G602" t="s">
        <v>6073</v>
      </c>
      <c r="H602" t="s">
        <v>34</v>
      </c>
      <c r="I602" t="s">
        <v>34</v>
      </c>
      <c r="L602" t="s">
        <v>7940</v>
      </c>
      <c r="M602" t="s">
        <v>7197</v>
      </c>
      <c r="N602" s="61" t="s">
        <v>7941</v>
      </c>
      <c r="O602">
        <v>57491</v>
      </c>
    </row>
    <row r="603" spans="1:15" x14ac:dyDescent="0.2">
      <c r="A603" t="s">
        <v>4303</v>
      </c>
      <c r="B603" s="61" t="s">
        <v>7942</v>
      </c>
      <c r="C603" s="61" t="s">
        <v>34</v>
      </c>
      <c r="F603" t="s">
        <v>4303</v>
      </c>
      <c r="G603" t="s">
        <v>6073</v>
      </c>
      <c r="I603" t="s">
        <v>7943</v>
      </c>
      <c r="L603" t="s">
        <v>7944</v>
      </c>
      <c r="M603" t="s">
        <v>6078</v>
      </c>
      <c r="N603" s="61" t="s">
        <v>6128</v>
      </c>
      <c r="O603">
        <v>57490</v>
      </c>
    </row>
    <row r="604" spans="1:15" x14ac:dyDescent="0.2">
      <c r="A604" t="s">
        <v>4304</v>
      </c>
      <c r="B604" s="61" t="s">
        <v>7945</v>
      </c>
      <c r="C604" s="61" t="s">
        <v>34</v>
      </c>
      <c r="F604" t="s">
        <v>4304</v>
      </c>
      <c r="G604" t="s">
        <v>6073</v>
      </c>
      <c r="H604" t="s">
        <v>7946</v>
      </c>
      <c r="I604" t="s">
        <v>34</v>
      </c>
      <c r="L604" t="s">
        <v>7947</v>
      </c>
      <c r="M604" t="s">
        <v>6078</v>
      </c>
      <c r="N604" s="61" t="s">
        <v>6231</v>
      </c>
      <c r="O604">
        <v>57489</v>
      </c>
    </row>
    <row r="605" spans="1:15" x14ac:dyDescent="0.2">
      <c r="A605" t="s">
        <v>4305</v>
      </c>
      <c r="B605" s="61" t="s">
        <v>7948</v>
      </c>
      <c r="C605" s="61" t="s">
        <v>34</v>
      </c>
      <c r="F605" t="s">
        <v>4305</v>
      </c>
      <c r="G605" t="s">
        <v>6073</v>
      </c>
      <c r="I605" t="s">
        <v>7949</v>
      </c>
      <c r="L605" t="s">
        <v>7950</v>
      </c>
      <c r="M605" t="s">
        <v>6078</v>
      </c>
      <c r="N605" s="61" t="s">
        <v>6128</v>
      </c>
      <c r="O605">
        <v>57488</v>
      </c>
    </row>
    <row r="606" spans="1:15" x14ac:dyDescent="0.2">
      <c r="A606" t="s">
        <v>4306</v>
      </c>
      <c r="B606" s="61" t="s">
        <v>7951</v>
      </c>
      <c r="C606" s="61" t="s">
        <v>34</v>
      </c>
      <c r="F606" t="s">
        <v>4306</v>
      </c>
      <c r="G606" t="s">
        <v>6073</v>
      </c>
      <c r="I606" t="s">
        <v>7949</v>
      </c>
      <c r="L606" t="s">
        <v>7950</v>
      </c>
      <c r="M606" t="s">
        <v>6078</v>
      </c>
      <c r="N606" s="61" t="s">
        <v>6128</v>
      </c>
      <c r="O606">
        <v>57487</v>
      </c>
    </row>
    <row r="607" spans="1:15" x14ac:dyDescent="0.2">
      <c r="A607" t="s">
        <v>4307</v>
      </c>
      <c r="B607" s="61" t="s">
        <v>7952</v>
      </c>
      <c r="C607" s="61" t="s">
        <v>34</v>
      </c>
      <c r="F607" t="s">
        <v>7953</v>
      </c>
      <c r="G607" t="s">
        <v>6073</v>
      </c>
      <c r="L607" t="s">
        <v>7954</v>
      </c>
      <c r="M607" t="s">
        <v>6078</v>
      </c>
      <c r="N607" s="61" t="s">
        <v>6444</v>
      </c>
      <c r="O607">
        <v>57486</v>
      </c>
    </row>
    <row r="608" spans="1:15" x14ac:dyDescent="0.2">
      <c r="A608" t="s">
        <v>4308</v>
      </c>
      <c r="B608" s="61" t="s">
        <v>7955</v>
      </c>
      <c r="C608" s="61" t="s">
        <v>34</v>
      </c>
      <c r="F608" t="s">
        <v>4308</v>
      </c>
      <c r="G608" t="s">
        <v>6073</v>
      </c>
      <c r="I608" t="s">
        <v>7956</v>
      </c>
      <c r="L608" t="s">
        <v>7957</v>
      </c>
      <c r="M608" t="s">
        <v>6078</v>
      </c>
      <c r="N608" s="61" t="s">
        <v>6551</v>
      </c>
      <c r="O608">
        <v>57485</v>
      </c>
    </row>
    <row r="609" spans="1:15" x14ac:dyDescent="0.2">
      <c r="A609" t="s">
        <v>4309</v>
      </c>
      <c r="B609" s="61" t="s">
        <v>7958</v>
      </c>
      <c r="C609" s="61" t="s">
        <v>34</v>
      </c>
      <c r="F609" t="s">
        <v>4309</v>
      </c>
      <c r="G609" t="s">
        <v>6073</v>
      </c>
      <c r="H609" t="s">
        <v>34</v>
      </c>
      <c r="I609" t="s">
        <v>7959</v>
      </c>
      <c r="L609" t="s">
        <v>7960</v>
      </c>
      <c r="M609" t="s">
        <v>6095</v>
      </c>
      <c r="N609" s="61" t="s">
        <v>7961</v>
      </c>
      <c r="O609">
        <v>57483</v>
      </c>
    </row>
    <row r="610" spans="1:15" x14ac:dyDescent="0.2">
      <c r="A610" t="s">
        <v>4310</v>
      </c>
      <c r="B610" s="61" t="s">
        <v>7962</v>
      </c>
      <c r="C610" s="61" t="s">
        <v>34</v>
      </c>
      <c r="F610" t="s">
        <v>4310</v>
      </c>
      <c r="G610" t="s">
        <v>6073</v>
      </c>
      <c r="I610" t="s">
        <v>7956</v>
      </c>
      <c r="L610" t="s">
        <v>7957</v>
      </c>
      <c r="M610" t="s">
        <v>6078</v>
      </c>
      <c r="N610" s="61" t="s">
        <v>6551</v>
      </c>
      <c r="O610">
        <v>57482</v>
      </c>
    </row>
    <row r="611" spans="1:15" x14ac:dyDescent="0.2">
      <c r="A611" t="s">
        <v>394</v>
      </c>
      <c r="B611" s="61" t="s">
        <v>7963</v>
      </c>
      <c r="C611" s="61" t="s">
        <v>34</v>
      </c>
      <c r="F611" t="s">
        <v>394</v>
      </c>
      <c r="G611" t="s">
        <v>6073</v>
      </c>
      <c r="I611" t="s">
        <v>7964</v>
      </c>
      <c r="L611" t="s">
        <v>7965</v>
      </c>
      <c r="M611" t="s">
        <v>6078</v>
      </c>
      <c r="N611" s="61" t="s">
        <v>6438</v>
      </c>
      <c r="O611">
        <v>57481</v>
      </c>
    </row>
    <row r="612" spans="1:15" x14ac:dyDescent="0.2">
      <c r="A612" t="s">
        <v>4311</v>
      </c>
      <c r="B612" s="61" t="s">
        <v>7966</v>
      </c>
      <c r="C612" s="61" t="s">
        <v>34</v>
      </c>
      <c r="F612" t="s">
        <v>4311</v>
      </c>
      <c r="G612" t="s">
        <v>6073</v>
      </c>
      <c r="I612" t="s">
        <v>7967</v>
      </c>
      <c r="L612" t="s">
        <v>7968</v>
      </c>
      <c r="M612" t="s">
        <v>6078</v>
      </c>
      <c r="N612" s="61" t="s">
        <v>6211</v>
      </c>
      <c r="O612">
        <v>57480</v>
      </c>
    </row>
    <row r="613" spans="1:15" x14ac:dyDescent="0.2">
      <c r="A613" t="s">
        <v>4312</v>
      </c>
      <c r="B613" s="61" t="s">
        <v>7969</v>
      </c>
      <c r="C613" s="61" t="s">
        <v>34</v>
      </c>
      <c r="F613" t="s">
        <v>4312</v>
      </c>
      <c r="G613" t="s">
        <v>6073</v>
      </c>
      <c r="I613" t="s">
        <v>7970</v>
      </c>
      <c r="L613" t="s">
        <v>7971</v>
      </c>
      <c r="M613" t="s">
        <v>6078</v>
      </c>
      <c r="N613" s="61" t="s">
        <v>6128</v>
      </c>
      <c r="O613">
        <v>58045</v>
      </c>
    </row>
    <row r="614" spans="1:15" x14ac:dyDescent="0.2">
      <c r="A614" t="s">
        <v>405</v>
      </c>
      <c r="B614" s="61" t="s">
        <v>7972</v>
      </c>
      <c r="C614" s="61" t="s">
        <v>34</v>
      </c>
      <c r="F614" t="s">
        <v>405</v>
      </c>
      <c r="G614" t="s">
        <v>6073</v>
      </c>
      <c r="I614" t="s">
        <v>7973</v>
      </c>
      <c r="L614" t="s">
        <v>7974</v>
      </c>
      <c r="M614" t="s">
        <v>6078</v>
      </c>
      <c r="N614" s="61" t="s">
        <v>7975</v>
      </c>
      <c r="O614">
        <v>57479</v>
      </c>
    </row>
    <row r="615" spans="1:15" x14ac:dyDescent="0.2">
      <c r="A615" t="s">
        <v>4313</v>
      </c>
      <c r="B615" s="61" t="s">
        <v>7976</v>
      </c>
      <c r="C615" s="61" t="s">
        <v>34</v>
      </c>
      <c r="F615" t="s">
        <v>4313</v>
      </c>
      <c r="G615" t="s">
        <v>6073</v>
      </c>
      <c r="I615" t="s">
        <v>7977</v>
      </c>
      <c r="L615" t="s">
        <v>7978</v>
      </c>
      <c r="M615" t="s">
        <v>6078</v>
      </c>
      <c r="N615" s="61" t="s">
        <v>6128</v>
      </c>
      <c r="O615">
        <v>57478</v>
      </c>
    </row>
    <row r="616" spans="1:15" x14ac:dyDescent="0.2">
      <c r="A616" t="s">
        <v>4314</v>
      </c>
      <c r="B616" s="61" t="s">
        <v>7979</v>
      </c>
      <c r="C616" s="61" t="s">
        <v>34</v>
      </c>
      <c r="F616" t="s">
        <v>4314</v>
      </c>
      <c r="G616" t="s">
        <v>6073</v>
      </c>
      <c r="L616" t="s">
        <v>7980</v>
      </c>
      <c r="M616" t="s">
        <v>6266</v>
      </c>
      <c r="N616" s="61" t="s">
        <v>6890</v>
      </c>
      <c r="O616">
        <v>75274</v>
      </c>
    </row>
    <row r="617" spans="1:15" x14ac:dyDescent="0.2">
      <c r="A617" t="s">
        <v>4315</v>
      </c>
      <c r="B617" s="61" t="s">
        <v>7981</v>
      </c>
      <c r="C617" s="61" t="s">
        <v>34</v>
      </c>
      <c r="F617" t="s">
        <v>4315</v>
      </c>
      <c r="G617" t="s">
        <v>6073</v>
      </c>
      <c r="J617" t="s">
        <v>7607</v>
      </c>
      <c r="K617" t="s">
        <v>7982</v>
      </c>
      <c r="L617" t="s">
        <v>7983</v>
      </c>
      <c r="M617" t="s">
        <v>6078</v>
      </c>
      <c r="N617" s="61" t="s">
        <v>6231</v>
      </c>
      <c r="O617">
        <v>57477</v>
      </c>
    </row>
    <row r="618" spans="1:15" x14ac:dyDescent="0.2">
      <c r="A618" t="s">
        <v>4316</v>
      </c>
      <c r="B618" s="61" t="s">
        <v>7984</v>
      </c>
      <c r="C618" s="61" t="s">
        <v>34</v>
      </c>
      <c r="F618" t="s">
        <v>4316</v>
      </c>
      <c r="G618" t="s">
        <v>6073</v>
      </c>
      <c r="L618" t="s">
        <v>7985</v>
      </c>
      <c r="M618" t="s">
        <v>6078</v>
      </c>
      <c r="N618" s="61" t="s">
        <v>7986</v>
      </c>
      <c r="O618">
        <v>57476</v>
      </c>
    </row>
    <row r="619" spans="1:15" x14ac:dyDescent="0.2">
      <c r="A619" t="s">
        <v>4317</v>
      </c>
      <c r="B619" s="61" t="s">
        <v>7987</v>
      </c>
      <c r="C619" s="61" t="s">
        <v>34</v>
      </c>
      <c r="F619" t="s">
        <v>4317</v>
      </c>
      <c r="G619" t="s">
        <v>6073</v>
      </c>
      <c r="H619" t="s">
        <v>34</v>
      </c>
      <c r="I619" t="s">
        <v>34</v>
      </c>
      <c r="L619" t="s">
        <v>7988</v>
      </c>
      <c r="M619" t="s">
        <v>6078</v>
      </c>
      <c r="N619" s="61" t="s">
        <v>6551</v>
      </c>
      <c r="O619">
        <v>57475</v>
      </c>
    </row>
    <row r="620" spans="1:15" x14ac:dyDescent="0.2">
      <c r="A620" t="s">
        <v>4318</v>
      </c>
      <c r="B620" s="61" t="s">
        <v>7989</v>
      </c>
      <c r="C620" s="61" t="s">
        <v>34</v>
      </c>
      <c r="F620" t="s">
        <v>4318</v>
      </c>
      <c r="G620" t="s">
        <v>6073</v>
      </c>
      <c r="M620" t="s">
        <v>6078</v>
      </c>
      <c r="N620" s="61" t="s">
        <v>7034</v>
      </c>
      <c r="O620">
        <v>64785</v>
      </c>
    </row>
    <row r="621" spans="1:15" x14ac:dyDescent="0.2">
      <c r="A621" t="s">
        <v>4319</v>
      </c>
      <c r="B621" s="61" t="s">
        <v>7990</v>
      </c>
      <c r="C621" s="61" t="s">
        <v>34</v>
      </c>
      <c r="F621" t="s">
        <v>4319</v>
      </c>
      <c r="G621" t="s">
        <v>6073</v>
      </c>
      <c r="I621" t="s">
        <v>7991</v>
      </c>
      <c r="L621" t="s">
        <v>7992</v>
      </c>
      <c r="M621" t="s">
        <v>6078</v>
      </c>
      <c r="N621" s="61" t="s">
        <v>7993</v>
      </c>
      <c r="O621">
        <v>57474</v>
      </c>
    </row>
    <row r="622" spans="1:15" x14ac:dyDescent="0.2">
      <c r="A622" t="s">
        <v>4320</v>
      </c>
      <c r="B622" s="61" t="s">
        <v>7994</v>
      </c>
      <c r="C622" s="61" t="s">
        <v>34</v>
      </c>
      <c r="F622" t="s">
        <v>4320</v>
      </c>
      <c r="G622" t="s">
        <v>6073</v>
      </c>
      <c r="H622" t="s">
        <v>34</v>
      </c>
      <c r="I622" t="s">
        <v>34</v>
      </c>
      <c r="L622" t="s">
        <v>7995</v>
      </c>
      <c r="M622" t="s">
        <v>6078</v>
      </c>
      <c r="N622" s="61" t="s">
        <v>6386</v>
      </c>
      <c r="O622">
        <v>57473</v>
      </c>
    </row>
    <row r="623" spans="1:15" x14ac:dyDescent="0.2">
      <c r="A623" t="s">
        <v>4321</v>
      </c>
      <c r="B623" s="61" t="s">
        <v>7996</v>
      </c>
      <c r="C623" s="61" t="s">
        <v>34</v>
      </c>
      <c r="F623" t="s">
        <v>4321</v>
      </c>
      <c r="G623" t="s">
        <v>6073</v>
      </c>
      <c r="L623" t="s">
        <v>7997</v>
      </c>
      <c r="M623" t="s">
        <v>6078</v>
      </c>
      <c r="N623" s="61" t="s">
        <v>7998</v>
      </c>
      <c r="O623">
        <v>57494</v>
      </c>
    </row>
    <row r="624" spans="1:15" x14ac:dyDescent="0.2">
      <c r="A624" t="s">
        <v>4322</v>
      </c>
      <c r="B624" s="61" t="s">
        <v>7999</v>
      </c>
      <c r="C624" s="61" t="s">
        <v>34</v>
      </c>
      <c r="F624" t="s">
        <v>4322</v>
      </c>
      <c r="G624" t="s">
        <v>6073</v>
      </c>
      <c r="H624" t="s">
        <v>34</v>
      </c>
      <c r="I624" t="s">
        <v>34</v>
      </c>
      <c r="L624" t="s">
        <v>8000</v>
      </c>
      <c r="M624" t="s">
        <v>6078</v>
      </c>
      <c r="N624" s="61" t="s">
        <v>7079</v>
      </c>
      <c r="O624">
        <v>57496</v>
      </c>
    </row>
    <row r="625" spans="1:15" x14ac:dyDescent="0.2">
      <c r="A625" t="s">
        <v>4323</v>
      </c>
      <c r="B625" s="61" t="s">
        <v>8001</v>
      </c>
      <c r="C625" s="61" t="s">
        <v>34</v>
      </c>
      <c r="F625" t="s">
        <v>4323</v>
      </c>
      <c r="G625" t="s">
        <v>6073</v>
      </c>
      <c r="H625" t="s">
        <v>34</v>
      </c>
      <c r="I625" t="s">
        <v>34</v>
      </c>
      <c r="L625" t="s">
        <v>8002</v>
      </c>
      <c r="M625" t="s">
        <v>6078</v>
      </c>
      <c r="N625" s="61" t="s">
        <v>6145</v>
      </c>
      <c r="O625">
        <v>57519</v>
      </c>
    </row>
    <row r="626" spans="1:15" x14ac:dyDescent="0.2">
      <c r="A626" t="s">
        <v>4324</v>
      </c>
      <c r="B626" s="61" t="s">
        <v>8003</v>
      </c>
      <c r="C626" s="61" t="s">
        <v>34</v>
      </c>
      <c r="F626" t="s">
        <v>4324</v>
      </c>
      <c r="G626" t="s">
        <v>6073</v>
      </c>
      <c r="I626" t="s">
        <v>8004</v>
      </c>
      <c r="L626" t="s">
        <v>8005</v>
      </c>
      <c r="M626" t="s">
        <v>6078</v>
      </c>
      <c r="N626" s="61" t="s">
        <v>6083</v>
      </c>
      <c r="O626">
        <v>57497</v>
      </c>
    </row>
    <row r="627" spans="1:15" x14ac:dyDescent="0.2">
      <c r="A627" t="s">
        <v>4325</v>
      </c>
      <c r="B627" s="61" t="s">
        <v>8006</v>
      </c>
      <c r="C627" s="61" t="s">
        <v>34</v>
      </c>
      <c r="F627" t="s">
        <v>4325</v>
      </c>
      <c r="G627" t="s">
        <v>6073</v>
      </c>
      <c r="H627" t="s">
        <v>34</v>
      </c>
      <c r="I627" t="s">
        <v>34</v>
      </c>
      <c r="L627" t="s">
        <v>8007</v>
      </c>
      <c r="M627" t="s">
        <v>6266</v>
      </c>
      <c r="N627" s="61" t="s">
        <v>8008</v>
      </c>
      <c r="O627">
        <v>57518</v>
      </c>
    </row>
    <row r="628" spans="1:15" x14ac:dyDescent="0.2">
      <c r="A628" t="s">
        <v>4326</v>
      </c>
      <c r="B628" s="61" t="s">
        <v>8009</v>
      </c>
      <c r="C628" s="61" t="s">
        <v>34</v>
      </c>
      <c r="F628" t="s">
        <v>4326</v>
      </c>
      <c r="G628" t="s">
        <v>6073</v>
      </c>
      <c r="H628" t="s">
        <v>34</v>
      </c>
      <c r="I628" t="s">
        <v>34</v>
      </c>
      <c r="L628" t="s">
        <v>8010</v>
      </c>
      <c r="M628" t="s">
        <v>6235</v>
      </c>
      <c r="N628" s="61" t="s">
        <v>8011</v>
      </c>
      <c r="O628">
        <v>57517</v>
      </c>
    </row>
    <row r="629" spans="1:15" x14ac:dyDescent="0.2">
      <c r="A629" t="s">
        <v>4327</v>
      </c>
      <c r="B629" s="61" t="s">
        <v>8012</v>
      </c>
      <c r="C629" s="61" t="s">
        <v>34</v>
      </c>
      <c r="F629" t="s">
        <v>4327</v>
      </c>
      <c r="G629" t="s">
        <v>6073</v>
      </c>
      <c r="H629" t="s">
        <v>8013</v>
      </c>
      <c r="J629" t="s">
        <v>8014</v>
      </c>
      <c r="K629" t="s">
        <v>8015</v>
      </c>
      <c r="L629" t="s">
        <v>8016</v>
      </c>
      <c r="M629" t="s">
        <v>6078</v>
      </c>
      <c r="N629" s="61" t="s">
        <v>6211</v>
      </c>
      <c r="O629">
        <v>64683</v>
      </c>
    </row>
    <row r="630" spans="1:15" x14ac:dyDescent="0.2">
      <c r="A630" t="s">
        <v>4328</v>
      </c>
      <c r="B630" s="61" t="s">
        <v>8017</v>
      </c>
      <c r="C630" s="61" t="s">
        <v>34</v>
      </c>
      <c r="F630" t="s">
        <v>4328</v>
      </c>
      <c r="G630" t="s">
        <v>6073</v>
      </c>
      <c r="H630" t="s">
        <v>34</v>
      </c>
      <c r="I630" t="s">
        <v>34</v>
      </c>
      <c r="L630" t="s">
        <v>8018</v>
      </c>
      <c r="M630" t="s">
        <v>6078</v>
      </c>
      <c r="N630" s="61" t="s">
        <v>7751</v>
      </c>
      <c r="O630">
        <v>57516</v>
      </c>
    </row>
    <row r="631" spans="1:15" x14ac:dyDescent="0.2">
      <c r="A631" t="s">
        <v>4329</v>
      </c>
      <c r="B631" s="61" t="s">
        <v>8019</v>
      </c>
      <c r="C631" s="61" t="s">
        <v>34</v>
      </c>
      <c r="F631" t="s">
        <v>4329</v>
      </c>
      <c r="G631" t="s">
        <v>6073</v>
      </c>
      <c r="H631" t="s">
        <v>34</v>
      </c>
      <c r="I631" t="s">
        <v>34</v>
      </c>
      <c r="L631" t="s">
        <v>8020</v>
      </c>
      <c r="M631" t="s">
        <v>6078</v>
      </c>
      <c r="N631" s="61" t="s">
        <v>8021</v>
      </c>
      <c r="O631">
        <v>57515</v>
      </c>
    </row>
    <row r="632" spans="1:15" x14ac:dyDescent="0.2">
      <c r="A632" t="s">
        <v>4330</v>
      </c>
      <c r="B632" s="61" t="s">
        <v>8022</v>
      </c>
      <c r="C632" s="61" t="s">
        <v>34</v>
      </c>
      <c r="F632" t="s">
        <v>4330</v>
      </c>
      <c r="G632" t="s">
        <v>6073</v>
      </c>
      <c r="I632" t="s">
        <v>8023</v>
      </c>
      <c r="L632" t="s">
        <v>8024</v>
      </c>
      <c r="M632" t="s">
        <v>6078</v>
      </c>
      <c r="N632" s="61" t="s">
        <v>8025</v>
      </c>
      <c r="O632">
        <v>57514</v>
      </c>
    </row>
    <row r="633" spans="1:15" x14ac:dyDescent="0.2">
      <c r="A633" t="s">
        <v>4331</v>
      </c>
      <c r="B633" s="61" t="s">
        <v>8026</v>
      </c>
      <c r="C633" s="61" t="s">
        <v>34</v>
      </c>
      <c r="F633" t="s">
        <v>4331</v>
      </c>
      <c r="G633" t="s">
        <v>6073</v>
      </c>
      <c r="I633" t="s">
        <v>8027</v>
      </c>
      <c r="L633" t="s">
        <v>8028</v>
      </c>
      <c r="M633" t="s">
        <v>6104</v>
      </c>
      <c r="N633" s="61" t="s">
        <v>6105</v>
      </c>
      <c r="O633">
        <v>57513</v>
      </c>
    </row>
    <row r="634" spans="1:15" x14ac:dyDescent="0.2">
      <c r="A634" t="s">
        <v>591</v>
      </c>
      <c r="B634" s="61" t="s">
        <v>8029</v>
      </c>
      <c r="C634" s="61" t="s">
        <v>34</v>
      </c>
      <c r="F634" t="s">
        <v>591</v>
      </c>
      <c r="G634" t="s">
        <v>6073</v>
      </c>
      <c r="I634" t="s">
        <v>8030</v>
      </c>
      <c r="L634" t="s">
        <v>8031</v>
      </c>
      <c r="M634" t="s">
        <v>6078</v>
      </c>
      <c r="N634" s="61" t="s">
        <v>8032</v>
      </c>
      <c r="O634">
        <v>57512</v>
      </c>
    </row>
    <row r="635" spans="1:15" x14ac:dyDescent="0.2">
      <c r="A635" t="s">
        <v>4332</v>
      </c>
      <c r="B635" s="61" t="s">
        <v>34</v>
      </c>
      <c r="C635" s="61" t="s">
        <v>34</v>
      </c>
      <c r="F635" t="s">
        <v>4332</v>
      </c>
      <c r="G635" t="s">
        <v>6073</v>
      </c>
      <c r="H635" t="s">
        <v>34</v>
      </c>
      <c r="I635" t="s">
        <v>34</v>
      </c>
      <c r="L635" t="s">
        <v>34</v>
      </c>
      <c r="N635" s="61" t="s">
        <v>3784</v>
      </c>
      <c r="O635">
        <v>58355</v>
      </c>
    </row>
    <row r="636" spans="1:15" x14ac:dyDescent="0.2">
      <c r="A636" t="s">
        <v>4333</v>
      </c>
      <c r="B636" s="61" t="s">
        <v>34</v>
      </c>
      <c r="C636" s="61" t="s">
        <v>34</v>
      </c>
      <c r="F636" t="s">
        <v>4333</v>
      </c>
      <c r="G636" t="s">
        <v>6073</v>
      </c>
      <c r="H636" t="s">
        <v>34</v>
      </c>
      <c r="I636" t="s">
        <v>8033</v>
      </c>
      <c r="L636" t="s">
        <v>8034</v>
      </c>
      <c r="N636" s="61" t="s">
        <v>3784</v>
      </c>
      <c r="O636">
        <v>57511</v>
      </c>
    </row>
    <row r="637" spans="1:15" x14ac:dyDescent="0.2">
      <c r="A637" t="s">
        <v>4334</v>
      </c>
      <c r="B637" s="61" t="s">
        <v>8035</v>
      </c>
      <c r="C637" s="61" t="s">
        <v>34</v>
      </c>
      <c r="F637" t="s">
        <v>4334</v>
      </c>
      <c r="G637" t="s">
        <v>6073</v>
      </c>
      <c r="H637" t="s">
        <v>34</v>
      </c>
      <c r="I637" t="s">
        <v>8036</v>
      </c>
      <c r="L637" t="s">
        <v>8037</v>
      </c>
      <c r="M637" t="s">
        <v>6078</v>
      </c>
      <c r="N637" s="61" t="s">
        <v>6211</v>
      </c>
      <c r="O637">
        <v>57510</v>
      </c>
    </row>
    <row r="638" spans="1:15" x14ac:dyDescent="0.2">
      <c r="A638" t="s">
        <v>4335</v>
      </c>
      <c r="B638" s="61" t="s">
        <v>8038</v>
      </c>
      <c r="C638" s="61" t="s">
        <v>34</v>
      </c>
      <c r="F638" t="s">
        <v>4335</v>
      </c>
      <c r="G638" t="s">
        <v>6073</v>
      </c>
      <c r="H638" t="s">
        <v>34</v>
      </c>
      <c r="I638" t="s">
        <v>34</v>
      </c>
      <c r="L638" t="s">
        <v>8039</v>
      </c>
      <c r="M638" t="s">
        <v>6078</v>
      </c>
      <c r="N638" s="61" t="s">
        <v>8040</v>
      </c>
      <c r="O638">
        <v>57509</v>
      </c>
    </row>
    <row r="639" spans="1:15" x14ac:dyDescent="0.2">
      <c r="A639" t="s">
        <v>408</v>
      </c>
      <c r="B639" s="61" t="s">
        <v>8041</v>
      </c>
      <c r="C639" s="61" t="s">
        <v>34</v>
      </c>
      <c r="F639" t="s">
        <v>408</v>
      </c>
      <c r="G639" t="s">
        <v>6073</v>
      </c>
      <c r="I639" t="s">
        <v>8042</v>
      </c>
      <c r="L639" t="s">
        <v>8043</v>
      </c>
      <c r="M639" t="s">
        <v>6078</v>
      </c>
      <c r="N639" s="61" t="s">
        <v>8044</v>
      </c>
      <c r="O639">
        <v>57508</v>
      </c>
    </row>
    <row r="640" spans="1:15" x14ac:dyDescent="0.2">
      <c r="A640" t="s">
        <v>4336</v>
      </c>
      <c r="B640" s="61" t="s">
        <v>8045</v>
      </c>
      <c r="C640" s="61" t="s">
        <v>34</v>
      </c>
      <c r="F640" t="s">
        <v>4336</v>
      </c>
      <c r="G640" t="s">
        <v>6073</v>
      </c>
      <c r="H640" t="s">
        <v>34</v>
      </c>
      <c r="I640" t="s">
        <v>8046</v>
      </c>
      <c r="L640" t="s">
        <v>8047</v>
      </c>
      <c r="M640" t="s">
        <v>6078</v>
      </c>
      <c r="N640" s="61" t="s">
        <v>7016</v>
      </c>
      <c r="O640">
        <v>57507</v>
      </c>
    </row>
    <row r="641" spans="1:15" x14ac:dyDescent="0.2">
      <c r="A641" t="s">
        <v>4337</v>
      </c>
      <c r="B641" s="61" t="s">
        <v>8048</v>
      </c>
      <c r="C641" s="61" t="s">
        <v>34</v>
      </c>
      <c r="F641" t="s">
        <v>4337</v>
      </c>
      <c r="G641" t="s">
        <v>6073</v>
      </c>
      <c r="I641" t="s">
        <v>8049</v>
      </c>
      <c r="L641" t="s">
        <v>8050</v>
      </c>
      <c r="M641" t="s">
        <v>6078</v>
      </c>
      <c r="N641" s="61" t="s">
        <v>6128</v>
      </c>
      <c r="O641">
        <v>57506</v>
      </c>
    </row>
    <row r="642" spans="1:15" x14ac:dyDescent="0.2">
      <c r="A642" t="s">
        <v>4338</v>
      </c>
      <c r="B642" s="61" t="s">
        <v>8051</v>
      </c>
      <c r="C642" s="61" t="s">
        <v>34</v>
      </c>
      <c r="F642" t="s">
        <v>4338</v>
      </c>
      <c r="G642" t="s">
        <v>6073</v>
      </c>
      <c r="M642" t="s">
        <v>6104</v>
      </c>
      <c r="N642" s="61" t="s">
        <v>8052</v>
      </c>
      <c r="O642">
        <v>87688</v>
      </c>
    </row>
    <row r="643" spans="1:15" x14ac:dyDescent="0.2">
      <c r="A643" t="s">
        <v>4339</v>
      </c>
      <c r="B643" s="61" t="s">
        <v>8053</v>
      </c>
      <c r="C643" s="61" t="s">
        <v>34</v>
      </c>
      <c r="F643" t="s">
        <v>4339</v>
      </c>
      <c r="G643" t="s">
        <v>6073</v>
      </c>
      <c r="H643" t="s">
        <v>34</v>
      </c>
      <c r="I643" t="s">
        <v>8054</v>
      </c>
      <c r="L643" t="s">
        <v>8055</v>
      </c>
      <c r="M643" t="s">
        <v>6078</v>
      </c>
      <c r="N643" s="61" t="s">
        <v>6255</v>
      </c>
      <c r="O643">
        <v>57505</v>
      </c>
    </row>
    <row r="644" spans="1:15" x14ac:dyDescent="0.2">
      <c r="A644" t="s">
        <v>4340</v>
      </c>
      <c r="B644" s="61" t="s">
        <v>8056</v>
      </c>
      <c r="C644" s="61" t="s">
        <v>34</v>
      </c>
      <c r="F644" t="s">
        <v>4340</v>
      </c>
      <c r="G644" t="s">
        <v>6073</v>
      </c>
      <c r="H644" t="s">
        <v>34</v>
      </c>
      <c r="I644" t="s">
        <v>8057</v>
      </c>
      <c r="L644" t="s">
        <v>8058</v>
      </c>
      <c r="M644" t="s">
        <v>6104</v>
      </c>
      <c r="N644" s="61" t="s">
        <v>8059</v>
      </c>
      <c r="O644">
        <v>57504</v>
      </c>
    </row>
    <row r="645" spans="1:15" x14ac:dyDescent="0.2">
      <c r="A645" t="s">
        <v>4341</v>
      </c>
      <c r="B645" s="61" t="s">
        <v>8060</v>
      </c>
      <c r="C645" s="61" t="s">
        <v>34</v>
      </c>
      <c r="F645" t="s">
        <v>4341</v>
      </c>
      <c r="G645" t="s">
        <v>6073</v>
      </c>
      <c r="H645" t="s">
        <v>8061</v>
      </c>
      <c r="I645" t="s">
        <v>8062</v>
      </c>
      <c r="L645" t="s">
        <v>8063</v>
      </c>
      <c r="M645" t="s">
        <v>6635</v>
      </c>
      <c r="N645" s="61" t="s">
        <v>8064</v>
      </c>
      <c r="O645">
        <v>57503</v>
      </c>
    </row>
    <row r="646" spans="1:15" x14ac:dyDescent="0.2">
      <c r="A646" t="s">
        <v>4342</v>
      </c>
      <c r="B646" s="61" t="s">
        <v>8065</v>
      </c>
      <c r="C646" s="61" t="s">
        <v>34</v>
      </c>
      <c r="F646" t="s">
        <v>4342</v>
      </c>
      <c r="G646" t="s">
        <v>6073</v>
      </c>
      <c r="H646" t="s">
        <v>34</v>
      </c>
      <c r="I646" t="s">
        <v>8066</v>
      </c>
      <c r="L646" t="s">
        <v>8067</v>
      </c>
      <c r="M646" t="s">
        <v>6078</v>
      </c>
      <c r="N646" s="61" t="s">
        <v>8068</v>
      </c>
      <c r="O646">
        <v>57502</v>
      </c>
    </row>
    <row r="647" spans="1:15" x14ac:dyDescent="0.2">
      <c r="A647" t="s">
        <v>4343</v>
      </c>
      <c r="B647" s="61" t="s">
        <v>8069</v>
      </c>
      <c r="C647" s="61" t="s">
        <v>34</v>
      </c>
      <c r="F647" t="s">
        <v>4343</v>
      </c>
      <c r="G647" t="s">
        <v>6073</v>
      </c>
      <c r="L647" t="s">
        <v>8070</v>
      </c>
      <c r="M647" t="s">
        <v>6078</v>
      </c>
      <c r="N647" s="61" t="s">
        <v>6386</v>
      </c>
      <c r="O647">
        <v>115807</v>
      </c>
    </row>
    <row r="648" spans="1:15" x14ac:dyDescent="0.2">
      <c r="A648" t="s">
        <v>4344</v>
      </c>
      <c r="B648" s="61" t="s">
        <v>8073</v>
      </c>
      <c r="C648" s="61" t="s">
        <v>8074</v>
      </c>
      <c r="F648" t="s">
        <v>4344</v>
      </c>
      <c r="G648" t="s">
        <v>6073</v>
      </c>
      <c r="H648" t="s">
        <v>34</v>
      </c>
      <c r="I648" t="s">
        <v>34</v>
      </c>
      <c r="L648" t="s">
        <v>34</v>
      </c>
      <c r="M648" t="s">
        <v>6104</v>
      </c>
      <c r="N648" s="61" t="s">
        <v>8075</v>
      </c>
      <c r="O648">
        <v>57500</v>
      </c>
    </row>
    <row r="649" spans="1:15" x14ac:dyDescent="0.2">
      <c r="A649" t="s">
        <v>4344</v>
      </c>
      <c r="B649" s="61" t="s">
        <v>8071</v>
      </c>
      <c r="C649" s="61" t="s">
        <v>34</v>
      </c>
      <c r="F649" t="s">
        <v>4344</v>
      </c>
      <c r="G649" t="s">
        <v>6073</v>
      </c>
      <c r="H649" t="s">
        <v>34</v>
      </c>
      <c r="I649" t="s">
        <v>34</v>
      </c>
      <c r="L649" t="s">
        <v>34</v>
      </c>
      <c r="M649" t="s">
        <v>6104</v>
      </c>
      <c r="N649" s="61" t="s">
        <v>8072</v>
      </c>
      <c r="O649">
        <v>57501</v>
      </c>
    </row>
    <row r="650" spans="1:15" x14ac:dyDescent="0.2">
      <c r="A650" t="s">
        <v>4345</v>
      </c>
      <c r="B650" s="61" t="s">
        <v>34</v>
      </c>
      <c r="C650" s="61" t="s">
        <v>34</v>
      </c>
      <c r="F650" t="s">
        <v>4345</v>
      </c>
      <c r="G650" t="s">
        <v>6073</v>
      </c>
      <c r="H650" t="s">
        <v>34</v>
      </c>
      <c r="I650" t="s">
        <v>34</v>
      </c>
      <c r="L650" t="s">
        <v>34</v>
      </c>
      <c r="N650" s="61" t="s">
        <v>3784</v>
      </c>
      <c r="O650">
        <v>58354</v>
      </c>
    </row>
    <row r="651" spans="1:15" x14ac:dyDescent="0.2">
      <c r="A651" t="s">
        <v>4346</v>
      </c>
      <c r="B651" s="61" t="s">
        <v>8076</v>
      </c>
      <c r="C651" s="61" t="s">
        <v>34</v>
      </c>
      <c r="F651" t="s">
        <v>4346</v>
      </c>
      <c r="G651" t="s">
        <v>6073</v>
      </c>
      <c r="H651" t="s">
        <v>34</v>
      </c>
      <c r="I651" t="s">
        <v>8077</v>
      </c>
      <c r="L651" t="s">
        <v>8078</v>
      </c>
      <c r="M651" t="s">
        <v>6078</v>
      </c>
      <c r="N651" s="61" t="s">
        <v>6969</v>
      </c>
      <c r="O651">
        <v>57499</v>
      </c>
    </row>
    <row r="652" spans="1:15" x14ac:dyDescent="0.2">
      <c r="A652" t="s">
        <v>4347</v>
      </c>
      <c r="B652" s="61" t="s">
        <v>8079</v>
      </c>
      <c r="C652" s="61" t="s">
        <v>34</v>
      </c>
      <c r="F652" t="s">
        <v>4347</v>
      </c>
      <c r="G652" t="s">
        <v>6073</v>
      </c>
      <c r="J652" t="s">
        <v>8080</v>
      </c>
      <c r="K652" t="s">
        <v>8081</v>
      </c>
      <c r="L652" t="s">
        <v>8082</v>
      </c>
      <c r="M652" t="s">
        <v>6078</v>
      </c>
      <c r="N652" s="61" t="s">
        <v>8083</v>
      </c>
      <c r="O652">
        <v>119152</v>
      </c>
    </row>
    <row r="653" spans="1:15" x14ac:dyDescent="0.2">
      <c r="A653" t="s">
        <v>4348</v>
      </c>
      <c r="B653" s="61" t="s">
        <v>8084</v>
      </c>
      <c r="C653" s="61" t="s">
        <v>34</v>
      </c>
      <c r="F653" t="s">
        <v>4348</v>
      </c>
      <c r="G653" t="s">
        <v>6073</v>
      </c>
      <c r="H653" t="s">
        <v>34</v>
      </c>
      <c r="I653" t="s">
        <v>34</v>
      </c>
      <c r="L653" t="s">
        <v>8085</v>
      </c>
      <c r="M653" t="s">
        <v>6078</v>
      </c>
      <c r="N653" s="61" t="s">
        <v>8086</v>
      </c>
      <c r="O653">
        <v>57498</v>
      </c>
    </row>
    <row r="654" spans="1:15" x14ac:dyDescent="0.2">
      <c r="A654" t="s">
        <v>4349</v>
      </c>
      <c r="B654" s="61" t="s">
        <v>8087</v>
      </c>
      <c r="C654" s="61" t="s">
        <v>34</v>
      </c>
      <c r="F654" t="s">
        <v>4349</v>
      </c>
      <c r="G654" t="s">
        <v>6073</v>
      </c>
      <c r="H654" t="s">
        <v>34</v>
      </c>
      <c r="I654" t="s">
        <v>34</v>
      </c>
      <c r="L654" t="s">
        <v>8088</v>
      </c>
      <c r="M654" t="s">
        <v>6078</v>
      </c>
      <c r="N654" s="61" t="s">
        <v>6525</v>
      </c>
      <c r="O654">
        <v>57558</v>
      </c>
    </row>
    <row r="655" spans="1:15" x14ac:dyDescent="0.2">
      <c r="A655" t="s">
        <v>411</v>
      </c>
      <c r="B655" s="61" t="s">
        <v>8089</v>
      </c>
      <c r="C655" s="61" t="s">
        <v>34</v>
      </c>
      <c r="F655" t="s">
        <v>411</v>
      </c>
      <c r="G655" t="s">
        <v>6073</v>
      </c>
      <c r="I655" t="s">
        <v>8090</v>
      </c>
      <c r="L655" t="s">
        <v>8091</v>
      </c>
      <c r="M655" t="s">
        <v>6078</v>
      </c>
      <c r="N655" s="61" t="s">
        <v>6151</v>
      </c>
      <c r="O655">
        <v>57571</v>
      </c>
    </row>
    <row r="656" spans="1:15" x14ac:dyDescent="0.2">
      <c r="A656" t="s">
        <v>4350</v>
      </c>
      <c r="B656" s="61" t="s">
        <v>8092</v>
      </c>
      <c r="C656" s="61" t="s">
        <v>34</v>
      </c>
      <c r="F656" t="s">
        <v>4350</v>
      </c>
      <c r="G656" t="s">
        <v>6073</v>
      </c>
      <c r="H656" t="s">
        <v>8093</v>
      </c>
      <c r="I656" t="s">
        <v>8094</v>
      </c>
      <c r="L656" t="s">
        <v>8095</v>
      </c>
      <c r="M656" t="s">
        <v>6078</v>
      </c>
      <c r="N656" s="61" t="s">
        <v>8096</v>
      </c>
      <c r="O656">
        <v>57572</v>
      </c>
    </row>
    <row r="657" spans="1:15" x14ac:dyDescent="0.2">
      <c r="A657" t="s">
        <v>4351</v>
      </c>
      <c r="B657" s="61" t="s">
        <v>8097</v>
      </c>
      <c r="C657" s="61" t="s">
        <v>34</v>
      </c>
      <c r="F657" t="s">
        <v>4351</v>
      </c>
      <c r="G657" t="s">
        <v>6073</v>
      </c>
      <c r="H657" t="s">
        <v>34</v>
      </c>
      <c r="I657" t="s">
        <v>8098</v>
      </c>
      <c r="L657" t="s">
        <v>8099</v>
      </c>
      <c r="M657" t="s">
        <v>6078</v>
      </c>
      <c r="N657" s="61" t="s">
        <v>8100</v>
      </c>
      <c r="O657">
        <v>57643</v>
      </c>
    </row>
    <row r="658" spans="1:15" x14ac:dyDescent="0.2">
      <c r="A658" t="s">
        <v>4352</v>
      </c>
      <c r="B658" s="61" t="s">
        <v>8101</v>
      </c>
      <c r="C658" s="61" t="s">
        <v>34</v>
      </c>
      <c r="F658" t="s">
        <v>4352</v>
      </c>
      <c r="G658" t="s">
        <v>6073</v>
      </c>
      <c r="H658" t="s">
        <v>34</v>
      </c>
      <c r="I658" t="s">
        <v>8102</v>
      </c>
      <c r="L658" t="s">
        <v>8103</v>
      </c>
      <c r="M658" t="s">
        <v>6908</v>
      </c>
      <c r="N658" s="61" t="s">
        <v>8104</v>
      </c>
      <c r="O658">
        <v>57642</v>
      </c>
    </row>
    <row r="659" spans="1:15" x14ac:dyDescent="0.2">
      <c r="A659" t="s">
        <v>4353</v>
      </c>
      <c r="B659" s="61" t="s">
        <v>8105</v>
      </c>
      <c r="C659" s="61" t="s">
        <v>34</v>
      </c>
      <c r="F659" t="s">
        <v>4353</v>
      </c>
      <c r="G659" t="s">
        <v>6073</v>
      </c>
      <c r="I659" t="s">
        <v>8106</v>
      </c>
      <c r="L659" t="s">
        <v>8107</v>
      </c>
      <c r="M659" t="s">
        <v>6266</v>
      </c>
      <c r="N659" s="61" t="s">
        <v>8108</v>
      </c>
      <c r="O659">
        <v>57641</v>
      </c>
    </row>
    <row r="660" spans="1:15" x14ac:dyDescent="0.2">
      <c r="A660" t="s">
        <v>4354</v>
      </c>
      <c r="B660" s="61" t="s">
        <v>8109</v>
      </c>
      <c r="C660" s="61" t="s">
        <v>34</v>
      </c>
      <c r="F660" t="s">
        <v>4354</v>
      </c>
      <c r="G660" t="s">
        <v>6073</v>
      </c>
      <c r="H660" t="s">
        <v>34</v>
      </c>
      <c r="I660" t="s">
        <v>8110</v>
      </c>
      <c r="L660" t="s">
        <v>8111</v>
      </c>
      <c r="M660" t="s">
        <v>6095</v>
      </c>
      <c r="N660" s="61" t="s">
        <v>8112</v>
      </c>
      <c r="O660">
        <v>57640</v>
      </c>
    </row>
    <row r="661" spans="1:15" x14ac:dyDescent="0.2">
      <c r="A661" t="s">
        <v>4355</v>
      </c>
      <c r="B661" s="61" t="s">
        <v>8113</v>
      </c>
      <c r="C661" s="61" t="s">
        <v>34</v>
      </c>
      <c r="F661" t="s">
        <v>4355</v>
      </c>
      <c r="G661" t="s">
        <v>6073</v>
      </c>
      <c r="L661" t="s">
        <v>8114</v>
      </c>
      <c r="M661" t="s">
        <v>6078</v>
      </c>
      <c r="N661" s="61" t="s">
        <v>6110</v>
      </c>
      <c r="O661">
        <v>57639</v>
      </c>
    </row>
    <row r="662" spans="1:15" x14ac:dyDescent="0.2">
      <c r="A662" t="s">
        <v>4356</v>
      </c>
      <c r="B662" s="61" t="s">
        <v>8115</v>
      </c>
      <c r="C662" s="61" t="s">
        <v>34</v>
      </c>
      <c r="F662" t="s">
        <v>4356</v>
      </c>
      <c r="G662" t="s">
        <v>6073</v>
      </c>
      <c r="I662" t="s">
        <v>8116</v>
      </c>
      <c r="L662" t="s">
        <v>8117</v>
      </c>
      <c r="M662" t="s">
        <v>6078</v>
      </c>
      <c r="N662" s="61" t="s">
        <v>6969</v>
      </c>
      <c r="O662">
        <v>57638</v>
      </c>
    </row>
    <row r="663" spans="1:15" x14ac:dyDescent="0.2">
      <c r="A663" t="s">
        <v>4357</v>
      </c>
      <c r="B663" s="61" t="s">
        <v>8118</v>
      </c>
      <c r="C663" s="61" t="s">
        <v>34</v>
      </c>
      <c r="F663" t="s">
        <v>4357</v>
      </c>
      <c r="G663" t="s">
        <v>6073</v>
      </c>
      <c r="H663" t="s">
        <v>34</v>
      </c>
      <c r="I663" t="s">
        <v>34</v>
      </c>
      <c r="L663" t="s">
        <v>8119</v>
      </c>
      <c r="M663" t="s">
        <v>6078</v>
      </c>
      <c r="N663" s="61" t="s">
        <v>8120</v>
      </c>
      <c r="O663">
        <v>57637</v>
      </c>
    </row>
    <row r="664" spans="1:15" x14ac:dyDescent="0.2">
      <c r="A664" t="s">
        <v>4358</v>
      </c>
      <c r="B664" s="61" t="s">
        <v>34</v>
      </c>
      <c r="C664" s="61" t="s">
        <v>34</v>
      </c>
      <c r="F664" t="s">
        <v>4358</v>
      </c>
      <c r="G664" t="s">
        <v>6073</v>
      </c>
      <c r="H664" t="s">
        <v>34</v>
      </c>
      <c r="I664" t="s">
        <v>34</v>
      </c>
      <c r="L664" t="s">
        <v>34</v>
      </c>
      <c r="N664" s="61" t="s">
        <v>3784</v>
      </c>
      <c r="O664">
        <v>58353</v>
      </c>
    </row>
    <row r="665" spans="1:15" x14ac:dyDescent="0.2">
      <c r="A665" t="s">
        <v>413</v>
      </c>
      <c r="B665" s="61" t="s">
        <v>8121</v>
      </c>
      <c r="C665" s="61" t="s">
        <v>34</v>
      </c>
      <c r="F665" t="s">
        <v>413</v>
      </c>
      <c r="G665" t="s">
        <v>6073</v>
      </c>
      <c r="H665" t="s">
        <v>34</v>
      </c>
      <c r="I665" t="s">
        <v>8122</v>
      </c>
      <c r="L665" t="s">
        <v>8123</v>
      </c>
      <c r="M665" t="s">
        <v>6104</v>
      </c>
      <c r="N665" s="61" t="s">
        <v>8124</v>
      </c>
      <c r="O665">
        <v>57632</v>
      </c>
    </row>
    <row r="666" spans="1:15" x14ac:dyDescent="0.2">
      <c r="A666" t="s">
        <v>4359</v>
      </c>
      <c r="B666" s="61" t="s">
        <v>8125</v>
      </c>
      <c r="C666" s="61" t="s">
        <v>34</v>
      </c>
      <c r="F666" t="s">
        <v>4359</v>
      </c>
      <c r="G666" t="s">
        <v>6073</v>
      </c>
      <c r="H666" t="s">
        <v>8126</v>
      </c>
      <c r="J666" t="s">
        <v>8127</v>
      </c>
      <c r="L666" t="s">
        <v>8128</v>
      </c>
      <c r="M666" t="s">
        <v>6078</v>
      </c>
      <c r="N666" s="61" t="s">
        <v>6551</v>
      </c>
      <c r="O666">
        <v>115635</v>
      </c>
    </row>
    <row r="667" spans="1:15" x14ac:dyDescent="0.2">
      <c r="A667" t="s">
        <v>4360</v>
      </c>
      <c r="B667" s="61" t="s">
        <v>8129</v>
      </c>
      <c r="C667" s="61" t="s">
        <v>34</v>
      </c>
      <c r="F667" t="s">
        <v>4360</v>
      </c>
      <c r="G667" t="s">
        <v>6073</v>
      </c>
      <c r="H667" t="s">
        <v>34</v>
      </c>
      <c r="I667" t="s">
        <v>8130</v>
      </c>
      <c r="L667" t="s">
        <v>8131</v>
      </c>
      <c r="M667" t="s">
        <v>6266</v>
      </c>
      <c r="N667" s="61" t="s">
        <v>8132</v>
      </c>
      <c r="O667">
        <v>57636</v>
      </c>
    </row>
    <row r="668" spans="1:15" x14ac:dyDescent="0.2">
      <c r="A668" t="s">
        <v>4361</v>
      </c>
      <c r="B668" s="61" t="s">
        <v>8133</v>
      </c>
      <c r="C668" s="61" t="s">
        <v>34</v>
      </c>
      <c r="F668" t="s">
        <v>4361</v>
      </c>
      <c r="G668" t="s">
        <v>6073</v>
      </c>
      <c r="I668" t="s">
        <v>8134</v>
      </c>
      <c r="L668" t="s">
        <v>8135</v>
      </c>
      <c r="M668" t="s">
        <v>6266</v>
      </c>
      <c r="N668" s="61" t="s">
        <v>8132</v>
      </c>
      <c r="O668">
        <v>57635</v>
      </c>
    </row>
    <row r="669" spans="1:15" x14ac:dyDescent="0.2">
      <c r="A669" t="s">
        <v>4362</v>
      </c>
      <c r="B669" s="61" t="s">
        <v>8136</v>
      </c>
      <c r="C669" s="61" t="s">
        <v>34</v>
      </c>
      <c r="F669" t="s">
        <v>4362</v>
      </c>
      <c r="G669" t="s">
        <v>6073</v>
      </c>
      <c r="M669" t="s">
        <v>6266</v>
      </c>
      <c r="N669" s="61" t="s">
        <v>8132</v>
      </c>
      <c r="O669">
        <v>111219</v>
      </c>
    </row>
    <row r="670" spans="1:15" x14ac:dyDescent="0.2">
      <c r="A670" t="s">
        <v>4363</v>
      </c>
      <c r="B670" s="61" t="s">
        <v>8137</v>
      </c>
      <c r="C670" s="61" t="s">
        <v>34</v>
      </c>
      <c r="F670" t="s">
        <v>4363</v>
      </c>
      <c r="G670" t="s">
        <v>6073</v>
      </c>
      <c r="H670" t="s">
        <v>8138</v>
      </c>
      <c r="M670" t="s">
        <v>6095</v>
      </c>
      <c r="N670" s="61" t="s">
        <v>8139</v>
      </c>
      <c r="O670">
        <v>57634</v>
      </c>
    </row>
    <row r="671" spans="1:15" x14ac:dyDescent="0.2">
      <c r="A671" t="s">
        <v>4364</v>
      </c>
      <c r="B671" s="61" t="s">
        <v>8140</v>
      </c>
      <c r="C671" s="61" t="s">
        <v>34</v>
      </c>
      <c r="F671" t="s">
        <v>4364</v>
      </c>
      <c r="G671" t="s">
        <v>6073</v>
      </c>
      <c r="L671" t="s">
        <v>8141</v>
      </c>
      <c r="M671" t="s">
        <v>6266</v>
      </c>
      <c r="N671" s="61" t="s">
        <v>8142</v>
      </c>
      <c r="O671">
        <v>125613</v>
      </c>
    </row>
    <row r="672" spans="1:15" x14ac:dyDescent="0.2">
      <c r="A672" t="s">
        <v>4365</v>
      </c>
      <c r="B672" s="61" t="s">
        <v>8143</v>
      </c>
      <c r="C672" s="61" t="s">
        <v>34</v>
      </c>
      <c r="F672" t="s">
        <v>4365</v>
      </c>
      <c r="G672" t="s">
        <v>6073</v>
      </c>
      <c r="H672" t="s">
        <v>34</v>
      </c>
      <c r="I672" t="s">
        <v>8144</v>
      </c>
      <c r="L672" t="s">
        <v>8145</v>
      </c>
      <c r="M672" t="s">
        <v>6078</v>
      </c>
      <c r="N672" s="61" t="s">
        <v>6211</v>
      </c>
      <c r="O672">
        <v>57633</v>
      </c>
    </row>
    <row r="673" spans="1:15" x14ac:dyDescent="0.2">
      <c r="A673" t="s">
        <v>4366</v>
      </c>
      <c r="B673" s="61" t="s">
        <v>8146</v>
      </c>
      <c r="C673" s="61" t="s">
        <v>34</v>
      </c>
      <c r="F673" t="s">
        <v>4366</v>
      </c>
      <c r="G673" t="s">
        <v>6073</v>
      </c>
      <c r="H673" t="s">
        <v>34</v>
      </c>
      <c r="I673" t="s">
        <v>34</v>
      </c>
      <c r="L673" t="s">
        <v>8147</v>
      </c>
      <c r="M673" t="s">
        <v>6078</v>
      </c>
      <c r="N673" s="61" t="s">
        <v>6182</v>
      </c>
      <c r="O673">
        <v>57631</v>
      </c>
    </row>
    <row r="674" spans="1:15" x14ac:dyDescent="0.2">
      <c r="A674" t="s">
        <v>4367</v>
      </c>
      <c r="B674" s="61" t="s">
        <v>8148</v>
      </c>
      <c r="C674" s="61" t="s">
        <v>34</v>
      </c>
      <c r="F674" t="s">
        <v>4367</v>
      </c>
      <c r="G674" t="s">
        <v>6073</v>
      </c>
      <c r="M674" t="s">
        <v>6078</v>
      </c>
      <c r="N674" s="61" t="s">
        <v>7547</v>
      </c>
      <c r="O674">
        <v>70909</v>
      </c>
    </row>
    <row r="675" spans="1:15" x14ac:dyDescent="0.2">
      <c r="A675" t="s">
        <v>4368</v>
      </c>
      <c r="B675" s="61" t="s">
        <v>8149</v>
      </c>
      <c r="C675" s="61" t="s">
        <v>34</v>
      </c>
      <c r="F675" t="s">
        <v>4368</v>
      </c>
      <c r="G675" t="s">
        <v>6073</v>
      </c>
      <c r="H675" t="s">
        <v>34</v>
      </c>
      <c r="I675" t="s">
        <v>34</v>
      </c>
      <c r="L675" t="s">
        <v>8150</v>
      </c>
      <c r="M675" t="s">
        <v>6078</v>
      </c>
      <c r="N675" s="61" t="s">
        <v>6314</v>
      </c>
      <c r="O675">
        <v>57630</v>
      </c>
    </row>
    <row r="676" spans="1:15" x14ac:dyDescent="0.2">
      <c r="A676" t="s">
        <v>4369</v>
      </c>
      <c r="B676" s="61" t="s">
        <v>8151</v>
      </c>
      <c r="C676" s="61" t="s">
        <v>34</v>
      </c>
      <c r="F676" t="s">
        <v>4369</v>
      </c>
      <c r="G676" t="s">
        <v>6073</v>
      </c>
      <c r="L676" t="s">
        <v>8152</v>
      </c>
      <c r="M676" t="s">
        <v>6078</v>
      </c>
      <c r="N676" s="61" t="s">
        <v>6092</v>
      </c>
      <c r="O676">
        <v>57629</v>
      </c>
    </row>
    <row r="677" spans="1:15" x14ac:dyDescent="0.2">
      <c r="A677" t="s">
        <v>4370</v>
      </c>
      <c r="B677" s="61" t="s">
        <v>8153</v>
      </c>
      <c r="C677" s="61" t="s">
        <v>34</v>
      </c>
      <c r="F677" t="s">
        <v>4370</v>
      </c>
      <c r="G677" t="s">
        <v>6073</v>
      </c>
      <c r="H677" t="s">
        <v>34</v>
      </c>
      <c r="I677" t="s">
        <v>34</v>
      </c>
      <c r="L677" t="s">
        <v>8154</v>
      </c>
      <c r="M677" t="s">
        <v>6078</v>
      </c>
      <c r="N677" s="61" t="s">
        <v>6092</v>
      </c>
      <c r="O677">
        <v>57628</v>
      </c>
    </row>
    <row r="678" spans="1:15" x14ac:dyDescent="0.2">
      <c r="A678" t="s">
        <v>4371</v>
      </c>
      <c r="B678" s="61" t="s">
        <v>8155</v>
      </c>
      <c r="C678" s="61" t="s">
        <v>34</v>
      </c>
      <c r="F678" t="s">
        <v>4371</v>
      </c>
      <c r="G678" t="s">
        <v>6073</v>
      </c>
      <c r="H678" t="s">
        <v>34</v>
      </c>
      <c r="I678" t="s">
        <v>8156</v>
      </c>
      <c r="L678" t="s">
        <v>8157</v>
      </c>
      <c r="M678" t="s">
        <v>6078</v>
      </c>
      <c r="N678" s="61" t="s">
        <v>8158</v>
      </c>
      <c r="O678">
        <v>57627</v>
      </c>
    </row>
    <row r="679" spans="1:15" x14ac:dyDescent="0.2">
      <c r="A679" t="s">
        <v>4372</v>
      </c>
      <c r="B679" s="61" t="s">
        <v>8159</v>
      </c>
      <c r="C679" s="61" t="s">
        <v>34</v>
      </c>
      <c r="F679" t="s">
        <v>4372</v>
      </c>
      <c r="G679" t="s">
        <v>6073</v>
      </c>
      <c r="H679" t="s">
        <v>34</v>
      </c>
      <c r="I679" t="s">
        <v>8160</v>
      </c>
      <c r="L679" t="s">
        <v>8161</v>
      </c>
      <c r="M679" t="s">
        <v>6266</v>
      </c>
      <c r="N679" s="61" t="s">
        <v>8162</v>
      </c>
      <c r="O679">
        <v>57626</v>
      </c>
    </row>
    <row r="680" spans="1:15" x14ac:dyDescent="0.2">
      <c r="A680" t="s">
        <v>4373</v>
      </c>
      <c r="B680" s="61" t="s">
        <v>8163</v>
      </c>
      <c r="C680" s="61" t="s">
        <v>34</v>
      </c>
      <c r="F680" t="s">
        <v>4373</v>
      </c>
      <c r="G680" t="s">
        <v>6073</v>
      </c>
      <c r="H680" t="s">
        <v>34</v>
      </c>
      <c r="I680" t="s">
        <v>34</v>
      </c>
      <c r="L680" t="s">
        <v>34</v>
      </c>
      <c r="M680" t="s">
        <v>6078</v>
      </c>
      <c r="N680" s="61" t="s">
        <v>8164</v>
      </c>
      <c r="O680">
        <v>58373</v>
      </c>
    </row>
    <row r="681" spans="1:15" x14ac:dyDescent="0.2">
      <c r="A681" t="s">
        <v>4374</v>
      </c>
      <c r="B681" s="61" t="s">
        <v>8165</v>
      </c>
      <c r="C681" s="61" t="s">
        <v>34</v>
      </c>
      <c r="F681" t="s">
        <v>4374</v>
      </c>
      <c r="G681" t="s">
        <v>6073</v>
      </c>
      <c r="M681" t="s">
        <v>6266</v>
      </c>
      <c r="N681" s="61" t="s">
        <v>8166</v>
      </c>
      <c r="O681">
        <v>104203</v>
      </c>
    </row>
    <row r="682" spans="1:15" x14ac:dyDescent="0.2">
      <c r="A682" t="s">
        <v>4375</v>
      </c>
      <c r="B682" s="61" t="s">
        <v>8167</v>
      </c>
      <c r="C682" s="61" t="s">
        <v>34</v>
      </c>
      <c r="F682" t="s">
        <v>4375</v>
      </c>
      <c r="G682" t="s">
        <v>6073</v>
      </c>
      <c r="L682" t="s">
        <v>8168</v>
      </c>
      <c r="M682" t="s">
        <v>6078</v>
      </c>
      <c r="N682" s="61" t="s">
        <v>6182</v>
      </c>
      <c r="O682">
        <v>57625</v>
      </c>
    </row>
    <row r="683" spans="1:15" x14ac:dyDescent="0.2">
      <c r="A683" t="s">
        <v>4376</v>
      </c>
      <c r="B683" s="61" t="s">
        <v>8169</v>
      </c>
      <c r="C683" s="61" t="s">
        <v>34</v>
      </c>
      <c r="F683" t="s">
        <v>4376</v>
      </c>
      <c r="G683" t="s">
        <v>6073</v>
      </c>
      <c r="I683" t="s">
        <v>8170</v>
      </c>
      <c r="L683" t="s">
        <v>8171</v>
      </c>
      <c r="M683" t="s">
        <v>6078</v>
      </c>
      <c r="N683" s="61" t="s">
        <v>6182</v>
      </c>
      <c r="O683">
        <v>57624</v>
      </c>
    </row>
    <row r="684" spans="1:15" x14ac:dyDescent="0.2">
      <c r="A684" t="s">
        <v>4377</v>
      </c>
      <c r="B684" s="61" t="s">
        <v>8172</v>
      </c>
      <c r="C684" s="61" t="s">
        <v>34</v>
      </c>
      <c r="F684" t="s">
        <v>4377</v>
      </c>
      <c r="G684" t="s">
        <v>6073</v>
      </c>
      <c r="H684" t="s">
        <v>34</v>
      </c>
      <c r="I684" t="s">
        <v>34</v>
      </c>
      <c r="L684" t="s">
        <v>8173</v>
      </c>
      <c r="M684" t="s">
        <v>6078</v>
      </c>
      <c r="N684" s="61" t="s">
        <v>8174</v>
      </c>
      <c r="O684">
        <v>57623</v>
      </c>
    </row>
    <row r="685" spans="1:15" x14ac:dyDescent="0.2">
      <c r="A685" t="s">
        <v>4378</v>
      </c>
      <c r="B685" s="61" t="s">
        <v>8175</v>
      </c>
      <c r="C685" s="61" t="s">
        <v>34</v>
      </c>
      <c r="F685" t="s">
        <v>4378</v>
      </c>
      <c r="G685" t="s">
        <v>6073</v>
      </c>
      <c r="H685" t="s">
        <v>34</v>
      </c>
      <c r="I685" t="s">
        <v>8176</v>
      </c>
      <c r="L685" t="s">
        <v>8177</v>
      </c>
      <c r="M685" t="s">
        <v>6240</v>
      </c>
      <c r="N685" s="61" t="s">
        <v>8178</v>
      </c>
      <c r="O685">
        <v>57644</v>
      </c>
    </row>
    <row r="686" spans="1:15" x14ac:dyDescent="0.2">
      <c r="A686" t="s">
        <v>4379</v>
      </c>
      <c r="B686" s="61" t="s">
        <v>8179</v>
      </c>
      <c r="C686" s="61" t="s">
        <v>34</v>
      </c>
      <c r="F686" t="s">
        <v>4379</v>
      </c>
      <c r="G686" t="s">
        <v>6073</v>
      </c>
      <c r="H686" t="s">
        <v>34</v>
      </c>
      <c r="I686" t="s">
        <v>8180</v>
      </c>
      <c r="L686" t="s">
        <v>8181</v>
      </c>
      <c r="M686" t="s">
        <v>6078</v>
      </c>
      <c r="N686" s="61" t="s">
        <v>6079</v>
      </c>
      <c r="O686">
        <v>57646</v>
      </c>
    </row>
    <row r="687" spans="1:15" x14ac:dyDescent="0.2">
      <c r="A687" t="s">
        <v>4380</v>
      </c>
      <c r="B687" s="61" t="s">
        <v>8182</v>
      </c>
      <c r="C687" s="61" t="s">
        <v>34</v>
      </c>
      <c r="F687" t="s">
        <v>4380</v>
      </c>
      <c r="G687" t="s">
        <v>6073</v>
      </c>
      <c r="H687" t="s">
        <v>34</v>
      </c>
      <c r="I687" t="s">
        <v>8183</v>
      </c>
      <c r="L687" t="s">
        <v>8184</v>
      </c>
      <c r="M687" t="s">
        <v>6078</v>
      </c>
      <c r="N687" s="61" t="s">
        <v>8185</v>
      </c>
      <c r="O687">
        <v>57669</v>
      </c>
    </row>
    <row r="688" spans="1:15" x14ac:dyDescent="0.2">
      <c r="A688" t="s">
        <v>4381</v>
      </c>
      <c r="B688" s="61" t="s">
        <v>34</v>
      </c>
      <c r="C688" s="61" t="s">
        <v>34</v>
      </c>
      <c r="F688" t="s">
        <v>4381</v>
      </c>
      <c r="G688" t="s">
        <v>6073</v>
      </c>
      <c r="H688" t="s">
        <v>34</v>
      </c>
      <c r="I688" t="s">
        <v>34</v>
      </c>
      <c r="L688" t="s">
        <v>34</v>
      </c>
      <c r="N688" s="61" t="s">
        <v>3784</v>
      </c>
      <c r="O688">
        <v>58352</v>
      </c>
    </row>
    <row r="689" spans="1:15" x14ac:dyDescent="0.2">
      <c r="A689" t="s">
        <v>4382</v>
      </c>
      <c r="B689" s="61" t="s">
        <v>8186</v>
      </c>
      <c r="C689" s="61" t="s">
        <v>34</v>
      </c>
      <c r="F689" t="s">
        <v>4382</v>
      </c>
      <c r="G689" t="s">
        <v>6073</v>
      </c>
      <c r="M689" t="s">
        <v>6266</v>
      </c>
      <c r="N689" s="61" t="s">
        <v>8187</v>
      </c>
      <c r="O689">
        <v>61520</v>
      </c>
    </row>
    <row r="690" spans="1:15" x14ac:dyDescent="0.2">
      <c r="A690" t="s">
        <v>4383</v>
      </c>
      <c r="B690" s="61" t="s">
        <v>8188</v>
      </c>
      <c r="C690" s="61" t="s">
        <v>34</v>
      </c>
      <c r="F690" t="s">
        <v>4383</v>
      </c>
      <c r="G690" t="s">
        <v>6073</v>
      </c>
      <c r="H690" t="s">
        <v>34</v>
      </c>
      <c r="I690" t="s">
        <v>34</v>
      </c>
      <c r="L690" t="s">
        <v>8189</v>
      </c>
      <c r="M690" t="s">
        <v>6078</v>
      </c>
      <c r="N690" s="61" t="s">
        <v>6386</v>
      </c>
      <c r="O690">
        <v>57647</v>
      </c>
    </row>
    <row r="691" spans="1:15" x14ac:dyDescent="0.2">
      <c r="A691" t="s">
        <v>4384</v>
      </c>
      <c r="B691" s="61" t="s">
        <v>8190</v>
      </c>
      <c r="C691" s="61" t="s">
        <v>34</v>
      </c>
      <c r="F691" t="s">
        <v>4384</v>
      </c>
      <c r="G691" t="s">
        <v>6073</v>
      </c>
      <c r="H691" t="s">
        <v>34</v>
      </c>
      <c r="I691" t="s">
        <v>34</v>
      </c>
      <c r="L691" t="s">
        <v>8191</v>
      </c>
      <c r="M691" t="s">
        <v>6095</v>
      </c>
      <c r="N691" s="61" t="s">
        <v>8192</v>
      </c>
      <c r="O691">
        <v>57668</v>
      </c>
    </row>
    <row r="692" spans="1:15" x14ac:dyDescent="0.2">
      <c r="A692" t="s">
        <v>4385</v>
      </c>
      <c r="B692" s="61" t="s">
        <v>8193</v>
      </c>
      <c r="C692" s="61" t="s">
        <v>34</v>
      </c>
      <c r="F692" t="s">
        <v>4385</v>
      </c>
      <c r="G692" t="s">
        <v>6073</v>
      </c>
      <c r="M692" t="s">
        <v>6309</v>
      </c>
      <c r="N692" s="61" t="s">
        <v>8194</v>
      </c>
      <c r="O692">
        <v>57667</v>
      </c>
    </row>
    <row r="693" spans="1:15" x14ac:dyDescent="0.2">
      <c r="A693" t="s">
        <v>4386</v>
      </c>
      <c r="B693" s="61" t="s">
        <v>8195</v>
      </c>
      <c r="C693" s="61" t="s">
        <v>34</v>
      </c>
      <c r="F693" t="s">
        <v>4386</v>
      </c>
      <c r="G693" t="s">
        <v>6073</v>
      </c>
      <c r="I693" t="s">
        <v>8196</v>
      </c>
      <c r="L693" t="s">
        <v>8197</v>
      </c>
      <c r="M693" t="s">
        <v>6095</v>
      </c>
      <c r="N693" s="61" t="s">
        <v>8198</v>
      </c>
      <c r="O693">
        <v>66373</v>
      </c>
    </row>
    <row r="694" spans="1:15" x14ac:dyDescent="0.2">
      <c r="A694" t="s">
        <v>4387</v>
      </c>
      <c r="B694" s="61" t="s">
        <v>8199</v>
      </c>
      <c r="C694" s="61" t="s">
        <v>8200</v>
      </c>
      <c r="F694" t="s">
        <v>4387</v>
      </c>
      <c r="G694" t="s">
        <v>6073</v>
      </c>
      <c r="J694" t="s">
        <v>8201</v>
      </c>
      <c r="K694" t="s">
        <v>8202</v>
      </c>
      <c r="L694" t="s">
        <v>8203</v>
      </c>
      <c r="M694" t="s">
        <v>6188</v>
      </c>
      <c r="N694" s="61" t="s">
        <v>8204</v>
      </c>
      <c r="O694">
        <v>65952</v>
      </c>
    </row>
    <row r="695" spans="1:15" x14ac:dyDescent="0.2">
      <c r="A695" t="s">
        <v>4388</v>
      </c>
      <c r="B695" s="61" t="s">
        <v>8205</v>
      </c>
      <c r="C695" s="61" t="s">
        <v>34</v>
      </c>
      <c r="F695" t="s">
        <v>4388</v>
      </c>
      <c r="G695" t="s">
        <v>6073</v>
      </c>
      <c r="H695" t="s">
        <v>34</v>
      </c>
      <c r="I695" t="s">
        <v>8206</v>
      </c>
      <c r="L695" t="s">
        <v>8207</v>
      </c>
      <c r="M695" t="s">
        <v>6266</v>
      </c>
      <c r="N695" s="61" t="s">
        <v>8208</v>
      </c>
      <c r="O695">
        <v>57666</v>
      </c>
    </row>
    <row r="696" spans="1:15" x14ac:dyDescent="0.2">
      <c r="A696" t="s">
        <v>4389</v>
      </c>
      <c r="B696" s="61" t="s">
        <v>8209</v>
      </c>
      <c r="C696" s="61" t="s">
        <v>34</v>
      </c>
      <c r="F696" t="s">
        <v>4389</v>
      </c>
      <c r="G696" t="s">
        <v>6073</v>
      </c>
      <c r="I696" t="s">
        <v>8210</v>
      </c>
      <c r="L696" t="s">
        <v>8211</v>
      </c>
      <c r="M696" t="s">
        <v>6346</v>
      </c>
      <c r="N696" s="61" t="s">
        <v>8212</v>
      </c>
      <c r="O696">
        <v>57665</v>
      </c>
    </row>
    <row r="697" spans="1:15" x14ac:dyDescent="0.2">
      <c r="A697" t="s">
        <v>4390</v>
      </c>
      <c r="B697" s="61" t="s">
        <v>8213</v>
      </c>
      <c r="C697" s="61" t="s">
        <v>34</v>
      </c>
      <c r="F697" t="s">
        <v>4390</v>
      </c>
      <c r="G697" t="s">
        <v>6073</v>
      </c>
      <c r="L697" t="s">
        <v>8214</v>
      </c>
      <c r="M697" t="s">
        <v>6078</v>
      </c>
      <c r="N697" s="61" t="s">
        <v>6128</v>
      </c>
      <c r="O697">
        <v>57664</v>
      </c>
    </row>
    <row r="698" spans="1:15" x14ac:dyDescent="0.2">
      <c r="A698" t="s">
        <v>4391</v>
      </c>
      <c r="B698" s="61" t="s">
        <v>8215</v>
      </c>
      <c r="C698" s="61" t="s">
        <v>34</v>
      </c>
      <c r="F698" t="s">
        <v>4391</v>
      </c>
      <c r="G698" t="s">
        <v>6073</v>
      </c>
      <c r="H698" t="s">
        <v>8216</v>
      </c>
      <c r="J698" t="s">
        <v>6765</v>
      </c>
      <c r="K698" t="s">
        <v>8217</v>
      </c>
      <c r="L698" t="s">
        <v>8218</v>
      </c>
      <c r="M698" t="s">
        <v>6078</v>
      </c>
      <c r="N698" s="61" t="s">
        <v>6211</v>
      </c>
      <c r="O698">
        <v>128414</v>
      </c>
    </row>
    <row r="699" spans="1:15" x14ac:dyDescent="0.2">
      <c r="A699" t="s">
        <v>4392</v>
      </c>
      <c r="B699" s="61" t="s">
        <v>8219</v>
      </c>
      <c r="C699" s="61" t="s">
        <v>34</v>
      </c>
      <c r="F699" t="s">
        <v>4392</v>
      </c>
      <c r="G699" t="s">
        <v>6073</v>
      </c>
      <c r="H699" t="s">
        <v>8220</v>
      </c>
      <c r="J699" t="s">
        <v>8221</v>
      </c>
      <c r="K699" t="s">
        <v>8222</v>
      </c>
      <c r="L699" t="s">
        <v>8223</v>
      </c>
      <c r="M699" t="s">
        <v>6078</v>
      </c>
      <c r="N699" s="61" t="s">
        <v>6299</v>
      </c>
      <c r="O699">
        <v>117480</v>
      </c>
    </row>
    <row r="700" spans="1:15" x14ac:dyDescent="0.2">
      <c r="A700" t="s">
        <v>4393</v>
      </c>
      <c r="B700" s="61" t="s">
        <v>8224</v>
      </c>
      <c r="C700" s="61" t="s">
        <v>34</v>
      </c>
      <c r="F700" t="s">
        <v>4393</v>
      </c>
      <c r="G700" t="s">
        <v>6073</v>
      </c>
      <c r="H700" t="s">
        <v>8225</v>
      </c>
      <c r="J700" t="s">
        <v>8080</v>
      </c>
      <c r="K700" t="s">
        <v>8226</v>
      </c>
      <c r="L700" t="s">
        <v>8227</v>
      </c>
      <c r="M700" t="s">
        <v>6078</v>
      </c>
      <c r="N700" s="61" t="s">
        <v>6182</v>
      </c>
      <c r="O700">
        <v>116821</v>
      </c>
    </row>
    <row r="701" spans="1:15" x14ac:dyDescent="0.2">
      <c r="A701" t="s">
        <v>4394</v>
      </c>
      <c r="B701" s="61" t="s">
        <v>8228</v>
      </c>
      <c r="C701" s="61" t="s">
        <v>34</v>
      </c>
      <c r="F701" t="s">
        <v>4394</v>
      </c>
      <c r="G701" t="s">
        <v>6073</v>
      </c>
      <c r="I701" t="s">
        <v>8229</v>
      </c>
      <c r="L701" t="s">
        <v>8230</v>
      </c>
      <c r="M701" t="s">
        <v>6078</v>
      </c>
      <c r="N701" s="61" t="s">
        <v>6314</v>
      </c>
      <c r="O701">
        <v>57662</v>
      </c>
    </row>
    <row r="702" spans="1:15" x14ac:dyDescent="0.2">
      <c r="A702" t="s">
        <v>4395</v>
      </c>
      <c r="B702" s="61" t="s">
        <v>8231</v>
      </c>
      <c r="C702" s="61" t="s">
        <v>34</v>
      </c>
      <c r="F702" t="s">
        <v>4395</v>
      </c>
      <c r="G702" t="s">
        <v>6073</v>
      </c>
      <c r="I702" t="s">
        <v>8232</v>
      </c>
      <c r="L702" t="s">
        <v>8233</v>
      </c>
      <c r="M702" t="s">
        <v>6078</v>
      </c>
      <c r="N702" s="61" t="s">
        <v>7200</v>
      </c>
      <c r="O702">
        <v>57663</v>
      </c>
    </row>
    <row r="703" spans="1:15" x14ac:dyDescent="0.2">
      <c r="A703" t="s">
        <v>4396</v>
      </c>
      <c r="B703" s="61" t="s">
        <v>8234</v>
      </c>
      <c r="C703" s="61" t="s">
        <v>34</v>
      </c>
      <c r="F703" t="s">
        <v>4396</v>
      </c>
      <c r="G703" t="s">
        <v>6073</v>
      </c>
      <c r="H703" t="s">
        <v>8235</v>
      </c>
      <c r="I703" t="s">
        <v>8236</v>
      </c>
      <c r="J703" t="s">
        <v>8237</v>
      </c>
      <c r="K703" t="s">
        <v>8238</v>
      </c>
      <c r="L703" t="s">
        <v>8239</v>
      </c>
      <c r="M703" t="s">
        <v>6078</v>
      </c>
      <c r="N703" s="61" t="s">
        <v>7882</v>
      </c>
      <c r="O703">
        <v>57527</v>
      </c>
    </row>
    <row r="704" spans="1:15" x14ac:dyDescent="0.2">
      <c r="A704" t="s">
        <v>4397</v>
      </c>
      <c r="B704" s="61" t="s">
        <v>8240</v>
      </c>
      <c r="C704" s="61" t="s">
        <v>34</v>
      </c>
      <c r="F704" t="s">
        <v>4397</v>
      </c>
      <c r="G704" t="s">
        <v>6073</v>
      </c>
      <c r="H704" t="s">
        <v>34</v>
      </c>
      <c r="I704" t="s">
        <v>8241</v>
      </c>
      <c r="L704" t="s">
        <v>8242</v>
      </c>
      <c r="M704" t="s">
        <v>6078</v>
      </c>
      <c r="N704" s="61" t="s">
        <v>6083</v>
      </c>
      <c r="O704">
        <v>57661</v>
      </c>
    </row>
    <row r="705" spans="1:15" x14ac:dyDescent="0.2">
      <c r="A705" t="s">
        <v>4398</v>
      </c>
      <c r="B705" s="61" t="s">
        <v>8243</v>
      </c>
      <c r="C705" s="61" t="s">
        <v>34</v>
      </c>
      <c r="F705" t="s">
        <v>4398</v>
      </c>
      <c r="G705" t="s">
        <v>6073</v>
      </c>
      <c r="H705" t="s">
        <v>8244</v>
      </c>
      <c r="I705" t="s">
        <v>8245</v>
      </c>
      <c r="J705" t="s">
        <v>8246</v>
      </c>
      <c r="K705" t="s">
        <v>8247</v>
      </c>
      <c r="L705" t="s">
        <v>8248</v>
      </c>
      <c r="M705" t="s">
        <v>8249</v>
      </c>
      <c r="N705" s="61" t="s">
        <v>8250</v>
      </c>
      <c r="O705">
        <v>84704</v>
      </c>
    </row>
    <row r="706" spans="1:15" x14ac:dyDescent="0.2">
      <c r="A706" t="s">
        <v>4399</v>
      </c>
      <c r="B706" s="61" t="s">
        <v>8251</v>
      </c>
      <c r="C706" s="61" t="s">
        <v>34</v>
      </c>
      <c r="F706" t="s">
        <v>4399</v>
      </c>
      <c r="G706" t="s">
        <v>6073</v>
      </c>
      <c r="I706" t="s">
        <v>8252</v>
      </c>
      <c r="L706" t="s">
        <v>8253</v>
      </c>
      <c r="M706" t="s">
        <v>6078</v>
      </c>
      <c r="N706" s="61" t="s">
        <v>8254</v>
      </c>
      <c r="O706">
        <v>57660</v>
      </c>
    </row>
    <row r="707" spans="1:15" x14ac:dyDescent="0.2">
      <c r="A707" t="s">
        <v>4400</v>
      </c>
      <c r="B707" s="61" t="s">
        <v>8255</v>
      </c>
      <c r="C707" s="61" t="s">
        <v>34</v>
      </c>
      <c r="F707" t="s">
        <v>4400</v>
      </c>
      <c r="G707" t="s">
        <v>6073</v>
      </c>
      <c r="H707" t="s">
        <v>34</v>
      </c>
      <c r="I707" t="s">
        <v>8256</v>
      </c>
      <c r="L707" t="s">
        <v>8257</v>
      </c>
      <c r="M707" t="s">
        <v>6908</v>
      </c>
      <c r="N707" s="61" t="s">
        <v>8258</v>
      </c>
      <c r="O707">
        <v>57659</v>
      </c>
    </row>
    <row r="708" spans="1:15" x14ac:dyDescent="0.2">
      <c r="A708" t="s">
        <v>4401</v>
      </c>
      <c r="B708" s="61" t="s">
        <v>8259</v>
      </c>
      <c r="C708" s="61" t="s">
        <v>34</v>
      </c>
      <c r="F708" t="s">
        <v>4401</v>
      </c>
      <c r="G708" t="s">
        <v>6073</v>
      </c>
      <c r="H708" t="s">
        <v>34</v>
      </c>
      <c r="I708" t="s">
        <v>8260</v>
      </c>
      <c r="L708" t="s">
        <v>8261</v>
      </c>
      <c r="M708" t="s">
        <v>6078</v>
      </c>
      <c r="N708" s="61" t="s">
        <v>8262</v>
      </c>
      <c r="O708">
        <v>57658</v>
      </c>
    </row>
    <row r="709" spans="1:15" x14ac:dyDescent="0.2">
      <c r="A709" t="s">
        <v>4402</v>
      </c>
      <c r="B709" s="61" t="s">
        <v>8263</v>
      </c>
      <c r="C709" s="61" t="s">
        <v>34</v>
      </c>
      <c r="F709" t="s">
        <v>4402</v>
      </c>
      <c r="G709" t="s">
        <v>6073</v>
      </c>
      <c r="H709" t="s">
        <v>34</v>
      </c>
      <c r="I709" t="s">
        <v>8264</v>
      </c>
      <c r="L709" t="s">
        <v>8265</v>
      </c>
      <c r="M709" t="s">
        <v>8266</v>
      </c>
      <c r="N709" s="61" t="s">
        <v>8267</v>
      </c>
      <c r="O709">
        <v>57657</v>
      </c>
    </row>
    <row r="710" spans="1:15" x14ac:dyDescent="0.2">
      <c r="A710" t="s">
        <v>4403</v>
      </c>
      <c r="B710" s="61" t="s">
        <v>8268</v>
      </c>
      <c r="C710" s="61" t="s">
        <v>34</v>
      </c>
      <c r="F710" t="s">
        <v>4403</v>
      </c>
      <c r="G710" t="s">
        <v>6073</v>
      </c>
      <c r="H710" t="s">
        <v>34</v>
      </c>
      <c r="I710" t="s">
        <v>34</v>
      </c>
      <c r="L710" t="s">
        <v>34</v>
      </c>
      <c r="M710" t="s">
        <v>6095</v>
      </c>
      <c r="N710" s="61" t="s">
        <v>8269</v>
      </c>
      <c r="O710">
        <v>57656</v>
      </c>
    </row>
    <row r="711" spans="1:15" x14ac:dyDescent="0.2">
      <c r="A711" t="s">
        <v>4404</v>
      </c>
      <c r="B711" s="61" t="s">
        <v>8270</v>
      </c>
      <c r="C711" s="61" t="s">
        <v>34</v>
      </c>
      <c r="F711" t="s">
        <v>4404</v>
      </c>
      <c r="G711" t="s">
        <v>6073</v>
      </c>
      <c r="I711" t="s">
        <v>8271</v>
      </c>
      <c r="L711" t="s">
        <v>8272</v>
      </c>
      <c r="M711" t="s">
        <v>6266</v>
      </c>
      <c r="N711" s="61" t="s">
        <v>8273</v>
      </c>
      <c r="O711">
        <v>125971</v>
      </c>
    </row>
    <row r="712" spans="1:15" x14ac:dyDescent="0.2">
      <c r="A712" t="s">
        <v>4405</v>
      </c>
      <c r="B712" s="61" t="s">
        <v>8274</v>
      </c>
      <c r="C712" s="61" t="s">
        <v>34</v>
      </c>
      <c r="F712" t="s">
        <v>4405</v>
      </c>
      <c r="G712" t="s">
        <v>6073</v>
      </c>
      <c r="H712" t="s">
        <v>34</v>
      </c>
      <c r="I712" t="s">
        <v>8275</v>
      </c>
      <c r="L712" t="s">
        <v>8276</v>
      </c>
      <c r="M712" t="s">
        <v>8277</v>
      </c>
      <c r="N712" s="61" t="s">
        <v>8278</v>
      </c>
      <c r="O712">
        <v>57655</v>
      </c>
    </row>
    <row r="713" spans="1:15" x14ac:dyDescent="0.2">
      <c r="A713" t="s">
        <v>4406</v>
      </c>
      <c r="B713" s="61" t="s">
        <v>8279</v>
      </c>
      <c r="C713" s="61" t="s">
        <v>34</v>
      </c>
      <c r="F713" t="s">
        <v>4406</v>
      </c>
      <c r="G713" t="s">
        <v>6073</v>
      </c>
      <c r="H713" t="s">
        <v>34</v>
      </c>
      <c r="I713" t="s">
        <v>8280</v>
      </c>
      <c r="L713" t="s">
        <v>8281</v>
      </c>
      <c r="M713" t="s">
        <v>6078</v>
      </c>
      <c r="N713" s="61" t="s">
        <v>6164</v>
      </c>
      <c r="O713">
        <v>57654</v>
      </c>
    </row>
    <row r="714" spans="1:15" x14ac:dyDescent="0.2">
      <c r="A714" t="s">
        <v>4407</v>
      </c>
      <c r="B714" s="61" t="s">
        <v>8282</v>
      </c>
      <c r="C714" s="61" t="s">
        <v>34</v>
      </c>
      <c r="F714" t="s">
        <v>4407</v>
      </c>
      <c r="G714" t="s">
        <v>6073</v>
      </c>
      <c r="H714" t="s">
        <v>34</v>
      </c>
      <c r="I714" t="s">
        <v>8283</v>
      </c>
      <c r="L714" t="s">
        <v>8284</v>
      </c>
      <c r="M714" t="s">
        <v>6608</v>
      </c>
      <c r="N714" s="61" t="s">
        <v>8285</v>
      </c>
      <c r="O714">
        <v>57653</v>
      </c>
    </row>
    <row r="715" spans="1:15" x14ac:dyDescent="0.2">
      <c r="A715" t="s">
        <v>4408</v>
      </c>
      <c r="B715" s="61" t="s">
        <v>8286</v>
      </c>
      <c r="C715" s="61" t="s">
        <v>34</v>
      </c>
      <c r="F715" t="s">
        <v>4408</v>
      </c>
      <c r="G715" t="s">
        <v>6073</v>
      </c>
      <c r="L715" t="s">
        <v>8287</v>
      </c>
      <c r="M715" t="s">
        <v>7665</v>
      </c>
      <c r="N715" s="61" t="s">
        <v>8288</v>
      </c>
      <c r="O715">
        <v>57652</v>
      </c>
    </row>
    <row r="716" spans="1:15" x14ac:dyDescent="0.2">
      <c r="A716" t="s">
        <v>4409</v>
      </c>
      <c r="B716" s="61" t="s">
        <v>8289</v>
      </c>
      <c r="C716" s="61" t="s">
        <v>34</v>
      </c>
      <c r="F716" t="s">
        <v>4409</v>
      </c>
      <c r="G716" t="s">
        <v>6073</v>
      </c>
      <c r="H716" t="s">
        <v>8290</v>
      </c>
      <c r="I716" t="s">
        <v>8291</v>
      </c>
      <c r="L716" t="s">
        <v>8291</v>
      </c>
      <c r="M716" t="s">
        <v>6078</v>
      </c>
      <c r="N716" s="61" t="s">
        <v>6231</v>
      </c>
      <c r="O716">
        <v>57651</v>
      </c>
    </row>
    <row r="717" spans="1:15" x14ac:dyDescent="0.2">
      <c r="A717" t="s">
        <v>4410</v>
      </c>
      <c r="B717" s="61" t="s">
        <v>8292</v>
      </c>
      <c r="C717" s="61" t="s">
        <v>34</v>
      </c>
      <c r="F717" t="s">
        <v>4410</v>
      </c>
      <c r="G717" t="s">
        <v>6073</v>
      </c>
      <c r="H717" t="s">
        <v>34</v>
      </c>
      <c r="I717" t="s">
        <v>8293</v>
      </c>
      <c r="L717" t="s">
        <v>8294</v>
      </c>
      <c r="M717" t="s">
        <v>6078</v>
      </c>
      <c r="N717" s="61" t="s">
        <v>6145</v>
      </c>
      <c r="O717">
        <v>57650</v>
      </c>
    </row>
    <row r="718" spans="1:15" x14ac:dyDescent="0.2">
      <c r="A718" t="s">
        <v>4411</v>
      </c>
      <c r="B718" s="61" t="s">
        <v>8295</v>
      </c>
      <c r="C718" s="61" t="s">
        <v>34</v>
      </c>
      <c r="F718" t="s">
        <v>4411</v>
      </c>
      <c r="G718" t="s">
        <v>6073</v>
      </c>
      <c r="I718" t="s">
        <v>8296</v>
      </c>
      <c r="L718" t="s">
        <v>8297</v>
      </c>
      <c r="M718" t="s">
        <v>6078</v>
      </c>
      <c r="N718" s="61" t="s">
        <v>6977</v>
      </c>
      <c r="O718">
        <v>57649</v>
      </c>
    </row>
    <row r="719" spans="1:15" x14ac:dyDescent="0.2">
      <c r="A719" t="s">
        <v>4412</v>
      </c>
      <c r="B719" s="61" t="s">
        <v>8298</v>
      </c>
      <c r="C719" s="61" t="s">
        <v>34</v>
      </c>
      <c r="F719" t="s">
        <v>4412</v>
      </c>
      <c r="G719" t="s">
        <v>6073</v>
      </c>
      <c r="L719" t="s">
        <v>8299</v>
      </c>
      <c r="M719" t="s">
        <v>6078</v>
      </c>
      <c r="N719" s="61" t="s">
        <v>6211</v>
      </c>
      <c r="O719">
        <v>96869</v>
      </c>
    </row>
    <row r="720" spans="1:15" x14ac:dyDescent="0.2">
      <c r="A720" t="s">
        <v>4413</v>
      </c>
      <c r="B720" s="61" t="s">
        <v>8300</v>
      </c>
      <c r="C720" s="61" t="s">
        <v>34</v>
      </c>
      <c r="F720" t="s">
        <v>4413</v>
      </c>
      <c r="G720" t="s">
        <v>6073</v>
      </c>
      <c r="H720" t="s">
        <v>8301</v>
      </c>
      <c r="J720" t="s">
        <v>8302</v>
      </c>
      <c r="K720" t="s">
        <v>8303</v>
      </c>
      <c r="L720" t="s">
        <v>8304</v>
      </c>
      <c r="M720" t="s">
        <v>6422</v>
      </c>
      <c r="N720" s="61" t="s">
        <v>8305</v>
      </c>
      <c r="O720">
        <v>57676</v>
      </c>
    </row>
    <row r="721" spans="1:15" x14ac:dyDescent="0.2">
      <c r="A721" t="s">
        <v>4414</v>
      </c>
      <c r="B721" s="61" t="s">
        <v>8306</v>
      </c>
      <c r="C721" s="61" t="s">
        <v>34</v>
      </c>
      <c r="F721" t="s">
        <v>4414</v>
      </c>
      <c r="G721" t="s">
        <v>6073</v>
      </c>
      <c r="H721" t="s">
        <v>34</v>
      </c>
      <c r="I721" t="s">
        <v>8307</v>
      </c>
      <c r="L721" t="s">
        <v>8308</v>
      </c>
      <c r="M721" t="s">
        <v>6078</v>
      </c>
      <c r="N721" s="61" t="s">
        <v>6231</v>
      </c>
      <c r="O721">
        <v>57648</v>
      </c>
    </row>
    <row r="722" spans="1:15" x14ac:dyDescent="0.2">
      <c r="A722" t="s">
        <v>4415</v>
      </c>
      <c r="B722" s="61" t="s">
        <v>8309</v>
      </c>
      <c r="C722" s="61" t="s">
        <v>34</v>
      </c>
      <c r="F722" t="s">
        <v>4415</v>
      </c>
      <c r="G722" t="s">
        <v>6073</v>
      </c>
      <c r="J722" t="s">
        <v>8310</v>
      </c>
      <c r="K722" t="s">
        <v>8311</v>
      </c>
      <c r="L722" t="s">
        <v>8312</v>
      </c>
      <c r="M722" t="s">
        <v>7489</v>
      </c>
      <c r="N722" s="61" t="s">
        <v>8313</v>
      </c>
      <c r="O722">
        <v>58728</v>
      </c>
    </row>
    <row r="723" spans="1:15" x14ac:dyDescent="0.2">
      <c r="A723" t="s">
        <v>954</v>
      </c>
      <c r="B723" s="61" t="s">
        <v>8314</v>
      </c>
      <c r="C723" s="61" t="s">
        <v>34</v>
      </c>
      <c r="F723" t="s">
        <v>954</v>
      </c>
      <c r="G723" t="s">
        <v>6073</v>
      </c>
      <c r="H723" t="s">
        <v>34</v>
      </c>
      <c r="I723" t="s">
        <v>8315</v>
      </c>
      <c r="L723" t="s">
        <v>8316</v>
      </c>
      <c r="M723" t="s">
        <v>6078</v>
      </c>
      <c r="N723" s="61" t="s">
        <v>7653</v>
      </c>
      <c r="O723">
        <v>57622</v>
      </c>
    </row>
    <row r="724" spans="1:15" x14ac:dyDescent="0.2">
      <c r="A724" t="s">
        <v>4416</v>
      </c>
      <c r="B724" s="61" t="s">
        <v>8317</v>
      </c>
      <c r="C724" s="61" t="s">
        <v>34</v>
      </c>
      <c r="F724" t="s">
        <v>4416</v>
      </c>
      <c r="G724" t="s">
        <v>6073</v>
      </c>
      <c r="H724" t="s">
        <v>34</v>
      </c>
      <c r="I724" t="s">
        <v>34</v>
      </c>
      <c r="L724" t="s">
        <v>8318</v>
      </c>
      <c r="M724" t="s">
        <v>6188</v>
      </c>
      <c r="N724" s="61" t="s">
        <v>8319</v>
      </c>
      <c r="O724">
        <v>57645</v>
      </c>
    </row>
    <row r="725" spans="1:15" x14ac:dyDescent="0.2">
      <c r="A725" t="s">
        <v>4417</v>
      </c>
      <c r="B725" s="61" t="s">
        <v>8320</v>
      </c>
      <c r="C725" s="61" t="s">
        <v>34</v>
      </c>
      <c r="F725" t="s">
        <v>4417</v>
      </c>
      <c r="G725" t="s">
        <v>6073</v>
      </c>
      <c r="I725" t="s">
        <v>8321</v>
      </c>
      <c r="K725" t="s">
        <v>8322</v>
      </c>
      <c r="L725" t="s">
        <v>8323</v>
      </c>
      <c r="M725" t="s">
        <v>6078</v>
      </c>
      <c r="N725" s="61" t="s">
        <v>7998</v>
      </c>
      <c r="O725">
        <v>57621</v>
      </c>
    </row>
    <row r="726" spans="1:15" x14ac:dyDescent="0.2">
      <c r="A726" t="s">
        <v>4418</v>
      </c>
      <c r="B726" s="61" t="s">
        <v>8324</v>
      </c>
      <c r="C726" s="61" t="s">
        <v>34</v>
      </c>
      <c r="F726" t="s">
        <v>4418</v>
      </c>
      <c r="G726" t="s">
        <v>6073</v>
      </c>
      <c r="L726" t="s">
        <v>8325</v>
      </c>
      <c r="M726" t="s">
        <v>6078</v>
      </c>
      <c r="N726" s="61" t="s">
        <v>6128</v>
      </c>
      <c r="O726">
        <v>57595</v>
      </c>
    </row>
    <row r="727" spans="1:15" x14ac:dyDescent="0.2">
      <c r="A727" t="s">
        <v>4419</v>
      </c>
      <c r="B727" s="61" t="s">
        <v>8326</v>
      </c>
      <c r="C727" s="61" t="s">
        <v>8327</v>
      </c>
      <c r="F727" t="s">
        <v>4419</v>
      </c>
      <c r="G727" t="s">
        <v>6073</v>
      </c>
      <c r="L727" t="s">
        <v>8328</v>
      </c>
      <c r="M727" t="s">
        <v>6266</v>
      </c>
      <c r="N727" s="61" t="s">
        <v>8329</v>
      </c>
      <c r="O727">
        <v>119844</v>
      </c>
    </row>
    <row r="728" spans="1:15" x14ac:dyDescent="0.2">
      <c r="A728" t="s">
        <v>4420</v>
      </c>
      <c r="B728" s="61" t="s">
        <v>8330</v>
      </c>
      <c r="C728" s="61" t="s">
        <v>34</v>
      </c>
      <c r="F728" t="s">
        <v>4420</v>
      </c>
      <c r="G728" t="s">
        <v>6073</v>
      </c>
      <c r="H728" t="s">
        <v>34</v>
      </c>
      <c r="I728" t="s">
        <v>8331</v>
      </c>
      <c r="L728" t="s">
        <v>8332</v>
      </c>
      <c r="M728" t="s">
        <v>6608</v>
      </c>
      <c r="N728" s="61" t="s">
        <v>8333</v>
      </c>
      <c r="O728">
        <v>57593</v>
      </c>
    </row>
    <row r="729" spans="1:15" x14ac:dyDescent="0.2">
      <c r="A729" t="s">
        <v>4421</v>
      </c>
      <c r="B729" s="61" t="s">
        <v>8334</v>
      </c>
      <c r="C729" s="61" t="s">
        <v>34</v>
      </c>
      <c r="F729" t="s">
        <v>4421</v>
      </c>
      <c r="G729" t="s">
        <v>6073</v>
      </c>
      <c r="J729" t="s">
        <v>7355</v>
      </c>
      <c r="L729" t="s">
        <v>8335</v>
      </c>
      <c r="M729" t="s">
        <v>6078</v>
      </c>
      <c r="N729" s="61" t="s">
        <v>6299</v>
      </c>
      <c r="O729">
        <v>114901</v>
      </c>
    </row>
    <row r="730" spans="1:15" x14ac:dyDescent="0.2">
      <c r="A730" t="s">
        <v>4422</v>
      </c>
      <c r="B730" s="61" t="s">
        <v>8336</v>
      </c>
      <c r="C730" s="61" t="s">
        <v>34</v>
      </c>
      <c r="F730" t="s">
        <v>4422</v>
      </c>
      <c r="G730" t="s">
        <v>6073</v>
      </c>
      <c r="H730" t="s">
        <v>8337</v>
      </c>
      <c r="L730" t="s">
        <v>8338</v>
      </c>
      <c r="M730" t="s">
        <v>6078</v>
      </c>
      <c r="N730" s="61" t="s">
        <v>6219</v>
      </c>
      <c r="O730">
        <v>57592</v>
      </c>
    </row>
    <row r="731" spans="1:15" x14ac:dyDescent="0.2">
      <c r="A731" t="s">
        <v>4423</v>
      </c>
      <c r="B731" s="61" t="s">
        <v>8339</v>
      </c>
      <c r="C731" s="61" t="s">
        <v>34</v>
      </c>
      <c r="F731" t="s">
        <v>4423</v>
      </c>
      <c r="G731" t="s">
        <v>6073</v>
      </c>
      <c r="H731" t="s">
        <v>34</v>
      </c>
      <c r="I731" t="s">
        <v>34</v>
      </c>
      <c r="L731" t="s">
        <v>8340</v>
      </c>
      <c r="M731" t="s">
        <v>6078</v>
      </c>
      <c r="N731" s="61" t="s">
        <v>6083</v>
      </c>
      <c r="O731">
        <v>57591</v>
      </c>
    </row>
    <row r="732" spans="1:15" x14ac:dyDescent="0.2">
      <c r="A732" t="s">
        <v>4424</v>
      </c>
      <c r="B732" s="61" t="s">
        <v>8341</v>
      </c>
      <c r="C732" s="61" t="s">
        <v>34</v>
      </c>
      <c r="F732" t="s">
        <v>4424</v>
      </c>
      <c r="G732" t="s">
        <v>6073</v>
      </c>
      <c r="L732" t="s">
        <v>8342</v>
      </c>
      <c r="M732" t="s">
        <v>6078</v>
      </c>
      <c r="N732" s="61" t="s">
        <v>6568</v>
      </c>
      <c r="O732">
        <v>67103</v>
      </c>
    </row>
    <row r="733" spans="1:15" x14ac:dyDescent="0.2">
      <c r="A733" t="s">
        <v>4425</v>
      </c>
      <c r="B733" s="61" t="s">
        <v>8343</v>
      </c>
      <c r="C733" s="61" t="s">
        <v>34</v>
      </c>
      <c r="F733" t="s">
        <v>4425</v>
      </c>
      <c r="G733" t="s">
        <v>6073</v>
      </c>
      <c r="J733" t="s">
        <v>7365</v>
      </c>
      <c r="K733" t="s">
        <v>8344</v>
      </c>
      <c r="L733" t="s">
        <v>8345</v>
      </c>
      <c r="M733" t="s">
        <v>6078</v>
      </c>
      <c r="N733" s="61" t="s">
        <v>6211</v>
      </c>
      <c r="O733">
        <v>57590</v>
      </c>
    </row>
    <row r="734" spans="1:15" x14ac:dyDescent="0.2">
      <c r="A734" t="s">
        <v>4426</v>
      </c>
      <c r="B734" s="61" t="s">
        <v>8346</v>
      </c>
      <c r="C734" s="61" t="s">
        <v>34</v>
      </c>
      <c r="F734" t="s">
        <v>4426</v>
      </c>
      <c r="G734" t="s">
        <v>6073</v>
      </c>
      <c r="H734" t="s">
        <v>34</v>
      </c>
      <c r="I734" t="s">
        <v>34</v>
      </c>
      <c r="L734" t="s">
        <v>8347</v>
      </c>
      <c r="M734" t="s">
        <v>6078</v>
      </c>
      <c r="N734" s="61" t="s">
        <v>6110</v>
      </c>
      <c r="O734">
        <v>57588</v>
      </c>
    </row>
    <row r="735" spans="1:15" x14ac:dyDescent="0.2">
      <c r="A735" t="s">
        <v>4427</v>
      </c>
      <c r="B735" s="61" t="s">
        <v>8348</v>
      </c>
      <c r="C735" s="61" t="s">
        <v>34</v>
      </c>
      <c r="F735" t="s">
        <v>4427</v>
      </c>
      <c r="G735" t="s">
        <v>6073</v>
      </c>
      <c r="M735" t="s">
        <v>7287</v>
      </c>
      <c r="N735" s="61" t="s">
        <v>7288</v>
      </c>
      <c r="O735">
        <v>63316</v>
      </c>
    </row>
    <row r="736" spans="1:15" x14ac:dyDescent="0.2">
      <c r="A736" t="s">
        <v>4428</v>
      </c>
      <c r="B736" s="61" t="s">
        <v>8349</v>
      </c>
      <c r="C736" s="61" t="s">
        <v>34</v>
      </c>
      <c r="F736" t="s">
        <v>4428</v>
      </c>
      <c r="G736" t="s">
        <v>6073</v>
      </c>
      <c r="H736" t="s">
        <v>34</v>
      </c>
      <c r="I736" t="s">
        <v>34</v>
      </c>
      <c r="L736" t="s">
        <v>8350</v>
      </c>
      <c r="M736" t="s">
        <v>6078</v>
      </c>
      <c r="N736" s="61" t="s">
        <v>8351</v>
      </c>
      <c r="O736">
        <v>57587</v>
      </c>
    </row>
    <row r="737" spans="1:15" x14ac:dyDescent="0.2">
      <c r="A737" t="s">
        <v>4429</v>
      </c>
      <c r="B737" s="61" t="s">
        <v>8352</v>
      </c>
      <c r="C737" s="61" t="s">
        <v>34</v>
      </c>
      <c r="F737" t="s">
        <v>4429</v>
      </c>
      <c r="G737" t="s">
        <v>6073</v>
      </c>
      <c r="I737" t="s">
        <v>8353</v>
      </c>
      <c r="L737" t="s">
        <v>8354</v>
      </c>
      <c r="M737" t="s">
        <v>6078</v>
      </c>
      <c r="N737" s="61" t="s">
        <v>8355</v>
      </c>
      <c r="O737">
        <v>57586</v>
      </c>
    </row>
    <row r="738" spans="1:15" x14ac:dyDescent="0.2">
      <c r="A738" t="s">
        <v>4430</v>
      </c>
      <c r="B738" s="61" t="s">
        <v>8356</v>
      </c>
      <c r="C738" s="61" t="s">
        <v>34</v>
      </c>
      <c r="F738" t="s">
        <v>4430</v>
      </c>
      <c r="G738" t="s">
        <v>6073</v>
      </c>
      <c r="H738" t="s">
        <v>34</v>
      </c>
      <c r="I738" t="s">
        <v>8357</v>
      </c>
      <c r="L738" t="s">
        <v>8358</v>
      </c>
      <c r="M738" t="s">
        <v>6078</v>
      </c>
      <c r="N738" s="61" t="s">
        <v>6100</v>
      </c>
      <c r="O738">
        <v>57585</v>
      </c>
    </row>
    <row r="739" spans="1:15" x14ac:dyDescent="0.2">
      <c r="A739" t="s">
        <v>4431</v>
      </c>
      <c r="B739" s="61" t="s">
        <v>8359</v>
      </c>
      <c r="C739" s="61" t="s">
        <v>34</v>
      </c>
      <c r="F739" t="s">
        <v>4431</v>
      </c>
      <c r="G739" t="s">
        <v>6073</v>
      </c>
      <c r="H739" t="s">
        <v>34</v>
      </c>
      <c r="I739" t="s">
        <v>8360</v>
      </c>
      <c r="L739" t="s">
        <v>8361</v>
      </c>
      <c r="M739" t="s">
        <v>6078</v>
      </c>
      <c r="N739" s="61" t="s">
        <v>6219</v>
      </c>
      <c r="O739">
        <v>57584</v>
      </c>
    </row>
    <row r="740" spans="1:15" x14ac:dyDescent="0.2">
      <c r="A740" t="s">
        <v>4432</v>
      </c>
      <c r="B740" s="61" t="s">
        <v>34</v>
      </c>
      <c r="C740" s="61" t="s">
        <v>34</v>
      </c>
      <c r="F740" t="s">
        <v>4432</v>
      </c>
      <c r="G740" t="s">
        <v>6073</v>
      </c>
      <c r="H740" t="s">
        <v>34</v>
      </c>
      <c r="I740" t="s">
        <v>34</v>
      </c>
      <c r="L740" t="s">
        <v>34</v>
      </c>
      <c r="N740" s="61" t="s">
        <v>3784</v>
      </c>
      <c r="O740">
        <v>58351</v>
      </c>
    </row>
    <row r="741" spans="1:15" x14ac:dyDescent="0.2">
      <c r="A741" t="s">
        <v>4433</v>
      </c>
      <c r="B741" s="61" t="s">
        <v>8362</v>
      </c>
      <c r="C741" s="61" t="s">
        <v>34</v>
      </c>
      <c r="F741" t="s">
        <v>4433</v>
      </c>
      <c r="G741" t="s">
        <v>6073</v>
      </c>
      <c r="H741" t="s">
        <v>34</v>
      </c>
      <c r="I741" t="s">
        <v>34</v>
      </c>
      <c r="L741" t="s">
        <v>8363</v>
      </c>
      <c r="M741" t="s">
        <v>6078</v>
      </c>
      <c r="N741" s="61" t="s">
        <v>6083</v>
      </c>
      <c r="O741">
        <v>57583</v>
      </c>
    </row>
    <row r="742" spans="1:15" x14ac:dyDescent="0.2">
      <c r="A742" t="s">
        <v>4434</v>
      </c>
      <c r="B742" s="61" t="s">
        <v>8364</v>
      </c>
      <c r="C742" s="61" t="s">
        <v>34</v>
      </c>
      <c r="F742" t="s">
        <v>4434</v>
      </c>
      <c r="G742" t="s">
        <v>6073</v>
      </c>
      <c r="L742" t="s">
        <v>8365</v>
      </c>
      <c r="M742" t="s">
        <v>6095</v>
      </c>
      <c r="N742" s="61" t="s">
        <v>8366</v>
      </c>
      <c r="O742">
        <v>57582</v>
      </c>
    </row>
    <row r="743" spans="1:15" x14ac:dyDescent="0.2">
      <c r="A743" t="s">
        <v>4435</v>
      </c>
      <c r="B743" s="61" t="s">
        <v>8367</v>
      </c>
      <c r="C743" s="61" t="s">
        <v>34</v>
      </c>
      <c r="F743" t="s">
        <v>4435</v>
      </c>
      <c r="G743" t="s">
        <v>6073</v>
      </c>
      <c r="H743" t="s">
        <v>34</v>
      </c>
      <c r="I743" t="s">
        <v>8368</v>
      </c>
      <c r="L743" t="s">
        <v>8369</v>
      </c>
      <c r="M743" t="s">
        <v>6240</v>
      </c>
      <c r="N743" s="61" t="s">
        <v>8370</v>
      </c>
      <c r="O743">
        <v>57581</v>
      </c>
    </row>
    <row r="744" spans="1:15" x14ac:dyDescent="0.2">
      <c r="A744" t="s">
        <v>4436</v>
      </c>
      <c r="B744" s="61" t="s">
        <v>8371</v>
      </c>
      <c r="C744" s="61" t="s">
        <v>34</v>
      </c>
      <c r="F744" t="s">
        <v>4436</v>
      </c>
      <c r="G744" t="s">
        <v>6073</v>
      </c>
      <c r="L744" t="s">
        <v>8372</v>
      </c>
      <c r="M744" t="s">
        <v>6078</v>
      </c>
      <c r="N744" s="61" t="s">
        <v>8373</v>
      </c>
      <c r="O744">
        <v>67762</v>
      </c>
    </row>
    <row r="745" spans="1:15" x14ac:dyDescent="0.2">
      <c r="A745" t="s">
        <v>4437</v>
      </c>
      <c r="B745" s="61" t="s">
        <v>8374</v>
      </c>
      <c r="C745" s="61" t="s">
        <v>34</v>
      </c>
      <c r="F745" t="s">
        <v>4437</v>
      </c>
      <c r="G745" t="s">
        <v>6073</v>
      </c>
      <c r="H745" t="s">
        <v>34</v>
      </c>
      <c r="I745" t="s">
        <v>8375</v>
      </c>
      <c r="L745" t="s">
        <v>8376</v>
      </c>
      <c r="M745" t="s">
        <v>6078</v>
      </c>
      <c r="N745" s="61" t="s">
        <v>8377</v>
      </c>
      <c r="O745">
        <v>57580</v>
      </c>
    </row>
    <row r="746" spans="1:15" x14ac:dyDescent="0.2">
      <c r="A746" t="s">
        <v>4438</v>
      </c>
      <c r="B746" s="61" t="s">
        <v>8378</v>
      </c>
      <c r="C746" s="61" t="s">
        <v>34</v>
      </c>
      <c r="F746" t="s">
        <v>4438</v>
      </c>
      <c r="G746" t="s">
        <v>6073</v>
      </c>
      <c r="H746" t="s">
        <v>34</v>
      </c>
      <c r="I746" t="s">
        <v>34</v>
      </c>
      <c r="L746" t="s">
        <v>7719</v>
      </c>
      <c r="M746" t="s">
        <v>6078</v>
      </c>
      <c r="N746" s="61" t="s">
        <v>6231</v>
      </c>
      <c r="O746">
        <v>57579</v>
      </c>
    </row>
    <row r="747" spans="1:15" x14ac:dyDescent="0.2">
      <c r="A747" t="s">
        <v>4439</v>
      </c>
      <c r="B747" s="61" t="s">
        <v>8379</v>
      </c>
      <c r="C747" s="61" t="s">
        <v>34</v>
      </c>
      <c r="F747" t="s">
        <v>4439</v>
      </c>
      <c r="G747" t="s">
        <v>6073</v>
      </c>
      <c r="H747" t="s">
        <v>34</v>
      </c>
      <c r="I747" t="s">
        <v>34</v>
      </c>
      <c r="L747" t="s">
        <v>8380</v>
      </c>
      <c r="M747" t="s">
        <v>6078</v>
      </c>
      <c r="N747" s="61" t="s">
        <v>6128</v>
      </c>
      <c r="O747">
        <v>57578</v>
      </c>
    </row>
    <row r="748" spans="1:15" x14ac:dyDescent="0.2">
      <c r="A748" t="s">
        <v>4440</v>
      </c>
      <c r="B748" s="61" t="s">
        <v>8381</v>
      </c>
      <c r="C748" s="61" t="s">
        <v>34</v>
      </c>
      <c r="F748" t="s">
        <v>4440</v>
      </c>
      <c r="G748" t="s">
        <v>6073</v>
      </c>
      <c r="L748" t="s">
        <v>8382</v>
      </c>
      <c r="M748" t="s">
        <v>6078</v>
      </c>
      <c r="N748" s="61" t="s">
        <v>7302</v>
      </c>
      <c r="O748">
        <v>57577</v>
      </c>
    </row>
    <row r="749" spans="1:15" x14ac:dyDescent="0.2">
      <c r="A749" t="s">
        <v>4441</v>
      </c>
      <c r="B749" s="61" t="s">
        <v>8383</v>
      </c>
      <c r="C749" s="61" t="s">
        <v>34</v>
      </c>
      <c r="F749" t="s">
        <v>4441</v>
      </c>
      <c r="G749" t="s">
        <v>6073</v>
      </c>
      <c r="H749" t="s">
        <v>34</v>
      </c>
      <c r="I749" t="s">
        <v>8384</v>
      </c>
      <c r="L749" t="s">
        <v>8385</v>
      </c>
      <c r="M749" t="s">
        <v>6078</v>
      </c>
      <c r="N749" s="61" t="s">
        <v>6853</v>
      </c>
      <c r="O749">
        <v>57576</v>
      </c>
    </row>
    <row r="750" spans="1:15" x14ac:dyDescent="0.2">
      <c r="A750" t="s">
        <v>4442</v>
      </c>
      <c r="B750" s="61" t="s">
        <v>8386</v>
      </c>
      <c r="C750" s="61" t="s">
        <v>34</v>
      </c>
      <c r="F750" t="s">
        <v>4442</v>
      </c>
      <c r="G750" t="s">
        <v>6073</v>
      </c>
      <c r="H750" t="s">
        <v>34</v>
      </c>
      <c r="I750" t="s">
        <v>8387</v>
      </c>
      <c r="L750" t="s">
        <v>7960</v>
      </c>
      <c r="M750" t="s">
        <v>6095</v>
      </c>
      <c r="N750" s="61" t="s">
        <v>8388</v>
      </c>
      <c r="O750">
        <v>57575</v>
      </c>
    </row>
    <row r="751" spans="1:15" x14ac:dyDescent="0.2">
      <c r="A751" t="s">
        <v>4443</v>
      </c>
      <c r="B751" s="61" t="s">
        <v>8389</v>
      </c>
      <c r="C751" s="61" t="s">
        <v>34</v>
      </c>
      <c r="F751" t="s">
        <v>4443</v>
      </c>
      <c r="G751" t="s">
        <v>6073</v>
      </c>
      <c r="M751" t="s">
        <v>8390</v>
      </c>
      <c r="N751" s="61" t="s">
        <v>8391</v>
      </c>
      <c r="O751">
        <v>71364</v>
      </c>
    </row>
    <row r="752" spans="1:15" x14ac:dyDescent="0.2">
      <c r="A752" t="s">
        <v>4444</v>
      </c>
      <c r="B752" s="61" t="s">
        <v>8392</v>
      </c>
      <c r="C752" s="61" t="s">
        <v>34</v>
      </c>
      <c r="F752" t="s">
        <v>4444</v>
      </c>
      <c r="G752" t="s">
        <v>6073</v>
      </c>
      <c r="H752" t="s">
        <v>34</v>
      </c>
      <c r="I752" t="s">
        <v>34</v>
      </c>
      <c r="L752" t="s">
        <v>8393</v>
      </c>
      <c r="M752" t="s">
        <v>6078</v>
      </c>
      <c r="N752" s="61" t="s">
        <v>6182</v>
      </c>
      <c r="O752">
        <v>57574</v>
      </c>
    </row>
    <row r="753" spans="1:15" x14ac:dyDescent="0.2">
      <c r="A753" t="s">
        <v>4445</v>
      </c>
      <c r="B753" s="61" t="s">
        <v>8394</v>
      </c>
      <c r="C753" s="61" t="s">
        <v>34</v>
      </c>
      <c r="F753" t="s">
        <v>4445</v>
      </c>
      <c r="G753" t="s">
        <v>6073</v>
      </c>
      <c r="H753" t="s">
        <v>34</v>
      </c>
      <c r="I753" t="s">
        <v>8395</v>
      </c>
      <c r="L753" t="s">
        <v>8396</v>
      </c>
      <c r="M753" t="s">
        <v>6078</v>
      </c>
      <c r="N753" s="61" t="s">
        <v>7804</v>
      </c>
      <c r="O753">
        <v>57573</v>
      </c>
    </row>
    <row r="754" spans="1:15" x14ac:dyDescent="0.2">
      <c r="A754" t="s">
        <v>4446</v>
      </c>
      <c r="B754" s="61" t="s">
        <v>8397</v>
      </c>
      <c r="C754" s="61" t="s">
        <v>34</v>
      </c>
      <c r="F754" t="s">
        <v>4446</v>
      </c>
      <c r="G754" t="s">
        <v>6073</v>
      </c>
      <c r="H754" t="s">
        <v>34</v>
      </c>
      <c r="I754" t="s">
        <v>34</v>
      </c>
      <c r="L754" t="s">
        <v>8398</v>
      </c>
      <c r="M754" t="s">
        <v>6078</v>
      </c>
      <c r="N754" s="61" t="s">
        <v>6255</v>
      </c>
      <c r="O754">
        <v>57594</v>
      </c>
    </row>
    <row r="755" spans="1:15" x14ac:dyDescent="0.2">
      <c r="A755" t="s">
        <v>4447</v>
      </c>
      <c r="B755" s="61" t="s">
        <v>8399</v>
      </c>
      <c r="C755" s="61" t="s">
        <v>34</v>
      </c>
      <c r="F755" t="s">
        <v>4447</v>
      </c>
      <c r="G755" t="s">
        <v>6073</v>
      </c>
      <c r="H755" t="s">
        <v>8400</v>
      </c>
      <c r="J755" t="s">
        <v>8401</v>
      </c>
      <c r="K755" t="s">
        <v>8402</v>
      </c>
      <c r="L755" t="s">
        <v>8403</v>
      </c>
      <c r="M755" t="s">
        <v>6078</v>
      </c>
      <c r="N755" s="61" t="s">
        <v>6677</v>
      </c>
      <c r="O755">
        <v>127803</v>
      </c>
    </row>
    <row r="756" spans="1:15" x14ac:dyDescent="0.2">
      <c r="A756" t="s">
        <v>4448</v>
      </c>
      <c r="B756" s="61" t="s">
        <v>8404</v>
      </c>
      <c r="C756" s="61" t="s">
        <v>34</v>
      </c>
      <c r="F756" t="s">
        <v>4448</v>
      </c>
      <c r="G756" t="s">
        <v>6073</v>
      </c>
      <c r="H756" t="s">
        <v>8405</v>
      </c>
      <c r="L756" t="s">
        <v>8406</v>
      </c>
      <c r="M756" t="s">
        <v>7870</v>
      </c>
      <c r="N756" s="61" t="s">
        <v>8407</v>
      </c>
      <c r="O756">
        <v>63724</v>
      </c>
    </row>
    <row r="757" spans="1:15" x14ac:dyDescent="0.2">
      <c r="A757" t="s">
        <v>4449</v>
      </c>
      <c r="B757" s="61" t="s">
        <v>8408</v>
      </c>
      <c r="C757" s="61" t="s">
        <v>34</v>
      </c>
      <c r="F757" t="s">
        <v>4449</v>
      </c>
      <c r="G757" t="s">
        <v>6073</v>
      </c>
      <c r="H757" t="s">
        <v>34</v>
      </c>
      <c r="I757" t="s">
        <v>34</v>
      </c>
      <c r="L757" t="s">
        <v>8409</v>
      </c>
      <c r="M757" t="s">
        <v>6078</v>
      </c>
      <c r="N757" s="61" t="s">
        <v>6363</v>
      </c>
      <c r="O757">
        <v>57596</v>
      </c>
    </row>
    <row r="758" spans="1:15" x14ac:dyDescent="0.2">
      <c r="A758" t="s">
        <v>4450</v>
      </c>
      <c r="B758" s="61" t="s">
        <v>8410</v>
      </c>
      <c r="C758" s="61" t="s">
        <v>34</v>
      </c>
      <c r="F758" t="s">
        <v>4450</v>
      </c>
      <c r="G758" t="s">
        <v>6073</v>
      </c>
      <c r="I758" t="s">
        <v>8411</v>
      </c>
      <c r="L758" t="s">
        <v>8412</v>
      </c>
      <c r="M758" t="s">
        <v>6078</v>
      </c>
      <c r="N758" s="61" t="s">
        <v>6219</v>
      </c>
      <c r="O758">
        <v>57619</v>
      </c>
    </row>
    <row r="759" spans="1:15" x14ac:dyDescent="0.2">
      <c r="A759" t="s">
        <v>4451</v>
      </c>
      <c r="B759" s="61" t="s">
        <v>8413</v>
      </c>
      <c r="C759" s="61" t="s">
        <v>34</v>
      </c>
      <c r="F759" t="s">
        <v>4451</v>
      </c>
      <c r="G759" t="s">
        <v>6073</v>
      </c>
      <c r="H759" t="s">
        <v>34</v>
      </c>
      <c r="I759" t="s">
        <v>34</v>
      </c>
      <c r="L759" t="s">
        <v>8414</v>
      </c>
      <c r="M759" t="s">
        <v>6078</v>
      </c>
      <c r="N759" s="61" t="s">
        <v>8415</v>
      </c>
      <c r="O759">
        <v>57597</v>
      </c>
    </row>
    <row r="760" spans="1:15" x14ac:dyDescent="0.2">
      <c r="A760" t="s">
        <v>4452</v>
      </c>
      <c r="B760" s="61" t="s">
        <v>8416</v>
      </c>
      <c r="C760" s="61" t="s">
        <v>34</v>
      </c>
      <c r="F760" t="s">
        <v>4452</v>
      </c>
      <c r="G760" t="s">
        <v>6073</v>
      </c>
      <c r="H760" t="s">
        <v>34</v>
      </c>
      <c r="I760" t="s">
        <v>34</v>
      </c>
      <c r="L760" t="s">
        <v>8417</v>
      </c>
      <c r="M760" t="s">
        <v>6078</v>
      </c>
      <c r="N760" s="61" t="s">
        <v>6977</v>
      </c>
      <c r="O760">
        <v>57618</v>
      </c>
    </row>
    <row r="761" spans="1:15" x14ac:dyDescent="0.2">
      <c r="A761" t="s">
        <v>4453</v>
      </c>
      <c r="B761" s="61" t="s">
        <v>8418</v>
      </c>
      <c r="C761" s="61" t="s">
        <v>34</v>
      </c>
      <c r="F761" t="s">
        <v>4453</v>
      </c>
      <c r="G761" t="s">
        <v>6073</v>
      </c>
      <c r="H761" t="s">
        <v>34</v>
      </c>
      <c r="I761" t="s">
        <v>34</v>
      </c>
      <c r="L761" t="s">
        <v>8419</v>
      </c>
      <c r="M761" t="s">
        <v>6078</v>
      </c>
      <c r="N761" s="61" t="s">
        <v>8174</v>
      </c>
      <c r="O761">
        <v>57617</v>
      </c>
    </row>
    <row r="762" spans="1:15" x14ac:dyDescent="0.2">
      <c r="A762" t="s">
        <v>4454</v>
      </c>
      <c r="B762" s="61" t="s">
        <v>8420</v>
      </c>
      <c r="C762" s="61" t="s">
        <v>34</v>
      </c>
      <c r="F762" t="s">
        <v>4454</v>
      </c>
      <c r="G762" t="s">
        <v>6073</v>
      </c>
      <c r="H762" t="s">
        <v>34</v>
      </c>
      <c r="I762" t="s">
        <v>8421</v>
      </c>
      <c r="L762" t="s">
        <v>8422</v>
      </c>
      <c r="M762" t="s">
        <v>6078</v>
      </c>
      <c r="N762" s="61" t="s">
        <v>6128</v>
      </c>
      <c r="O762">
        <v>57616</v>
      </c>
    </row>
    <row r="763" spans="1:15" x14ac:dyDescent="0.2">
      <c r="A763" t="s">
        <v>4455</v>
      </c>
      <c r="B763" s="61" t="s">
        <v>8423</v>
      </c>
      <c r="C763" s="61" t="s">
        <v>34</v>
      </c>
      <c r="F763" t="s">
        <v>4455</v>
      </c>
      <c r="G763" t="s">
        <v>6073</v>
      </c>
      <c r="L763" t="s">
        <v>8424</v>
      </c>
      <c r="M763" t="s">
        <v>6078</v>
      </c>
      <c r="N763" s="61" t="s">
        <v>6314</v>
      </c>
      <c r="O763">
        <v>57615</v>
      </c>
    </row>
    <row r="764" spans="1:15" x14ac:dyDescent="0.2">
      <c r="A764" t="s">
        <v>4456</v>
      </c>
      <c r="B764" s="61" t="s">
        <v>8425</v>
      </c>
      <c r="C764" s="61" t="s">
        <v>34</v>
      </c>
      <c r="F764" t="s">
        <v>4456</v>
      </c>
      <c r="G764" t="s">
        <v>6073</v>
      </c>
      <c r="M764" t="s">
        <v>6078</v>
      </c>
      <c r="N764" s="61" t="s">
        <v>8164</v>
      </c>
      <c r="O764">
        <v>57614</v>
      </c>
    </row>
    <row r="765" spans="1:15" x14ac:dyDescent="0.2">
      <c r="A765" t="s">
        <v>414</v>
      </c>
      <c r="B765" s="61" t="s">
        <v>8426</v>
      </c>
      <c r="C765" s="61" t="s">
        <v>34</v>
      </c>
      <c r="F765" t="s">
        <v>414</v>
      </c>
      <c r="G765" t="s">
        <v>6073</v>
      </c>
      <c r="I765" t="s">
        <v>8427</v>
      </c>
      <c r="L765" t="s">
        <v>8428</v>
      </c>
      <c r="M765" t="s">
        <v>6078</v>
      </c>
      <c r="N765" s="61" t="s">
        <v>7751</v>
      </c>
      <c r="O765">
        <v>57613</v>
      </c>
    </row>
    <row r="766" spans="1:15" x14ac:dyDescent="0.2">
      <c r="A766" t="s">
        <v>4457</v>
      </c>
      <c r="B766" s="61" t="s">
        <v>8429</v>
      </c>
      <c r="C766" s="61" t="s">
        <v>34</v>
      </c>
      <c r="F766" t="s">
        <v>4457</v>
      </c>
      <c r="G766" t="s">
        <v>6073</v>
      </c>
      <c r="H766" t="s">
        <v>34</v>
      </c>
      <c r="I766" t="s">
        <v>34</v>
      </c>
      <c r="L766" t="s">
        <v>8430</v>
      </c>
      <c r="M766" t="s">
        <v>6266</v>
      </c>
      <c r="N766" s="61" t="s">
        <v>8431</v>
      </c>
      <c r="O766">
        <v>57612</v>
      </c>
    </row>
    <row r="767" spans="1:15" x14ac:dyDescent="0.2">
      <c r="A767" t="s">
        <v>4458</v>
      </c>
      <c r="B767" s="61" t="s">
        <v>8432</v>
      </c>
      <c r="C767" s="61" t="s">
        <v>34</v>
      </c>
      <c r="F767" t="s">
        <v>4458</v>
      </c>
      <c r="G767" t="s">
        <v>6073</v>
      </c>
      <c r="H767" t="s">
        <v>34</v>
      </c>
      <c r="I767" t="s">
        <v>34</v>
      </c>
      <c r="L767" t="s">
        <v>34</v>
      </c>
      <c r="M767" t="s">
        <v>6078</v>
      </c>
      <c r="N767" s="61" t="s">
        <v>6444</v>
      </c>
      <c r="O767">
        <v>57611</v>
      </c>
    </row>
    <row r="768" spans="1:15" x14ac:dyDescent="0.2">
      <c r="A768" t="s">
        <v>4459</v>
      </c>
      <c r="B768" s="61" t="s">
        <v>8433</v>
      </c>
      <c r="C768" s="61" t="s">
        <v>34</v>
      </c>
      <c r="F768" t="s">
        <v>4459</v>
      </c>
      <c r="G768" t="s">
        <v>6073</v>
      </c>
      <c r="H768" t="s">
        <v>34</v>
      </c>
      <c r="I768" t="s">
        <v>34</v>
      </c>
      <c r="L768" t="s">
        <v>34</v>
      </c>
      <c r="M768" t="s">
        <v>6078</v>
      </c>
      <c r="N768" s="61" t="s">
        <v>6363</v>
      </c>
      <c r="O768">
        <v>57610</v>
      </c>
    </row>
    <row r="769" spans="1:15" x14ac:dyDescent="0.2">
      <c r="A769" t="s">
        <v>4460</v>
      </c>
      <c r="B769" s="61" t="s">
        <v>8434</v>
      </c>
      <c r="C769" s="61" t="s">
        <v>8433</v>
      </c>
      <c r="F769" t="s">
        <v>4460</v>
      </c>
      <c r="G769" t="s">
        <v>6073</v>
      </c>
      <c r="L769" t="s">
        <v>8435</v>
      </c>
      <c r="M769" t="s">
        <v>6078</v>
      </c>
      <c r="N769" s="61" t="s">
        <v>6363</v>
      </c>
      <c r="O769">
        <v>74080</v>
      </c>
    </row>
    <row r="770" spans="1:15" x14ac:dyDescent="0.2">
      <c r="A770" t="s">
        <v>4460</v>
      </c>
      <c r="B770" s="61" t="s">
        <v>8433</v>
      </c>
      <c r="C770" s="61" t="s">
        <v>34</v>
      </c>
      <c r="F770" t="s">
        <v>4460</v>
      </c>
      <c r="G770" t="s">
        <v>6073</v>
      </c>
      <c r="L770" t="s">
        <v>8436</v>
      </c>
      <c r="M770" t="s">
        <v>6078</v>
      </c>
      <c r="N770" s="61" t="s">
        <v>6363</v>
      </c>
      <c r="O770">
        <v>57609</v>
      </c>
    </row>
    <row r="771" spans="1:15" x14ac:dyDescent="0.2">
      <c r="A771" t="s">
        <v>4461</v>
      </c>
      <c r="B771" s="61" t="s">
        <v>8437</v>
      </c>
      <c r="C771" s="61" t="s">
        <v>34</v>
      </c>
      <c r="F771" t="s">
        <v>4461</v>
      </c>
      <c r="G771" t="s">
        <v>6073</v>
      </c>
      <c r="H771" t="s">
        <v>8438</v>
      </c>
      <c r="J771" t="s">
        <v>8439</v>
      </c>
      <c r="K771" t="s">
        <v>8202</v>
      </c>
      <c r="L771" t="s">
        <v>8440</v>
      </c>
      <c r="M771" t="s">
        <v>6078</v>
      </c>
      <c r="N771" s="61" t="s">
        <v>8441</v>
      </c>
      <c r="O771">
        <v>115312</v>
      </c>
    </row>
    <row r="772" spans="1:15" x14ac:dyDescent="0.2">
      <c r="A772" t="s">
        <v>4462</v>
      </c>
      <c r="B772" s="61" t="s">
        <v>8442</v>
      </c>
      <c r="C772" s="61" t="s">
        <v>34</v>
      </c>
      <c r="F772" t="s">
        <v>4462</v>
      </c>
      <c r="G772" t="s">
        <v>6073</v>
      </c>
      <c r="H772" t="s">
        <v>34</v>
      </c>
      <c r="I772" t="s">
        <v>8443</v>
      </c>
      <c r="L772" t="s">
        <v>8444</v>
      </c>
      <c r="M772" t="s">
        <v>6078</v>
      </c>
      <c r="N772" s="61" t="s">
        <v>6596</v>
      </c>
      <c r="O772">
        <v>57608</v>
      </c>
    </row>
    <row r="773" spans="1:15" x14ac:dyDescent="0.2">
      <c r="A773" t="s">
        <v>4463</v>
      </c>
      <c r="B773" s="61" t="s">
        <v>8445</v>
      </c>
      <c r="C773" s="61" t="s">
        <v>34</v>
      </c>
      <c r="F773" t="s">
        <v>4463</v>
      </c>
      <c r="G773" t="s">
        <v>6073</v>
      </c>
      <c r="L773" t="s">
        <v>8446</v>
      </c>
      <c r="M773" t="s">
        <v>6078</v>
      </c>
      <c r="N773" s="61" t="s">
        <v>6444</v>
      </c>
      <c r="O773">
        <v>66161</v>
      </c>
    </row>
    <row r="774" spans="1:15" x14ac:dyDescent="0.2">
      <c r="A774" t="s">
        <v>4464</v>
      </c>
      <c r="B774" s="61" t="s">
        <v>8447</v>
      </c>
      <c r="C774" s="61" t="s">
        <v>34</v>
      </c>
      <c r="F774" t="s">
        <v>4464</v>
      </c>
      <c r="G774" t="s">
        <v>6073</v>
      </c>
      <c r="M774" t="s">
        <v>6908</v>
      </c>
      <c r="N774" s="61" t="s">
        <v>8448</v>
      </c>
      <c r="O774">
        <v>97246</v>
      </c>
    </row>
    <row r="775" spans="1:15" x14ac:dyDescent="0.2">
      <c r="A775" t="s">
        <v>4465</v>
      </c>
      <c r="B775" s="61" t="s">
        <v>34</v>
      </c>
      <c r="C775" s="61" t="s">
        <v>34</v>
      </c>
      <c r="F775" t="s">
        <v>4465</v>
      </c>
      <c r="G775" t="s">
        <v>6073</v>
      </c>
      <c r="H775" t="s">
        <v>34</v>
      </c>
      <c r="I775" t="s">
        <v>34</v>
      </c>
      <c r="L775" t="s">
        <v>8449</v>
      </c>
      <c r="N775" s="61" t="s">
        <v>3784</v>
      </c>
      <c r="O775">
        <v>57607</v>
      </c>
    </row>
    <row r="776" spans="1:15" x14ac:dyDescent="0.2">
      <c r="A776" t="s">
        <v>4466</v>
      </c>
      <c r="B776" s="61" t="s">
        <v>8450</v>
      </c>
      <c r="C776" s="61" t="s">
        <v>34</v>
      </c>
      <c r="F776" t="s">
        <v>4466</v>
      </c>
      <c r="G776" t="s">
        <v>6073</v>
      </c>
      <c r="H776" t="s">
        <v>8451</v>
      </c>
      <c r="J776" t="s">
        <v>8452</v>
      </c>
      <c r="K776" t="s">
        <v>8453</v>
      </c>
      <c r="L776" t="s">
        <v>8454</v>
      </c>
      <c r="M776" t="s">
        <v>6078</v>
      </c>
      <c r="N776" s="61" t="s">
        <v>7215</v>
      </c>
      <c r="O776">
        <v>122861</v>
      </c>
    </row>
    <row r="777" spans="1:15" x14ac:dyDescent="0.2">
      <c r="A777" t="s">
        <v>4467</v>
      </c>
      <c r="B777" s="61" t="s">
        <v>8455</v>
      </c>
      <c r="C777" s="61" t="s">
        <v>34</v>
      </c>
      <c r="F777" t="s">
        <v>4467</v>
      </c>
      <c r="G777" t="s">
        <v>6073</v>
      </c>
      <c r="H777" t="s">
        <v>8456</v>
      </c>
      <c r="J777" t="s">
        <v>6863</v>
      </c>
      <c r="K777" t="s">
        <v>8457</v>
      </c>
      <c r="L777" t="s">
        <v>8458</v>
      </c>
      <c r="M777" t="s">
        <v>6078</v>
      </c>
      <c r="N777" s="61" t="s">
        <v>6577</v>
      </c>
      <c r="O777">
        <v>115611</v>
      </c>
    </row>
    <row r="778" spans="1:15" x14ac:dyDescent="0.2">
      <c r="A778" t="s">
        <v>4468</v>
      </c>
      <c r="B778" s="61" t="s">
        <v>8459</v>
      </c>
      <c r="C778" s="61" t="s">
        <v>34</v>
      </c>
      <c r="F778" t="s">
        <v>4468</v>
      </c>
      <c r="G778" t="s">
        <v>6073</v>
      </c>
      <c r="H778" t="s">
        <v>8460</v>
      </c>
      <c r="J778" t="s">
        <v>8461</v>
      </c>
      <c r="K778" t="s">
        <v>8462</v>
      </c>
      <c r="L778" t="s">
        <v>8463</v>
      </c>
      <c r="M778" t="s">
        <v>6078</v>
      </c>
      <c r="N778" s="61" t="s">
        <v>6114</v>
      </c>
      <c r="O778">
        <v>117596</v>
      </c>
    </row>
    <row r="779" spans="1:15" x14ac:dyDescent="0.2">
      <c r="A779" t="s">
        <v>145</v>
      </c>
      <c r="B779" s="61" t="s">
        <v>8464</v>
      </c>
      <c r="C779" s="61" t="s">
        <v>34</v>
      </c>
      <c r="F779" t="s">
        <v>8465</v>
      </c>
      <c r="G779" t="s">
        <v>6073</v>
      </c>
      <c r="H779" t="s">
        <v>8466</v>
      </c>
      <c r="I779" t="s">
        <v>8467</v>
      </c>
      <c r="L779" t="s">
        <v>5530</v>
      </c>
      <c r="M779" t="s">
        <v>6078</v>
      </c>
      <c r="N779" s="61" t="s">
        <v>6568</v>
      </c>
      <c r="O779">
        <v>56561</v>
      </c>
    </row>
    <row r="780" spans="1:15" x14ac:dyDescent="0.2">
      <c r="A780" t="s">
        <v>4469</v>
      </c>
      <c r="B780" s="61" t="s">
        <v>8468</v>
      </c>
      <c r="C780" s="61" t="s">
        <v>34</v>
      </c>
      <c r="F780" t="s">
        <v>4469</v>
      </c>
      <c r="G780" t="s">
        <v>6073</v>
      </c>
      <c r="L780" t="s">
        <v>8469</v>
      </c>
      <c r="M780" t="s">
        <v>6078</v>
      </c>
      <c r="N780" s="61" t="s">
        <v>6444</v>
      </c>
      <c r="O780">
        <v>57606</v>
      </c>
    </row>
    <row r="781" spans="1:15" x14ac:dyDescent="0.2">
      <c r="A781" t="s">
        <v>4470</v>
      </c>
      <c r="B781" s="61" t="s">
        <v>8470</v>
      </c>
      <c r="C781" s="61" t="s">
        <v>34</v>
      </c>
      <c r="F781" t="s">
        <v>4470</v>
      </c>
      <c r="G781" t="s">
        <v>6073</v>
      </c>
      <c r="H781" t="s">
        <v>34</v>
      </c>
      <c r="I781" t="s">
        <v>34</v>
      </c>
      <c r="L781" t="s">
        <v>8471</v>
      </c>
      <c r="M781" t="s">
        <v>6078</v>
      </c>
      <c r="N781" s="61" t="s">
        <v>7391</v>
      </c>
      <c r="O781">
        <v>57728</v>
      </c>
    </row>
    <row r="782" spans="1:15" x14ac:dyDescent="0.2">
      <c r="A782" t="s">
        <v>4471</v>
      </c>
      <c r="B782" s="61" t="s">
        <v>8472</v>
      </c>
      <c r="C782" s="61" t="s">
        <v>34</v>
      </c>
      <c r="F782" t="s">
        <v>4471</v>
      </c>
      <c r="G782" t="s">
        <v>6073</v>
      </c>
      <c r="L782" t="s">
        <v>8473</v>
      </c>
      <c r="M782" t="s">
        <v>8474</v>
      </c>
      <c r="N782" s="61" t="s">
        <v>8475</v>
      </c>
      <c r="O782">
        <v>115874</v>
      </c>
    </row>
    <row r="783" spans="1:15" x14ac:dyDescent="0.2">
      <c r="A783" t="s">
        <v>4472</v>
      </c>
      <c r="B783" s="61" t="s">
        <v>8476</v>
      </c>
      <c r="C783" s="61" t="s">
        <v>34</v>
      </c>
      <c r="F783" t="s">
        <v>4472</v>
      </c>
      <c r="G783" t="s">
        <v>6073</v>
      </c>
      <c r="L783" t="s">
        <v>8477</v>
      </c>
      <c r="M783" t="s">
        <v>6346</v>
      </c>
      <c r="N783" s="61" t="s">
        <v>6750</v>
      </c>
      <c r="O783">
        <v>57605</v>
      </c>
    </row>
    <row r="784" spans="1:15" x14ac:dyDescent="0.2">
      <c r="A784" t="s">
        <v>4473</v>
      </c>
      <c r="B784" s="61" t="s">
        <v>8478</v>
      </c>
      <c r="C784" s="61" t="s">
        <v>34</v>
      </c>
      <c r="F784" t="s">
        <v>4473</v>
      </c>
      <c r="G784" t="s">
        <v>6073</v>
      </c>
      <c r="I784" t="s">
        <v>8479</v>
      </c>
      <c r="L784" t="s">
        <v>8480</v>
      </c>
      <c r="M784" t="s">
        <v>6078</v>
      </c>
      <c r="N784" s="61" t="s">
        <v>6128</v>
      </c>
      <c r="O784">
        <v>57739</v>
      </c>
    </row>
    <row r="785" spans="1:15" x14ac:dyDescent="0.2">
      <c r="A785" t="s">
        <v>4474</v>
      </c>
      <c r="B785" s="61" t="s">
        <v>8481</v>
      </c>
      <c r="C785" s="61" t="s">
        <v>34</v>
      </c>
      <c r="F785" t="s">
        <v>4474</v>
      </c>
      <c r="G785" t="s">
        <v>6073</v>
      </c>
      <c r="H785" t="s">
        <v>34</v>
      </c>
      <c r="I785" t="s">
        <v>8482</v>
      </c>
      <c r="L785" t="s">
        <v>8483</v>
      </c>
      <c r="M785" t="s">
        <v>6078</v>
      </c>
      <c r="N785" s="61" t="s">
        <v>8484</v>
      </c>
      <c r="O785">
        <v>57603</v>
      </c>
    </row>
    <row r="786" spans="1:15" x14ac:dyDescent="0.2">
      <c r="A786" t="s">
        <v>4475</v>
      </c>
      <c r="B786" s="61" t="s">
        <v>34</v>
      </c>
      <c r="C786" s="61" t="s">
        <v>34</v>
      </c>
      <c r="F786" t="s">
        <v>4475</v>
      </c>
      <c r="G786" t="s">
        <v>6073</v>
      </c>
      <c r="H786" t="s">
        <v>34</v>
      </c>
      <c r="I786" t="s">
        <v>34</v>
      </c>
      <c r="L786" t="s">
        <v>34</v>
      </c>
      <c r="N786" s="61" t="s">
        <v>3784</v>
      </c>
      <c r="O786">
        <v>58350</v>
      </c>
    </row>
    <row r="787" spans="1:15" x14ac:dyDescent="0.2">
      <c r="A787" t="s">
        <v>4476</v>
      </c>
      <c r="B787" s="61" t="s">
        <v>8485</v>
      </c>
      <c r="C787" s="61" t="s">
        <v>34</v>
      </c>
      <c r="F787" t="s">
        <v>4476</v>
      </c>
      <c r="G787" t="s">
        <v>6073</v>
      </c>
      <c r="H787" t="s">
        <v>8486</v>
      </c>
      <c r="L787" t="s">
        <v>8487</v>
      </c>
      <c r="M787" t="s">
        <v>6078</v>
      </c>
      <c r="N787" s="61" t="s">
        <v>6145</v>
      </c>
      <c r="O787">
        <v>57602</v>
      </c>
    </row>
    <row r="788" spans="1:15" x14ac:dyDescent="0.2">
      <c r="A788" t="s">
        <v>4477</v>
      </c>
      <c r="B788" s="61" t="s">
        <v>8488</v>
      </c>
      <c r="C788" s="61" t="s">
        <v>34</v>
      </c>
      <c r="F788" t="s">
        <v>4477</v>
      </c>
      <c r="G788" t="s">
        <v>6073</v>
      </c>
      <c r="L788" t="s">
        <v>8489</v>
      </c>
      <c r="M788" t="s">
        <v>6078</v>
      </c>
      <c r="N788" s="61" t="s">
        <v>6299</v>
      </c>
      <c r="O788">
        <v>57601</v>
      </c>
    </row>
    <row r="789" spans="1:15" x14ac:dyDescent="0.2">
      <c r="A789" t="s">
        <v>4478</v>
      </c>
      <c r="B789" s="61" t="s">
        <v>8490</v>
      </c>
      <c r="C789" s="61" t="s">
        <v>34</v>
      </c>
      <c r="F789" t="s">
        <v>4478</v>
      </c>
      <c r="G789" t="s">
        <v>6073</v>
      </c>
      <c r="I789" t="s">
        <v>8491</v>
      </c>
      <c r="L789" t="s">
        <v>8492</v>
      </c>
      <c r="M789" t="s">
        <v>6078</v>
      </c>
      <c r="N789" s="61" t="s">
        <v>8493</v>
      </c>
      <c r="O789">
        <v>57600</v>
      </c>
    </row>
    <row r="790" spans="1:15" x14ac:dyDescent="0.2">
      <c r="A790" t="s">
        <v>4479</v>
      </c>
      <c r="B790" s="61" t="s">
        <v>8494</v>
      </c>
      <c r="C790" s="61" t="s">
        <v>34</v>
      </c>
      <c r="F790" t="s">
        <v>4479</v>
      </c>
      <c r="G790" t="s">
        <v>6073</v>
      </c>
      <c r="L790" t="s">
        <v>8495</v>
      </c>
      <c r="M790" t="s">
        <v>6095</v>
      </c>
      <c r="N790" s="61" t="s">
        <v>8496</v>
      </c>
      <c r="O790">
        <v>57599</v>
      </c>
    </row>
    <row r="791" spans="1:15" x14ac:dyDescent="0.2">
      <c r="A791" t="s">
        <v>4480</v>
      </c>
      <c r="B791" s="61" t="s">
        <v>8497</v>
      </c>
      <c r="C791" s="61" t="s">
        <v>34</v>
      </c>
      <c r="F791" t="s">
        <v>4480</v>
      </c>
      <c r="G791" t="s">
        <v>6073</v>
      </c>
      <c r="H791" t="s">
        <v>8498</v>
      </c>
      <c r="I791" t="s">
        <v>8499</v>
      </c>
      <c r="J791" t="s">
        <v>8500</v>
      </c>
      <c r="K791" t="s">
        <v>8501</v>
      </c>
      <c r="L791" t="s">
        <v>8502</v>
      </c>
      <c r="M791" t="s">
        <v>6078</v>
      </c>
      <c r="N791" s="61" t="s">
        <v>7034</v>
      </c>
      <c r="O791">
        <v>64348</v>
      </c>
    </row>
    <row r="792" spans="1:15" x14ac:dyDescent="0.2">
      <c r="A792" t="s">
        <v>4481</v>
      </c>
      <c r="B792" s="61" t="s">
        <v>8503</v>
      </c>
      <c r="C792" s="61" t="s">
        <v>34</v>
      </c>
      <c r="F792" t="s">
        <v>4481</v>
      </c>
      <c r="G792" t="s">
        <v>6073</v>
      </c>
      <c r="J792" t="s">
        <v>8504</v>
      </c>
      <c r="M792" t="s">
        <v>6078</v>
      </c>
      <c r="N792" s="61" t="s">
        <v>6159</v>
      </c>
      <c r="O792">
        <v>64574</v>
      </c>
    </row>
    <row r="793" spans="1:15" x14ac:dyDescent="0.2">
      <c r="A793" t="s">
        <v>4482</v>
      </c>
      <c r="B793" s="61" t="s">
        <v>8505</v>
      </c>
      <c r="C793" s="61" t="s">
        <v>34</v>
      </c>
      <c r="F793" t="s">
        <v>4482</v>
      </c>
      <c r="G793" t="s">
        <v>6073</v>
      </c>
      <c r="I793" t="s">
        <v>8506</v>
      </c>
      <c r="L793" t="s">
        <v>8507</v>
      </c>
      <c r="M793" t="s">
        <v>6078</v>
      </c>
      <c r="N793" s="61" t="s">
        <v>6083</v>
      </c>
      <c r="O793">
        <v>57598</v>
      </c>
    </row>
    <row r="794" spans="1:15" x14ac:dyDescent="0.2">
      <c r="A794" t="s">
        <v>4483</v>
      </c>
      <c r="B794" s="61" t="s">
        <v>8508</v>
      </c>
      <c r="C794" s="61" t="s">
        <v>34</v>
      </c>
      <c r="F794" t="s">
        <v>4483</v>
      </c>
      <c r="G794" t="s">
        <v>6073</v>
      </c>
      <c r="H794" t="s">
        <v>8509</v>
      </c>
      <c r="J794" t="s">
        <v>8510</v>
      </c>
      <c r="K794" t="s">
        <v>8511</v>
      </c>
      <c r="L794" t="s">
        <v>8512</v>
      </c>
      <c r="M794" t="s">
        <v>6078</v>
      </c>
      <c r="N794" s="61" t="s">
        <v>6363</v>
      </c>
      <c r="O794">
        <v>115360</v>
      </c>
    </row>
    <row r="795" spans="1:15" x14ac:dyDescent="0.2">
      <c r="A795" t="s">
        <v>4484</v>
      </c>
      <c r="B795" s="61" t="s">
        <v>8513</v>
      </c>
      <c r="C795" s="61" t="s">
        <v>34</v>
      </c>
      <c r="F795" t="s">
        <v>4484</v>
      </c>
      <c r="G795" t="s">
        <v>6073</v>
      </c>
      <c r="L795" t="s">
        <v>8514</v>
      </c>
      <c r="M795" t="s">
        <v>6078</v>
      </c>
      <c r="N795" s="61" t="s">
        <v>8515</v>
      </c>
      <c r="O795">
        <v>70337</v>
      </c>
    </row>
    <row r="796" spans="1:15" x14ac:dyDescent="0.2">
      <c r="A796" t="s">
        <v>4485</v>
      </c>
      <c r="B796" s="61" t="s">
        <v>8516</v>
      </c>
      <c r="C796" s="61" t="s">
        <v>34</v>
      </c>
      <c r="F796" t="s">
        <v>4485</v>
      </c>
      <c r="G796" t="s">
        <v>6073</v>
      </c>
      <c r="J796" t="s">
        <v>8517</v>
      </c>
      <c r="K796" t="s">
        <v>8518</v>
      </c>
      <c r="L796" t="s">
        <v>8519</v>
      </c>
      <c r="M796" t="s">
        <v>6078</v>
      </c>
      <c r="N796" s="61" t="s">
        <v>6977</v>
      </c>
      <c r="O796">
        <v>98585</v>
      </c>
    </row>
    <row r="797" spans="1:15" x14ac:dyDescent="0.2">
      <c r="A797" t="s">
        <v>4486</v>
      </c>
      <c r="B797" s="61" t="s">
        <v>8520</v>
      </c>
      <c r="C797" s="61" t="s">
        <v>34</v>
      </c>
      <c r="F797" t="s">
        <v>8521</v>
      </c>
      <c r="G797" t="s">
        <v>6073</v>
      </c>
      <c r="I797" t="s">
        <v>8522</v>
      </c>
      <c r="L797" t="s">
        <v>8523</v>
      </c>
      <c r="M797" t="s">
        <v>6078</v>
      </c>
      <c r="N797" s="61" t="s">
        <v>6977</v>
      </c>
      <c r="O797">
        <v>57740</v>
      </c>
    </row>
    <row r="798" spans="1:15" x14ac:dyDescent="0.2">
      <c r="A798" t="s">
        <v>4487</v>
      </c>
      <c r="B798" s="61" t="s">
        <v>8524</v>
      </c>
      <c r="C798" s="61" t="s">
        <v>34</v>
      </c>
      <c r="F798" t="s">
        <v>4487</v>
      </c>
      <c r="G798" t="s">
        <v>6073</v>
      </c>
      <c r="H798" t="s">
        <v>34</v>
      </c>
      <c r="I798" t="s">
        <v>8525</v>
      </c>
      <c r="L798" t="s">
        <v>8526</v>
      </c>
      <c r="M798" t="s">
        <v>6078</v>
      </c>
      <c r="N798" s="61" t="s">
        <v>6211</v>
      </c>
      <c r="O798">
        <v>57620</v>
      </c>
    </row>
    <row r="799" spans="1:15" x14ac:dyDescent="0.2">
      <c r="A799" t="s">
        <v>4488</v>
      </c>
      <c r="B799" s="61" t="s">
        <v>8527</v>
      </c>
      <c r="C799" s="61" t="s">
        <v>34</v>
      </c>
      <c r="F799" t="s">
        <v>4488</v>
      </c>
      <c r="G799" t="s">
        <v>6073</v>
      </c>
      <c r="L799" t="s">
        <v>8528</v>
      </c>
      <c r="M799" t="s">
        <v>6078</v>
      </c>
      <c r="N799" s="61" t="s">
        <v>6079</v>
      </c>
      <c r="O799">
        <v>57670</v>
      </c>
    </row>
    <row r="800" spans="1:15" x14ac:dyDescent="0.2">
      <c r="A800" t="s">
        <v>4489</v>
      </c>
      <c r="B800" s="61" t="s">
        <v>8529</v>
      </c>
      <c r="C800" s="61" t="s">
        <v>34</v>
      </c>
      <c r="F800" t="s">
        <v>4489</v>
      </c>
      <c r="G800" t="s">
        <v>6073</v>
      </c>
      <c r="L800" t="s">
        <v>8530</v>
      </c>
      <c r="M800" t="s">
        <v>6078</v>
      </c>
      <c r="N800" s="61" t="s">
        <v>6231</v>
      </c>
      <c r="O800">
        <v>57671</v>
      </c>
    </row>
    <row r="801" spans="1:15" x14ac:dyDescent="0.2">
      <c r="A801" t="s">
        <v>4490</v>
      </c>
      <c r="B801" s="61" t="s">
        <v>8531</v>
      </c>
      <c r="C801" s="61" t="s">
        <v>34</v>
      </c>
      <c r="F801" t="s">
        <v>4490</v>
      </c>
      <c r="G801" t="s">
        <v>6073</v>
      </c>
      <c r="H801" t="s">
        <v>34</v>
      </c>
      <c r="I801" t="s">
        <v>34</v>
      </c>
      <c r="L801" t="s">
        <v>8532</v>
      </c>
      <c r="M801" t="s">
        <v>6078</v>
      </c>
      <c r="N801" s="61" t="s">
        <v>8533</v>
      </c>
      <c r="O801">
        <v>57742</v>
      </c>
    </row>
    <row r="802" spans="1:15" x14ac:dyDescent="0.2">
      <c r="A802" t="s">
        <v>4491</v>
      </c>
      <c r="B802" s="61" t="s">
        <v>8534</v>
      </c>
      <c r="C802" s="61" t="s">
        <v>34</v>
      </c>
      <c r="F802" t="s">
        <v>4491</v>
      </c>
      <c r="G802" t="s">
        <v>6073</v>
      </c>
      <c r="L802" t="s">
        <v>8535</v>
      </c>
      <c r="M802" t="s">
        <v>6078</v>
      </c>
      <c r="N802" s="61" t="s">
        <v>6128</v>
      </c>
      <c r="O802">
        <v>57741</v>
      </c>
    </row>
    <row r="803" spans="1:15" x14ac:dyDescent="0.2">
      <c r="A803" t="s">
        <v>4492</v>
      </c>
      <c r="B803" s="61" t="s">
        <v>8520</v>
      </c>
      <c r="C803" s="61" t="s">
        <v>34</v>
      </c>
      <c r="F803" t="s">
        <v>4492</v>
      </c>
      <c r="G803" t="s">
        <v>6073</v>
      </c>
      <c r="H803" t="s">
        <v>8536</v>
      </c>
      <c r="J803" t="s">
        <v>8537</v>
      </c>
      <c r="K803" t="s">
        <v>8538</v>
      </c>
      <c r="L803" t="s">
        <v>8519</v>
      </c>
      <c r="M803" t="s">
        <v>6078</v>
      </c>
      <c r="N803" s="61" t="s">
        <v>6977</v>
      </c>
      <c r="O803">
        <v>87803</v>
      </c>
    </row>
    <row r="804" spans="1:15" x14ac:dyDescent="0.2">
      <c r="A804" t="s">
        <v>4493</v>
      </c>
      <c r="B804" s="61" t="s">
        <v>8539</v>
      </c>
      <c r="C804" s="61" t="s">
        <v>34</v>
      </c>
      <c r="F804" t="s">
        <v>4493</v>
      </c>
      <c r="G804" t="s">
        <v>6073</v>
      </c>
      <c r="H804" t="s">
        <v>34</v>
      </c>
      <c r="I804" t="s">
        <v>34</v>
      </c>
      <c r="L804" t="s">
        <v>8540</v>
      </c>
      <c r="M804" t="s">
        <v>6078</v>
      </c>
      <c r="N804" s="61" t="s">
        <v>8541</v>
      </c>
      <c r="O804">
        <v>57738</v>
      </c>
    </row>
    <row r="805" spans="1:15" x14ac:dyDescent="0.2">
      <c r="A805" t="s">
        <v>4494</v>
      </c>
      <c r="B805" s="61" t="s">
        <v>8542</v>
      </c>
      <c r="C805" s="61" t="s">
        <v>34</v>
      </c>
      <c r="F805" t="s">
        <v>4494</v>
      </c>
      <c r="G805" t="s">
        <v>6073</v>
      </c>
      <c r="I805" t="s">
        <v>8543</v>
      </c>
      <c r="L805" t="s">
        <v>8544</v>
      </c>
      <c r="M805" t="s">
        <v>6078</v>
      </c>
      <c r="N805" s="61" t="s">
        <v>6079</v>
      </c>
      <c r="O805">
        <v>57737</v>
      </c>
    </row>
    <row r="806" spans="1:15" x14ac:dyDescent="0.2">
      <c r="A806" t="s">
        <v>4495</v>
      </c>
      <c r="B806" s="61" t="s">
        <v>8545</v>
      </c>
      <c r="C806" s="61" t="s">
        <v>34</v>
      </c>
      <c r="F806" t="s">
        <v>4495</v>
      </c>
      <c r="G806" t="s">
        <v>6073</v>
      </c>
      <c r="H806" t="s">
        <v>34</v>
      </c>
      <c r="I806" t="s">
        <v>8546</v>
      </c>
      <c r="L806" t="s">
        <v>8547</v>
      </c>
      <c r="M806" t="s">
        <v>6608</v>
      </c>
      <c r="N806" s="61" t="s">
        <v>8548</v>
      </c>
      <c r="O806">
        <v>57736</v>
      </c>
    </row>
    <row r="807" spans="1:15" x14ac:dyDescent="0.2">
      <c r="A807" t="s">
        <v>4496</v>
      </c>
      <c r="B807" s="61" t="s">
        <v>8549</v>
      </c>
      <c r="C807" s="61" t="s">
        <v>34</v>
      </c>
      <c r="F807" t="s">
        <v>4496</v>
      </c>
      <c r="G807" t="s">
        <v>6073</v>
      </c>
      <c r="H807" t="s">
        <v>34</v>
      </c>
      <c r="I807" t="s">
        <v>34</v>
      </c>
      <c r="L807" t="s">
        <v>8550</v>
      </c>
      <c r="M807" t="s">
        <v>6078</v>
      </c>
      <c r="N807" s="61" t="s">
        <v>7034</v>
      </c>
      <c r="O807">
        <v>57735</v>
      </c>
    </row>
    <row r="808" spans="1:15" x14ac:dyDescent="0.2">
      <c r="A808" t="s">
        <v>4497</v>
      </c>
      <c r="B808" s="61" t="s">
        <v>8551</v>
      </c>
      <c r="C808" s="61" t="s">
        <v>34</v>
      </c>
      <c r="F808" t="s">
        <v>4497</v>
      </c>
      <c r="G808" t="s">
        <v>6073</v>
      </c>
      <c r="L808" t="s">
        <v>8552</v>
      </c>
      <c r="M808" t="s">
        <v>6078</v>
      </c>
      <c r="N808" s="61" t="s">
        <v>8553</v>
      </c>
      <c r="O808">
        <v>57734</v>
      </c>
    </row>
    <row r="809" spans="1:15" x14ac:dyDescent="0.2">
      <c r="A809" t="s">
        <v>4498</v>
      </c>
      <c r="B809" s="61" t="s">
        <v>8554</v>
      </c>
      <c r="C809" s="61" t="s">
        <v>34</v>
      </c>
      <c r="F809" t="s">
        <v>4498</v>
      </c>
      <c r="G809" t="s">
        <v>6073</v>
      </c>
      <c r="H809" t="s">
        <v>34</v>
      </c>
      <c r="I809" t="s">
        <v>34</v>
      </c>
      <c r="L809" t="s">
        <v>8550</v>
      </c>
      <c r="M809" t="s">
        <v>6078</v>
      </c>
      <c r="N809" s="61" t="s">
        <v>7215</v>
      </c>
      <c r="O809">
        <v>57733</v>
      </c>
    </row>
    <row r="810" spans="1:15" x14ac:dyDescent="0.2">
      <c r="A810" t="s">
        <v>4499</v>
      </c>
      <c r="B810" s="61" t="s">
        <v>8555</v>
      </c>
      <c r="C810" s="61" t="s">
        <v>34</v>
      </c>
      <c r="F810" t="s">
        <v>4499</v>
      </c>
      <c r="G810" t="s">
        <v>6073</v>
      </c>
      <c r="J810" t="s">
        <v>8556</v>
      </c>
      <c r="K810" t="s">
        <v>8557</v>
      </c>
      <c r="L810" t="s">
        <v>8558</v>
      </c>
      <c r="M810" t="s">
        <v>6078</v>
      </c>
      <c r="N810" s="61" t="s">
        <v>8559</v>
      </c>
      <c r="O810">
        <v>57732</v>
      </c>
    </row>
    <row r="811" spans="1:15" x14ac:dyDescent="0.2">
      <c r="A811" t="s">
        <v>4500</v>
      </c>
      <c r="B811" s="61" t="s">
        <v>8555</v>
      </c>
      <c r="C811" s="61" t="s">
        <v>34</v>
      </c>
      <c r="F811" t="s">
        <v>4500</v>
      </c>
      <c r="G811" t="s">
        <v>6073</v>
      </c>
      <c r="L811" t="s">
        <v>8560</v>
      </c>
      <c r="M811" t="s">
        <v>6078</v>
      </c>
      <c r="N811" s="61" t="s">
        <v>8559</v>
      </c>
      <c r="O811">
        <v>57731</v>
      </c>
    </row>
    <row r="812" spans="1:15" x14ac:dyDescent="0.2">
      <c r="A812" t="s">
        <v>4501</v>
      </c>
      <c r="B812" s="61" t="s">
        <v>8551</v>
      </c>
      <c r="C812" s="61" t="s">
        <v>34</v>
      </c>
      <c r="F812" t="s">
        <v>4501</v>
      </c>
      <c r="G812" t="s">
        <v>6073</v>
      </c>
      <c r="M812" t="s">
        <v>6078</v>
      </c>
      <c r="N812" s="61" t="s">
        <v>8553</v>
      </c>
      <c r="O812">
        <v>67059</v>
      </c>
    </row>
    <row r="813" spans="1:15" x14ac:dyDescent="0.2">
      <c r="A813" t="s">
        <v>4502</v>
      </c>
      <c r="B813" s="61" t="s">
        <v>8561</v>
      </c>
      <c r="C813" s="61" t="s">
        <v>34</v>
      </c>
      <c r="F813" t="s">
        <v>4502</v>
      </c>
      <c r="G813" t="s">
        <v>6073</v>
      </c>
      <c r="H813" t="s">
        <v>34</v>
      </c>
      <c r="I813" t="s">
        <v>8562</v>
      </c>
      <c r="L813" t="s">
        <v>8563</v>
      </c>
      <c r="M813" t="s">
        <v>6078</v>
      </c>
      <c r="N813" s="61" t="s">
        <v>8564</v>
      </c>
      <c r="O813">
        <v>57730</v>
      </c>
    </row>
    <row r="814" spans="1:15" x14ac:dyDescent="0.2">
      <c r="A814" t="s">
        <v>4503</v>
      </c>
      <c r="B814" s="61" t="s">
        <v>8163</v>
      </c>
      <c r="C814" s="61" t="s">
        <v>34</v>
      </c>
      <c r="F814" t="s">
        <v>4503</v>
      </c>
      <c r="G814" t="s">
        <v>6073</v>
      </c>
      <c r="H814" t="s">
        <v>8565</v>
      </c>
      <c r="L814" t="s">
        <v>8566</v>
      </c>
      <c r="M814" t="s">
        <v>6078</v>
      </c>
      <c r="N814" s="61" t="s">
        <v>8164</v>
      </c>
      <c r="O814">
        <v>57729</v>
      </c>
    </row>
    <row r="815" spans="1:15" x14ac:dyDescent="0.2">
      <c r="A815" t="s">
        <v>4504</v>
      </c>
      <c r="B815" s="61" t="s">
        <v>8567</v>
      </c>
      <c r="C815" s="61" t="s">
        <v>34</v>
      </c>
      <c r="F815" t="s">
        <v>4504</v>
      </c>
      <c r="G815" t="s">
        <v>6073</v>
      </c>
      <c r="H815" t="s">
        <v>34</v>
      </c>
      <c r="I815" t="s">
        <v>8568</v>
      </c>
      <c r="L815" t="s">
        <v>8569</v>
      </c>
      <c r="M815" t="s">
        <v>6078</v>
      </c>
      <c r="N815" s="61" t="s">
        <v>8570</v>
      </c>
      <c r="O815">
        <v>57727</v>
      </c>
    </row>
    <row r="816" spans="1:15" x14ac:dyDescent="0.2">
      <c r="A816" t="s">
        <v>4505</v>
      </c>
      <c r="B816" s="61" t="s">
        <v>8571</v>
      </c>
      <c r="C816" s="61" t="s">
        <v>34</v>
      </c>
      <c r="F816" t="s">
        <v>4505</v>
      </c>
      <c r="G816" t="s">
        <v>6073</v>
      </c>
      <c r="H816" t="s">
        <v>34</v>
      </c>
      <c r="I816" t="s">
        <v>8572</v>
      </c>
      <c r="L816" t="s">
        <v>8573</v>
      </c>
      <c r="M816" t="s">
        <v>6078</v>
      </c>
      <c r="N816" s="61" t="s">
        <v>6079</v>
      </c>
      <c r="O816">
        <v>57726</v>
      </c>
    </row>
    <row r="817" spans="1:15" x14ac:dyDescent="0.2">
      <c r="A817" t="s">
        <v>4506</v>
      </c>
      <c r="B817" s="61" t="s">
        <v>8574</v>
      </c>
      <c r="C817" s="61" t="s">
        <v>34</v>
      </c>
      <c r="F817" t="s">
        <v>4506</v>
      </c>
      <c r="G817" t="s">
        <v>6073</v>
      </c>
      <c r="L817" t="s">
        <v>8575</v>
      </c>
      <c r="M817" t="s">
        <v>6095</v>
      </c>
      <c r="N817" s="61" t="s">
        <v>6458</v>
      </c>
      <c r="O817">
        <v>97058</v>
      </c>
    </row>
    <row r="818" spans="1:15" x14ac:dyDescent="0.2">
      <c r="A818" t="s">
        <v>4507</v>
      </c>
      <c r="B818" s="61" t="s">
        <v>8576</v>
      </c>
      <c r="C818" s="61" t="s">
        <v>34</v>
      </c>
      <c r="F818" t="s">
        <v>4507</v>
      </c>
      <c r="G818" t="s">
        <v>6073</v>
      </c>
      <c r="I818" t="s">
        <v>8577</v>
      </c>
      <c r="L818" t="s">
        <v>8578</v>
      </c>
      <c r="M818" t="s">
        <v>6266</v>
      </c>
      <c r="N818" s="61" t="s">
        <v>8579</v>
      </c>
      <c r="O818">
        <v>57725</v>
      </c>
    </row>
    <row r="819" spans="1:15" x14ac:dyDescent="0.2">
      <c r="A819" t="s">
        <v>4508</v>
      </c>
      <c r="B819" s="61" t="s">
        <v>34</v>
      </c>
      <c r="C819" s="61" t="s">
        <v>34</v>
      </c>
      <c r="F819" t="s">
        <v>4508</v>
      </c>
      <c r="G819" t="s">
        <v>6073</v>
      </c>
      <c r="H819" t="s">
        <v>34</v>
      </c>
      <c r="I819" t="s">
        <v>34</v>
      </c>
      <c r="L819" t="s">
        <v>34</v>
      </c>
      <c r="N819" s="61" t="s">
        <v>3784</v>
      </c>
      <c r="O819">
        <v>58349</v>
      </c>
    </row>
    <row r="820" spans="1:15" x14ac:dyDescent="0.2">
      <c r="A820" t="s">
        <v>4509</v>
      </c>
      <c r="B820" s="61" t="s">
        <v>8580</v>
      </c>
      <c r="C820" s="61" t="s">
        <v>34</v>
      </c>
      <c r="F820" t="s">
        <v>4509</v>
      </c>
      <c r="G820" t="s">
        <v>6073</v>
      </c>
      <c r="I820" t="s">
        <v>8581</v>
      </c>
      <c r="L820" t="s">
        <v>8582</v>
      </c>
      <c r="M820" t="s">
        <v>6078</v>
      </c>
      <c r="N820" s="61" t="s">
        <v>8583</v>
      </c>
      <c r="O820">
        <v>57724</v>
      </c>
    </row>
    <row r="821" spans="1:15" x14ac:dyDescent="0.2">
      <c r="A821" t="s">
        <v>4510</v>
      </c>
      <c r="B821" s="61" t="s">
        <v>8584</v>
      </c>
      <c r="C821" s="61" t="s">
        <v>34</v>
      </c>
      <c r="F821" t="s">
        <v>4510</v>
      </c>
      <c r="G821" t="s">
        <v>6073</v>
      </c>
      <c r="H821" t="s">
        <v>8585</v>
      </c>
      <c r="L821" t="s">
        <v>7535</v>
      </c>
      <c r="M821" t="s">
        <v>6078</v>
      </c>
      <c r="N821" s="61" t="s">
        <v>6314</v>
      </c>
      <c r="O821">
        <v>57723</v>
      </c>
    </row>
    <row r="822" spans="1:15" x14ac:dyDescent="0.2">
      <c r="A822" t="s">
        <v>4511</v>
      </c>
      <c r="B822" s="61" t="s">
        <v>8586</v>
      </c>
      <c r="C822" s="61" t="s">
        <v>34</v>
      </c>
      <c r="F822" t="s">
        <v>4511</v>
      </c>
      <c r="G822" t="s">
        <v>6073</v>
      </c>
      <c r="H822" t="s">
        <v>34</v>
      </c>
      <c r="I822" t="s">
        <v>34</v>
      </c>
      <c r="L822" t="s">
        <v>8587</v>
      </c>
      <c r="M822" t="s">
        <v>6078</v>
      </c>
      <c r="N822" s="61" t="s">
        <v>6314</v>
      </c>
      <c r="O822">
        <v>57722</v>
      </c>
    </row>
    <row r="823" spans="1:15" x14ac:dyDescent="0.2">
      <c r="A823" t="s">
        <v>4512</v>
      </c>
      <c r="B823" s="61" t="s">
        <v>8588</v>
      </c>
      <c r="C823" s="61" t="s">
        <v>34</v>
      </c>
      <c r="F823" t="s">
        <v>4512</v>
      </c>
      <c r="G823" t="s">
        <v>6073</v>
      </c>
      <c r="H823" t="s">
        <v>8589</v>
      </c>
      <c r="I823" t="s">
        <v>8590</v>
      </c>
      <c r="L823" t="s">
        <v>8591</v>
      </c>
      <c r="M823" t="s">
        <v>6346</v>
      </c>
      <c r="N823" s="61" t="s">
        <v>8592</v>
      </c>
      <c r="O823">
        <v>57743</v>
      </c>
    </row>
    <row r="824" spans="1:15" x14ac:dyDescent="0.2">
      <c r="A824" t="s">
        <v>4513</v>
      </c>
      <c r="B824" s="61" t="s">
        <v>8593</v>
      </c>
      <c r="C824" s="61" t="s">
        <v>34</v>
      </c>
      <c r="F824" t="s">
        <v>4513</v>
      </c>
      <c r="G824" t="s">
        <v>6073</v>
      </c>
      <c r="H824" t="s">
        <v>34</v>
      </c>
      <c r="I824" t="s">
        <v>34</v>
      </c>
      <c r="L824" t="s">
        <v>34</v>
      </c>
      <c r="M824" t="s">
        <v>6908</v>
      </c>
      <c r="N824" s="61" t="s">
        <v>8594</v>
      </c>
      <c r="O824">
        <v>57744</v>
      </c>
    </row>
    <row r="825" spans="1:15" x14ac:dyDescent="0.2">
      <c r="A825" t="s">
        <v>4514</v>
      </c>
      <c r="B825" s="61" t="s">
        <v>8595</v>
      </c>
      <c r="C825" s="61" t="s">
        <v>34</v>
      </c>
      <c r="F825" t="s">
        <v>4516</v>
      </c>
      <c r="G825" t="s">
        <v>6073</v>
      </c>
      <c r="M825" t="s">
        <v>7790</v>
      </c>
      <c r="N825" s="61" t="s">
        <v>8596</v>
      </c>
      <c r="O825">
        <v>57768</v>
      </c>
    </row>
    <row r="826" spans="1:15" x14ac:dyDescent="0.2">
      <c r="A826" t="s">
        <v>4515</v>
      </c>
      <c r="B826" s="61" t="s">
        <v>8597</v>
      </c>
      <c r="C826" s="61" t="s">
        <v>34</v>
      </c>
      <c r="F826" t="s">
        <v>4515</v>
      </c>
      <c r="G826" t="s">
        <v>6073</v>
      </c>
      <c r="H826" t="s">
        <v>8598</v>
      </c>
      <c r="M826" t="s">
        <v>6908</v>
      </c>
      <c r="N826" s="61" t="s">
        <v>8258</v>
      </c>
      <c r="O826">
        <v>57745</v>
      </c>
    </row>
    <row r="827" spans="1:15" x14ac:dyDescent="0.2">
      <c r="A827" t="s">
        <v>4516</v>
      </c>
      <c r="B827" s="61" t="s">
        <v>8599</v>
      </c>
      <c r="C827" s="61" t="s">
        <v>34</v>
      </c>
      <c r="F827" t="s">
        <v>8600</v>
      </c>
      <c r="G827" t="s">
        <v>6073</v>
      </c>
      <c r="I827" t="s">
        <v>8601</v>
      </c>
      <c r="L827" t="s">
        <v>8602</v>
      </c>
      <c r="M827" t="s">
        <v>6908</v>
      </c>
      <c r="N827" s="61" t="s">
        <v>8594</v>
      </c>
      <c r="O827">
        <v>57746</v>
      </c>
    </row>
    <row r="828" spans="1:15" x14ac:dyDescent="0.2">
      <c r="A828" t="s">
        <v>4517</v>
      </c>
      <c r="B828" s="61" t="s">
        <v>8597</v>
      </c>
      <c r="C828" s="61" t="s">
        <v>34</v>
      </c>
      <c r="F828" t="s">
        <v>4517</v>
      </c>
      <c r="G828" t="s">
        <v>6073</v>
      </c>
      <c r="M828" t="s">
        <v>6908</v>
      </c>
      <c r="N828" s="61" t="s">
        <v>8603</v>
      </c>
      <c r="O828">
        <v>58372</v>
      </c>
    </row>
    <row r="829" spans="1:15" x14ac:dyDescent="0.2">
      <c r="A829" t="s">
        <v>4518</v>
      </c>
      <c r="B829" s="61" t="s">
        <v>8604</v>
      </c>
      <c r="C829" s="61" t="s">
        <v>34</v>
      </c>
      <c r="F829" t="s">
        <v>4518</v>
      </c>
      <c r="G829" t="s">
        <v>6073</v>
      </c>
      <c r="H829" t="s">
        <v>34</v>
      </c>
      <c r="I829" t="s">
        <v>34</v>
      </c>
      <c r="L829" t="s">
        <v>34</v>
      </c>
      <c r="M829" t="s">
        <v>6908</v>
      </c>
      <c r="N829" s="61" t="s">
        <v>8594</v>
      </c>
      <c r="O829">
        <v>57767</v>
      </c>
    </row>
    <row r="830" spans="1:15" x14ac:dyDescent="0.2">
      <c r="A830" t="s">
        <v>4519</v>
      </c>
      <c r="B830" s="61" t="s">
        <v>8605</v>
      </c>
      <c r="C830" s="61" t="s">
        <v>34</v>
      </c>
      <c r="F830" t="s">
        <v>4519</v>
      </c>
      <c r="G830" t="s">
        <v>6073</v>
      </c>
      <c r="H830" t="s">
        <v>34</v>
      </c>
      <c r="I830" t="s">
        <v>8606</v>
      </c>
      <c r="L830" t="s">
        <v>8607</v>
      </c>
      <c r="M830" t="s">
        <v>6908</v>
      </c>
      <c r="N830" s="61" t="s">
        <v>8608</v>
      </c>
      <c r="O830">
        <v>57766</v>
      </c>
    </row>
    <row r="831" spans="1:15" x14ac:dyDescent="0.2">
      <c r="A831" t="s">
        <v>4520</v>
      </c>
      <c r="B831" s="61" t="s">
        <v>8609</v>
      </c>
      <c r="C831" s="61" t="s">
        <v>34</v>
      </c>
      <c r="F831" t="s">
        <v>4520</v>
      </c>
      <c r="G831" t="s">
        <v>6073</v>
      </c>
      <c r="M831" t="s">
        <v>6908</v>
      </c>
      <c r="N831" s="61" t="s">
        <v>8608</v>
      </c>
      <c r="O831">
        <v>57765</v>
      </c>
    </row>
    <row r="832" spans="1:15" x14ac:dyDescent="0.2">
      <c r="A832" t="s">
        <v>5950</v>
      </c>
      <c r="B832" s="61" t="s">
        <v>8610</v>
      </c>
      <c r="C832" s="61" t="s">
        <v>34</v>
      </c>
      <c r="F832" t="s">
        <v>5950</v>
      </c>
      <c r="G832" t="s">
        <v>6073</v>
      </c>
      <c r="L832" t="s">
        <v>8611</v>
      </c>
      <c r="M832" t="s">
        <v>6908</v>
      </c>
      <c r="N832" s="61" t="s">
        <v>8612</v>
      </c>
      <c r="O832">
        <v>57764</v>
      </c>
    </row>
    <row r="833" spans="1:15" x14ac:dyDescent="0.2">
      <c r="A833" t="s">
        <v>4521</v>
      </c>
      <c r="B833" s="61" t="s">
        <v>8613</v>
      </c>
      <c r="C833" s="61" t="s">
        <v>34</v>
      </c>
      <c r="F833" t="s">
        <v>4521</v>
      </c>
      <c r="G833" t="s">
        <v>6073</v>
      </c>
      <c r="H833" t="s">
        <v>34</v>
      </c>
      <c r="I833" t="s">
        <v>8614</v>
      </c>
      <c r="L833" t="s">
        <v>8615</v>
      </c>
      <c r="M833" t="s">
        <v>6266</v>
      </c>
      <c r="N833" s="61" t="s">
        <v>8616</v>
      </c>
      <c r="O833">
        <v>57763</v>
      </c>
    </row>
    <row r="834" spans="1:15" x14ac:dyDescent="0.2">
      <c r="A834" t="s">
        <v>4522</v>
      </c>
      <c r="B834" s="61" t="s">
        <v>8617</v>
      </c>
      <c r="C834" s="61" t="s">
        <v>34</v>
      </c>
      <c r="F834" t="s">
        <v>4522</v>
      </c>
      <c r="G834" t="s">
        <v>6073</v>
      </c>
      <c r="L834" t="s">
        <v>8618</v>
      </c>
      <c r="M834" t="s">
        <v>7573</v>
      </c>
      <c r="N834" s="61" t="s">
        <v>8619</v>
      </c>
      <c r="O834">
        <v>120205</v>
      </c>
    </row>
    <row r="835" spans="1:15" x14ac:dyDescent="0.2">
      <c r="A835" t="s">
        <v>4523</v>
      </c>
      <c r="B835" s="61" t="s">
        <v>8620</v>
      </c>
      <c r="C835" s="61" t="s">
        <v>34</v>
      </c>
      <c r="F835" t="s">
        <v>4523</v>
      </c>
      <c r="G835" t="s">
        <v>6073</v>
      </c>
      <c r="L835" t="s">
        <v>8621</v>
      </c>
      <c r="M835" t="s">
        <v>6309</v>
      </c>
      <c r="N835" s="61" t="s">
        <v>8622</v>
      </c>
      <c r="O835">
        <v>108728</v>
      </c>
    </row>
    <row r="836" spans="1:15" x14ac:dyDescent="0.2">
      <c r="A836" t="s">
        <v>4524</v>
      </c>
      <c r="B836" s="61" t="s">
        <v>8623</v>
      </c>
      <c r="C836" s="61" t="s">
        <v>34</v>
      </c>
      <c r="F836" t="s">
        <v>4524</v>
      </c>
      <c r="G836" t="s">
        <v>6073</v>
      </c>
      <c r="H836" t="s">
        <v>8624</v>
      </c>
      <c r="I836" t="s">
        <v>8625</v>
      </c>
      <c r="J836" t="s">
        <v>8626</v>
      </c>
      <c r="K836" t="s">
        <v>8627</v>
      </c>
      <c r="L836" t="s">
        <v>8628</v>
      </c>
      <c r="M836" t="s">
        <v>6422</v>
      </c>
      <c r="N836" s="61" t="s">
        <v>8629</v>
      </c>
      <c r="O836">
        <v>96909</v>
      </c>
    </row>
    <row r="837" spans="1:15" x14ac:dyDescent="0.2">
      <c r="A837" t="s">
        <v>4525</v>
      </c>
      <c r="B837" s="61" t="s">
        <v>8630</v>
      </c>
      <c r="C837" s="61" t="s">
        <v>34</v>
      </c>
      <c r="F837" t="s">
        <v>4525</v>
      </c>
      <c r="G837" t="s">
        <v>6073</v>
      </c>
      <c r="I837" t="s">
        <v>8631</v>
      </c>
      <c r="L837" t="s">
        <v>8632</v>
      </c>
      <c r="M837" t="s">
        <v>6078</v>
      </c>
      <c r="N837" s="61" t="s">
        <v>8633</v>
      </c>
      <c r="O837">
        <v>57762</v>
      </c>
    </row>
    <row r="838" spans="1:15" x14ac:dyDescent="0.2">
      <c r="A838" t="s">
        <v>4526</v>
      </c>
      <c r="B838" s="61" t="s">
        <v>8634</v>
      </c>
      <c r="C838" s="61" t="s">
        <v>34</v>
      </c>
      <c r="F838" t="s">
        <v>4526</v>
      </c>
      <c r="G838" t="s">
        <v>6073</v>
      </c>
      <c r="H838" t="s">
        <v>8635</v>
      </c>
      <c r="I838" t="s">
        <v>8636</v>
      </c>
      <c r="L838" t="s">
        <v>8637</v>
      </c>
      <c r="M838" t="s">
        <v>6078</v>
      </c>
      <c r="N838" s="61" t="s">
        <v>6128</v>
      </c>
      <c r="O838">
        <v>57760</v>
      </c>
    </row>
    <row r="839" spans="1:15" x14ac:dyDescent="0.2">
      <c r="A839" t="s">
        <v>4527</v>
      </c>
      <c r="B839" s="61" t="s">
        <v>8638</v>
      </c>
      <c r="C839" s="61" t="s">
        <v>34</v>
      </c>
      <c r="F839" t="s">
        <v>4527</v>
      </c>
      <c r="G839" t="s">
        <v>6073</v>
      </c>
      <c r="I839" t="s">
        <v>8639</v>
      </c>
      <c r="L839" t="s">
        <v>8640</v>
      </c>
      <c r="M839" t="s">
        <v>6078</v>
      </c>
      <c r="N839" s="61" t="s">
        <v>7154</v>
      </c>
      <c r="O839">
        <v>57759</v>
      </c>
    </row>
    <row r="840" spans="1:15" x14ac:dyDescent="0.2">
      <c r="A840" t="s">
        <v>4528</v>
      </c>
      <c r="B840" s="61" t="s">
        <v>8641</v>
      </c>
      <c r="C840" s="61" t="s">
        <v>34</v>
      </c>
      <c r="F840" t="s">
        <v>4528</v>
      </c>
      <c r="G840" t="s">
        <v>6073</v>
      </c>
      <c r="H840" t="s">
        <v>34</v>
      </c>
      <c r="I840" t="s">
        <v>34</v>
      </c>
      <c r="L840" t="s">
        <v>8642</v>
      </c>
      <c r="M840" t="s">
        <v>6078</v>
      </c>
      <c r="N840" s="61" t="s">
        <v>6128</v>
      </c>
      <c r="O840">
        <v>57769</v>
      </c>
    </row>
    <row r="841" spans="1:15" x14ac:dyDescent="0.2">
      <c r="A841" t="s">
        <v>4529</v>
      </c>
      <c r="B841" s="61" t="s">
        <v>8643</v>
      </c>
      <c r="C841" s="61" t="s">
        <v>34</v>
      </c>
      <c r="F841" t="s">
        <v>4529</v>
      </c>
      <c r="G841" t="s">
        <v>6073</v>
      </c>
      <c r="L841" t="s">
        <v>8644</v>
      </c>
      <c r="M841" t="s">
        <v>6078</v>
      </c>
      <c r="N841" s="61" t="s">
        <v>8645</v>
      </c>
      <c r="O841">
        <v>57758</v>
      </c>
    </row>
    <row r="842" spans="1:15" x14ac:dyDescent="0.2">
      <c r="A842" t="s">
        <v>4530</v>
      </c>
      <c r="B842" s="61" t="s">
        <v>8646</v>
      </c>
      <c r="C842" s="61" t="s">
        <v>34</v>
      </c>
      <c r="F842" t="s">
        <v>4530</v>
      </c>
      <c r="G842" t="s">
        <v>6073</v>
      </c>
      <c r="J842" t="s">
        <v>8647</v>
      </c>
      <c r="K842" t="s">
        <v>8648</v>
      </c>
      <c r="L842" t="s">
        <v>8649</v>
      </c>
      <c r="M842" t="s">
        <v>6078</v>
      </c>
      <c r="N842" s="61" t="s">
        <v>6128</v>
      </c>
      <c r="O842">
        <v>57756</v>
      </c>
    </row>
    <row r="843" spans="1:15" x14ac:dyDescent="0.2">
      <c r="A843" t="s">
        <v>4531</v>
      </c>
      <c r="B843" s="61" t="s">
        <v>8650</v>
      </c>
      <c r="C843" s="61" t="s">
        <v>34</v>
      </c>
      <c r="F843" t="s">
        <v>4531</v>
      </c>
      <c r="G843" t="s">
        <v>6073</v>
      </c>
      <c r="I843" t="s">
        <v>8651</v>
      </c>
      <c r="L843" t="s">
        <v>8652</v>
      </c>
      <c r="M843" t="s">
        <v>6078</v>
      </c>
      <c r="N843" s="61" t="s">
        <v>6677</v>
      </c>
      <c r="O843">
        <v>57755</v>
      </c>
    </row>
    <row r="844" spans="1:15" x14ac:dyDescent="0.2">
      <c r="A844" t="s">
        <v>4532</v>
      </c>
      <c r="B844" s="61" t="s">
        <v>34</v>
      </c>
      <c r="C844" s="61" t="s">
        <v>34</v>
      </c>
      <c r="F844" t="s">
        <v>4532</v>
      </c>
      <c r="G844" t="s">
        <v>6073</v>
      </c>
      <c r="H844" t="s">
        <v>34</v>
      </c>
      <c r="I844" t="s">
        <v>34</v>
      </c>
      <c r="L844" t="s">
        <v>34</v>
      </c>
      <c r="N844" s="61" t="s">
        <v>3784</v>
      </c>
      <c r="O844">
        <v>58330</v>
      </c>
    </row>
    <row r="845" spans="1:15" x14ac:dyDescent="0.2">
      <c r="A845" t="s">
        <v>4533</v>
      </c>
      <c r="B845" s="61" t="s">
        <v>8653</v>
      </c>
      <c r="C845" s="61" t="s">
        <v>34</v>
      </c>
      <c r="F845" t="s">
        <v>4533</v>
      </c>
      <c r="G845" t="s">
        <v>6073</v>
      </c>
      <c r="H845" t="s">
        <v>34</v>
      </c>
      <c r="I845" t="s">
        <v>8654</v>
      </c>
      <c r="L845" t="s">
        <v>8655</v>
      </c>
      <c r="M845" t="s">
        <v>6433</v>
      </c>
      <c r="N845" s="61" t="s">
        <v>8656</v>
      </c>
      <c r="O845">
        <v>57754</v>
      </c>
    </row>
    <row r="846" spans="1:15" x14ac:dyDescent="0.2">
      <c r="A846" t="s">
        <v>4534</v>
      </c>
      <c r="B846" s="61" t="s">
        <v>8657</v>
      </c>
      <c r="C846" s="61" t="s">
        <v>34</v>
      </c>
      <c r="F846" t="s">
        <v>8658</v>
      </c>
      <c r="G846" t="s">
        <v>6073</v>
      </c>
      <c r="J846" t="s">
        <v>8659</v>
      </c>
      <c r="K846" t="s">
        <v>8660</v>
      </c>
      <c r="L846" t="s">
        <v>8661</v>
      </c>
      <c r="M846" t="s">
        <v>6078</v>
      </c>
      <c r="N846" s="61" t="s">
        <v>8662</v>
      </c>
      <c r="O846">
        <v>89199</v>
      </c>
    </row>
    <row r="847" spans="1:15" x14ac:dyDescent="0.2">
      <c r="A847" t="s">
        <v>4535</v>
      </c>
      <c r="B847" s="61" t="s">
        <v>8663</v>
      </c>
      <c r="C847" s="61" t="s">
        <v>34</v>
      </c>
      <c r="F847" t="s">
        <v>4535</v>
      </c>
      <c r="G847" t="s">
        <v>6073</v>
      </c>
      <c r="H847" t="s">
        <v>34</v>
      </c>
      <c r="I847" t="s">
        <v>34</v>
      </c>
      <c r="L847" t="s">
        <v>34</v>
      </c>
      <c r="M847" t="s">
        <v>6266</v>
      </c>
      <c r="N847" s="61" t="s">
        <v>8664</v>
      </c>
      <c r="O847">
        <v>57753</v>
      </c>
    </row>
    <row r="848" spans="1:15" x14ac:dyDescent="0.2">
      <c r="A848" t="s">
        <v>4536</v>
      </c>
      <c r="B848" s="61" t="s">
        <v>8665</v>
      </c>
      <c r="C848" s="61" t="s">
        <v>34</v>
      </c>
      <c r="F848" t="s">
        <v>4536</v>
      </c>
      <c r="G848" t="s">
        <v>6073</v>
      </c>
      <c r="H848" t="s">
        <v>34</v>
      </c>
      <c r="I848" t="s">
        <v>34</v>
      </c>
      <c r="L848" t="s">
        <v>8666</v>
      </c>
      <c r="M848" t="s">
        <v>6078</v>
      </c>
      <c r="N848" s="61" t="s">
        <v>8667</v>
      </c>
      <c r="O848">
        <v>57752</v>
      </c>
    </row>
    <row r="849" spans="1:15" x14ac:dyDescent="0.2">
      <c r="A849" t="s">
        <v>4537</v>
      </c>
      <c r="B849" s="61" t="s">
        <v>8668</v>
      </c>
      <c r="C849" s="61" t="s">
        <v>34</v>
      </c>
      <c r="F849" t="s">
        <v>4537</v>
      </c>
      <c r="G849" t="s">
        <v>6073</v>
      </c>
      <c r="L849" t="s">
        <v>8669</v>
      </c>
      <c r="M849" t="s">
        <v>6078</v>
      </c>
      <c r="N849" s="61" t="s">
        <v>6223</v>
      </c>
      <c r="O849">
        <v>57751</v>
      </c>
    </row>
    <row r="850" spans="1:15" x14ac:dyDescent="0.2">
      <c r="A850" t="s">
        <v>4538</v>
      </c>
      <c r="B850" s="61" t="s">
        <v>8668</v>
      </c>
      <c r="C850" s="61" t="s">
        <v>34</v>
      </c>
      <c r="F850" t="s">
        <v>4537</v>
      </c>
      <c r="G850" t="s">
        <v>6073</v>
      </c>
      <c r="L850" t="s">
        <v>8670</v>
      </c>
      <c r="M850" t="s">
        <v>6078</v>
      </c>
      <c r="N850" s="61" t="s">
        <v>6223</v>
      </c>
      <c r="O850">
        <v>61439</v>
      </c>
    </row>
    <row r="851" spans="1:15" x14ac:dyDescent="0.2">
      <c r="A851" t="s">
        <v>4539</v>
      </c>
      <c r="B851" s="61" t="s">
        <v>8671</v>
      </c>
      <c r="C851" s="61" t="s">
        <v>34</v>
      </c>
      <c r="F851" t="s">
        <v>4539</v>
      </c>
      <c r="G851" t="s">
        <v>6073</v>
      </c>
      <c r="H851" t="s">
        <v>8672</v>
      </c>
      <c r="J851" t="s">
        <v>6649</v>
      </c>
      <c r="K851" t="s">
        <v>8673</v>
      </c>
      <c r="L851" t="s">
        <v>8674</v>
      </c>
      <c r="M851" t="s">
        <v>6078</v>
      </c>
      <c r="N851" s="61" t="s">
        <v>6444</v>
      </c>
      <c r="O851">
        <v>124884</v>
      </c>
    </row>
    <row r="852" spans="1:15" x14ac:dyDescent="0.2">
      <c r="A852" t="s">
        <v>4540</v>
      </c>
      <c r="B852" s="61" t="s">
        <v>8675</v>
      </c>
      <c r="C852" s="61" t="s">
        <v>34</v>
      </c>
      <c r="F852" t="s">
        <v>4540</v>
      </c>
      <c r="G852" t="s">
        <v>6073</v>
      </c>
      <c r="J852" t="s">
        <v>8221</v>
      </c>
      <c r="K852" t="s">
        <v>8676</v>
      </c>
      <c r="L852" t="s">
        <v>8677</v>
      </c>
      <c r="M852" t="s">
        <v>6078</v>
      </c>
      <c r="N852" s="61" t="s">
        <v>6219</v>
      </c>
      <c r="O852">
        <v>115329</v>
      </c>
    </row>
    <row r="853" spans="1:15" x14ac:dyDescent="0.2">
      <c r="A853" t="s">
        <v>4541</v>
      </c>
      <c r="B853" s="61" t="s">
        <v>8678</v>
      </c>
      <c r="C853" s="61" t="s">
        <v>34</v>
      </c>
      <c r="F853" t="s">
        <v>4541</v>
      </c>
      <c r="G853" t="s">
        <v>6073</v>
      </c>
      <c r="H853" t="s">
        <v>8679</v>
      </c>
      <c r="J853" t="s">
        <v>8680</v>
      </c>
      <c r="K853" t="s">
        <v>8681</v>
      </c>
      <c r="L853" t="s">
        <v>8682</v>
      </c>
      <c r="M853" t="s">
        <v>6078</v>
      </c>
      <c r="N853" s="61" t="s">
        <v>6977</v>
      </c>
      <c r="O853">
        <v>124649</v>
      </c>
    </row>
    <row r="854" spans="1:15" x14ac:dyDescent="0.2">
      <c r="A854" t="s">
        <v>4542</v>
      </c>
      <c r="B854" s="61" t="s">
        <v>8683</v>
      </c>
      <c r="C854" s="61" t="s">
        <v>34</v>
      </c>
      <c r="F854" t="s">
        <v>4542</v>
      </c>
      <c r="G854" t="s">
        <v>6073</v>
      </c>
      <c r="J854" t="s">
        <v>8684</v>
      </c>
      <c r="K854" t="s">
        <v>8685</v>
      </c>
      <c r="L854" t="s">
        <v>8686</v>
      </c>
      <c r="M854" t="s">
        <v>6078</v>
      </c>
      <c r="N854" s="61" t="s">
        <v>6100</v>
      </c>
      <c r="O854">
        <v>115734</v>
      </c>
    </row>
    <row r="855" spans="1:15" x14ac:dyDescent="0.2">
      <c r="A855" t="s">
        <v>4543</v>
      </c>
      <c r="B855" s="61" t="s">
        <v>8687</v>
      </c>
      <c r="C855" s="61" t="s">
        <v>34</v>
      </c>
      <c r="F855" t="s">
        <v>4543</v>
      </c>
      <c r="G855" t="s">
        <v>6073</v>
      </c>
      <c r="H855" t="s">
        <v>8688</v>
      </c>
      <c r="J855" t="s">
        <v>8689</v>
      </c>
      <c r="K855" t="s">
        <v>8690</v>
      </c>
      <c r="L855" t="s">
        <v>8691</v>
      </c>
      <c r="M855" t="s">
        <v>6078</v>
      </c>
      <c r="N855" s="61" t="s">
        <v>6314</v>
      </c>
      <c r="O855">
        <v>117115</v>
      </c>
    </row>
    <row r="856" spans="1:15" x14ac:dyDescent="0.2">
      <c r="A856" t="s">
        <v>4544</v>
      </c>
      <c r="B856" s="61" t="s">
        <v>34</v>
      </c>
      <c r="C856" s="61" t="s">
        <v>34</v>
      </c>
      <c r="F856" t="s">
        <v>4544</v>
      </c>
      <c r="G856" t="s">
        <v>6073</v>
      </c>
      <c r="H856" t="s">
        <v>34</v>
      </c>
      <c r="I856" t="s">
        <v>34</v>
      </c>
      <c r="L856" t="s">
        <v>34</v>
      </c>
      <c r="N856" s="61" t="s">
        <v>3784</v>
      </c>
      <c r="O856">
        <v>58348</v>
      </c>
    </row>
    <row r="857" spans="1:15" x14ac:dyDescent="0.2">
      <c r="A857" t="s">
        <v>4545</v>
      </c>
      <c r="B857" s="61" t="s">
        <v>8692</v>
      </c>
      <c r="C857" s="61" t="s">
        <v>34</v>
      </c>
      <c r="F857" t="s">
        <v>4545</v>
      </c>
      <c r="G857" t="s">
        <v>6073</v>
      </c>
      <c r="I857" t="s">
        <v>8693</v>
      </c>
      <c r="L857" t="s">
        <v>8694</v>
      </c>
      <c r="M857" t="s">
        <v>6078</v>
      </c>
      <c r="N857" s="61" t="s">
        <v>6083</v>
      </c>
      <c r="O857">
        <v>57750</v>
      </c>
    </row>
    <row r="858" spans="1:15" x14ac:dyDescent="0.2">
      <c r="A858" t="s">
        <v>4546</v>
      </c>
      <c r="B858" s="61" t="s">
        <v>8695</v>
      </c>
      <c r="C858" s="61" t="s">
        <v>34</v>
      </c>
      <c r="F858" t="s">
        <v>4546</v>
      </c>
      <c r="G858" t="s">
        <v>6073</v>
      </c>
      <c r="L858" t="s">
        <v>8696</v>
      </c>
      <c r="M858" t="s">
        <v>6078</v>
      </c>
      <c r="N858" s="61" t="s">
        <v>6211</v>
      </c>
      <c r="O858">
        <v>57749</v>
      </c>
    </row>
    <row r="859" spans="1:15" x14ac:dyDescent="0.2">
      <c r="A859" t="s">
        <v>4547</v>
      </c>
      <c r="B859" s="61" t="s">
        <v>8697</v>
      </c>
      <c r="C859" s="61" t="s">
        <v>34</v>
      </c>
      <c r="F859" t="s">
        <v>4547</v>
      </c>
      <c r="G859" t="s">
        <v>6073</v>
      </c>
      <c r="H859" t="s">
        <v>8698</v>
      </c>
      <c r="J859" t="s">
        <v>8699</v>
      </c>
      <c r="K859" t="s">
        <v>8700</v>
      </c>
      <c r="L859" t="s">
        <v>8701</v>
      </c>
      <c r="M859" t="s">
        <v>6078</v>
      </c>
      <c r="N859" s="61" t="s">
        <v>7653</v>
      </c>
      <c r="O859">
        <v>118991</v>
      </c>
    </row>
    <row r="860" spans="1:15" x14ac:dyDescent="0.2">
      <c r="A860" t="s">
        <v>4548</v>
      </c>
      <c r="B860" s="61" t="s">
        <v>8702</v>
      </c>
      <c r="C860" s="61" t="s">
        <v>34</v>
      </c>
      <c r="F860" t="s">
        <v>4548</v>
      </c>
      <c r="G860" t="s">
        <v>6073</v>
      </c>
      <c r="H860" t="s">
        <v>34</v>
      </c>
      <c r="I860" t="s">
        <v>8703</v>
      </c>
      <c r="L860" t="s">
        <v>8704</v>
      </c>
      <c r="M860" t="s">
        <v>6235</v>
      </c>
      <c r="N860" s="61" t="s">
        <v>8705</v>
      </c>
      <c r="O860">
        <v>57748</v>
      </c>
    </row>
    <row r="861" spans="1:15" x14ac:dyDescent="0.2">
      <c r="A861" t="s">
        <v>4549</v>
      </c>
      <c r="B861" s="61" t="s">
        <v>34</v>
      </c>
      <c r="C861" s="61" t="s">
        <v>34</v>
      </c>
      <c r="F861" t="s">
        <v>4549</v>
      </c>
      <c r="G861" t="s">
        <v>6073</v>
      </c>
      <c r="H861" t="s">
        <v>34</v>
      </c>
      <c r="I861" t="s">
        <v>34</v>
      </c>
      <c r="L861" t="s">
        <v>34</v>
      </c>
      <c r="N861" s="61" t="s">
        <v>3784</v>
      </c>
      <c r="O861">
        <v>58364</v>
      </c>
    </row>
    <row r="862" spans="1:15" x14ac:dyDescent="0.2">
      <c r="A862" t="s">
        <v>4550</v>
      </c>
      <c r="B862" s="61" t="s">
        <v>8706</v>
      </c>
      <c r="C862" s="61" t="s">
        <v>34</v>
      </c>
      <c r="F862" t="s">
        <v>4550</v>
      </c>
      <c r="G862" t="s">
        <v>6073</v>
      </c>
      <c r="H862" t="s">
        <v>34</v>
      </c>
      <c r="I862" t="s">
        <v>34</v>
      </c>
      <c r="L862" t="s">
        <v>8707</v>
      </c>
      <c r="M862" t="s">
        <v>6266</v>
      </c>
      <c r="N862" s="61" t="s">
        <v>8708</v>
      </c>
      <c r="O862">
        <v>57747</v>
      </c>
    </row>
    <row r="863" spans="1:15" x14ac:dyDescent="0.2">
      <c r="A863" t="s">
        <v>4551</v>
      </c>
      <c r="B863" s="61" t="s">
        <v>8709</v>
      </c>
      <c r="C863" s="61" t="s">
        <v>34</v>
      </c>
      <c r="F863" t="s">
        <v>4551</v>
      </c>
      <c r="G863" t="s">
        <v>6073</v>
      </c>
      <c r="H863" t="s">
        <v>34</v>
      </c>
      <c r="I863" t="s">
        <v>8710</v>
      </c>
      <c r="L863" t="s">
        <v>8711</v>
      </c>
      <c r="M863" t="s">
        <v>6078</v>
      </c>
      <c r="N863" s="61" t="s">
        <v>7225</v>
      </c>
      <c r="O863">
        <v>57721</v>
      </c>
    </row>
    <row r="864" spans="1:15" x14ac:dyDescent="0.2">
      <c r="A864" t="s">
        <v>4552</v>
      </c>
      <c r="B864" s="61" t="s">
        <v>8712</v>
      </c>
      <c r="C864" s="61" t="s">
        <v>34</v>
      </c>
      <c r="F864" t="s">
        <v>4552</v>
      </c>
      <c r="G864" t="s">
        <v>6073</v>
      </c>
      <c r="H864" t="s">
        <v>34</v>
      </c>
      <c r="I864" t="s">
        <v>8713</v>
      </c>
      <c r="L864" t="s">
        <v>8714</v>
      </c>
      <c r="M864" t="s">
        <v>6188</v>
      </c>
      <c r="N864" s="61" t="s">
        <v>8715</v>
      </c>
      <c r="O864">
        <v>57720</v>
      </c>
    </row>
    <row r="865" spans="1:15" x14ac:dyDescent="0.2">
      <c r="A865" t="s">
        <v>4553</v>
      </c>
      <c r="B865" s="61" t="s">
        <v>8716</v>
      </c>
      <c r="C865" s="61" t="s">
        <v>8717</v>
      </c>
      <c r="F865" t="s">
        <v>4553</v>
      </c>
      <c r="G865" t="s">
        <v>6073</v>
      </c>
      <c r="I865" t="s">
        <v>8718</v>
      </c>
      <c r="L865" t="s">
        <v>8719</v>
      </c>
      <c r="M865" t="s">
        <v>6240</v>
      </c>
      <c r="N865" s="61" t="s">
        <v>8720</v>
      </c>
      <c r="O865">
        <v>57719</v>
      </c>
    </row>
    <row r="866" spans="1:15" x14ac:dyDescent="0.2">
      <c r="A866" t="s">
        <v>4554</v>
      </c>
      <c r="B866" s="61" t="s">
        <v>8721</v>
      </c>
      <c r="C866" s="61" t="s">
        <v>34</v>
      </c>
      <c r="F866" t="s">
        <v>4554</v>
      </c>
      <c r="G866" t="s">
        <v>6073</v>
      </c>
      <c r="L866" t="s">
        <v>8722</v>
      </c>
      <c r="M866" t="s">
        <v>6078</v>
      </c>
      <c r="N866" s="61" t="s">
        <v>6255</v>
      </c>
      <c r="O866">
        <v>57694</v>
      </c>
    </row>
    <row r="867" spans="1:15" x14ac:dyDescent="0.2">
      <c r="A867" t="s">
        <v>4555</v>
      </c>
      <c r="B867" s="61" t="s">
        <v>8723</v>
      </c>
      <c r="C867" s="61" t="s">
        <v>34</v>
      </c>
      <c r="F867" t="s">
        <v>8724</v>
      </c>
      <c r="G867" t="s">
        <v>6073</v>
      </c>
      <c r="H867" t="s">
        <v>8725</v>
      </c>
      <c r="J867" t="s">
        <v>8452</v>
      </c>
      <c r="K867" t="s">
        <v>8726</v>
      </c>
      <c r="L867" t="s">
        <v>8727</v>
      </c>
      <c r="M867" t="s">
        <v>6078</v>
      </c>
      <c r="N867" s="61" t="s">
        <v>6145</v>
      </c>
      <c r="O867">
        <v>97290</v>
      </c>
    </row>
    <row r="868" spans="1:15" x14ac:dyDescent="0.2">
      <c r="A868" t="s">
        <v>4556</v>
      </c>
      <c r="B868" s="61" t="s">
        <v>8728</v>
      </c>
      <c r="C868" s="61" t="s">
        <v>34</v>
      </c>
      <c r="F868" t="s">
        <v>4556</v>
      </c>
      <c r="G868" t="s">
        <v>6073</v>
      </c>
      <c r="I868" t="s">
        <v>8729</v>
      </c>
      <c r="L868" t="s">
        <v>8730</v>
      </c>
      <c r="M868" t="s">
        <v>6078</v>
      </c>
      <c r="N868" s="61" t="s">
        <v>6128</v>
      </c>
      <c r="O868">
        <v>57692</v>
      </c>
    </row>
    <row r="869" spans="1:15" x14ac:dyDescent="0.2">
      <c r="A869" t="s">
        <v>416</v>
      </c>
      <c r="B869" s="61" t="s">
        <v>8731</v>
      </c>
      <c r="C869" s="61" t="s">
        <v>34</v>
      </c>
      <c r="F869" t="s">
        <v>416</v>
      </c>
      <c r="G869" t="s">
        <v>6073</v>
      </c>
      <c r="I869" t="s">
        <v>8732</v>
      </c>
      <c r="L869" t="s">
        <v>8733</v>
      </c>
      <c r="M869" t="s">
        <v>6078</v>
      </c>
      <c r="N869" s="61" t="s">
        <v>6083</v>
      </c>
      <c r="O869">
        <v>57691</v>
      </c>
    </row>
    <row r="870" spans="1:15" x14ac:dyDescent="0.2">
      <c r="A870" t="s">
        <v>4557</v>
      </c>
      <c r="B870" s="61" t="s">
        <v>8734</v>
      </c>
      <c r="C870" s="61" t="s">
        <v>34</v>
      </c>
      <c r="F870" t="s">
        <v>4557</v>
      </c>
      <c r="G870" t="s">
        <v>6073</v>
      </c>
      <c r="M870" t="s">
        <v>8277</v>
      </c>
      <c r="N870" s="61" t="s">
        <v>8735</v>
      </c>
      <c r="O870">
        <v>128071</v>
      </c>
    </row>
    <row r="871" spans="1:15" x14ac:dyDescent="0.2">
      <c r="A871" t="s">
        <v>4558</v>
      </c>
      <c r="B871" s="61" t="s">
        <v>8736</v>
      </c>
      <c r="C871" s="61" t="s">
        <v>34</v>
      </c>
      <c r="F871" t="s">
        <v>4558</v>
      </c>
      <c r="G871" t="s">
        <v>6073</v>
      </c>
      <c r="I871" t="s">
        <v>8737</v>
      </c>
      <c r="L871" t="s">
        <v>8738</v>
      </c>
      <c r="M871" t="s">
        <v>6078</v>
      </c>
      <c r="N871" s="61" t="s">
        <v>7154</v>
      </c>
      <c r="O871">
        <v>57690</v>
      </c>
    </row>
    <row r="872" spans="1:15" x14ac:dyDescent="0.2">
      <c r="A872" t="s">
        <v>423</v>
      </c>
      <c r="B872" s="61" t="s">
        <v>8739</v>
      </c>
      <c r="C872" s="61" t="s">
        <v>34</v>
      </c>
      <c r="F872" t="s">
        <v>423</v>
      </c>
      <c r="G872" t="s">
        <v>6073</v>
      </c>
      <c r="I872" t="s">
        <v>8740</v>
      </c>
      <c r="L872" t="s">
        <v>8741</v>
      </c>
      <c r="M872" t="s">
        <v>6078</v>
      </c>
      <c r="N872" s="61" t="s">
        <v>6231</v>
      </c>
      <c r="O872">
        <v>57689</v>
      </c>
    </row>
    <row r="873" spans="1:15" x14ac:dyDescent="0.2">
      <c r="A873" t="s">
        <v>4559</v>
      </c>
      <c r="B873" s="61" t="s">
        <v>8742</v>
      </c>
      <c r="C873" s="61" t="s">
        <v>34</v>
      </c>
      <c r="F873" t="s">
        <v>4559</v>
      </c>
      <c r="G873" t="s">
        <v>6073</v>
      </c>
      <c r="I873" t="s">
        <v>8743</v>
      </c>
      <c r="L873" t="s">
        <v>8744</v>
      </c>
      <c r="M873" t="s">
        <v>6078</v>
      </c>
      <c r="N873" s="61" t="s">
        <v>6255</v>
      </c>
      <c r="O873">
        <v>57688</v>
      </c>
    </row>
    <row r="874" spans="1:15" x14ac:dyDescent="0.2">
      <c r="A874" t="s">
        <v>4560</v>
      </c>
      <c r="B874" s="61" t="s">
        <v>6259</v>
      </c>
      <c r="C874" s="61" t="s">
        <v>34</v>
      </c>
      <c r="F874" t="s">
        <v>4560</v>
      </c>
      <c r="G874" t="s">
        <v>6073</v>
      </c>
      <c r="I874" t="s">
        <v>8745</v>
      </c>
      <c r="L874" t="s">
        <v>8746</v>
      </c>
      <c r="M874" t="s">
        <v>6078</v>
      </c>
      <c r="N874" s="61" t="s">
        <v>6255</v>
      </c>
      <c r="O874">
        <v>57687</v>
      </c>
    </row>
    <row r="875" spans="1:15" x14ac:dyDescent="0.2">
      <c r="A875" t="s">
        <v>4561</v>
      </c>
      <c r="B875" s="61" t="s">
        <v>8747</v>
      </c>
      <c r="C875" s="61" t="s">
        <v>34</v>
      </c>
      <c r="F875" t="s">
        <v>4561</v>
      </c>
      <c r="G875" t="s">
        <v>6073</v>
      </c>
      <c r="H875" t="s">
        <v>34</v>
      </c>
      <c r="I875" t="s">
        <v>8748</v>
      </c>
      <c r="L875" t="s">
        <v>8749</v>
      </c>
      <c r="M875" t="s">
        <v>6266</v>
      </c>
      <c r="N875" s="61" t="s">
        <v>8750</v>
      </c>
      <c r="O875">
        <v>57685</v>
      </c>
    </row>
    <row r="876" spans="1:15" x14ac:dyDescent="0.2">
      <c r="A876" t="s">
        <v>4562</v>
      </c>
      <c r="B876" s="61" t="s">
        <v>8751</v>
      </c>
      <c r="C876" s="61" t="s">
        <v>34</v>
      </c>
      <c r="F876" t="s">
        <v>4562</v>
      </c>
      <c r="G876" t="s">
        <v>6073</v>
      </c>
      <c r="H876" t="s">
        <v>34</v>
      </c>
      <c r="I876" t="s">
        <v>8752</v>
      </c>
      <c r="L876" t="s">
        <v>8753</v>
      </c>
      <c r="M876" t="s">
        <v>6078</v>
      </c>
      <c r="N876" s="61" t="s">
        <v>6083</v>
      </c>
      <c r="O876">
        <v>57684</v>
      </c>
    </row>
    <row r="877" spans="1:15" x14ac:dyDescent="0.2">
      <c r="A877" t="s">
        <v>4563</v>
      </c>
      <c r="B877" s="61" t="s">
        <v>8754</v>
      </c>
      <c r="C877" s="61" t="s">
        <v>34</v>
      </c>
      <c r="F877" t="s">
        <v>4563</v>
      </c>
      <c r="G877" t="s">
        <v>6073</v>
      </c>
      <c r="H877" t="s">
        <v>34</v>
      </c>
      <c r="I877" t="s">
        <v>8755</v>
      </c>
      <c r="L877" t="s">
        <v>8756</v>
      </c>
      <c r="M877" t="s">
        <v>6078</v>
      </c>
      <c r="N877" s="61" t="s">
        <v>6231</v>
      </c>
      <c r="O877">
        <v>57683</v>
      </c>
    </row>
    <row r="878" spans="1:15" x14ac:dyDescent="0.2">
      <c r="A878" t="s">
        <v>4564</v>
      </c>
      <c r="B878" s="61" t="s">
        <v>8757</v>
      </c>
      <c r="C878" s="61" t="s">
        <v>34</v>
      </c>
      <c r="F878" t="s">
        <v>4564</v>
      </c>
      <c r="G878" t="s">
        <v>6073</v>
      </c>
      <c r="L878" t="s">
        <v>8758</v>
      </c>
      <c r="M878" t="s">
        <v>6078</v>
      </c>
      <c r="N878" s="61" t="s">
        <v>6314</v>
      </c>
      <c r="O878">
        <v>57682</v>
      </c>
    </row>
    <row r="879" spans="1:15" x14ac:dyDescent="0.2">
      <c r="A879" t="s">
        <v>4565</v>
      </c>
      <c r="B879" s="61" t="s">
        <v>8759</v>
      </c>
      <c r="C879" s="61" t="s">
        <v>34</v>
      </c>
      <c r="F879" t="s">
        <v>4565</v>
      </c>
      <c r="G879" t="s">
        <v>6073</v>
      </c>
      <c r="H879" t="s">
        <v>34</v>
      </c>
      <c r="I879" t="s">
        <v>8760</v>
      </c>
      <c r="L879" t="s">
        <v>8761</v>
      </c>
      <c r="M879" t="s">
        <v>6095</v>
      </c>
      <c r="N879" s="61" t="s">
        <v>8762</v>
      </c>
      <c r="O879">
        <v>57681</v>
      </c>
    </row>
    <row r="880" spans="1:15" x14ac:dyDescent="0.2">
      <c r="A880" t="s">
        <v>4566</v>
      </c>
      <c r="B880" s="61" t="s">
        <v>8763</v>
      </c>
      <c r="C880" s="61" t="s">
        <v>34</v>
      </c>
      <c r="F880" t="s">
        <v>4566</v>
      </c>
      <c r="G880" t="s">
        <v>6073</v>
      </c>
      <c r="H880" t="s">
        <v>34</v>
      </c>
      <c r="I880" t="s">
        <v>34</v>
      </c>
      <c r="L880" t="s">
        <v>8764</v>
      </c>
      <c r="M880" t="s">
        <v>6635</v>
      </c>
      <c r="N880" s="61" t="s">
        <v>8765</v>
      </c>
      <c r="O880">
        <v>57680</v>
      </c>
    </row>
    <row r="881" spans="1:15" x14ac:dyDescent="0.2">
      <c r="A881" t="s">
        <v>4567</v>
      </c>
      <c r="B881" s="61" t="s">
        <v>8766</v>
      </c>
      <c r="C881" s="61" t="s">
        <v>34</v>
      </c>
      <c r="F881" t="s">
        <v>4567</v>
      </c>
      <c r="G881" t="s">
        <v>6073</v>
      </c>
      <c r="L881" t="s">
        <v>8767</v>
      </c>
      <c r="M881" t="s">
        <v>6635</v>
      </c>
      <c r="N881" s="61" t="s">
        <v>6744</v>
      </c>
      <c r="O881">
        <v>57679</v>
      </c>
    </row>
    <row r="882" spans="1:15" x14ac:dyDescent="0.2">
      <c r="A882" t="s">
        <v>4568</v>
      </c>
      <c r="B882" s="61" t="s">
        <v>8768</v>
      </c>
      <c r="C882" s="61" t="s">
        <v>34</v>
      </c>
      <c r="F882" t="s">
        <v>4568</v>
      </c>
      <c r="G882" t="s">
        <v>6073</v>
      </c>
      <c r="H882" t="s">
        <v>34</v>
      </c>
      <c r="I882" t="s">
        <v>6726</v>
      </c>
      <c r="L882" t="s">
        <v>6727</v>
      </c>
      <c r="M882" t="s">
        <v>6095</v>
      </c>
      <c r="N882" s="61" t="s">
        <v>6473</v>
      </c>
      <c r="O882">
        <v>57678</v>
      </c>
    </row>
    <row r="883" spans="1:15" x14ac:dyDescent="0.2">
      <c r="A883" t="s">
        <v>4569</v>
      </c>
      <c r="B883" s="61" t="s">
        <v>8769</v>
      </c>
      <c r="C883" s="61" t="s">
        <v>34</v>
      </c>
      <c r="F883" t="s">
        <v>4569</v>
      </c>
      <c r="G883" t="s">
        <v>6073</v>
      </c>
      <c r="H883" t="s">
        <v>34</v>
      </c>
      <c r="I883" t="s">
        <v>8770</v>
      </c>
      <c r="L883" t="s">
        <v>8771</v>
      </c>
      <c r="M883" t="s">
        <v>6266</v>
      </c>
      <c r="N883" s="61" t="s">
        <v>6514</v>
      </c>
      <c r="O883">
        <v>57677</v>
      </c>
    </row>
    <row r="884" spans="1:15" x14ac:dyDescent="0.2">
      <c r="A884" t="s">
        <v>5990</v>
      </c>
      <c r="B884" s="61" t="s">
        <v>8772</v>
      </c>
      <c r="C884" s="61" t="s">
        <v>34</v>
      </c>
      <c r="F884" t="s">
        <v>5990</v>
      </c>
      <c r="G884" t="s">
        <v>6073</v>
      </c>
      <c r="M884" t="s">
        <v>6422</v>
      </c>
      <c r="N884" s="61" t="s">
        <v>8773</v>
      </c>
      <c r="O884">
        <v>131305</v>
      </c>
    </row>
    <row r="885" spans="1:15" x14ac:dyDescent="0.2">
      <c r="A885" t="s">
        <v>4570</v>
      </c>
      <c r="B885" s="61" t="s">
        <v>8774</v>
      </c>
      <c r="C885" s="61" t="s">
        <v>34</v>
      </c>
      <c r="F885" t="s">
        <v>4570</v>
      </c>
      <c r="G885" t="s">
        <v>6073</v>
      </c>
      <c r="H885" t="s">
        <v>34</v>
      </c>
      <c r="I885" t="s">
        <v>8775</v>
      </c>
      <c r="L885" t="s">
        <v>8776</v>
      </c>
      <c r="M885" t="s">
        <v>6078</v>
      </c>
      <c r="N885" s="61" t="s">
        <v>7680</v>
      </c>
      <c r="O885">
        <v>57675</v>
      </c>
    </row>
    <row r="886" spans="1:15" x14ac:dyDescent="0.2">
      <c r="A886" t="s">
        <v>4571</v>
      </c>
      <c r="B886" s="61" t="s">
        <v>8777</v>
      </c>
      <c r="C886" s="61" t="s">
        <v>34</v>
      </c>
      <c r="F886" t="s">
        <v>4571</v>
      </c>
      <c r="G886" t="s">
        <v>6073</v>
      </c>
      <c r="H886" t="s">
        <v>34</v>
      </c>
      <c r="I886" t="s">
        <v>34</v>
      </c>
      <c r="L886" t="s">
        <v>8778</v>
      </c>
      <c r="M886" t="s">
        <v>6266</v>
      </c>
      <c r="N886" s="61" t="s">
        <v>6430</v>
      </c>
      <c r="O886">
        <v>57674</v>
      </c>
    </row>
    <row r="887" spans="1:15" x14ac:dyDescent="0.2">
      <c r="A887" t="s">
        <v>4572</v>
      </c>
      <c r="B887" s="61" t="s">
        <v>8779</v>
      </c>
      <c r="C887" s="61" t="s">
        <v>34</v>
      </c>
      <c r="F887" t="s">
        <v>4572</v>
      </c>
      <c r="G887" t="s">
        <v>6073</v>
      </c>
      <c r="L887" t="s">
        <v>8780</v>
      </c>
      <c r="M887" t="s">
        <v>6148</v>
      </c>
      <c r="N887" s="61" t="s">
        <v>8781</v>
      </c>
      <c r="O887">
        <v>57673</v>
      </c>
    </row>
    <row r="888" spans="1:15" x14ac:dyDescent="0.2">
      <c r="A888" t="s">
        <v>4573</v>
      </c>
      <c r="B888" s="61" t="s">
        <v>3466</v>
      </c>
      <c r="C888" s="61" t="s">
        <v>34</v>
      </c>
      <c r="F888" t="s">
        <v>4573</v>
      </c>
      <c r="G888" t="s">
        <v>6073</v>
      </c>
      <c r="I888" t="s">
        <v>8782</v>
      </c>
      <c r="J888" t="s">
        <v>8783</v>
      </c>
      <c r="K888" t="s">
        <v>8784</v>
      </c>
      <c r="L888" t="s">
        <v>8785</v>
      </c>
      <c r="M888" t="s">
        <v>6078</v>
      </c>
      <c r="N888" s="61" t="s">
        <v>8786</v>
      </c>
      <c r="O888">
        <v>57672</v>
      </c>
    </row>
    <row r="889" spans="1:15" x14ac:dyDescent="0.2">
      <c r="A889" t="s">
        <v>631</v>
      </c>
      <c r="B889" s="61" t="s">
        <v>8787</v>
      </c>
      <c r="C889" s="61" t="s">
        <v>34</v>
      </c>
      <c r="F889" t="s">
        <v>631</v>
      </c>
      <c r="G889" t="s">
        <v>6073</v>
      </c>
      <c r="I889" t="s">
        <v>8788</v>
      </c>
      <c r="L889" t="s">
        <v>8789</v>
      </c>
      <c r="M889" t="s">
        <v>6078</v>
      </c>
      <c r="N889" s="61" t="s">
        <v>6083</v>
      </c>
      <c r="O889">
        <v>57693</v>
      </c>
    </row>
    <row r="890" spans="1:15" x14ac:dyDescent="0.2">
      <c r="A890" t="s">
        <v>2298</v>
      </c>
      <c r="B890" s="61" t="s">
        <v>8790</v>
      </c>
      <c r="C890" s="61" t="s">
        <v>34</v>
      </c>
      <c r="F890" t="s">
        <v>2298</v>
      </c>
      <c r="G890" t="s">
        <v>6073</v>
      </c>
      <c r="I890" t="s">
        <v>8791</v>
      </c>
      <c r="L890" t="s">
        <v>8792</v>
      </c>
      <c r="M890" t="s">
        <v>6078</v>
      </c>
      <c r="N890" s="61" t="s">
        <v>8793</v>
      </c>
      <c r="O890">
        <v>57695</v>
      </c>
    </row>
    <row r="891" spans="1:15" x14ac:dyDescent="0.2">
      <c r="A891" t="s">
        <v>4574</v>
      </c>
      <c r="B891" s="61" t="s">
        <v>8794</v>
      </c>
      <c r="C891" s="61" t="s">
        <v>34</v>
      </c>
      <c r="F891" t="s">
        <v>4574</v>
      </c>
      <c r="G891" t="s">
        <v>6073</v>
      </c>
      <c r="I891" t="s">
        <v>8788</v>
      </c>
      <c r="L891" t="s">
        <v>8789</v>
      </c>
      <c r="M891" t="s">
        <v>6078</v>
      </c>
      <c r="N891" s="61" t="s">
        <v>6255</v>
      </c>
      <c r="O891">
        <v>57718</v>
      </c>
    </row>
    <row r="892" spans="1:15" x14ac:dyDescent="0.2">
      <c r="A892" t="s">
        <v>4575</v>
      </c>
      <c r="B892" s="61" t="s">
        <v>8795</v>
      </c>
      <c r="C892" s="61" t="s">
        <v>34</v>
      </c>
      <c r="F892" t="s">
        <v>4575</v>
      </c>
      <c r="G892" t="s">
        <v>6073</v>
      </c>
      <c r="H892" t="s">
        <v>34</v>
      </c>
      <c r="I892" t="s">
        <v>8796</v>
      </c>
      <c r="L892" t="s">
        <v>8797</v>
      </c>
      <c r="M892" t="s">
        <v>6095</v>
      </c>
      <c r="N892" s="61" t="s">
        <v>8798</v>
      </c>
      <c r="O892">
        <v>57696</v>
      </c>
    </row>
    <row r="893" spans="1:15" x14ac:dyDescent="0.2">
      <c r="A893" t="s">
        <v>4576</v>
      </c>
      <c r="B893" s="61" t="s">
        <v>8777</v>
      </c>
      <c r="C893" s="61" t="s">
        <v>34</v>
      </c>
      <c r="F893" t="s">
        <v>4576</v>
      </c>
      <c r="G893" t="s">
        <v>6073</v>
      </c>
      <c r="H893" t="s">
        <v>34</v>
      </c>
      <c r="I893" t="s">
        <v>8799</v>
      </c>
      <c r="L893" t="s">
        <v>8800</v>
      </c>
      <c r="M893" t="s">
        <v>6266</v>
      </c>
      <c r="N893" s="61" t="s">
        <v>8801</v>
      </c>
      <c r="O893">
        <v>57717</v>
      </c>
    </row>
    <row r="894" spans="1:15" x14ac:dyDescent="0.2">
      <c r="A894" t="s">
        <v>4577</v>
      </c>
      <c r="B894" s="61" t="s">
        <v>8802</v>
      </c>
      <c r="C894" s="61" t="s">
        <v>34</v>
      </c>
      <c r="F894" t="s">
        <v>4577</v>
      </c>
      <c r="G894" t="s">
        <v>6073</v>
      </c>
      <c r="H894" t="s">
        <v>34</v>
      </c>
      <c r="I894" t="s">
        <v>34</v>
      </c>
      <c r="L894" t="s">
        <v>8803</v>
      </c>
      <c r="M894" t="s">
        <v>6235</v>
      </c>
      <c r="N894" s="61" t="s">
        <v>8011</v>
      </c>
      <c r="O894">
        <v>57716</v>
      </c>
    </row>
    <row r="895" spans="1:15" x14ac:dyDescent="0.2">
      <c r="A895" t="s">
        <v>4578</v>
      </c>
      <c r="B895" s="61" t="s">
        <v>8804</v>
      </c>
      <c r="C895" s="61" t="s">
        <v>34</v>
      </c>
      <c r="F895" t="s">
        <v>4578</v>
      </c>
      <c r="G895" t="s">
        <v>6073</v>
      </c>
      <c r="H895" t="s">
        <v>34</v>
      </c>
      <c r="I895" t="s">
        <v>34</v>
      </c>
      <c r="L895" t="s">
        <v>8805</v>
      </c>
      <c r="M895" t="s">
        <v>6095</v>
      </c>
      <c r="N895" s="61" t="s">
        <v>6141</v>
      </c>
      <c r="O895">
        <v>57715</v>
      </c>
    </row>
    <row r="896" spans="1:15" x14ac:dyDescent="0.2">
      <c r="A896" t="s">
        <v>4579</v>
      </c>
      <c r="B896" s="61" t="s">
        <v>8806</v>
      </c>
      <c r="C896" s="61" t="s">
        <v>34</v>
      </c>
      <c r="F896" t="s">
        <v>4579</v>
      </c>
      <c r="G896" t="s">
        <v>6073</v>
      </c>
      <c r="I896" t="s">
        <v>8807</v>
      </c>
      <c r="L896" t="s">
        <v>8808</v>
      </c>
      <c r="M896" t="s">
        <v>6266</v>
      </c>
      <c r="N896" s="61" t="s">
        <v>8809</v>
      </c>
      <c r="O896">
        <v>57714</v>
      </c>
    </row>
    <row r="897" spans="1:15" x14ac:dyDescent="0.2">
      <c r="A897" t="s">
        <v>426</v>
      </c>
      <c r="B897" s="61" t="s">
        <v>8804</v>
      </c>
      <c r="C897" s="61" t="s">
        <v>34</v>
      </c>
      <c r="F897" t="s">
        <v>426</v>
      </c>
      <c r="G897" t="s">
        <v>6073</v>
      </c>
      <c r="I897" t="s">
        <v>8810</v>
      </c>
      <c r="L897" t="s">
        <v>8805</v>
      </c>
      <c r="M897" t="s">
        <v>6095</v>
      </c>
      <c r="N897" s="61" t="s">
        <v>6141</v>
      </c>
      <c r="O897">
        <v>57713</v>
      </c>
    </row>
    <row r="898" spans="1:15" x14ac:dyDescent="0.2">
      <c r="A898" t="s">
        <v>4580</v>
      </c>
      <c r="B898" s="61" t="s">
        <v>8811</v>
      </c>
      <c r="C898" s="61" t="s">
        <v>34</v>
      </c>
      <c r="F898" t="s">
        <v>4580</v>
      </c>
      <c r="G898" t="s">
        <v>6073</v>
      </c>
      <c r="H898" t="s">
        <v>34</v>
      </c>
      <c r="I898" t="s">
        <v>34</v>
      </c>
      <c r="L898" t="s">
        <v>8812</v>
      </c>
      <c r="M898" t="s">
        <v>6078</v>
      </c>
      <c r="N898" s="61" t="s">
        <v>6122</v>
      </c>
      <c r="O898">
        <v>57712</v>
      </c>
    </row>
    <row r="899" spans="1:15" x14ac:dyDescent="0.2">
      <c r="A899" t="s">
        <v>4581</v>
      </c>
      <c r="B899" s="61" t="s">
        <v>8813</v>
      </c>
      <c r="C899" s="61" t="s">
        <v>34</v>
      </c>
      <c r="F899" t="s">
        <v>4581</v>
      </c>
      <c r="G899" t="s">
        <v>6073</v>
      </c>
      <c r="H899" t="s">
        <v>34</v>
      </c>
      <c r="I899" t="s">
        <v>34</v>
      </c>
      <c r="L899" t="s">
        <v>8814</v>
      </c>
      <c r="M899" t="s">
        <v>6266</v>
      </c>
      <c r="N899" s="61" t="s">
        <v>8815</v>
      </c>
      <c r="O899">
        <v>57711</v>
      </c>
    </row>
    <row r="900" spans="1:15" x14ac:dyDescent="0.2">
      <c r="A900" t="s">
        <v>4582</v>
      </c>
      <c r="B900" s="61" t="s">
        <v>8816</v>
      </c>
      <c r="C900" s="61" t="s">
        <v>34</v>
      </c>
      <c r="F900" t="s">
        <v>4582</v>
      </c>
      <c r="G900" t="s">
        <v>6073</v>
      </c>
      <c r="I900" t="s">
        <v>8817</v>
      </c>
      <c r="L900" t="s">
        <v>8818</v>
      </c>
      <c r="M900" t="s">
        <v>6078</v>
      </c>
      <c r="N900" s="61" t="s">
        <v>6386</v>
      </c>
      <c r="O900">
        <v>57710</v>
      </c>
    </row>
    <row r="901" spans="1:15" x14ac:dyDescent="0.2">
      <c r="A901" t="s">
        <v>4583</v>
      </c>
      <c r="B901" s="61" t="s">
        <v>8819</v>
      </c>
      <c r="C901" s="61" t="s">
        <v>34</v>
      </c>
      <c r="F901" t="s">
        <v>4583</v>
      </c>
      <c r="G901" t="s">
        <v>6073</v>
      </c>
      <c r="J901" t="s">
        <v>8820</v>
      </c>
      <c r="K901" t="s">
        <v>8821</v>
      </c>
      <c r="L901" t="s">
        <v>8822</v>
      </c>
      <c r="M901" t="s">
        <v>6078</v>
      </c>
      <c r="N901" s="61" t="s">
        <v>6444</v>
      </c>
      <c r="O901">
        <v>94375</v>
      </c>
    </row>
    <row r="902" spans="1:15" x14ac:dyDescent="0.2">
      <c r="A902" t="s">
        <v>1564</v>
      </c>
      <c r="B902" s="61" t="s">
        <v>8823</v>
      </c>
      <c r="C902" s="61" t="s">
        <v>34</v>
      </c>
      <c r="F902" t="s">
        <v>1564</v>
      </c>
      <c r="G902" t="s">
        <v>6073</v>
      </c>
      <c r="H902" t="s">
        <v>8824</v>
      </c>
      <c r="I902" t="s">
        <v>8825</v>
      </c>
      <c r="L902" t="s">
        <v>8826</v>
      </c>
      <c r="M902" t="s">
        <v>6078</v>
      </c>
      <c r="N902" s="61" t="s">
        <v>6977</v>
      </c>
      <c r="O902">
        <v>57709</v>
      </c>
    </row>
    <row r="903" spans="1:15" x14ac:dyDescent="0.2">
      <c r="A903" t="s">
        <v>4584</v>
      </c>
      <c r="B903" s="61" t="s">
        <v>8823</v>
      </c>
      <c r="C903" s="61" t="s">
        <v>34</v>
      </c>
      <c r="F903" t="s">
        <v>4584</v>
      </c>
      <c r="G903" t="s">
        <v>6073</v>
      </c>
      <c r="H903" t="s">
        <v>8827</v>
      </c>
      <c r="I903" t="s">
        <v>8825</v>
      </c>
      <c r="L903" t="s">
        <v>8826</v>
      </c>
      <c r="M903" t="s">
        <v>6078</v>
      </c>
      <c r="N903" s="61" t="s">
        <v>6977</v>
      </c>
      <c r="O903">
        <v>58365</v>
      </c>
    </row>
    <row r="904" spans="1:15" x14ac:dyDescent="0.2">
      <c r="A904" t="s">
        <v>4585</v>
      </c>
      <c r="B904" s="61" t="s">
        <v>8828</v>
      </c>
      <c r="C904" s="61" t="s">
        <v>34</v>
      </c>
      <c r="F904" t="s">
        <v>4585</v>
      </c>
      <c r="G904" t="s">
        <v>6073</v>
      </c>
      <c r="I904" t="s">
        <v>8829</v>
      </c>
      <c r="L904" t="s">
        <v>8830</v>
      </c>
      <c r="M904" t="s">
        <v>6078</v>
      </c>
      <c r="N904" s="61" t="s">
        <v>6255</v>
      </c>
      <c r="O904">
        <v>57708</v>
      </c>
    </row>
    <row r="905" spans="1:15" x14ac:dyDescent="0.2">
      <c r="A905" t="s">
        <v>4586</v>
      </c>
      <c r="B905" s="61" t="s">
        <v>8831</v>
      </c>
      <c r="C905" s="61" t="s">
        <v>34</v>
      </c>
      <c r="F905" t="s">
        <v>4586</v>
      </c>
      <c r="G905" t="s">
        <v>6073</v>
      </c>
      <c r="H905" t="s">
        <v>34</v>
      </c>
      <c r="I905" t="s">
        <v>8832</v>
      </c>
      <c r="L905" t="s">
        <v>8833</v>
      </c>
      <c r="M905" t="s">
        <v>6266</v>
      </c>
      <c r="N905" s="61" t="s">
        <v>8187</v>
      </c>
      <c r="O905">
        <v>57707</v>
      </c>
    </row>
    <row r="906" spans="1:15" x14ac:dyDescent="0.2">
      <c r="A906" t="s">
        <v>4587</v>
      </c>
      <c r="B906" s="61" t="s">
        <v>8834</v>
      </c>
      <c r="C906" s="61" t="s">
        <v>34</v>
      </c>
      <c r="F906" t="s">
        <v>4587</v>
      </c>
      <c r="G906" t="s">
        <v>6073</v>
      </c>
      <c r="I906" t="s">
        <v>8835</v>
      </c>
      <c r="L906" t="s">
        <v>8836</v>
      </c>
      <c r="M906" t="s">
        <v>6095</v>
      </c>
      <c r="N906" s="61" t="s">
        <v>8837</v>
      </c>
      <c r="O906">
        <v>57706</v>
      </c>
    </row>
    <row r="907" spans="1:15" x14ac:dyDescent="0.2">
      <c r="A907" t="s">
        <v>4588</v>
      </c>
      <c r="B907" s="61" t="s">
        <v>8838</v>
      </c>
      <c r="C907" s="61" t="s">
        <v>34</v>
      </c>
      <c r="F907" t="s">
        <v>4588</v>
      </c>
      <c r="G907" t="s">
        <v>6073</v>
      </c>
      <c r="H907" t="s">
        <v>34</v>
      </c>
      <c r="I907" t="s">
        <v>34</v>
      </c>
      <c r="L907" t="s">
        <v>8839</v>
      </c>
      <c r="M907" t="s">
        <v>6078</v>
      </c>
      <c r="N907" s="61" t="s">
        <v>6444</v>
      </c>
      <c r="O907">
        <v>57705</v>
      </c>
    </row>
    <row r="908" spans="1:15" x14ac:dyDescent="0.2">
      <c r="A908" t="s">
        <v>4589</v>
      </c>
      <c r="B908" s="61" t="s">
        <v>8840</v>
      </c>
      <c r="C908" s="61" t="s">
        <v>34</v>
      </c>
      <c r="F908" t="s">
        <v>4589</v>
      </c>
      <c r="G908" t="s">
        <v>6073</v>
      </c>
      <c r="H908" t="s">
        <v>8841</v>
      </c>
      <c r="I908" t="s">
        <v>8842</v>
      </c>
      <c r="L908" t="s">
        <v>8843</v>
      </c>
      <c r="M908" t="s">
        <v>6078</v>
      </c>
      <c r="N908" s="61" t="s">
        <v>8254</v>
      </c>
      <c r="O908">
        <v>57704</v>
      </c>
    </row>
    <row r="909" spans="1:15" x14ac:dyDescent="0.2">
      <c r="A909" t="s">
        <v>4590</v>
      </c>
      <c r="B909" s="61" t="s">
        <v>8844</v>
      </c>
      <c r="C909" s="61" t="s">
        <v>34</v>
      </c>
      <c r="F909" t="s">
        <v>4590</v>
      </c>
      <c r="G909" t="s">
        <v>6073</v>
      </c>
      <c r="H909" t="s">
        <v>8845</v>
      </c>
      <c r="J909" t="s">
        <v>8846</v>
      </c>
      <c r="K909" t="s">
        <v>8847</v>
      </c>
      <c r="L909" t="s">
        <v>8848</v>
      </c>
      <c r="M909" t="s">
        <v>6078</v>
      </c>
      <c r="N909" s="61" t="s">
        <v>7255</v>
      </c>
      <c r="O909">
        <v>128913</v>
      </c>
    </row>
    <row r="910" spans="1:15" x14ac:dyDescent="0.2">
      <c r="A910" t="s">
        <v>4591</v>
      </c>
      <c r="B910" s="61" t="s">
        <v>8849</v>
      </c>
      <c r="C910" s="61" t="s">
        <v>34</v>
      </c>
      <c r="F910" t="s">
        <v>4591</v>
      </c>
      <c r="G910" t="s">
        <v>6073</v>
      </c>
      <c r="H910" t="s">
        <v>8850</v>
      </c>
      <c r="J910" t="s">
        <v>8851</v>
      </c>
      <c r="K910" t="s">
        <v>8852</v>
      </c>
      <c r="L910" t="s">
        <v>8853</v>
      </c>
      <c r="M910" t="s">
        <v>6078</v>
      </c>
      <c r="N910" s="61" t="s">
        <v>8854</v>
      </c>
      <c r="O910">
        <v>75477</v>
      </c>
    </row>
    <row r="911" spans="1:15" x14ac:dyDescent="0.2">
      <c r="A911" t="s">
        <v>4592</v>
      </c>
      <c r="B911" s="61" t="s">
        <v>8855</v>
      </c>
      <c r="C911" s="61" t="s">
        <v>34</v>
      </c>
      <c r="F911" t="s">
        <v>4592</v>
      </c>
      <c r="G911" t="s">
        <v>6073</v>
      </c>
      <c r="L911" t="s">
        <v>8856</v>
      </c>
      <c r="M911" t="s">
        <v>7197</v>
      </c>
      <c r="N911" s="61" t="s">
        <v>8857</v>
      </c>
      <c r="O911">
        <v>92728</v>
      </c>
    </row>
    <row r="912" spans="1:15" x14ac:dyDescent="0.2">
      <c r="A912" t="s">
        <v>4593</v>
      </c>
      <c r="B912" s="61" t="s">
        <v>8858</v>
      </c>
      <c r="C912" s="61" t="s">
        <v>34</v>
      </c>
      <c r="F912" t="s">
        <v>4593</v>
      </c>
      <c r="G912" t="s">
        <v>6073</v>
      </c>
      <c r="H912" t="s">
        <v>8859</v>
      </c>
      <c r="J912" t="s">
        <v>8860</v>
      </c>
      <c r="K912" t="s">
        <v>8861</v>
      </c>
      <c r="L912" t="s">
        <v>8862</v>
      </c>
      <c r="M912" t="s">
        <v>6078</v>
      </c>
      <c r="N912" s="61" t="s">
        <v>6386</v>
      </c>
      <c r="O912">
        <v>128928</v>
      </c>
    </row>
    <row r="913" spans="1:15" x14ac:dyDescent="0.2">
      <c r="A913" t="s">
        <v>4594</v>
      </c>
      <c r="B913" s="61" t="s">
        <v>8863</v>
      </c>
      <c r="C913" s="61" t="s">
        <v>34</v>
      </c>
      <c r="F913" t="s">
        <v>4594</v>
      </c>
      <c r="G913" t="s">
        <v>6073</v>
      </c>
      <c r="H913" t="s">
        <v>34</v>
      </c>
      <c r="I913" t="s">
        <v>8864</v>
      </c>
      <c r="L913" t="s">
        <v>8865</v>
      </c>
      <c r="M913" t="s">
        <v>6095</v>
      </c>
      <c r="N913" s="61" t="s">
        <v>6141</v>
      </c>
      <c r="O913">
        <v>57703</v>
      </c>
    </row>
    <row r="914" spans="1:15" x14ac:dyDescent="0.2">
      <c r="A914" t="s">
        <v>4595</v>
      </c>
      <c r="B914" s="61" t="s">
        <v>8866</v>
      </c>
      <c r="C914" s="61" t="s">
        <v>34</v>
      </c>
      <c r="F914" t="s">
        <v>4595</v>
      </c>
      <c r="G914" t="s">
        <v>6073</v>
      </c>
      <c r="H914" t="s">
        <v>34</v>
      </c>
      <c r="I914" t="s">
        <v>34</v>
      </c>
      <c r="L914" t="s">
        <v>8867</v>
      </c>
      <c r="M914" t="s">
        <v>6078</v>
      </c>
      <c r="N914" s="61" t="s">
        <v>8868</v>
      </c>
      <c r="O914">
        <v>57702</v>
      </c>
    </row>
    <row r="915" spans="1:15" x14ac:dyDescent="0.2">
      <c r="A915" t="s">
        <v>4596</v>
      </c>
      <c r="B915" s="61" t="s">
        <v>8869</v>
      </c>
      <c r="C915" s="61" t="s">
        <v>34</v>
      </c>
      <c r="F915" t="s">
        <v>4596</v>
      </c>
      <c r="G915" t="s">
        <v>6073</v>
      </c>
      <c r="H915" t="s">
        <v>34</v>
      </c>
      <c r="I915" t="s">
        <v>34</v>
      </c>
      <c r="L915" t="s">
        <v>8870</v>
      </c>
      <c r="M915" t="s">
        <v>6078</v>
      </c>
      <c r="N915" s="61" t="s">
        <v>6110</v>
      </c>
      <c r="O915">
        <v>57793</v>
      </c>
    </row>
    <row r="916" spans="1:15" x14ac:dyDescent="0.2">
      <c r="A916" t="s">
        <v>4597</v>
      </c>
      <c r="B916" s="61" t="s">
        <v>8871</v>
      </c>
      <c r="C916" s="61" t="s">
        <v>34</v>
      </c>
      <c r="F916" t="s">
        <v>4597</v>
      </c>
      <c r="G916" t="s">
        <v>6073</v>
      </c>
      <c r="H916" t="s">
        <v>34</v>
      </c>
      <c r="I916" t="s">
        <v>8872</v>
      </c>
      <c r="L916" t="s">
        <v>8873</v>
      </c>
      <c r="M916" t="s">
        <v>6078</v>
      </c>
      <c r="N916" s="61" t="s">
        <v>6083</v>
      </c>
      <c r="O916">
        <v>57807</v>
      </c>
    </row>
    <row r="917" spans="1:15" x14ac:dyDescent="0.2">
      <c r="A917" t="s">
        <v>4598</v>
      </c>
      <c r="B917" s="61" t="s">
        <v>8874</v>
      </c>
      <c r="C917" s="61" t="s">
        <v>34</v>
      </c>
      <c r="F917" t="s">
        <v>4598</v>
      </c>
      <c r="G917" t="s">
        <v>6073</v>
      </c>
      <c r="H917" t="s">
        <v>8875</v>
      </c>
      <c r="J917" t="s">
        <v>8876</v>
      </c>
      <c r="K917" t="s">
        <v>8877</v>
      </c>
      <c r="L917" t="s">
        <v>8878</v>
      </c>
      <c r="M917" t="s">
        <v>6104</v>
      </c>
      <c r="N917" s="61" t="s">
        <v>8879</v>
      </c>
      <c r="O917">
        <v>120341</v>
      </c>
    </row>
    <row r="918" spans="1:15" x14ac:dyDescent="0.2">
      <c r="A918" t="s">
        <v>4599</v>
      </c>
      <c r="B918" s="61" t="s">
        <v>34</v>
      </c>
      <c r="C918" s="61" t="s">
        <v>34</v>
      </c>
      <c r="F918" t="s">
        <v>4599</v>
      </c>
      <c r="G918" t="s">
        <v>6073</v>
      </c>
      <c r="H918" t="s">
        <v>34</v>
      </c>
      <c r="I918" t="s">
        <v>34</v>
      </c>
      <c r="L918" t="s">
        <v>34</v>
      </c>
      <c r="N918" s="61" t="s">
        <v>3784</v>
      </c>
      <c r="O918">
        <v>58347</v>
      </c>
    </row>
    <row r="919" spans="1:15" x14ac:dyDescent="0.2">
      <c r="A919" t="s">
        <v>4600</v>
      </c>
      <c r="B919" s="61" t="s">
        <v>8880</v>
      </c>
      <c r="C919" s="61" t="s">
        <v>34</v>
      </c>
      <c r="F919" t="s">
        <v>4600</v>
      </c>
      <c r="G919" t="s">
        <v>6073</v>
      </c>
      <c r="H919" t="s">
        <v>34</v>
      </c>
      <c r="I919" t="s">
        <v>34</v>
      </c>
      <c r="L919" t="s">
        <v>8881</v>
      </c>
      <c r="M919" t="s">
        <v>6078</v>
      </c>
      <c r="N919" s="61" t="s">
        <v>6525</v>
      </c>
      <c r="O919">
        <v>57701</v>
      </c>
    </row>
    <row r="920" spans="1:15" x14ac:dyDescent="0.2">
      <c r="A920" t="s">
        <v>4601</v>
      </c>
      <c r="B920" s="61" t="s">
        <v>8882</v>
      </c>
      <c r="C920" s="61" t="s">
        <v>34</v>
      </c>
      <c r="F920" t="s">
        <v>4601</v>
      </c>
      <c r="G920" t="s">
        <v>6073</v>
      </c>
      <c r="H920" t="s">
        <v>34</v>
      </c>
      <c r="I920" t="s">
        <v>8883</v>
      </c>
      <c r="L920" t="s">
        <v>8884</v>
      </c>
      <c r="M920" t="s">
        <v>6078</v>
      </c>
      <c r="N920" s="61" t="s">
        <v>6083</v>
      </c>
      <c r="O920">
        <v>57700</v>
      </c>
    </row>
    <row r="921" spans="1:15" x14ac:dyDescent="0.2">
      <c r="A921" t="s">
        <v>4602</v>
      </c>
      <c r="B921" s="61" t="s">
        <v>8885</v>
      </c>
      <c r="C921" s="61" t="s">
        <v>34</v>
      </c>
      <c r="F921" t="s">
        <v>4602</v>
      </c>
      <c r="G921" t="s">
        <v>6073</v>
      </c>
      <c r="L921" t="s">
        <v>8428</v>
      </c>
      <c r="M921" t="s">
        <v>6078</v>
      </c>
      <c r="N921" s="61" t="s">
        <v>7193</v>
      </c>
      <c r="O921">
        <v>57699</v>
      </c>
    </row>
    <row r="922" spans="1:15" x14ac:dyDescent="0.2">
      <c r="A922" t="s">
        <v>4603</v>
      </c>
      <c r="B922" s="61" t="s">
        <v>8886</v>
      </c>
      <c r="C922" s="61" t="s">
        <v>34</v>
      </c>
      <c r="F922" t="s">
        <v>4603</v>
      </c>
      <c r="G922" t="s">
        <v>6073</v>
      </c>
      <c r="I922" t="s">
        <v>8887</v>
      </c>
      <c r="L922" t="s">
        <v>8888</v>
      </c>
      <c r="M922" t="s">
        <v>6095</v>
      </c>
      <c r="N922" s="61" t="s">
        <v>7598</v>
      </c>
      <c r="O922">
        <v>57698</v>
      </c>
    </row>
    <row r="923" spans="1:15" x14ac:dyDescent="0.2">
      <c r="A923" t="s">
        <v>4604</v>
      </c>
      <c r="B923" s="61" t="s">
        <v>8889</v>
      </c>
      <c r="C923" s="61" t="s">
        <v>34</v>
      </c>
      <c r="F923" t="s">
        <v>4604</v>
      </c>
      <c r="G923" t="s">
        <v>6073</v>
      </c>
      <c r="H923" t="s">
        <v>34</v>
      </c>
      <c r="I923" t="s">
        <v>8890</v>
      </c>
      <c r="L923" t="s">
        <v>8891</v>
      </c>
      <c r="M923" t="s">
        <v>6078</v>
      </c>
      <c r="N923" s="61" t="s">
        <v>6083</v>
      </c>
      <c r="O923">
        <v>57697</v>
      </c>
    </row>
    <row r="924" spans="1:15" x14ac:dyDescent="0.2">
      <c r="A924" t="s">
        <v>4605</v>
      </c>
      <c r="B924" s="61" t="s">
        <v>8892</v>
      </c>
      <c r="C924" s="61" t="s">
        <v>34</v>
      </c>
      <c r="F924" t="s">
        <v>4605</v>
      </c>
      <c r="G924" t="s">
        <v>6316</v>
      </c>
      <c r="L924" t="s">
        <v>8893</v>
      </c>
      <c r="M924" t="s">
        <v>7239</v>
      </c>
      <c r="N924" s="61" t="s">
        <v>8894</v>
      </c>
      <c r="O924">
        <v>57757</v>
      </c>
    </row>
    <row r="925" spans="1:15" x14ac:dyDescent="0.2">
      <c r="A925" t="s">
        <v>4606</v>
      </c>
      <c r="B925" s="61" t="s">
        <v>8895</v>
      </c>
      <c r="C925" s="61" t="s">
        <v>34</v>
      </c>
      <c r="F925" t="s">
        <v>4606</v>
      </c>
      <c r="G925" t="s">
        <v>6073</v>
      </c>
      <c r="I925" t="s">
        <v>8896</v>
      </c>
      <c r="L925" t="s">
        <v>8897</v>
      </c>
      <c r="M925" t="s">
        <v>6240</v>
      </c>
      <c r="N925" s="61" t="s">
        <v>8370</v>
      </c>
      <c r="O925">
        <v>70051</v>
      </c>
    </row>
    <row r="926" spans="1:15" x14ac:dyDescent="0.2">
      <c r="A926" t="s">
        <v>4607</v>
      </c>
      <c r="B926" s="61" t="s">
        <v>8898</v>
      </c>
      <c r="C926" s="61" t="s">
        <v>34</v>
      </c>
      <c r="F926" t="s">
        <v>4607</v>
      </c>
      <c r="G926" t="s">
        <v>6073</v>
      </c>
      <c r="I926" t="s">
        <v>8899</v>
      </c>
      <c r="L926" t="s">
        <v>8900</v>
      </c>
      <c r="M926" t="s">
        <v>6078</v>
      </c>
      <c r="N926" s="61" t="s">
        <v>6092</v>
      </c>
      <c r="O926">
        <v>57770</v>
      </c>
    </row>
    <row r="927" spans="1:15" x14ac:dyDescent="0.2">
      <c r="A927" t="s">
        <v>4608</v>
      </c>
      <c r="B927" s="61" t="s">
        <v>8901</v>
      </c>
      <c r="C927" s="61" t="s">
        <v>34</v>
      </c>
      <c r="F927" t="s">
        <v>4608</v>
      </c>
      <c r="G927" t="s">
        <v>6073</v>
      </c>
      <c r="H927" t="s">
        <v>34</v>
      </c>
      <c r="I927" t="s">
        <v>8902</v>
      </c>
      <c r="L927" t="s">
        <v>8903</v>
      </c>
      <c r="M927" t="s">
        <v>6078</v>
      </c>
      <c r="N927" s="61" t="s">
        <v>6182</v>
      </c>
      <c r="O927">
        <v>57771</v>
      </c>
    </row>
    <row r="928" spans="1:15" x14ac:dyDescent="0.2">
      <c r="A928" t="s">
        <v>4609</v>
      </c>
      <c r="B928" s="61" t="s">
        <v>8904</v>
      </c>
      <c r="C928" s="61" t="s">
        <v>34</v>
      </c>
      <c r="F928" t="s">
        <v>4609</v>
      </c>
      <c r="G928" t="s">
        <v>6073</v>
      </c>
      <c r="H928" t="s">
        <v>34</v>
      </c>
      <c r="I928" t="s">
        <v>8905</v>
      </c>
      <c r="L928" t="s">
        <v>8906</v>
      </c>
      <c r="M928" t="s">
        <v>6078</v>
      </c>
      <c r="N928" s="61" t="s">
        <v>8907</v>
      </c>
      <c r="O928">
        <v>57842</v>
      </c>
    </row>
    <row r="929" spans="1:15" x14ac:dyDescent="0.2">
      <c r="A929" t="s">
        <v>4610</v>
      </c>
      <c r="B929" s="61" t="s">
        <v>8908</v>
      </c>
      <c r="C929" s="61" t="s">
        <v>34</v>
      </c>
      <c r="F929" t="s">
        <v>4610</v>
      </c>
      <c r="G929" t="s">
        <v>6073</v>
      </c>
      <c r="H929" t="s">
        <v>8909</v>
      </c>
      <c r="I929" t="s">
        <v>8910</v>
      </c>
      <c r="L929" t="s">
        <v>8911</v>
      </c>
      <c r="M929" t="s">
        <v>6078</v>
      </c>
      <c r="N929" s="61" t="s">
        <v>6155</v>
      </c>
      <c r="O929">
        <v>57841</v>
      </c>
    </row>
    <row r="930" spans="1:15" x14ac:dyDescent="0.2">
      <c r="A930" t="s">
        <v>4611</v>
      </c>
      <c r="B930" s="61" t="s">
        <v>8912</v>
      </c>
      <c r="C930" s="61" t="s">
        <v>34</v>
      </c>
      <c r="F930" t="s">
        <v>4611</v>
      </c>
      <c r="G930" t="s">
        <v>6073</v>
      </c>
      <c r="H930" t="s">
        <v>34</v>
      </c>
      <c r="I930" t="s">
        <v>34</v>
      </c>
      <c r="L930" t="s">
        <v>8913</v>
      </c>
      <c r="M930" t="s">
        <v>6078</v>
      </c>
      <c r="N930" s="61" t="s">
        <v>6551</v>
      </c>
      <c r="O930">
        <v>57840</v>
      </c>
    </row>
    <row r="931" spans="1:15" x14ac:dyDescent="0.2">
      <c r="A931" t="s">
        <v>4612</v>
      </c>
      <c r="B931" s="61" t="s">
        <v>8914</v>
      </c>
      <c r="C931" s="61" t="s">
        <v>34</v>
      </c>
      <c r="F931" t="s">
        <v>4612</v>
      </c>
      <c r="G931" t="s">
        <v>6073</v>
      </c>
      <c r="I931" t="s">
        <v>8915</v>
      </c>
      <c r="L931" t="s">
        <v>8916</v>
      </c>
      <c r="M931" t="s">
        <v>6095</v>
      </c>
      <c r="N931" s="61" t="s">
        <v>7742</v>
      </c>
      <c r="O931">
        <v>57839</v>
      </c>
    </row>
    <row r="932" spans="1:15" x14ac:dyDescent="0.2">
      <c r="A932" t="s">
        <v>4613</v>
      </c>
      <c r="B932" s="61" t="s">
        <v>8917</v>
      </c>
      <c r="C932" s="61" t="s">
        <v>34</v>
      </c>
      <c r="F932" t="s">
        <v>4613</v>
      </c>
      <c r="G932" t="s">
        <v>6073</v>
      </c>
      <c r="H932" t="s">
        <v>34</v>
      </c>
      <c r="I932" t="s">
        <v>34</v>
      </c>
      <c r="L932" t="s">
        <v>8918</v>
      </c>
      <c r="M932" t="s">
        <v>7197</v>
      </c>
      <c r="N932" s="61" t="s">
        <v>8919</v>
      </c>
      <c r="O932">
        <v>57838</v>
      </c>
    </row>
    <row r="933" spans="1:15" x14ac:dyDescent="0.2">
      <c r="A933" t="s">
        <v>4614</v>
      </c>
      <c r="B933" s="61" t="s">
        <v>8920</v>
      </c>
      <c r="C933" s="61" t="s">
        <v>34</v>
      </c>
      <c r="F933" t="s">
        <v>4614</v>
      </c>
      <c r="G933" t="s">
        <v>6073</v>
      </c>
      <c r="H933" t="s">
        <v>34</v>
      </c>
      <c r="I933" t="s">
        <v>8921</v>
      </c>
      <c r="L933" t="s">
        <v>8922</v>
      </c>
      <c r="M933" t="s">
        <v>6078</v>
      </c>
      <c r="N933" s="61" t="s">
        <v>6164</v>
      </c>
      <c r="O933">
        <v>57837</v>
      </c>
    </row>
    <row r="934" spans="1:15" x14ac:dyDescent="0.2">
      <c r="A934" t="s">
        <v>435</v>
      </c>
      <c r="B934" s="61" t="s">
        <v>8923</v>
      </c>
      <c r="C934" s="61" t="s">
        <v>34</v>
      </c>
      <c r="F934" t="s">
        <v>435</v>
      </c>
      <c r="G934" t="s">
        <v>6073</v>
      </c>
      <c r="H934" t="s">
        <v>8924</v>
      </c>
      <c r="I934" t="s">
        <v>6964</v>
      </c>
      <c r="L934" t="s">
        <v>8925</v>
      </c>
      <c r="M934" t="s">
        <v>6078</v>
      </c>
      <c r="N934" s="61" t="s">
        <v>8926</v>
      </c>
      <c r="O934">
        <v>57836</v>
      </c>
    </row>
    <row r="935" spans="1:15" x14ac:dyDescent="0.2">
      <c r="A935" t="s">
        <v>4615</v>
      </c>
      <c r="B935" s="61" t="s">
        <v>8927</v>
      </c>
      <c r="C935" s="61" t="s">
        <v>34</v>
      </c>
      <c r="F935" t="s">
        <v>4615</v>
      </c>
      <c r="G935" t="s">
        <v>6073</v>
      </c>
      <c r="I935" t="s">
        <v>8928</v>
      </c>
      <c r="L935" t="s">
        <v>8929</v>
      </c>
      <c r="M935" t="s">
        <v>6078</v>
      </c>
      <c r="N935" s="61" t="s">
        <v>8930</v>
      </c>
      <c r="O935">
        <v>57835</v>
      </c>
    </row>
    <row r="936" spans="1:15" x14ac:dyDescent="0.2">
      <c r="A936" t="s">
        <v>4616</v>
      </c>
      <c r="B936" s="61" t="s">
        <v>8931</v>
      </c>
      <c r="C936" s="61" t="s">
        <v>34</v>
      </c>
      <c r="F936" t="s">
        <v>4616</v>
      </c>
      <c r="G936" t="s">
        <v>6073</v>
      </c>
      <c r="H936" t="s">
        <v>34</v>
      </c>
      <c r="I936" t="s">
        <v>8932</v>
      </c>
      <c r="L936" t="s">
        <v>8933</v>
      </c>
      <c r="M936" t="s">
        <v>6078</v>
      </c>
      <c r="N936" s="61" t="s">
        <v>8934</v>
      </c>
      <c r="O936">
        <v>57834</v>
      </c>
    </row>
    <row r="937" spans="1:15" x14ac:dyDescent="0.2">
      <c r="A937" t="s">
        <v>4617</v>
      </c>
      <c r="B937" s="61" t="s">
        <v>8935</v>
      </c>
      <c r="C937" s="61" t="s">
        <v>34</v>
      </c>
      <c r="F937" t="s">
        <v>4617</v>
      </c>
      <c r="G937" t="s">
        <v>6073</v>
      </c>
      <c r="H937" t="s">
        <v>34</v>
      </c>
      <c r="I937" t="s">
        <v>8936</v>
      </c>
      <c r="L937" t="s">
        <v>8937</v>
      </c>
      <c r="M937" t="s">
        <v>6078</v>
      </c>
      <c r="N937" s="61" t="s">
        <v>6444</v>
      </c>
      <c r="O937">
        <v>57833</v>
      </c>
    </row>
    <row r="938" spans="1:15" x14ac:dyDescent="0.2">
      <c r="A938" t="s">
        <v>4618</v>
      </c>
      <c r="B938" s="61" t="s">
        <v>8938</v>
      </c>
      <c r="C938" s="61" t="s">
        <v>34</v>
      </c>
      <c r="F938" t="s">
        <v>4618</v>
      </c>
      <c r="G938" t="s">
        <v>6073</v>
      </c>
      <c r="L938" t="s">
        <v>8939</v>
      </c>
      <c r="M938" t="s">
        <v>6635</v>
      </c>
      <c r="N938" s="61" t="s">
        <v>8940</v>
      </c>
      <c r="O938">
        <v>98515</v>
      </c>
    </row>
    <row r="939" spans="1:15" x14ac:dyDescent="0.2">
      <c r="A939" t="s">
        <v>4619</v>
      </c>
      <c r="B939" s="61" t="s">
        <v>8941</v>
      </c>
      <c r="C939" s="61" t="s">
        <v>34</v>
      </c>
      <c r="F939" t="s">
        <v>4619</v>
      </c>
      <c r="G939" t="s">
        <v>6073</v>
      </c>
      <c r="H939" t="s">
        <v>34</v>
      </c>
      <c r="I939" t="s">
        <v>8942</v>
      </c>
      <c r="L939" t="s">
        <v>8943</v>
      </c>
      <c r="M939" t="s">
        <v>6078</v>
      </c>
      <c r="N939" s="61" t="s">
        <v>6386</v>
      </c>
      <c r="O939">
        <v>57832</v>
      </c>
    </row>
    <row r="940" spans="1:15" x14ac:dyDescent="0.2">
      <c r="A940" t="s">
        <v>4620</v>
      </c>
      <c r="B940" s="61" t="s">
        <v>8944</v>
      </c>
      <c r="C940" s="61" t="s">
        <v>34</v>
      </c>
      <c r="F940" t="s">
        <v>4620</v>
      </c>
      <c r="G940" t="s">
        <v>6073</v>
      </c>
      <c r="H940" t="s">
        <v>34</v>
      </c>
      <c r="I940" t="s">
        <v>34</v>
      </c>
      <c r="L940" t="s">
        <v>8945</v>
      </c>
      <c r="M940" t="s">
        <v>6078</v>
      </c>
      <c r="N940" s="61" t="s">
        <v>8086</v>
      </c>
      <c r="O940">
        <v>57831</v>
      </c>
    </row>
    <row r="941" spans="1:15" x14ac:dyDescent="0.2">
      <c r="A941" t="s">
        <v>4621</v>
      </c>
      <c r="B941" s="61" t="s">
        <v>8946</v>
      </c>
      <c r="C941" s="61" t="s">
        <v>34</v>
      </c>
      <c r="F941" t="s">
        <v>4621</v>
      </c>
      <c r="G941" t="s">
        <v>6073</v>
      </c>
      <c r="H941" t="s">
        <v>8947</v>
      </c>
      <c r="I941" t="s">
        <v>8948</v>
      </c>
      <c r="J941" t="s">
        <v>8949</v>
      </c>
      <c r="K941" t="s">
        <v>8950</v>
      </c>
      <c r="L941" t="s">
        <v>8951</v>
      </c>
      <c r="M941" t="s">
        <v>6266</v>
      </c>
      <c r="N941" s="61" t="s">
        <v>8952</v>
      </c>
      <c r="O941">
        <v>79875</v>
      </c>
    </row>
    <row r="942" spans="1:15" x14ac:dyDescent="0.2">
      <c r="A942" t="s">
        <v>4622</v>
      </c>
      <c r="B942" s="61" t="s">
        <v>8953</v>
      </c>
      <c r="C942" s="61" t="s">
        <v>34</v>
      </c>
      <c r="F942" t="s">
        <v>4622</v>
      </c>
      <c r="G942" t="s">
        <v>6073</v>
      </c>
      <c r="H942" t="s">
        <v>34</v>
      </c>
      <c r="I942" t="s">
        <v>8954</v>
      </c>
      <c r="L942" t="s">
        <v>8955</v>
      </c>
      <c r="M942" t="s">
        <v>6078</v>
      </c>
      <c r="N942" s="61" t="s">
        <v>6677</v>
      </c>
      <c r="O942">
        <v>57830</v>
      </c>
    </row>
    <row r="943" spans="1:15" x14ac:dyDescent="0.2">
      <c r="A943" t="s">
        <v>4623</v>
      </c>
      <c r="B943" s="61" t="s">
        <v>8956</v>
      </c>
      <c r="C943" s="61" t="s">
        <v>34</v>
      </c>
      <c r="F943" t="s">
        <v>4623</v>
      </c>
      <c r="G943" t="s">
        <v>6073</v>
      </c>
      <c r="H943" t="s">
        <v>34</v>
      </c>
      <c r="I943" t="s">
        <v>8957</v>
      </c>
      <c r="L943" t="s">
        <v>8958</v>
      </c>
      <c r="M943" t="s">
        <v>6266</v>
      </c>
      <c r="N943" s="61" t="s">
        <v>8959</v>
      </c>
      <c r="O943">
        <v>57829</v>
      </c>
    </row>
    <row r="944" spans="1:15" x14ac:dyDescent="0.2">
      <c r="A944" t="s">
        <v>4624</v>
      </c>
      <c r="B944" s="61" t="s">
        <v>8960</v>
      </c>
      <c r="C944" s="61" t="s">
        <v>34</v>
      </c>
      <c r="F944" t="s">
        <v>4624</v>
      </c>
      <c r="G944" t="s">
        <v>6073</v>
      </c>
      <c r="H944" t="s">
        <v>34</v>
      </c>
      <c r="I944" t="s">
        <v>8961</v>
      </c>
      <c r="L944" t="s">
        <v>8962</v>
      </c>
      <c r="M944" t="s">
        <v>7683</v>
      </c>
      <c r="N944" s="61" t="s">
        <v>8963</v>
      </c>
      <c r="O944">
        <v>57828</v>
      </c>
    </row>
    <row r="945" spans="1:15" x14ac:dyDescent="0.2">
      <c r="A945" t="s">
        <v>4625</v>
      </c>
      <c r="B945" s="61" t="s">
        <v>8964</v>
      </c>
      <c r="C945" s="61" t="s">
        <v>34</v>
      </c>
      <c r="F945" t="s">
        <v>4625</v>
      </c>
      <c r="G945" t="s">
        <v>6073</v>
      </c>
      <c r="I945" t="s">
        <v>8965</v>
      </c>
      <c r="L945" t="s">
        <v>8966</v>
      </c>
      <c r="M945" t="s">
        <v>6078</v>
      </c>
      <c r="N945" s="61" t="s">
        <v>6988</v>
      </c>
      <c r="O945">
        <v>57827</v>
      </c>
    </row>
    <row r="946" spans="1:15" x14ac:dyDescent="0.2">
      <c r="A946" t="s">
        <v>4626</v>
      </c>
      <c r="B946" s="61" t="s">
        <v>8967</v>
      </c>
      <c r="C946" s="61" t="s">
        <v>34</v>
      </c>
      <c r="F946" t="s">
        <v>4626</v>
      </c>
      <c r="G946" t="s">
        <v>6073</v>
      </c>
      <c r="H946" t="s">
        <v>34</v>
      </c>
      <c r="I946" t="s">
        <v>34</v>
      </c>
      <c r="L946" t="s">
        <v>8968</v>
      </c>
      <c r="M946" t="s">
        <v>6078</v>
      </c>
      <c r="N946" s="61" t="s">
        <v>8969</v>
      </c>
      <c r="O946">
        <v>57826</v>
      </c>
    </row>
    <row r="947" spans="1:15" x14ac:dyDescent="0.2">
      <c r="A947" t="s">
        <v>4627</v>
      </c>
      <c r="B947" s="61" t="s">
        <v>8970</v>
      </c>
      <c r="C947" s="61" t="s">
        <v>34</v>
      </c>
      <c r="F947" t="s">
        <v>4627</v>
      </c>
      <c r="G947" t="s">
        <v>6073</v>
      </c>
      <c r="H947" t="s">
        <v>8971</v>
      </c>
      <c r="J947" t="s">
        <v>8972</v>
      </c>
      <c r="K947" t="s">
        <v>8973</v>
      </c>
      <c r="L947" t="s">
        <v>8974</v>
      </c>
      <c r="M947" t="s">
        <v>6078</v>
      </c>
      <c r="N947" s="61" t="s">
        <v>6596</v>
      </c>
      <c r="O947">
        <v>115986</v>
      </c>
    </row>
    <row r="948" spans="1:15" x14ac:dyDescent="0.2">
      <c r="A948" t="s">
        <v>593</v>
      </c>
      <c r="B948" s="61" t="s">
        <v>8975</v>
      </c>
      <c r="C948" s="61" t="s">
        <v>34</v>
      </c>
      <c r="F948" t="s">
        <v>593</v>
      </c>
      <c r="G948" t="s">
        <v>6073</v>
      </c>
      <c r="L948" t="s">
        <v>8976</v>
      </c>
      <c r="M948" t="s">
        <v>6078</v>
      </c>
      <c r="N948" s="61" t="s">
        <v>6128</v>
      </c>
      <c r="O948">
        <v>57825</v>
      </c>
    </row>
    <row r="949" spans="1:15" x14ac:dyDescent="0.2">
      <c r="A949" t="s">
        <v>4628</v>
      </c>
      <c r="B949" s="61" t="s">
        <v>8977</v>
      </c>
      <c r="C949" s="61" t="s">
        <v>34</v>
      </c>
      <c r="F949" t="s">
        <v>4628</v>
      </c>
      <c r="G949" t="s">
        <v>6073</v>
      </c>
      <c r="H949" t="s">
        <v>34</v>
      </c>
      <c r="I949" t="s">
        <v>34</v>
      </c>
      <c r="L949" t="s">
        <v>8978</v>
      </c>
      <c r="M949" t="s">
        <v>6078</v>
      </c>
      <c r="N949" s="61" t="s">
        <v>8979</v>
      </c>
      <c r="O949">
        <v>57824</v>
      </c>
    </row>
    <row r="950" spans="1:15" x14ac:dyDescent="0.2">
      <c r="A950" t="s">
        <v>4629</v>
      </c>
      <c r="B950" s="61" t="s">
        <v>8980</v>
      </c>
      <c r="C950" s="61" t="s">
        <v>34</v>
      </c>
      <c r="F950" t="s">
        <v>4629</v>
      </c>
      <c r="G950" t="s">
        <v>6073</v>
      </c>
      <c r="I950" t="s">
        <v>8981</v>
      </c>
      <c r="L950" t="s">
        <v>8982</v>
      </c>
      <c r="M950" t="s">
        <v>6078</v>
      </c>
      <c r="N950" s="61" t="s">
        <v>6314</v>
      </c>
      <c r="O950">
        <v>57823</v>
      </c>
    </row>
    <row r="951" spans="1:15" x14ac:dyDescent="0.2">
      <c r="A951" t="s">
        <v>4630</v>
      </c>
      <c r="B951" s="61" t="s">
        <v>8983</v>
      </c>
      <c r="C951" s="61" t="s">
        <v>34</v>
      </c>
      <c r="F951" t="s">
        <v>4630</v>
      </c>
      <c r="G951" t="s">
        <v>6073</v>
      </c>
      <c r="I951" t="s">
        <v>8984</v>
      </c>
      <c r="L951" t="s">
        <v>8985</v>
      </c>
      <c r="M951" t="s">
        <v>6266</v>
      </c>
      <c r="N951" s="61" t="s">
        <v>6803</v>
      </c>
      <c r="O951">
        <v>57822</v>
      </c>
    </row>
    <row r="952" spans="1:15" x14ac:dyDescent="0.2">
      <c r="A952" t="s">
        <v>437</v>
      </c>
      <c r="B952" s="61" t="s">
        <v>8986</v>
      </c>
      <c r="C952" s="61" t="s">
        <v>34</v>
      </c>
      <c r="F952" t="s">
        <v>437</v>
      </c>
      <c r="G952" t="s">
        <v>6073</v>
      </c>
      <c r="I952" t="s">
        <v>8987</v>
      </c>
      <c r="L952" t="s">
        <v>8988</v>
      </c>
      <c r="M952" t="s">
        <v>6309</v>
      </c>
      <c r="N952" s="61" t="s">
        <v>8989</v>
      </c>
      <c r="O952">
        <v>57843</v>
      </c>
    </row>
    <row r="953" spans="1:15" x14ac:dyDescent="0.2">
      <c r="A953" t="s">
        <v>4631</v>
      </c>
      <c r="B953" s="61" t="s">
        <v>8990</v>
      </c>
      <c r="C953" s="61" t="s">
        <v>34</v>
      </c>
      <c r="F953" t="s">
        <v>4631</v>
      </c>
      <c r="G953" t="s">
        <v>6073</v>
      </c>
      <c r="I953" t="s">
        <v>8991</v>
      </c>
      <c r="L953" t="s">
        <v>8992</v>
      </c>
      <c r="M953" t="s">
        <v>6078</v>
      </c>
      <c r="N953" s="61" t="s">
        <v>8993</v>
      </c>
      <c r="O953">
        <v>57844</v>
      </c>
    </row>
    <row r="954" spans="1:15" x14ac:dyDescent="0.2">
      <c r="A954" t="s">
        <v>4632</v>
      </c>
      <c r="B954" s="61" t="s">
        <v>8994</v>
      </c>
      <c r="C954" s="61" t="s">
        <v>34</v>
      </c>
      <c r="F954" t="s">
        <v>4632</v>
      </c>
      <c r="G954" t="s">
        <v>6073</v>
      </c>
      <c r="H954" t="s">
        <v>34</v>
      </c>
      <c r="I954" t="s">
        <v>34</v>
      </c>
      <c r="L954" t="s">
        <v>8995</v>
      </c>
      <c r="M954" t="s">
        <v>7489</v>
      </c>
      <c r="N954" s="61" t="s">
        <v>8996</v>
      </c>
      <c r="O954">
        <v>57845</v>
      </c>
    </row>
    <row r="955" spans="1:15" x14ac:dyDescent="0.2">
      <c r="A955" t="s">
        <v>4633</v>
      </c>
      <c r="B955" s="61" t="s">
        <v>8997</v>
      </c>
      <c r="C955" s="61" t="s">
        <v>34</v>
      </c>
      <c r="F955" t="s">
        <v>4633</v>
      </c>
      <c r="G955" t="s">
        <v>6073</v>
      </c>
      <c r="H955" t="s">
        <v>34</v>
      </c>
      <c r="I955" t="s">
        <v>34</v>
      </c>
      <c r="L955" t="s">
        <v>8998</v>
      </c>
      <c r="M955" t="s">
        <v>6078</v>
      </c>
      <c r="N955" s="61" t="s">
        <v>6145</v>
      </c>
      <c r="O955">
        <v>57868</v>
      </c>
    </row>
    <row r="956" spans="1:15" x14ac:dyDescent="0.2">
      <c r="A956" t="s">
        <v>4634</v>
      </c>
      <c r="B956" s="61" t="s">
        <v>8999</v>
      </c>
      <c r="C956" s="61" t="s">
        <v>34</v>
      </c>
      <c r="F956" t="s">
        <v>4634</v>
      </c>
      <c r="G956" t="s">
        <v>6073</v>
      </c>
      <c r="H956" t="s">
        <v>9000</v>
      </c>
      <c r="J956" t="s">
        <v>9001</v>
      </c>
      <c r="K956" t="s">
        <v>9002</v>
      </c>
      <c r="L956" t="s">
        <v>9003</v>
      </c>
      <c r="M956" t="s">
        <v>6078</v>
      </c>
      <c r="N956" s="61" t="s">
        <v>6223</v>
      </c>
      <c r="O956">
        <v>88247</v>
      </c>
    </row>
    <row r="957" spans="1:15" x14ac:dyDescent="0.2">
      <c r="A957" t="s">
        <v>4635</v>
      </c>
      <c r="B957" s="61" t="s">
        <v>9004</v>
      </c>
      <c r="C957" s="61" t="s">
        <v>34</v>
      </c>
      <c r="F957" t="s">
        <v>4635</v>
      </c>
      <c r="G957" t="s">
        <v>6073</v>
      </c>
      <c r="H957" t="s">
        <v>9005</v>
      </c>
      <c r="J957" t="s">
        <v>201</v>
      </c>
      <c r="K957" t="s">
        <v>9006</v>
      </c>
      <c r="L957" t="s">
        <v>9007</v>
      </c>
      <c r="M957" t="s">
        <v>6078</v>
      </c>
      <c r="N957" s="61" t="s">
        <v>6092</v>
      </c>
      <c r="O957">
        <v>119873</v>
      </c>
    </row>
    <row r="958" spans="1:15" x14ac:dyDescent="0.2">
      <c r="A958" t="s">
        <v>4636</v>
      </c>
      <c r="B958" s="61" t="s">
        <v>9008</v>
      </c>
      <c r="C958" s="61" t="s">
        <v>34</v>
      </c>
      <c r="F958" t="s">
        <v>4636</v>
      </c>
      <c r="G958" t="s">
        <v>6073</v>
      </c>
      <c r="H958" t="s">
        <v>34</v>
      </c>
      <c r="I958" t="s">
        <v>9009</v>
      </c>
      <c r="L958" t="s">
        <v>9010</v>
      </c>
      <c r="M958" t="s">
        <v>6078</v>
      </c>
      <c r="N958" s="61" t="s">
        <v>9011</v>
      </c>
      <c r="O958">
        <v>57865</v>
      </c>
    </row>
    <row r="959" spans="1:15" x14ac:dyDescent="0.2">
      <c r="A959" t="s">
        <v>4637</v>
      </c>
      <c r="B959" s="61" t="s">
        <v>9012</v>
      </c>
      <c r="C959" s="61" t="s">
        <v>34</v>
      </c>
      <c r="F959" t="s">
        <v>4637</v>
      </c>
      <c r="G959" t="s">
        <v>6073</v>
      </c>
      <c r="H959" t="s">
        <v>34</v>
      </c>
      <c r="I959" t="s">
        <v>34</v>
      </c>
      <c r="L959" t="s">
        <v>9013</v>
      </c>
      <c r="M959" t="s">
        <v>6078</v>
      </c>
      <c r="N959" s="61" t="s">
        <v>9014</v>
      </c>
      <c r="O959">
        <v>57864</v>
      </c>
    </row>
    <row r="960" spans="1:15" x14ac:dyDescent="0.2">
      <c r="A960" t="s">
        <v>4638</v>
      </c>
      <c r="B960" s="61" t="s">
        <v>9015</v>
      </c>
      <c r="C960" s="61" t="s">
        <v>34</v>
      </c>
      <c r="F960" t="s">
        <v>4638</v>
      </c>
      <c r="G960" t="s">
        <v>6073</v>
      </c>
      <c r="H960" t="s">
        <v>34</v>
      </c>
      <c r="I960" t="s">
        <v>9016</v>
      </c>
      <c r="L960" t="s">
        <v>9017</v>
      </c>
      <c r="M960" t="s">
        <v>6078</v>
      </c>
      <c r="N960" s="61" t="s">
        <v>6444</v>
      </c>
      <c r="O960">
        <v>57863</v>
      </c>
    </row>
    <row r="961" spans="1:15" x14ac:dyDescent="0.2">
      <c r="A961" t="s">
        <v>4639</v>
      </c>
      <c r="B961" s="61" t="s">
        <v>9018</v>
      </c>
      <c r="C961" s="61" t="s">
        <v>34</v>
      </c>
      <c r="F961" t="s">
        <v>4639</v>
      </c>
      <c r="G961" t="s">
        <v>6073</v>
      </c>
      <c r="L961" t="s">
        <v>9019</v>
      </c>
      <c r="M961" t="s">
        <v>6078</v>
      </c>
      <c r="N961" s="61" t="s">
        <v>6231</v>
      </c>
      <c r="O961">
        <v>57862</v>
      </c>
    </row>
    <row r="962" spans="1:15" x14ac:dyDescent="0.2">
      <c r="A962" t="s">
        <v>4640</v>
      </c>
      <c r="B962" s="61" t="s">
        <v>9020</v>
      </c>
      <c r="C962" s="61" t="s">
        <v>34</v>
      </c>
      <c r="F962" t="s">
        <v>4640</v>
      </c>
      <c r="G962" t="s">
        <v>6073</v>
      </c>
      <c r="L962" t="s">
        <v>9021</v>
      </c>
      <c r="M962" t="s">
        <v>6078</v>
      </c>
      <c r="N962" s="61" t="s">
        <v>6128</v>
      </c>
      <c r="O962">
        <v>57861</v>
      </c>
    </row>
    <row r="963" spans="1:15" x14ac:dyDescent="0.2">
      <c r="A963" t="s">
        <v>4641</v>
      </c>
      <c r="B963" s="61" t="s">
        <v>9022</v>
      </c>
      <c r="C963" s="61" t="s">
        <v>34</v>
      </c>
      <c r="F963" t="s">
        <v>4641</v>
      </c>
      <c r="G963" t="s">
        <v>6073</v>
      </c>
      <c r="H963" t="s">
        <v>34</v>
      </c>
      <c r="I963" t="s">
        <v>9023</v>
      </c>
      <c r="L963" t="s">
        <v>9024</v>
      </c>
      <c r="M963" t="s">
        <v>6078</v>
      </c>
      <c r="N963" s="61" t="s">
        <v>6145</v>
      </c>
      <c r="O963">
        <v>57860</v>
      </c>
    </row>
    <row r="964" spans="1:15" x14ac:dyDescent="0.2">
      <c r="A964" t="s">
        <v>4642</v>
      </c>
      <c r="B964" s="61" t="s">
        <v>9025</v>
      </c>
      <c r="C964" s="61" t="s">
        <v>34</v>
      </c>
      <c r="F964" t="s">
        <v>4642</v>
      </c>
      <c r="G964" t="s">
        <v>6073</v>
      </c>
      <c r="I964" t="s">
        <v>9026</v>
      </c>
      <c r="L964" t="s">
        <v>9027</v>
      </c>
      <c r="M964" t="s">
        <v>6104</v>
      </c>
      <c r="N964" s="61" t="s">
        <v>9028</v>
      </c>
      <c r="O964">
        <v>57859</v>
      </c>
    </row>
    <row r="965" spans="1:15" x14ac:dyDescent="0.2">
      <c r="A965" t="s">
        <v>4643</v>
      </c>
      <c r="B965" s="61" t="s">
        <v>8678</v>
      </c>
      <c r="C965" s="61" t="s">
        <v>34</v>
      </c>
      <c r="F965" t="s">
        <v>4643</v>
      </c>
      <c r="G965" t="s">
        <v>6073</v>
      </c>
      <c r="H965" t="s">
        <v>34</v>
      </c>
      <c r="I965" t="s">
        <v>34</v>
      </c>
      <c r="L965" t="s">
        <v>9029</v>
      </c>
      <c r="M965" t="s">
        <v>6078</v>
      </c>
      <c r="N965" s="61" t="s">
        <v>6977</v>
      </c>
      <c r="O965">
        <v>57869</v>
      </c>
    </row>
    <row r="966" spans="1:15" x14ac:dyDescent="0.2">
      <c r="A966" t="s">
        <v>4644</v>
      </c>
      <c r="B966" s="61" t="s">
        <v>9030</v>
      </c>
      <c r="C966" s="61" t="s">
        <v>34</v>
      </c>
      <c r="F966" t="s">
        <v>4644</v>
      </c>
      <c r="G966" t="s">
        <v>6073</v>
      </c>
      <c r="I966" t="s">
        <v>9031</v>
      </c>
      <c r="L966" t="s">
        <v>9032</v>
      </c>
      <c r="M966" t="s">
        <v>6078</v>
      </c>
      <c r="N966" s="61" t="s">
        <v>6314</v>
      </c>
      <c r="O966">
        <v>57858</v>
      </c>
    </row>
    <row r="967" spans="1:15" x14ac:dyDescent="0.2">
      <c r="A967" t="s">
        <v>439</v>
      </c>
      <c r="B967" s="61" t="s">
        <v>9033</v>
      </c>
      <c r="C967" s="61" t="s">
        <v>34</v>
      </c>
      <c r="F967" t="s">
        <v>439</v>
      </c>
      <c r="G967" t="s">
        <v>6073</v>
      </c>
      <c r="I967" t="s">
        <v>9034</v>
      </c>
      <c r="L967" t="s">
        <v>9035</v>
      </c>
      <c r="M967" t="s">
        <v>6078</v>
      </c>
      <c r="N967" s="61" t="s">
        <v>6083</v>
      </c>
      <c r="O967">
        <v>57856</v>
      </c>
    </row>
    <row r="968" spans="1:15" x14ac:dyDescent="0.2">
      <c r="A968" t="s">
        <v>4645</v>
      </c>
      <c r="B968" s="61" t="s">
        <v>9036</v>
      </c>
      <c r="C968" s="61" t="s">
        <v>34</v>
      </c>
      <c r="F968" t="s">
        <v>451</v>
      </c>
      <c r="G968" t="s">
        <v>6073</v>
      </c>
      <c r="I968" t="s">
        <v>9034</v>
      </c>
      <c r="L968" t="s">
        <v>9037</v>
      </c>
      <c r="M968" t="s">
        <v>6078</v>
      </c>
      <c r="N968" s="61" t="s">
        <v>6211</v>
      </c>
      <c r="O968">
        <v>57855</v>
      </c>
    </row>
    <row r="969" spans="1:15" x14ac:dyDescent="0.2">
      <c r="A969" t="s">
        <v>4646</v>
      </c>
      <c r="B969" s="61" t="s">
        <v>9038</v>
      </c>
      <c r="C969" s="61" t="s">
        <v>34</v>
      </c>
      <c r="F969" t="s">
        <v>9039</v>
      </c>
      <c r="G969" t="s">
        <v>6135</v>
      </c>
      <c r="L969" t="s">
        <v>9040</v>
      </c>
      <c r="M969" t="s">
        <v>9041</v>
      </c>
      <c r="N969" s="61" t="s">
        <v>9042</v>
      </c>
      <c r="O969">
        <v>57853</v>
      </c>
    </row>
    <row r="970" spans="1:15" x14ac:dyDescent="0.2">
      <c r="A970" t="s">
        <v>4647</v>
      </c>
      <c r="B970" s="61" t="s">
        <v>9043</v>
      </c>
      <c r="C970" s="61" t="s">
        <v>34</v>
      </c>
      <c r="F970" t="s">
        <v>4647</v>
      </c>
      <c r="G970" t="s">
        <v>6073</v>
      </c>
      <c r="H970" t="s">
        <v>34</v>
      </c>
      <c r="I970" t="s">
        <v>34</v>
      </c>
      <c r="L970" t="s">
        <v>9040</v>
      </c>
      <c r="M970" t="s">
        <v>6104</v>
      </c>
      <c r="N970" s="61" t="s">
        <v>9044</v>
      </c>
      <c r="O970">
        <v>57854</v>
      </c>
    </row>
    <row r="971" spans="1:15" x14ac:dyDescent="0.2">
      <c r="A971" t="s">
        <v>4648</v>
      </c>
      <c r="B971" s="61" t="s">
        <v>9045</v>
      </c>
      <c r="C971" s="61" t="s">
        <v>34</v>
      </c>
      <c r="F971" t="s">
        <v>4648</v>
      </c>
      <c r="G971" t="s">
        <v>6073</v>
      </c>
      <c r="I971" t="s">
        <v>9046</v>
      </c>
      <c r="L971" t="s">
        <v>9047</v>
      </c>
      <c r="M971" t="s">
        <v>6078</v>
      </c>
      <c r="N971" s="61" t="s">
        <v>7804</v>
      </c>
      <c r="O971">
        <v>57852</v>
      </c>
    </row>
    <row r="972" spans="1:15" x14ac:dyDescent="0.2">
      <c r="A972" t="s">
        <v>4649</v>
      </c>
      <c r="B972" s="61" t="s">
        <v>9048</v>
      </c>
      <c r="C972" s="61" t="s">
        <v>34</v>
      </c>
      <c r="F972" t="s">
        <v>4649</v>
      </c>
      <c r="G972" t="s">
        <v>6073</v>
      </c>
      <c r="M972" t="s">
        <v>6095</v>
      </c>
      <c r="N972" s="61" t="s">
        <v>9049</v>
      </c>
      <c r="O972">
        <v>75698</v>
      </c>
    </row>
    <row r="973" spans="1:15" x14ac:dyDescent="0.2">
      <c r="A973" t="s">
        <v>4650</v>
      </c>
      <c r="B973" s="61" t="s">
        <v>9050</v>
      </c>
      <c r="C973" s="61" t="s">
        <v>34</v>
      </c>
      <c r="F973" t="s">
        <v>9051</v>
      </c>
      <c r="G973" t="s">
        <v>6073</v>
      </c>
      <c r="M973" t="s">
        <v>6078</v>
      </c>
      <c r="N973" s="61" t="s">
        <v>9052</v>
      </c>
      <c r="O973">
        <v>58370</v>
      </c>
    </row>
    <row r="974" spans="1:15" x14ac:dyDescent="0.2">
      <c r="A974" t="s">
        <v>4651</v>
      </c>
      <c r="B974" s="61" t="s">
        <v>9053</v>
      </c>
      <c r="C974" s="61" t="s">
        <v>34</v>
      </c>
      <c r="F974" t="s">
        <v>4651</v>
      </c>
      <c r="G974" t="s">
        <v>6073</v>
      </c>
      <c r="H974" t="s">
        <v>34</v>
      </c>
      <c r="I974" t="s">
        <v>9054</v>
      </c>
      <c r="L974" t="s">
        <v>9055</v>
      </c>
      <c r="M974" t="s">
        <v>6078</v>
      </c>
      <c r="N974" s="61" t="s">
        <v>6083</v>
      </c>
      <c r="O974">
        <v>57849</v>
      </c>
    </row>
    <row r="975" spans="1:15" x14ac:dyDescent="0.2">
      <c r="A975" t="s">
        <v>4652</v>
      </c>
      <c r="B975" s="61" t="s">
        <v>9056</v>
      </c>
      <c r="C975" s="61" t="s">
        <v>34</v>
      </c>
      <c r="F975" t="s">
        <v>4652</v>
      </c>
      <c r="G975" t="s">
        <v>6073</v>
      </c>
      <c r="H975" t="s">
        <v>34</v>
      </c>
      <c r="I975" t="s">
        <v>34</v>
      </c>
      <c r="L975" t="s">
        <v>9057</v>
      </c>
      <c r="M975" t="s">
        <v>7197</v>
      </c>
      <c r="N975" s="61" t="s">
        <v>9058</v>
      </c>
      <c r="O975">
        <v>57851</v>
      </c>
    </row>
    <row r="976" spans="1:15" x14ac:dyDescent="0.2">
      <c r="A976" t="s">
        <v>4653</v>
      </c>
      <c r="B976" s="61" t="s">
        <v>9059</v>
      </c>
      <c r="C976" s="61" t="s">
        <v>34</v>
      </c>
      <c r="F976" t="s">
        <v>4653</v>
      </c>
      <c r="G976" t="s">
        <v>6073</v>
      </c>
      <c r="H976" t="s">
        <v>34</v>
      </c>
      <c r="I976" t="s">
        <v>9060</v>
      </c>
      <c r="L976" t="s">
        <v>9061</v>
      </c>
      <c r="M976" t="s">
        <v>6686</v>
      </c>
      <c r="N976" s="61" t="s">
        <v>9062</v>
      </c>
      <c r="O976">
        <v>57850</v>
      </c>
    </row>
    <row r="977" spans="1:15" x14ac:dyDescent="0.2">
      <c r="A977" t="s">
        <v>4654</v>
      </c>
      <c r="B977" s="61" t="s">
        <v>9063</v>
      </c>
      <c r="C977" s="61" t="s">
        <v>34</v>
      </c>
      <c r="F977" t="s">
        <v>4654</v>
      </c>
      <c r="G977" t="s">
        <v>6073</v>
      </c>
      <c r="I977" t="s">
        <v>9064</v>
      </c>
      <c r="L977" t="s">
        <v>9065</v>
      </c>
      <c r="M977" t="s">
        <v>6078</v>
      </c>
      <c r="N977" s="61" t="s">
        <v>6128</v>
      </c>
      <c r="O977">
        <v>57848</v>
      </c>
    </row>
    <row r="978" spans="1:15" x14ac:dyDescent="0.2">
      <c r="A978" t="s">
        <v>4655</v>
      </c>
      <c r="B978" s="61" t="s">
        <v>9066</v>
      </c>
      <c r="C978" s="61" t="s">
        <v>34</v>
      </c>
      <c r="F978" t="s">
        <v>4655</v>
      </c>
      <c r="G978" t="s">
        <v>6073</v>
      </c>
      <c r="I978" t="s">
        <v>9067</v>
      </c>
      <c r="L978" t="s">
        <v>9068</v>
      </c>
      <c r="M978" t="s">
        <v>6078</v>
      </c>
      <c r="N978" s="61" t="s">
        <v>9069</v>
      </c>
      <c r="O978">
        <v>57847</v>
      </c>
    </row>
    <row r="979" spans="1:15" x14ac:dyDescent="0.2">
      <c r="A979" t="s">
        <v>4656</v>
      </c>
      <c r="B979" s="61" t="s">
        <v>9070</v>
      </c>
      <c r="C979" s="61" t="s">
        <v>34</v>
      </c>
      <c r="F979" t="s">
        <v>4656</v>
      </c>
      <c r="G979" t="s">
        <v>6073</v>
      </c>
      <c r="H979" t="s">
        <v>34</v>
      </c>
      <c r="I979" t="s">
        <v>34</v>
      </c>
      <c r="L979" t="s">
        <v>9071</v>
      </c>
      <c r="M979" t="s">
        <v>6078</v>
      </c>
      <c r="N979" s="61" t="s">
        <v>6314</v>
      </c>
      <c r="O979">
        <v>57821</v>
      </c>
    </row>
    <row r="980" spans="1:15" x14ac:dyDescent="0.2">
      <c r="A980" t="s">
        <v>4657</v>
      </c>
      <c r="B980" s="61" t="s">
        <v>9072</v>
      </c>
      <c r="C980" s="61" t="s">
        <v>34</v>
      </c>
      <c r="F980" t="s">
        <v>4657</v>
      </c>
      <c r="G980" t="s">
        <v>6073</v>
      </c>
      <c r="J980" t="s">
        <v>7130</v>
      </c>
      <c r="K980" t="s">
        <v>9073</v>
      </c>
      <c r="L980" t="s">
        <v>6539</v>
      </c>
      <c r="M980" t="s">
        <v>6266</v>
      </c>
      <c r="N980" s="61" t="s">
        <v>6540</v>
      </c>
      <c r="O980">
        <v>96717</v>
      </c>
    </row>
    <row r="981" spans="1:15" x14ac:dyDescent="0.2">
      <c r="A981" t="s">
        <v>4658</v>
      </c>
      <c r="B981" s="61" t="s">
        <v>9074</v>
      </c>
      <c r="C981" s="61" t="s">
        <v>34</v>
      </c>
      <c r="F981" t="s">
        <v>4658</v>
      </c>
      <c r="G981" t="s">
        <v>6073</v>
      </c>
      <c r="H981" t="s">
        <v>34</v>
      </c>
      <c r="I981" t="s">
        <v>34</v>
      </c>
      <c r="L981" t="s">
        <v>9037</v>
      </c>
      <c r="M981" t="s">
        <v>6078</v>
      </c>
      <c r="N981" s="61" t="s">
        <v>6083</v>
      </c>
      <c r="O981">
        <v>57819</v>
      </c>
    </row>
    <row r="982" spans="1:15" x14ac:dyDescent="0.2">
      <c r="A982" t="s">
        <v>4659</v>
      </c>
      <c r="B982" s="61" t="s">
        <v>9075</v>
      </c>
      <c r="C982" s="61" t="s">
        <v>34</v>
      </c>
      <c r="F982" t="s">
        <v>9076</v>
      </c>
      <c r="G982" t="s">
        <v>6073</v>
      </c>
      <c r="I982" t="s">
        <v>9077</v>
      </c>
      <c r="L982" t="s">
        <v>9037</v>
      </c>
      <c r="M982" t="s">
        <v>6078</v>
      </c>
      <c r="N982" s="61" t="s">
        <v>6211</v>
      </c>
      <c r="O982">
        <v>57820</v>
      </c>
    </row>
    <row r="983" spans="1:15" x14ac:dyDescent="0.2">
      <c r="A983" t="s">
        <v>4660</v>
      </c>
      <c r="B983" s="61" t="s">
        <v>9078</v>
      </c>
      <c r="C983" s="61" t="s">
        <v>34</v>
      </c>
      <c r="F983" t="s">
        <v>4660</v>
      </c>
      <c r="G983" t="s">
        <v>6073</v>
      </c>
      <c r="I983" t="s">
        <v>9079</v>
      </c>
      <c r="L983" t="s">
        <v>9080</v>
      </c>
      <c r="M983" t="s">
        <v>6266</v>
      </c>
      <c r="N983" s="61" t="s">
        <v>9081</v>
      </c>
      <c r="O983">
        <v>57794</v>
      </c>
    </row>
    <row r="984" spans="1:15" x14ac:dyDescent="0.2">
      <c r="A984" t="s">
        <v>4661</v>
      </c>
      <c r="B984" s="61" t="s">
        <v>9082</v>
      </c>
      <c r="C984" s="61" t="s">
        <v>34</v>
      </c>
      <c r="F984" t="s">
        <v>4661</v>
      </c>
      <c r="G984" t="s">
        <v>6073</v>
      </c>
      <c r="H984" t="s">
        <v>34</v>
      </c>
      <c r="I984" t="s">
        <v>9083</v>
      </c>
      <c r="L984" t="s">
        <v>9084</v>
      </c>
      <c r="M984" t="s">
        <v>7489</v>
      </c>
      <c r="N984" s="61" t="s">
        <v>9085</v>
      </c>
      <c r="O984">
        <v>57792</v>
      </c>
    </row>
    <row r="985" spans="1:15" x14ac:dyDescent="0.2">
      <c r="A985" t="s">
        <v>4662</v>
      </c>
      <c r="B985" s="61" t="s">
        <v>9086</v>
      </c>
      <c r="C985" s="61" t="s">
        <v>34</v>
      </c>
      <c r="F985" t="s">
        <v>4662</v>
      </c>
      <c r="G985" t="s">
        <v>6073</v>
      </c>
      <c r="H985" t="s">
        <v>34</v>
      </c>
      <c r="I985" t="s">
        <v>34</v>
      </c>
      <c r="L985" t="s">
        <v>9087</v>
      </c>
      <c r="M985" t="s">
        <v>6078</v>
      </c>
      <c r="N985" s="61" t="s">
        <v>9088</v>
      </c>
      <c r="O985">
        <v>57791</v>
      </c>
    </row>
    <row r="986" spans="1:15" x14ac:dyDescent="0.2">
      <c r="A986" t="s">
        <v>4663</v>
      </c>
      <c r="B986" s="61" t="s">
        <v>9089</v>
      </c>
      <c r="C986" s="61" t="s">
        <v>34</v>
      </c>
      <c r="F986" t="s">
        <v>4663</v>
      </c>
      <c r="G986" t="s">
        <v>6073</v>
      </c>
      <c r="H986" t="s">
        <v>34</v>
      </c>
      <c r="I986" t="s">
        <v>9090</v>
      </c>
      <c r="L986" t="s">
        <v>9091</v>
      </c>
      <c r="M986" t="s">
        <v>6104</v>
      </c>
      <c r="N986" s="61" t="s">
        <v>9092</v>
      </c>
      <c r="O986">
        <v>57790</v>
      </c>
    </row>
    <row r="987" spans="1:15" x14ac:dyDescent="0.2">
      <c r="A987" t="s">
        <v>4664</v>
      </c>
      <c r="B987" s="61" t="s">
        <v>9093</v>
      </c>
      <c r="C987" s="61" t="s">
        <v>34</v>
      </c>
      <c r="F987" t="s">
        <v>4664</v>
      </c>
      <c r="G987" t="s">
        <v>6073</v>
      </c>
      <c r="H987" t="s">
        <v>34</v>
      </c>
      <c r="I987" t="s">
        <v>34</v>
      </c>
      <c r="L987" t="s">
        <v>34</v>
      </c>
      <c r="M987" t="s">
        <v>6078</v>
      </c>
      <c r="N987" s="61" t="s">
        <v>7215</v>
      </c>
      <c r="O987">
        <v>58369</v>
      </c>
    </row>
    <row r="988" spans="1:15" x14ac:dyDescent="0.2">
      <c r="A988" t="s">
        <v>4665</v>
      </c>
      <c r="B988" s="61" t="s">
        <v>9094</v>
      </c>
      <c r="C988" s="61" t="s">
        <v>34</v>
      </c>
      <c r="F988" t="s">
        <v>4665</v>
      </c>
      <c r="G988" t="s">
        <v>6073</v>
      </c>
      <c r="L988" t="s">
        <v>9095</v>
      </c>
      <c r="M988" t="s">
        <v>6078</v>
      </c>
      <c r="N988" s="61" t="s">
        <v>6299</v>
      </c>
      <c r="O988">
        <v>57789</v>
      </c>
    </row>
    <row r="989" spans="1:15" x14ac:dyDescent="0.2">
      <c r="A989" t="s">
        <v>4666</v>
      </c>
      <c r="B989" s="61" t="s">
        <v>9096</v>
      </c>
      <c r="C989" s="61" t="s">
        <v>34</v>
      </c>
      <c r="F989" t="s">
        <v>4666</v>
      </c>
      <c r="G989" t="s">
        <v>6073</v>
      </c>
      <c r="H989" t="s">
        <v>34</v>
      </c>
      <c r="I989" t="s">
        <v>34</v>
      </c>
      <c r="L989" t="s">
        <v>34</v>
      </c>
      <c r="M989" t="s">
        <v>8277</v>
      </c>
      <c r="N989" s="61" t="s">
        <v>8735</v>
      </c>
      <c r="O989">
        <v>58368</v>
      </c>
    </row>
    <row r="990" spans="1:15" x14ac:dyDescent="0.2">
      <c r="A990" t="s">
        <v>4667</v>
      </c>
      <c r="B990" s="61" t="s">
        <v>9097</v>
      </c>
      <c r="C990" s="61" t="s">
        <v>34</v>
      </c>
      <c r="F990" t="s">
        <v>4667</v>
      </c>
      <c r="G990" t="s">
        <v>6073</v>
      </c>
      <c r="L990" t="s">
        <v>9098</v>
      </c>
      <c r="M990" t="s">
        <v>6078</v>
      </c>
      <c r="N990" s="61" t="s">
        <v>6215</v>
      </c>
      <c r="O990">
        <v>57788</v>
      </c>
    </row>
    <row r="991" spans="1:15" x14ac:dyDescent="0.2">
      <c r="A991" t="s">
        <v>4668</v>
      </c>
      <c r="B991" s="61" t="s">
        <v>9099</v>
      </c>
      <c r="C991" s="61" t="s">
        <v>9100</v>
      </c>
      <c r="F991" t="s">
        <v>4668</v>
      </c>
      <c r="G991" t="s">
        <v>6073</v>
      </c>
      <c r="H991" t="s">
        <v>34</v>
      </c>
      <c r="I991" t="s">
        <v>9101</v>
      </c>
      <c r="L991" t="s">
        <v>9102</v>
      </c>
      <c r="M991" t="s">
        <v>6078</v>
      </c>
      <c r="N991" s="61" t="s">
        <v>6128</v>
      </c>
      <c r="O991">
        <v>57786</v>
      </c>
    </row>
    <row r="992" spans="1:15" x14ac:dyDescent="0.2">
      <c r="A992" t="s">
        <v>4669</v>
      </c>
      <c r="B992" s="61" t="s">
        <v>9103</v>
      </c>
      <c r="C992" s="61" t="s">
        <v>34</v>
      </c>
      <c r="F992" t="s">
        <v>4669</v>
      </c>
      <c r="G992" t="s">
        <v>6073</v>
      </c>
      <c r="I992" t="s">
        <v>9104</v>
      </c>
      <c r="L992" t="s">
        <v>9105</v>
      </c>
      <c r="M992" t="s">
        <v>6078</v>
      </c>
      <c r="N992" s="61" t="s">
        <v>6231</v>
      </c>
      <c r="O992">
        <v>57785</v>
      </c>
    </row>
    <row r="993" spans="1:15" x14ac:dyDescent="0.2">
      <c r="A993" t="s">
        <v>4670</v>
      </c>
      <c r="B993" s="61" t="s">
        <v>9106</v>
      </c>
      <c r="C993" s="61" t="s">
        <v>34</v>
      </c>
      <c r="F993" t="s">
        <v>4670</v>
      </c>
      <c r="G993" t="s">
        <v>6073</v>
      </c>
      <c r="H993" t="s">
        <v>34</v>
      </c>
      <c r="I993" t="s">
        <v>9107</v>
      </c>
      <c r="L993" t="s">
        <v>9108</v>
      </c>
      <c r="M993" t="s">
        <v>6078</v>
      </c>
      <c r="N993" s="61" t="s">
        <v>6314</v>
      </c>
      <c r="O993">
        <v>57787</v>
      </c>
    </row>
    <row r="994" spans="1:15" x14ac:dyDescent="0.2">
      <c r="A994" t="s">
        <v>4671</v>
      </c>
      <c r="B994" s="61" t="s">
        <v>9109</v>
      </c>
      <c r="C994" s="61" t="s">
        <v>34</v>
      </c>
      <c r="F994" t="s">
        <v>4671</v>
      </c>
      <c r="G994" t="s">
        <v>6073</v>
      </c>
      <c r="H994" t="s">
        <v>34</v>
      </c>
      <c r="I994" t="s">
        <v>9110</v>
      </c>
      <c r="L994" t="s">
        <v>9111</v>
      </c>
      <c r="M994" t="s">
        <v>6078</v>
      </c>
      <c r="N994" s="61" t="s">
        <v>9112</v>
      </c>
      <c r="O994">
        <v>57784</v>
      </c>
    </row>
    <row r="995" spans="1:15" x14ac:dyDescent="0.2">
      <c r="A995" t="s">
        <v>4672</v>
      </c>
      <c r="B995" s="61" t="s">
        <v>9113</v>
      </c>
      <c r="C995" s="61" t="s">
        <v>34</v>
      </c>
      <c r="F995" t="s">
        <v>4672</v>
      </c>
      <c r="G995" t="s">
        <v>6073</v>
      </c>
      <c r="H995" t="s">
        <v>34</v>
      </c>
      <c r="I995" t="s">
        <v>9114</v>
      </c>
      <c r="L995" t="s">
        <v>9115</v>
      </c>
      <c r="M995" t="s">
        <v>6078</v>
      </c>
      <c r="N995" s="61" t="s">
        <v>6231</v>
      </c>
      <c r="O995">
        <v>57783</v>
      </c>
    </row>
    <row r="996" spans="1:15" x14ac:dyDescent="0.2">
      <c r="A996" t="s">
        <v>4673</v>
      </c>
      <c r="B996" s="61" t="s">
        <v>9116</v>
      </c>
      <c r="C996" s="61" t="s">
        <v>34</v>
      </c>
      <c r="F996" t="s">
        <v>4673</v>
      </c>
      <c r="G996" t="s">
        <v>6073</v>
      </c>
      <c r="H996" t="s">
        <v>34</v>
      </c>
      <c r="I996" t="s">
        <v>34</v>
      </c>
      <c r="L996" t="s">
        <v>9117</v>
      </c>
      <c r="M996" t="s">
        <v>6078</v>
      </c>
      <c r="N996" s="61" t="s">
        <v>7255</v>
      </c>
      <c r="O996">
        <v>57782</v>
      </c>
    </row>
    <row r="997" spans="1:15" x14ac:dyDescent="0.2">
      <c r="A997" t="s">
        <v>4674</v>
      </c>
      <c r="B997" s="61" t="s">
        <v>9118</v>
      </c>
      <c r="C997" s="61" t="s">
        <v>34</v>
      </c>
      <c r="F997" t="s">
        <v>4674</v>
      </c>
      <c r="G997" t="s">
        <v>6073</v>
      </c>
      <c r="H997" t="s">
        <v>34</v>
      </c>
      <c r="I997" t="s">
        <v>9119</v>
      </c>
      <c r="L997" t="s">
        <v>9120</v>
      </c>
      <c r="M997" t="s">
        <v>6078</v>
      </c>
      <c r="N997" s="61" t="s">
        <v>6386</v>
      </c>
      <c r="O997">
        <v>57781</v>
      </c>
    </row>
    <row r="998" spans="1:15" x14ac:dyDescent="0.2">
      <c r="A998" t="s">
        <v>4675</v>
      </c>
      <c r="B998" s="61" t="s">
        <v>9121</v>
      </c>
      <c r="C998" s="61" t="s">
        <v>34</v>
      </c>
      <c r="F998" t="s">
        <v>4675</v>
      </c>
      <c r="G998" t="s">
        <v>6073</v>
      </c>
      <c r="H998" t="s">
        <v>34</v>
      </c>
      <c r="I998" t="s">
        <v>34</v>
      </c>
      <c r="L998" t="s">
        <v>9122</v>
      </c>
      <c r="M998" t="s">
        <v>6078</v>
      </c>
      <c r="N998" s="61" t="s">
        <v>6525</v>
      </c>
      <c r="O998">
        <v>57780</v>
      </c>
    </row>
    <row r="999" spans="1:15" x14ac:dyDescent="0.2">
      <c r="A999" t="s">
        <v>454</v>
      </c>
      <c r="B999" s="61" t="s">
        <v>9123</v>
      </c>
      <c r="C999" s="61" t="s">
        <v>34</v>
      </c>
      <c r="F999" t="s">
        <v>454</v>
      </c>
      <c r="G999" t="s">
        <v>6073</v>
      </c>
      <c r="I999" t="s">
        <v>9124</v>
      </c>
      <c r="L999" t="s">
        <v>9125</v>
      </c>
      <c r="M999" t="s">
        <v>6078</v>
      </c>
      <c r="N999" s="61" t="s">
        <v>6128</v>
      </c>
      <c r="O999">
        <v>57779</v>
      </c>
    </row>
    <row r="1000" spans="1:15" x14ac:dyDescent="0.2">
      <c r="A1000" t="s">
        <v>4676</v>
      </c>
      <c r="B1000" s="61" t="s">
        <v>9126</v>
      </c>
      <c r="C1000" s="61" t="s">
        <v>34</v>
      </c>
      <c r="F1000" t="s">
        <v>4676</v>
      </c>
      <c r="G1000" t="s">
        <v>6073</v>
      </c>
      <c r="I1000" t="s">
        <v>9127</v>
      </c>
      <c r="L1000" t="s">
        <v>9128</v>
      </c>
      <c r="M1000" t="s">
        <v>6078</v>
      </c>
      <c r="N1000" s="61" t="s">
        <v>6525</v>
      </c>
      <c r="O1000">
        <v>57778</v>
      </c>
    </row>
    <row r="1001" spans="1:15" x14ac:dyDescent="0.2">
      <c r="A1001" t="s">
        <v>4677</v>
      </c>
      <c r="B1001" s="61" t="s">
        <v>9129</v>
      </c>
      <c r="C1001" s="61" t="s">
        <v>34</v>
      </c>
      <c r="F1001" t="s">
        <v>9130</v>
      </c>
      <c r="G1001" t="s">
        <v>6073</v>
      </c>
      <c r="I1001" t="s">
        <v>9131</v>
      </c>
      <c r="J1001" t="s">
        <v>9132</v>
      </c>
      <c r="K1001" t="s">
        <v>9133</v>
      </c>
      <c r="L1001" t="s">
        <v>9134</v>
      </c>
      <c r="M1001" t="s">
        <v>6078</v>
      </c>
      <c r="N1001" s="61" t="s">
        <v>6577</v>
      </c>
      <c r="O1001">
        <v>57777</v>
      </c>
    </row>
    <row r="1002" spans="1:15" x14ac:dyDescent="0.2">
      <c r="A1002" t="s">
        <v>4678</v>
      </c>
      <c r="B1002" s="61" t="s">
        <v>9135</v>
      </c>
      <c r="C1002" s="61" t="s">
        <v>34</v>
      </c>
      <c r="F1002" t="s">
        <v>4678</v>
      </c>
      <c r="G1002" t="s">
        <v>6073</v>
      </c>
      <c r="H1002" t="s">
        <v>34</v>
      </c>
      <c r="I1002" t="s">
        <v>34</v>
      </c>
      <c r="L1002" t="s">
        <v>9136</v>
      </c>
      <c r="M1002" t="s">
        <v>6078</v>
      </c>
      <c r="N1002" s="61" t="s">
        <v>9137</v>
      </c>
      <c r="O1002">
        <v>57776</v>
      </c>
    </row>
    <row r="1003" spans="1:15" x14ac:dyDescent="0.2">
      <c r="A1003" t="s">
        <v>4679</v>
      </c>
      <c r="B1003" s="61" t="s">
        <v>9138</v>
      </c>
      <c r="C1003" s="61" t="s">
        <v>34</v>
      </c>
      <c r="F1003" t="s">
        <v>4679</v>
      </c>
      <c r="G1003" t="s">
        <v>6073</v>
      </c>
      <c r="H1003" t="s">
        <v>34</v>
      </c>
      <c r="I1003" t="s">
        <v>9139</v>
      </c>
      <c r="L1003" t="s">
        <v>9140</v>
      </c>
      <c r="M1003" t="s">
        <v>6240</v>
      </c>
      <c r="N1003" s="61" t="s">
        <v>9141</v>
      </c>
      <c r="O1003">
        <v>57774</v>
      </c>
    </row>
    <row r="1004" spans="1:15" x14ac:dyDescent="0.2">
      <c r="A1004" t="s">
        <v>4680</v>
      </c>
      <c r="B1004" s="61" t="s">
        <v>9142</v>
      </c>
      <c r="C1004" s="61" t="s">
        <v>34</v>
      </c>
      <c r="F1004" t="s">
        <v>4680</v>
      </c>
      <c r="G1004" t="s">
        <v>6073</v>
      </c>
      <c r="L1004" t="s">
        <v>9143</v>
      </c>
      <c r="M1004" t="s">
        <v>6095</v>
      </c>
      <c r="N1004" s="61" t="s">
        <v>9144</v>
      </c>
      <c r="O1004">
        <v>62470</v>
      </c>
    </row>
    <row r="1005" spans="1:15" x14ac:dyDescent="0.2">
      <c r="A1005" t="s">
        <v>4681</v>
      </c>
      <c r="B1005" s="61" t="s">
        <v>9145</v>
      </c>
      <c r="C1005" s="61" t="s">
        <v>34</v>
      </c>
      <c r="F1005" t="s">
        <v>4681</v>
      </c>
      <c r="G1005" t="s">
        <v>6073</v>
      </c>
      <c r="I1005" t="s">
        <v>9146</v>
      </c>
      <c r="L1005" t="s">
        <v>9147</v>
      </c>
      <c r="M1005" t="s">
        <v>6078</v>
      </c>
      <c r="N1005" s="61" t="s">
        <v>6083</v>
      </c>
      <c r="O1005">
        <v>57775</v>
      </c>
    </row>
    <row r="1006" spans="1:15" x14ac:dyDescent="0.2">
      <c r="A1006" t="s">
        <v>4682</v>
      </c>
      <c r="B1006" s="61" t="s">
        <v>9148</v>
      </c>
      <c r="C1006" s="61" t="s">
        <v>34</v>
      </c>
      <c r="F1006" t="s">
        <v>4682</v>
      </c>
      <c r="G1006" t="s">
        <v>6073</v>
      </c>
      <c r="H1006" t="s">
        <v>34</v>
      </c>
      <c r="I1006" t="s">
        <v>9149</v>
      </c>
      <c r="L1006" t="s">
        <v>9150</v>
      </c>
      <c r="M1006" t="s">
        <v>6240</v>
      </c>
      <c r="N1006" s="61" t="s">
        <v>9141</v>
      </c>
      <c r="O1006">
        <v>57773</v>
      </c>
    </row>
    <row r="1007" spans="1:15" x14ac:dyDescent="0.2">
      <c r="A1007" t="s">
        <v>4683</v>
      </c>
      <c r="B1007" s="61" t="s">
        <v>7442</v>
      </c>
      <c r="C1007" s="61" t="s">
        <v>34</v>
      </c>
      <c r="F1007" t="s">
        <v>4683</v>
      </c>
      <c r="G1007" t="s">
        <v>6073</v>
      </c>
      <c r="H1007" t="s">
        <v>34</v>
      </c>
      <c r="I1007" t="s">
        <v>34</v>
      </c>
      <c r="L1007" t="s">
        <v>34</v>
      </c>
      <c r="M1007" t="s">
        <v>6078</v>
      </c>
      <c r="N1007" s="61" t="s">
        <v>6128</v>
      </c>
      <c r="O1007">
        <v>58329</v>
      </c>
    </row>
    <row r="1008" spans="1:15" x14ac:dyDescent="0.2">
      <c r="A1008" t="s">
        <v>4684</v>
      </c>
      <c r="B1008" s="61" t="s">
        <v>9151</v>
      </c>
      <c r="C1008" s="61" t="s">
        <v>34</v>
      </c>
      <c r="F1008" t="s">
        <v>4684</v>
      </c>
      <c r="G1008" t="s">
        <v>6073</v>
      </c>
      <c r="H1008" t="s">
        <v>34</v>
      </c>
      <c r="I1008" t="s">
        <v>34</v>
      </c>
      <c r="L1008" t="s">
        <v>9152</v>
      </c>
      <c r="M1008" t="s">
        <v>6266</v>
      </c>
      <c r="N1008" s="61" t="s">
        <v>9153</v>
      </c>
      <c r="O1008">
        <v>57772</v>
      </c>
    </row>
    <row r="1009" spans="1:15" x14ac:dyDescent="0.2">
      <c r="A1009" t="s">
        <v>4685</v>
      </c>
      <c r="B1009" s="61" t="s">
        <v>9154</v>
      </c>
      <c r="C1009" s="61" t="s">
        <v>34</v>
      </c>
      <c r="F1009" t="s">
        <v>4685</v>
      </c>
      <c r="G1009" t="s">
        <v>6073</v>
      </c>
      <c r="H1009" t="s">
        <v>34</v>
      </c>
      <c r="I1009" t="s">
        <v>9155</v>
      </c>
      <c r="L1009" t="s">
        <v>9156</v>
      </c>
      <c r="M1009" t="s">
        <v>6078</v>
      </c>
      <c r="N1009" s="61" t="s">
        <v>6299</v>
      </c>
      <c r="O1009">
        <v>57795</v>
      </c>
    </row>
    <row r="1010" spans="1:15" x14ac:dyDescent="0.2">
      <c r="A1010" t="s">
        <v>4686</v>
      </c>
      <c r="B1010" s="61" t="s">
        <v>9157</v>
      </c>
      <c r="C1010" s="61" t="s">
        <v>34</v>
      </c>
      <c r="F1010" t="s">
        <v>4686</v>
      </c>
      <c r="G1010" t="s">
        <v>6073</v>
      </c>
      <c r="L1010" t="s">
        <v>9158</v>
      </c>
      <c r="M1010" t="s">
        <v>6078</v>
      </c>
      <c r="N1010" s="61" t="s">
        <v>6584</v>
      </c>
      <c r="O1010">
        <v>88010</v>
      </c>
    </row>
    <row r="1011" spans="1:15" x14ac:dyDescent="0.2">
      <c r="A1011" t="s">
        <v>4687</v>
      </c>
      <c r="B1011" s="61" t="s">
        <v>9162</v>
      </c>
      <c r="C1011" s="61" t="s">
        <v>34</v>
      </c>
      <c r="F1011" t="s">
        <v>4687</v>
      </c>
      <c r="G1011" t="s">
        <v>6073</v>
      </c>
      <c r="H1011" t="s">
        <v>34</v>
      </c>
      <c r="I1011" t="s">
        <v>34</v>
      </c>
      <c r="L1011" t="s">
        <v>34</v>
      </c>
      <c r="M1011" t="s">
        <v>6266</v>
      </c>
      <c r="N1011" s="61" t="s">
        <v>7467</v>
      </c>
      <c r="O1011">
        <v>58366</v>
      </c>
    </row>
    <row r="1012" spans="1:15" x14ac:dyDescent="0.2">
      <c r="A1012" t="s">
        <v>4687</v>
      </c>
      <c r="B1012" s="61" t="s">
        <v>9159</v>
      </c>
      <c r="C1012" s="61" t="s">
        <v>34</v>
      </c>
      <c r="F1012" t="s">
        <v>4687</v>
      </c>
      <c r="G1012" t="s">
        <v>6073</v>
      </c>
      <c r="J1012" t="s">
        <v>9160</v>
      </c>
      <c r="K1012" t="s">
        <v>9161</v>
      </c>
      <c r="M1012" t="s">
        <v>6266</v>
      </c>
      <c r="N1012" s="61" t="s">
        <v>7467</v>
      </c>
      <c r="O1012">
        <v>68836</v>
      </c>
    </row>
    <row r="1013" spans="1:15" x14ac:dyDescent="0.2">
      <c r="A1013" t="s">
        <v>4688</v>
      </c>
      <c r="B1013" s="61" t="s">
        <v>9163</v>
      </c>
      <c r="C1013" s="61" t="s">
        <v>34</v>
      </c>
      <c r="F1013" t="s">
        <v>4688</v>
      </c>
      <c r="G1013" t="s">
        <v>6073</v>
      </c>
      <c r="H1013" t="s">
        <v>34</v>
      </c>
      <c r="I1013" t="s">
        <v>34</v>
      </c>
      <c r="L1013" t="s">
        <v>9164</v>
      </c>
      <c r="M1013" t="s">
        <v>6078</v>
      </c>
      <c r="N1013" s="61" t="s">
        <v>6086</v>
      </c>
      <c r="O1013">
        <v>57818</v>
      </c>
    </row>
    <row r="1014" spans="1:15" x14ac:dyDescent="0.2">
      <c r="A1014" t="s">
        <v>4689</v>
      </c>
      <c r="B1014" s="61" t="s">
        <v>9165</v>
      </c>
      <c r="C1014" s="61" t="s">
        <v>34</v>
      </c>
      <c r="F1014" t="s">
        <v>4689</v>
      </c>
      <c r="G1014" t="s">
        <v>6073</v>
      </c>
      <c r="H1014" t="s">
        <v>34</v>
      </c>
      <c r="I1014" t="s">
        <v>9166</v>
      </c>
      <c r="L1014" t="s">
        <v>9167</v>
      </c>
      <c r="M1014" t="s">
        <v>6078</v>
      </c>
      <c r="N1014" s="61" t="s">
        <v>9168</v>
      </c>
      <c r="O1014">
        <v>57796</v>
      </c>
    </row>
    <row r="1015" spans="1:15" x14ac:dyDescent="0.2">
      <c r="A1015" t="s">
        <v>4690</v>
      </c>
      <c r="B1015" s="61" t="s">
        <v>9169</v>
      </c>
      <c r="C1015" s="61" t="s">
        <v>34</v>
      </c>
      <c r="F1015" t="s">
        <v>4690</v>
      </c>
      <c r="G1015" t="s">
        <v>6073</v>
      </c>
      <c r="I1015" t="s">
        <v>9170</v>
      </c>
      <c r="L1015" t="s">
        <v>9171</v>
      </c>
      <c r="M1015" t="s">
        <v>6078</v>
      </c>
      <c r="N1015" s="61" t="s">
        <v>6128</v>
      </c>
      <c r="O1015">
        <v>57817</v>
      </c>
    </row>
    <row r="1016" spans="1:15" x14ac:dyDescent="0.2">
      <c r="A1016" t="s">
        <v>4691</v>
      </c>
      <c r="B1016" s="61" t="s">
        <v>9172</v>
      </c>
      <c r="C1016" s="61" t="s">
        <v>34</v>
      </c>
      <c r="F1016" t="s">
        <v>4691</v>
      </c>
      <c r="G1016" t="s">
        <v>6073</v>
      </c>
      <c r="H1016" t="s">
        <v>34</v>
      </c>
      <c r="I1016" t="s">
        <v>9173</v>
      </c>
      <c r="L1016" t="s">
        <v>9174</v>
      </c>
      <c r="M1016" t="s">
        <v>6078</v>
      </c>
      <c r="N1016" s="61" t="s">
        <v>6977</v>
      </c>
      <c r="O1016">
        <v>57816</v>
      </c>
    </row>
    <row r="1017" spans="1:15" x14ac:dyDescent="0.2">
      <c r="A1017" t="s">
        <v>4692</v>
      </c>
      <c r="B1017" s="61" t="s">
        <v>9175</v>
      </c>
      <c r="C1017" s="61" t="s">
        <v>34</v>
      </c>
      <c r="F1017" t="s">
        <v>4692</v>
      </c>
      <c r="G1017" t="s">
        <v>6073</v>
      </c>
      <c r="H1017" t="s">
        <v>34</v>
      </c>
      <c r="I1017" t="s">
        <v>34</v>
      </c>
      <c r="L1017" t="s">
        <v>9176</v>
      </c>
      <c r="M1017" t="s">
        <v>6078</v>
      </c>
      <c r="N1017" s="61" t="s">
        <v>6128</v>
      </c>
      <c r="O1017">
        <v>57815</v>
      </c>
    </row>
    <row r="1018" spans="1:15" x14ac:dyDescent="0.2">
      <c r="A1018" t="s">
        <v>4693</v>
      </c>
      <c r="B1018" s="61" t="s">
        <v>9177</v>
      </c>
      <c r="C1018" s="61" t="s">
        <v>34</v>
      </c>
      <c r="F1018" t="s">
        <v>4693</v>
      </c>
      <c r="G1018" t="s">
        <v>6073</v>
      </c>
      <c r="H1018" t="s">
        <v>34</v>
      </c>
      <c r="I1018" t="s">
        <v>9178</v>
      </c>
      <c r="L1018" t="s">
        <v>9179</v>
      </c>
      <c r="M1018" t="s">
        <v>6608</v>
      </c>
      <c r="N1018" s="61" t="s">
        <v>9180</v>
      </c>
      <c r="O1018">
        <v>57814</v>
      </c>
    </row>
    <row r="1019" spans="1:15" x14ac:dyDescent="0.2">
      <c r="A1019" t="s">
        <v>4694</v>
      </c>
      <c r="B1019" s="61" t="s">
        <v>9181</v>
      </c>
      <c r="C1019" s="61" t="s">
        <v>34</v>
      </c>
      <c r="F1019" t="s">
        <v>4694</v>
      </c>
      <c r="G1019" t="s">
        <v>6073</v>
      </c>
      <c r="I1019" t="s">
        <v>9182</v>
      </c>
      <c r="L1019" t="s">
        <v>9183</v>
      </c>
      <c r="M1019" t="s">
        <v>6309</v>
      </c>
      <c r="N1019" s="61" t="s">
        <v>9184</v>
      </c>
      <c r="O1019">
        <v>120639</v>
      </c>
    </row>
    <row r="1020" spans="1:15" x14ac:dyDescent="0.2">
      <c r="A1020" t="s">
        <v>4695</v>
      </c>
      <c r="B1020" s="61" t="s">
        <v>9185</v>
      </c>
      <c r="C1020" s="61" t="s">
        <v>34</v>
      </c>
      <c r="F1020" t="s">
        <v>4695</v>
      </c>
      <c r="G1020" t="s">
        <v>6073</v>
      </c>
      <c r="H1020" t="s">
        <v>34</v>
      </c>
      <c r="I1020" t="s">
        <v>34</v>
      </c>
      <c r="L1020" t="s">
        <v>9186</v>
      </c>
      <c r="M1020" t="s">
        <v>6078</v>
      </c>
      <c r="N1020" s="61" t="s">
        <v>7986</v>
      </c>
      <c r="O1020">
        <v>57813</v>
      </c>
    </row>
    <row r="1021" spans="1:15" x14ac:dyDescent="0.2">
      <c r="A1021" t="s">
        <v>4696</v>
      </c>
      <c r="B1021" s="61" t="s">
        <v>9187</v>
      </c>
      <c r="C1021" s="61" t="s">
        <v>34</v>
      </c>
      <c r="F1021" t="s">
        <v>4696</v>
      </c>
      <c r="G1021" t="s">
        <v>6073</v>
      </c>
      <c r="I1021" t="s">
        <v>9188</v>
      </c>
      <c r="L1021" t="s">
        <v>9189</v>
      </c>
      <c r="M1021" t="s">
        <v>6078</v>
      </c>
      <c r="N1021" s="61" t="s">
        <v>6083</v>
      </c>
      <c r="O1021">
        <v>57812</v>
      </c>
    </row>
    <row r="1022" spans="1:15" x14ac:dyDescent="0.2">
      <c r="A1022" t="s">
        <v>4697</v>
      </c>
      <c r="B1022" s="61" t="s">
        <v>9190</v>
      </c>
      <c r="C1022" s="61" t="s">
        <v>34</v>
      </c>
      <c r="F1022" t="s">
        <v>4697</v>
      </c>
      <c r="G1022" t="s">
        <v>6073</v>
      </c>
      <c r="I1022" t="s">
        <v>9191</v>
      </c>
      <c r="L1022" t="s">
        <v>9192</v>
      </c>
      <c r="M1022" t="s">
        <v>6235</v>
      </c>
      <c r="N1022" s="61" t="s">
        <v>9193</v>
      </c>
      <c r="O1022">
        <v>57811</v>
      </c>
    </row>
    <row r="1023" spans="1:15" x14ac:dyDescent="0.2">
      <c r="A1023" t="s">
        <v>4698</v>
      </c>
      <c r="B1023" s="61" t="s">
        <v>9194</v>
      </c>
      <c r="C1023" s="61" t="s">
        <v>34</v>
      </c>
      <c r="F1023" t="s">
        <v>4698</v>
      </c>
      <c r="G1023" t="s">
        <v>6073</v>
      </c>
      <c r="L1023" t="s">
        <v>9195</v>
      </c>
      <c r="M1023" t="s">
        <v>6168</v>
      </c>
      <c r="N1023" s="61" t="s">
        <v>9196</v>
      </c>
      <c r="O1023">
        <v>57810</v>
      </c>
    </row>
    <row r="1024" spans="1:15" x14ac:dyDescent="0.2">
      <c r="A1024" t="s">
        <v>4699</v>
      </c>
      <c r="B1024" s="61" t="s">
        <v>9197</v>
      </c>
      <c r="C1024" s="61" t="s">
        <v>34</v>
      </c>
      <c r="F1024" t="s">
        <v>4699</v>
      </c>
      <c r="G1024" t="s">
        <v>6073</v>
      </c>
      <c r="H1024" t="s">
        <v>34</v>
      </c>
      <c r="I1024" t="s">
        <v>9198</v>
      </c>
      <c r="L1024" t="s">
        <v>9199</v>
      </c>
      <c r="M1024" t="s">
        <v>7150</v>
      </c>
      <c r="N1024" s="61" t="s">
        <v>9200</v>
      </c>
      <c r="O1024">
        <v>57809</v>
      </c>
    </row>
    <row r="1025" spans="1:15" x14ac:dyDescent="0.2">
      <c r="A1025" t="s">
        <v>4700</v>
      </c>
      <c r="B1025" s="61" t="s">
        <v>9181</v>
      </c>
      <c r="C1025" s="61" t="s">
        <v>34</v>
      </c>
      <c r="F1025" t="s">
        <v>4700</v>
      </c>
      <c r="G1025" t="s">
        <v>6073</v>
      </c>
      <c r="H1025" t="s">
        <v>34</v>
      </c>
      <c r="I1025" t="s">
        <v>9182</v>
      </c>
      <c r="L1025" t="s">
        <v>9183</v>
      </c>
      <c r="M1025" t="s">
        <v>6309</v>
      </c>
      <c r="N1025" s="61" t="s">
        <v>9184</v>
      </c>
      <c r="O1025">
        <v>57808</v>
      </c>
    </row>
    <row r="1026" spans="1:15" x14ac:dyDescent="0.2">
      <c r="A1026" t="s">
        <v>4701</v>
      </c>
      <c r="B1026" s="61" t="s">
        <v>9201</v>
      </c>
      <c r="C1026" s="61" t="s">
        <v>34</v>
      </c>
      <c r="F1026" t="s">
        <v>4701</v>
      </c>
      <c r="G1026" t="s">
        <v>6073</v>
      </c>
      <c r="H1026" t="s">
        <v>34</v>
      </c>
      <c r="I1026" t="s">
        <v>9202</v>
      </c>
      <c r="L1026" t="s">
        <v>9203</v>
      </c>
      <c r="M1026" t="s">
        <v>6309</v>
      </c>
      <c r="N1026" s="61" t="s">
        <v>6893</v>
      </c>
      <c r="O1026">
        <v>57806</v>
      </c>
    </row>
    <row r="1027" spans="1:15" x14ac:dyDescent="0.2">
      <c r="A1027" t="s">
        <v>4702</v>
      </c>
      <c r="B1027" s="61" t="s">
        <v>9204</v>
      </c>
      <c r="C1027" s="61" t="s">
        <v>34</v>
      </c>
      <c r="F1027" t="s">
        <v>4702</v>
      </c>
      <c r="G1027" t="s">
        <v>6073</v>
      </c>
      <c r="H1027" t="s">
        <v>9205</v>
      </c>
      <c r="J1027" t="s">
        <v>9206</v>
      </c>
      <c r="K1027" t="s">
        <v>9207</v>
      </c>
      <c r="L1027" t="s">
        <v>9208</v>
      </c>
      <c r="M1027" t="s">
        <v>6078</v>
      </c>
      <c r="N1027" s="61" t="s">
        <v>6444</v>
      </c>
      <c r="O1027">
        <v>115434</v>
      </c>
    </row>
    <row r="1028" spans="1:15" x14ac:dyDescent="0.2">
      <c r="A1028" t="s">
        <v>4703</v>
      </c>
      <c r="B1028" s="61" t="s">
        <v>9209</v>
      </c>
      <c r="C1028" s="61" t="s">
        <v>34</v>
      </c>
      <c r="F1028" t="s">
        <v>4703</v>
      </c>
      <c r="G1028" t="s">
        <v>6073</v>
      </c>
      <c r="I1028" t="s">
        <v>9210</v>
      </c>
      <c r="L1028" t="s">
        <v>9211</v>
      </c>
      <c r="M1028" t="s">
        <v>6148</v>
      </c>
      <c r="N1028" s="61" t="s">
        <v>9212</v>
      </c>
      <c r="O1028">
        <v>70027</v>
      </c>
    </row>
    <row r="1029" spans="1:15" x14ac:dyDescent="0.2">
      <c r="A1029" t="s">
        <v>4703</v>
      </c>
      <c r="B1029" s="61" t="s">
        <v>9213</v>
      </c>
      <c r="C1029" s="61" t="s">
        <v>34</v>
      </c>
      <c r="F1029" t="s">
        <v>4703</v>
      </c>
      <c r="G1029" t="s">
        <v>6073</v>
      </c>
      <c r="H1029" t="s">
        <v>9214</v>
      </c>
      <c r="I1029" t="s">
        <v>9210</v>
      </c>
      <c r="J1029" t="s">
        <v>9215</v>
      </c>
      <c r="K1029" t="s">
        <v>9216</v>
      </c>
      <c r="L1029" t="s">
        <v>9211</v>
      </c>
      <c r="M1029" t="s">
        <v>6148</v>
      </c>
      <c r="N1029" s="61" t="s">
        <v>9217</v>
      </c>
      <c r="O1029">
        <v>85035</v>
      </c>
    </row>
    <row r="1030" spans="1:15" x14ac:dyDescent="0.2">
      <c r="A1030" t="s">
        <v>4704</v>
      </c>
      <c r="B1030" s="61" t="s">
        <v>9218</v>
      </c>
      <c r="C1030" s="61" t="s">
        <v>34</v>
      </c>
      <c r="F1030" t="s">
        <v>4704</v>
      </c>
      <c r="G1030" t="s">
        <v>6073</v>
      </c>
      <c r="H1030" t="s">
        <v>34</v>
      </c>
      <c r="I1030" t="s">
        <v>9219</v>
      </c>
      <c r="L1030" t="s">
        <v>9220</v>
      </c>
      <c r="M1030" t="s">
        <v>6078</v>
      </c>
      <c r="N1030" s="61" t="s">
        <v>6211</v>
      </c>
      <c r="O1030">
        <v>57805</v>
      </c>
    </row>
    <row r="1031" spans="1:15" x14ac:dyDescent="0.2">
      <c r="A1031" t="s">
        <v>4705</v>
      </c>
      <c r="B1031" s="61" t="s">
        <v>9221</v>
      </c>
      <c r="C1031" s="61" t="s">
        <v>34</v>
      </c>
      <c r="F1031" t="s">
        <v>4705</v>
      </c>
      <c r="G1031" t="s">
        <v>6073</v>
      </c>
      <c r="H1031" t="s">
        <v>34</v>
      </c>
      <c r="I1031" t="s">
        <v>9222</v>
      </c>
      <c r="L1031" t="s">
        <v>9223</v>
      </c>
      <c r="M1031" t="s">
        <v>6078</v>
      </c>
      <c r="N1031" s="61" t="s">
        <v>9224</v>
      </c>
      <c r="O1031">
        <v>57846</v>
      </c>
    </row>
    <row r="1032" spans="1:15" x14ac:dyDescent="0.2">
      <c r="A1032" t="s">
        <v>4706</v>
      </c>
      <c r="B1032" s="61" t="s">
        <v>8997</v>
      </c>
      <c r="C1032" s="61" t="s">
        <v>34</v>
      </c>
      <c r="F1032" t="s">
        <v>4706</v>
      </c>
      <c r="G1032" t="s">
        <v>6073</v>
      </c>
      <c r="J1032" t="s">
        <v>9225</v>
      </c>
      <c r="K1032" t="s">
        <v>9226</v>
      </c>
      <c r="L1032" t="s">
        <v>9227</v>
      </c>
      <c r="M1032" t="s">
        <v>6078</v>
      </c>
      <c r="N1032" s="61" t="s">
        <v>6145</v>
      </c>
      <c r="O1032">
        <v>74247</v>
      </c>
    </row>
    <row r="1033" spans="1:15" x14ac:dyDescent="0.2">
      <c r="A1033" t="s">
        <v>4707</v>
      </c>
      <c r="B1033" s="61" t="s">
        <v>9228</v>
      </c>
      <c r="C1033" s="61" t="s">
        <v>9229</v>
      </c>
      <c r="F1033" t="s">
        <v>4707</v>
      </c>
      <c r="G1033" t="s">
        <v>6073</v>
      </c>
      <c r="H1033" t="s">
        <v>9230</v>
      </c>
      <c r="I1033" t="s">
        <v>9231</v>
      </c>
      <c r="L1033" t="s">
        <v>9232</v>
      </c>
      <c r="M1033" t="s">
        <v>6078</v>
      </c>
      <c r="N1033" s="61" t="s">
        <v>9233</v>
      </c>
      <c r="O1033">
        <v>57867</v>
      </c>
    </row>
    <row r="1034" spans="1:15" x14ac:dyDescent="0.2">
      <c r="A1034" t="s">
        <v>4708</v>
      </c>
      <c r="B1034" s="61" t="s">
        <v>9234</v>
      </c>
      <c r="C1034" s="61" t="s">
        <v>34</v>
      </c>
      <c r="F1034" t="s">
        <v>4708</v>
      </c>
      <c r="G1034" t="s">
        <v>6073</v>
      </c>
      <c r="H1034" t="s">
        <v>34</v>
      </c>
      <c r="I1034" t="s">
        <v>9235</v>
      </c>
      <c r="L1034" t="s">
        <v>9236</v>
      </c>
      <c r="M1034" t="s">
        <v>6078</v>
      </c>
      <c r="N1034" s="61" t="s">
        <v>8633</v>
      </c>
      <c r="O1034">
        <v>57866</v>
      </c>
    </row>
    <row r="1035" spans="1:15" x14ac:dyDescent="0.2">
      <c r="A1035" t="s">
        <v>4709</v>
      </c>
      <c r="B1035" s="61" t="s">
        <v>9237</v>
      </c>
      <c r="C1035" s="61" t="s">
        <v>34</v>
      </c>
      <c r="F1035" t="s">
        <v>4709</v>
      </c>
      <c r="G1035" t="s">
        <v>6073</v>
      </c>
      <c r="H1035" t="s">
        <v>9238</v>
      </c>
      <c r="J1035" t="s">
        <v>9239</v>
      </c>
      <c r="K1035" t="s">
        <v>9240</v>
      </c>
      <c r="L1035" t="s">
        <v>9241</v>
      </c>
      <c r="M1035" t="s">
        <v>6104</v>
      </c>
      <c r="N1035" s="61" t="s">
        <v>9242</v>
      </c>
      <c r="O1035">
        <v>71135</v>
      </c>
    </row>
    <row r="1036" spans="1:15" x14ac:dyDescent="0.2">
      <c r="A1036" t="s">
        <v>4710</v>
      </c>
      <c r="B1036" s="61" t="s">
        <v>9243</v>
      </c>
      <c r="C1036" s="61" t="s">
        <v>34</v>
      </c>
      <c r="F1036" t="s">
        <v>4710</v>
      </c>
      <c r="G1036" t="s">
        <v>6073</v>
      </c>
      <c r="H1036" t="s">
        <v>9244</v>
      </c>
      <c r="J1036" t="s">
        <v>9245</v>
      </c>
      <c r="K1036" t="s">
        <v>9246</v>
      </c>
      <c r="L1036" t="s">
        <v>9247</v>
      </c>
      <c r="M1036" t="s">
        <v>6078</v>
      </c>
      <c r="N1036" s="61" t="s">
        <v>6211</v>
      </c>
      <c r="O1036">
        <v>120613</v>
      </c>
    </row>
    <row r="1037" spans="1:15" x14ac:dyDescent="0.2">
      <c r="A1037" t="s">
        <v>4711</v>
      </c>
      <c r="B1037" s="61" t="s">
        <v>34</v>
      </c>
      <c r="C1037" s="61" t="s">
        <v>34</v>
      </c>
      <c r="F1037" t="s">
        <v>4711</v>
      </c>
      <c r="G1037" t="s">
        <v>6073</v>
      </c>
      <c r="H1037" t="s">
        <v>34</v>
      </c>
      <c r="I1037" t="s">
        <v>34</v>
      </c>
      <c r="L1037" t="s">
        <v>34</v>
      </c>
      <c r="N1037" s="61" t="s">
        <v>3784</v>
      </c>
      <c r="O1037">
        <v>58371</v>
      </c>
    </row>
    <row r="1038" spans="1:15" x14ac:dyDescent="0.2">
      <c r="A1038" t="s">
        <v>4712</v>
      </c>
      <c r="B1038" s="61" t="s">
        <v>9248</v>
      </c>
      <c r="C1038" s="61" t="s">
        <v>34</v>
      </c>
      <c r="F1038" t="s">
        <v>4712</v>
      </c>
      <c r="G1038" t="s">
        <v>6073</v>
      </c>
      <c r="H1038" t="s">
        <v>9249</v>
      </c>
      <c r="J1038" t="s">
        <v>7607</v>
      </c>
      <c r="K1038" t="s">
        <v>6538</v>
      </c>
      <c r="L1038" t="s">
        <v>9250</v>
      </c>
      <c r="M1038" t="s">
        <v>6078</v>
      </c>
      <c r="N1038" s="61" t="s">
        <v>8254</v>
      </c>
      <c r="O1038">
        <v>115311</v>
      </c>
    </row>
    <row r="1039" spans="1:15" x14ac:dyDescent="0.2">
      <c r="A1039" t="s">
        <v>4713</v>
      </c>
      <c r="B1039" s="61" t="s">
        <v>9251</v>
      </c>
      <c r="C1039" s="61" t="s">
        <v>34</v>
      </c>
      <c r="F1039" t="s">
        <v>4713</v>
      </c>
      <c r="G1039" t="s">
        <v>6073</v>
      </c>
      <c r="H1039" t="s">
        <v>9252</v>
      </c>
      <c r="J1039" t="s">
        <v>7607</v>
      </c>
      <c r="K1039" t="s">
        <v>9253</v>
      </c>
      <c r="L1039" t="s">
        <v>9254</v>
      </c>
      <c r="M1039" t="s">
        <v>6078</v>
      </c>
      <c r="N1039" s="61" t="s">
        <v>9255</v>
      </c>
      <c r="O1039">
        <v>117461</v>
      </c>
    </row>
    <row r="1040" spans="1:15" x14ac:dyDescent="0.2">
      <c r="A1040" t="s">
        <v>4714</v>
      </c>
      <c r="B1040" s="61" t="s">
        <v>9256</v>
      </c>
      <c r="C1040" s="61" t="s">
        <v>34</v>
      </c>
      <c r="F1040" t="s">
        <v>9257</v>
      </c>
      <c r="G1040" t="s">
        <v>6073</v>
      </c>
      <c r="H1040" t="s">
        <v>8466</v>
      </c>
      <c r="I1040" t="s">
        <v>8467</v>
      </c>
      <c r="L1040" t="s">
        <v>5530</v>
      </c>
      <c r="M1040" t="s">
        <v>7870</v>
      </c>
      <c r="N1040" s="61" t="s">
        <v>9258</v>
      </c>
      <c r="O1040">
        <v>45435</v>
      </c>
    </row>
    <row r="1041" spans="1:15" x14ac:dyDescent="0.2">
      <c r="A1041" t="s">
        <v>4715</v>
      </c>
      <c r="B1041" s="61" t="s">
        <v>9259</v>
      </c>
      <c r="C1041" s="61" t="s">
        <v>34</v>
      </c>
      <c r="F1041" t="s">
        <v>4715</v>
      </c>
      <c r="G1041" t="s">
        <v>6073</v>
      </c>
      <c r="H1041" t="s">
        <v>9260</v>
      </c>
      <c r="J1041" t="s">
        <v>9261</v>
      </c>
      <c r="K1041" t="s">
        <v>9262</v>
      </c>
      <c r="L1041" t="s">
        <v>9263</v>
      </c>
      <c r="M1041" t="s">
        <v>6078</v>
      </c>
      <c r="N1041" s="61" t="s">
        <v>7547</v>
      </c>
      <c r="O1041">
        <v>115864</v>
      </c>
    </row>
    <row r="1042" spans="1:15" x14ac:dyDescent="0.2">
      <c r="A1042" t="s">
        <v>4716</v>
      </c>
      <c r="B1042" s="61" t="s">
        <v>9264</v>
      </c>
      <c r="C1042" s="61" t="s">
        <v>34</v>
      </c>
      <c r="G1042" t="s">
        <v>6073</v>
      </c>
      <c r="J1042" t="s">
        <v>7267</v>
      </c>
      <c r="K1042" t="s">
        <v>9265</v>
      </c>
      <c r="L1042" t="s">
        <v>9266</v>
      </c>
      <c r="M1042" t="s">
        <v>6078</v>
      </c>
      <c r="N1042" s="61" t="s">
        <v>6122</v>
      </c>
      <c r="O1042">
        <v>120321</v>
      </c>
    </row>
    <row r="1043" spans="1:15" x14ac:dyDescent="0.2">
      <c r="A1043" t="s">
        <v>4717</v>
      </c>
      <c r="B1043" s="61" t="s">
        <v>34</v>
      </c>
      <c r="C1043" s="61" t="s">
        <v>34</v>
      </c>
      <c r="F1043" t="s">
        <v>4717</v>
      </c>
      <c r="G1043" t="s">
        <v>6073</v>
      </c>
      <c r="H1043" t="s">
        <v>34</v>
      </c>
      <c r="I1043" t="s">
        <v>34</v>
      </c>
      <c r="L1043" t="s">
        <v>34</v>
      </c>
      <c r="N1043" s="61" t="s">
        <v>3784</v>
      </c>
      <c r="O1043">
        <v>58367</v>
      </c>
    </row>
    <row r="1044" spans="1:15" x14ac:dyDescent="0.2">
      <c r="A1044" t="s">
        <v>4718</v>
      </c>
      <c r="B1044" s="61" t="s">
        <v>9267</v>
      </c>
      <c r="C1044" s="61" t="s">
        <v>9268</v>
      </c>
      <c r="F1044" t="s">
        <v>4718</v>
      </c>
      <c r="G1044" t="s">
        <v>6073</v>
      </c>
      <c r="L1044" t="s">
        <v>9269</v>
      </c>
      <c r="M1044" t="s">
        <v>6078</v>
      </c>
      <c r="N1044" s="61" t="s">
        <v>6231</v>
      </c>
      <c r="O1044">
        <v>95410</v>
      </c>
    </row>
    <row r="1045" spans="1:15" x14ac:dyDescent="0.2">
      <c r="A1045" t="s">
        <v>4719</v>
      </c>
      <c r="B1045" s="61" t="s">
        <v>9270</v>
      </c>
      <c r="C1045" s="61" t="s">
        <v>34</v>
      </c>
      <c r="F1045" t="s">
        <v>4719</v>
      </c>
      <c r="G1045" t="s">
        <v>6073</v>
      </c>
      <c r="J1045" t="s">
        <v>9271</v>
      </c>
      <c r="K1045" t="s">
        <v>9272</v>
      </c>
      <c r="L1045" t="s">
        <v>9273</v>
      </c>
      <c r="M1045" t="s">
        <v>6078</v>
      </c>
      <c r="N1045" s="61" t="s">
        <v>9274</v>
      </c>
      <c r="O1045">
        <v>98698</v>
      </c>
    </row>
    <row r="1046" spans="1:15" x14ac:dyDescent="0.2">
      <c r="A1046" t="s">
        <v>4720</v>
      </c>
      <c r="B1046" s="61" t="s">
        <v>9275</v>
      </c>
      <c r="C1046" s="61" t="s">
        <v>34</v>
      </c>
      <c r="F1046" t="s">
        <v>4720</v>
      </c>
      <c r="G1046" t="s">
        <v>6073</v>
      </c>
      <c r="H1046" t="s">
        <v>34</v>
      </c>
      <c r="I1046" t="s">
        <v>34</v>
      </c>
      <c r="L1046" t="s">
        <v>9276</v>
      </c>
      <c r="M1046" t="s">
        <v>6095</v>
      </c>
      <c r="N1046" s="61" t="s">
        <v>9277</v>
      </c>
      <c r="O1046">
        <v>57804</v>
      </c>
    </row>
    <row r="1047" spans="1:15" x14ac:dyDescent="0.2">
      <c r="A1047" t="s">
        <v>4721</v>
      </c>
      <c r="B1047" s="61" t="s">
        <v>9278</v>
      </c>
      <c r="C1047" s="61" t="s">
        <v>34</v>
      </c>
      <c r="F1047" t="s">
        <v>4721</v>
      </c>
      <c r="G1047" t="s">
        <v>6073</v>
      </c>
      <c r="H1047" t="s">
        <v>9279</v>
      </c>
      <c r="I1047" t="s">
        <v>9280</v>
      </c>
      <c r="L1047" t="s">
        <v>9281</v>
      </c>
      <c r="M1047" t="s">
        <v>6078</v>
      </c>
      <c r="N1047" s="61" t="s">
        <v>6083</v>
      </c>
      <c r="O1047">
        <v>57803</v>
      </c>
    </row>
    <row r="1048" spans="1:15" x14ac:dyDescent="0.2">
      <c r="A1048" t="s">
        <v>4722</v>
      </c>
      <c r="B1048" s="61" t="s">
        <v>9282</v>
      </c>
      <c r="C1048" s="61" t="s">
        <v>34</v>
      </c>
      <c r="F1048" t="s">
        <v>4722</v>
      </c>
      <c r="G1048" t="s">
        <v>6073</v>
      </c>
      <c r="L1048" t="s">
        <v>9283</v>
      </c>
      <c r="M1048" t="s">
        <v>8474</v>
      </c>
      <c r="N1048" s="61" t="s">
        <v>9284</v>
      </c>
      <c r="O1048">
        <v>117593</v>
      </c>
    </row>
    <row r="1049" spans="1:15" x14ac:dyDescent="0.2">
      <c r="A1049" t="s">
        <v>456</v>
      </c>
      <c r="B1049" s="61" t="s">
        <v>9285</v>
      </c>
      <c r="C1049" s="61" t="s">
        <v>34</v>
      </c>
      <c r="F1049" t="s">
        <v>456</v>
      </c>
      <c r="G1049" t="s">
        <v>6073</v>
      </c>
      <c r="I1049" t="s">
        <v>9286</v>
      </c>
      <c r="L1049" t="s">
        <v>9287</v>
      </c>
      <c r="M1049" t="s">
        <v>6078</v>
      </c>
      <c r="N1049" s="61" t="s">
        <v>6231</v>
      </c>
      <c r="O1049">
        <v>57802</v>
      </c>
    </row>
    <row r="1050" spans="1:15" x14ac:dyDescent="0.2">
      <c r="A1050" t="s">
        <v>4723</v>
      </c>
      <c r="B1050" s="61" t="s">
        <v>9288</v>
      </c>
      <c r="C1050" s="61" t="s">
        <v>34</v>
      </c>
      <c r="F1050" t="s">
        <v>4723</v>
      </c>
      <c r="G1050" t="s">
        <v>6073</v>
      </c>
      <c r="H1050" t="s">
        <v>34</v>
      </c>
      <c r="I1050" t="s">
        <v>34</v>
      </c>
      <c r="L1050" t="s">
        <v>34</v>
      </c>
      <c r="M1050" t="s">
        <v>6908</v>
      </c>
      <c r="N1050" s="61" t="s">
        <v>8594</v>
      </c>
      <c r="O1050">
        <v>57801</v>
      </c>
    </row>
    <row r="1051" spans="1:15" x14ac:dyDescent="0.2">
      <c r="A1051" t="s">
        <v>4724</v>
      </c>
      <c r="B1051" s="61" t="s">
        <v>8595</v>
      </c>
      <c r="C1051" s="61" t="s">
        <v>34</v>
      </c>
      <c r="F1051" t="s">
        <v>4724</v>
      </c>
      <c r="G1051" t="s">
        <v>6073</v>
      </c>
      <c r="H1051" t="s">
        <v>34</v>
      </c>
      <c r="I1051" t="s">
        <v>34</v>
      </c>
      <c r="L1051" t="s">
        <v>34</v>
      </c>
      <c r="M1051" t="s">
        <v>7790</v>
      </c>
      <c r="N1051" s="61" t="s">
        <v>8596</v>
      </c>
      <c r="O1051">
        <v>58387</v>
      </c>
    </row>
    <row r="1052" spans="1:15" x14ac:dyDescent="0.2">
      <c r="A1052" t="s">
        <v>4725</v>
      </c>
      <c r="B1052" s="61" t="s">
        <v>9289</v>
      </c>
      <c r="C1052" s="61" t="s">
        <v>34</v>
      </c>
      <c r="F1052" t="s">
        <v>4725</v>
      </c>
      <c r="G1052" t="s">
        <v>6073</v>
      </c>
      <c r="M1052" t="s">
        <v>6908</v>
      </c>
      <c r="N1052" s="61" t="s">
        <v>8258</v>
      </c>
      <c r="O1052">
        <v>57800</v>
      </c>
    </row>
    <row r="1053" spans="1:15" x14ac:dyDescent="0.2">
      <c r="A1053" t="s">
        <v>4726</v>
      </c>
      <c r="B1053" s="61" t="s">
        <v>9290</v>
      </c>
      <c r="C1053" s="61" t="s">
        <v>34</v>
      </c>
      <c r="F1053" t="s">
        <v>4726</v>
      </c>
      <c r="G1053" t="s">
        <v>6073</v>
      </c>
      <c r="M1053" t="s">
        <v>6908</v>
      </c>
      <c r="N1053" s="61" t="s">
        <v>9291</v>
      </c>
      <c r="O1053">
        <v>61761</v>
      </c>
    </row>
    <row r="1054" spans="1:15" x14ac:dyDescent="0.2">
      <c r="A1054" t="s">
        <v>4726</v>
      </c>
      <c r="B1054" s="61" t="s">
        <v>9290</v>
      </c>
      <c r="C1054" s="61" t="s">
        <v>34</v>
      </c>
      <c r="F1054" t="s">
        <v>4726</v>
      </c>
      <c r="G1054" t="s">
        <v>6073</v>
      </c>
      <c r="N1054" s="61" t="s">
        <v>9292</v>
      </c>
      <c r="O1054">
        <v>58388</v>
      </c>
    </row>
    <row r="1055" spans="1:15" x14ac:dyDescent="0.2">
      <c r="A1055" t="s">
        <v>4727</v>
      </c>
      <c r="B1055" s="61" t="s">
        <v>9293</v>
      </c>
      <c r="C1055" s="61" t="s">
        <v>34</v>
      </c>
      <c r="F1055" t="s">
        <v>4727</v>
      </c>
      <c r="G1055" t="s">
        <v>6073</v>
      </c>
      <c r="H1055" t="s">
        <v>34</v>
      </c>
      <c r="I1055" t="s">
        <v>9294</v>
      </c>
      <c r="L1055" t="s">
        <v>9295</v>
      </c>
      <c r="M1055" t="s">
        <v>6078</v>
      </c>
      <c r="N1055" s="61" t="s">
        <v>8559</v>
      </c>
      <c r="O1055">
        <v>57798</v>
      </c>
    </row>
    <row r="1056" spans="1:15" x14ac:dyDescent="0.2">
      <c r="A1056" t="s">
        <v>4728</v>
      </c>
      <c r="B1056" s="61" t="s">
        <v>9296</v>
      </c>
      <c r="C1056" s="61" t="s">
        <v>34</v>
      </c>
      <c r="F1056" t="s">
        <v>4728</v>
      </c>
      <c r="G1056" t="s">
        <v>6073</v>
      </c>
      <c r="L1056" t="s">
        <v>9297</v>
      </c>
      <c r="M1056" t="s">
        <v>6078</v>
      </c>
      <c r="N1056" s="61" t="s">
        <v>9137</v>
      </c>
      <c r="O1056">
        <v>114895</v>
      </c>
    </row>
    <row r="1057" spans="1:15" x14ac:dyDescent="0.2">
      <c r="A1057" t="s">
        <v>4729</v>
      </c>
      <c r="B1057" s="61" t="s">
        <v>9298</v>
      </c>
      <c r="C1057" s="61" t="s">
        <v>34</v>
      </c>
      <c r="F1057" t="s">
        <v>4729</v>
      </c>
      <c r="G1057" t="s">
        <v>6073</v>
      </c>
      <c r="H1057" t="s">
        <v>34</v>
      </c>
      <c r="I1057" t="s">
        <v>34</v>
      </c>
      <c r="L1057" t="s">
        <v>9299</v>
      </c>
      <c r="M1057" t="s">
        <v>6635</v>
      </c>
      <c r="N1057" s="61" t="s">
        <v>7457</v>
      </c>
      <c r="O1057">
        <v>57797</v>
      </c>
    </row>
    <row r="1058" spans="1:15" x14ac:dyDescent="0.2">
      <c r="A1058" t="s">
        <v>4730</v>
      </c>
      <c r="B1058" s="61" t="s">
        <v>34</v>
      </c>
      <c r="C1058" s="61" t="s">
        <v>34</v>
      </c>
      <c r="F1058" t="s">
        <v>4730</v>
      </c>
      <c r="G1058" t="s">
        <v>6073</v>
      </c>
      <c r="H1058" t="s">
        <v>34</v>
      </c>
      <c r="I1058" t="s">
        <v>34</v>
      </c>
      <c r="L1058" t="s">
        <v>34</v>
      </c>
      <c r="N1058" s="61" t="s">
        <v>3784</v>
      </c>
      <c r="O1058">
        <v>58346</v>
      </c>
    </row>
    <row r="1059" spans="1:15" x14ac:dyDescent="0.2">
      <c r="A1059" t="s">
        <v>4731</v>
      </c>
      <c r="B1059" s="61" t="s">
        <v>9300</v>
      </c>
      <c r="C1059" s="61" t="s">
        <v>34</v>
      </c>
      <c r="F1059" t="s">
        <v>4731</v>
      </c>
      <c r="G1059" t="s">
        <v>6073</v>
      </c>
      <c r="I1059" t="s">
        <v>9301</v>
      </c>
      <c r="L1059" t="s">
        <v>9302</v>
      </c>
      <c r="M1059" t="s">
        <v>6078</v>
      </c>
      <c r="N1059" s="61" t="s">
        <v>6231</v>
      </c>
      <c r="O1059">
        <v>57857</v>
      </c>
    </row>
    <row r="1060" spans="1:15" x14ac:dyDescent="0.2">
      <c r="A1060" t="s">
        <v>4732</v>
      </c>
      <c r="B1060" s="61" t="s">
        <v>9303</v>
      </c>
      <c r="C1060" s="61" t="s">
        <v>34</v>
      </c>
      <c r="F1060" t="s">
        <v>4732</v>
      </c>
      <c r="G1060" t="s">
        <v>6073</v>
      </c>
      <c r="H1060" t="s">
        <v>34</v>
      </c>
      <c r="I1060" t="s">
        <v>34</v>
      </c>
      <c r="L1060" t="s">
        <v>9304</v>
      </c>
      <c r="M1060" t="s">
        <v>6078</v>
      </c>
      <c r="N1060" s="61" t="s">
        <v>6322</v>
      </c>
      <c r="O1060">
        <v>57870</v>
      </c>
    </row>
    <row r="1061" spans="1:15" x14ac:dyDescent="0.2">
      <c r="A1061" t="s">
        <v>4733</v>
      </c>
      <c r="B1061" s="61" t="s">
        <v>9305</v>
      </c>
      <c r="C1061" s="61" t="s">
        <v>34</v>
      </c>
      <c r="F1061" t="s">
        <v>4733</v>
      </c>
      <c r="G1061" t="s">
        <v>6073</v>
      </c>
      <c r="H1061" t="s">
        <v>34</v>
      </c>
      <c r="I1061" t="s">
        <v>34</v>
      </c>
      <c r="L1061" t="s">
        <v>34</v>
      </c>
      <c r="M1061" t="s">
        <v>6635</v>
      </c>
      <c r="N1061" s="61" t="s">
        <v>9306</v>
      </c>
      <c r="O1061">
        <v>58389</v>
      </c>
    </row>
    <row r="1062" spans="1:15" x14ac:dyDescent="0.2">
      <c r="A1062" t="s">
        <v>4734</v>
      </c>
      <c r="B1062" s="61" t="s">
        <v>9307</v>
      </c>
      <c r="C1062" s="61" t="s">
        <v>34</v>
      </c>
      <c r="F1062" t="s">
        <v>4734</v>
      </c>
      <c r="G1062" t="s">
        <v>6073</v>
      </c>
      <c r="I1062" t="s">
        <v>9308</v>
      </c>
      <c r="L1062" t="s">
        <v>9309</v>
      </c>
      <c r="M1062" t="s">
        <v>6635</v>
      </c>
      <c r="N1062" s="61" t="s">
        <v>9310</v>
      </c>
      <c r="O1062">
        <v>57871</v>
      </c>
    </row>
    <row r="1063" spans="1:15" x14ac:dyDescent="0.2">
      <c r="A1063" t="s">
        <v>4735</v>
      </c>
      <c r="B1063" s="61" t="s">
        <v>9311</v>
      </c>
      <c r="C1063" s="61" t="s">
        <v>34</v>
      </c>
      <c r="F1063" t="s">
        <v>9312</v>
      </c>
      <c r="G1063" t="s">
        <v>6073</v>
      </c>
      <c r="I1063" t="s">
        <v>9313</v>
      </c>
      <c r="L1063" t="s">
        <v>9314</v>
      </c>
      <c r="M1063" t="s">
        <v>6078</v>
      </c>
      <c r="N1063" s="61" t="s">
        <v>7516</v>
      </c>
      <c r="O1063">
        <v>57942</v>
      </c>
    </row>
    <row r="1064" spans="1:15" x14ac:dyDescent="0.2">
      <c r="A1064" t="s">
        <v>4736</v>
      </c>
      <c r="B1064" s="61" t="s">
        <v>9315</v>
      </c>
      <c r="C1064" s="61" t="s">
        <v>34</v>
      </c>
      <c r="F1064" t="s">
        <v>4736</v>
      </c>
      <c r="G1064" t="s">
        <v>6073</v>
      </c>
      <c r="L1064" t="s">
        <v>9316</v>
      </c>
      <c r="M1064" t="s">
        <v>6078</v>
      </c>
      <c r="N1064" s="61" t="s">
        <v>8083</v>
      </c>
      <c r="O1064">
        <v>57941</v>
      </c>
    </row>
    <row r="1065" spans="1:15" x14ac:dyDescent="0.2">
      <c r="A1065" t="s">
        <v>4737</v>
      </c>
      <c r="B1065" s="61" t="s">
        <v>9317</v>
      </c>
      <c r="C1065" s="61" t="s">
        <v>34</v>
      </c>
      <c r="F1065" t="s">
        <v>4737</v>
      </c>
      <c r="G1065" t="s">
        <v>6073</v>
      </c>
      <c r="H1065" t="s">
        <v>34</v>
      </c>
      <c r="I1065" t="s">
        <v>34</v>
      </c>
      <c r="L1065" t="s">
        <v>9318</v>
      </c>
      <c r="M1065" t="s">
        <v>6078</v>
      </c>
      <c r="N1065" s="61" t="s">
        <v>6231</v>
      </c>
      <c r="O1065">
        <v>57940</v>
      </c>
    </row>
    <row r="1066" spans="1:15" x14ac:dyDescent="0.2">
      <c r="A1066" t="s">
        <v>4738</v>
      </c>
      <c r="B1066" s="61" t="s">
        <v>9319</v>
      </c>
      <c r="C1066" s="61" t="s">
        <v>34</v>
      </c>
      <c r="F1066" t="s">
        <v>4738</v>
      </c>
      <c r="G1066" t="s">
        <v>6073</v>
      </c>
      <c r="L1066" t="s">
        <v>9320</v>
      </c>
      <c r="M1066" t="s">
        <v>6078</v>
      </c>
      <c r="N1066" s="61" t="s">
        <v>9321</v>
      </c>
      <c r="O1066">
        <v>108415</v>
      </c>
    </row>
    <row r="1067" spans="1:15" x14ac:dyDescent="0.2">
      <c r="A1067" t="s">
        <v>4739</v>
      </c>
      <c r="B1067" s="61" t="s">
        <v>9322</v>
      </c>
      <c r="C1067" s="61" t="s">
        <v>34</v>
      </c>
      <c r="F1067" t="s">
        <v>4739</v>
      </c>
      <c r="G1067" t="s">
        <v>6073</v>
      </c>
      <c r="H1067" t="s">
        <v>34</v>
      </c>
      <c r="I1067" t="s">
        <v>9323</v>
      </c>
      <c r="L1067" t="s">
        <v>9324</v>
      </c>
      <c r="M1067" t="s">
        <v>6078</v>
      </c>
      <c r="N1067" s="61" t="s">
        <v>6122</v>
      </c>
      <c r="O1067">
        <v>57939</v>
      </c>
    </row>
    <row r="1068" spans="1:15" x14ac:dyDescent="0.2">
      <c r="A1068" t="s">
        <v>4740</v>
      </c>
      <c r="B1068" s="61" t="s">
        <v>9325</v>
      </c>
      <c r="C1068" s="61" t="s">
        <v>34</v>
      </c>
      <c r="F1068" t="s">
        <v>4740</v>
      </c>
      <c r="G1068" t="s">
        <v>6073</v>
      </c>
      <c r="M1068" t="s">
        <v>6078</v>
      </c>
      <c r="N1068" s="61" t="s">
        <v>6083</v>
      </c>
      <c r="O1068">
        <v>57528</v>
      </c>
    </row>
    <row r="1069" spans="1:15" x14ac:dyDescent="0.2">
      <c r="A1069" t="s">
        <v>4741</v>
      </c>
      <c r="B1069" s="61" t="s">
        <v>9326</v>
      </c>
      <c r="C1069" s="61" t="s">
        <v>34</v>
      </c>
      <c r="F1069" t="s">
        <v>4741</v>
      </c>
      <c r="G1069" t="s">
        <v>6073</v>
      </c>
      <c r="H1069" t="s">
        <v>34</v>
      </c>
      <c r="I1069" t="s">
        <v>9327</v>
      </c>
      <c r="L1069" t="s">
        <v>9328</v>
      </c>
      <c r="M1069" t="s">
        <v>6686</v>
      </c>
      <c r="N1069" s="61" t="s">
        <v>9329</v>
      </c>
      <c r="O1069">
        <v>57938</v>
      </c>
    </row>
    <row r="1070" spans="1:15" x14ac:dyDescent="0.2">
      <c r="A1070" t="s">
        <v>4742</v>
      </c>
      <c r="B1070" s="61" t="s">
        <v>9330</v>
      </c>
      <c r="C1070" s="61" t="s">
        <v>34</v>
      </c>
      <c r="F1070" t="s">
        <v>4742</v>
      </c>
      <c r="G1070" t="s">
        <v>6073</v>
      </c>
      <c r="H1070" t="s">
        <v>34</v>
      </c>
      <c r="I1070" t="s">
        <v>9331</v>
      </c>
      <c r="L1070" t="s">
        <v>9332</v>
      </c>
      <c r="M1070" t="s">
        <v>6104</v>
      </c>
      <c r="N1070" s="61" t="s">
        <v>9333</v>
      </c>
      <c r="O1070">
        <v>57936</v>
      </c>
    </row>
    <row r="1071" spans="1:15" x14ac:dyDescent="0.2">
      <c r="A1071" t="s">
        <v>4743</v>
      </c>
      <c r="B1071" s="61" t="s">
        <v>9334</v>
      </c>
      <c r="C1071" s="61" t="s">
        <v>34</v>
      </c>
      <c r="F1071" t="s">
        <v>4743</v>
      </c>
      <c r="G1071" t="s">
        <v>6073</v>
      </c>
      <c r="H1071" t="s">
        <v>34</v>
      </c>
      <c r="I1071" t="s">
        <v>34</v>
      </c>
      <c r="L1071" t="s">
        <v>34</v>
      </c>
      <c r="M1071" t="s">
        <v>6078</v>
      </c>
      <c r="N1071" s="61" t="s">
        <v>6577</v>
      </c>
      <c r="O1071">
        <v>57935</v>
      </c>
    </row>
    <row r="1072" spans="1:15" x14ac:dyDescent="0.2">
      <c r="A1072" t="s">
        <v>4744</v>
      </c>
      <c r="B1072" s="61" t="s">
        <v>9335</v>
      </c>
      <c r="C1072" s="61" t="s">
        <v>34</v>
      </c>
      <c r="F1072" t="s">
        <v>4744</v>
      </c>
      <c r="G1072" t="s">
        <v>6073</v>
      </c>
      <c r="H1072" t="s">
        <v>34</v>
      </c>
      <c r="I1072" t="s">
        <v>34</v>
      </c>
      <c r="L1072" t="s">
        <v>9336</v>
      </c>
      <c r="M1072" t="s">
        <v>6078</v>
      </c>
      <c r="N1072" s="61" t="s">
        <v>6386</v>
      </c>
      <c r="O1072">
        <v>57937</v>
      </c>
    </row>
    <row r="1073" spans="1:15" x14ac:dyDescent="0.2">
      <c r="A1073" t="s">
        <v>4745</v>
      </c>
      <c r="B1073" s="61" t="s">
        <v>9337</v>
      </c>
      <c r="C1073" s="61" t="s">
        <v>34</v>
      </c>
      <c r="F1073" t="s">
        <v>4745</v>
      </c>
      <c r="G1073" t="s">
        <v>6073</v>
      </c>
      <c r="H1073" t="s">
        <v>9338</v>
      </c>
      <c r="J1073" t="s">
        <v>9339</v>
      </c>
      <c r="K1073" t="s">
        <v>9340</v>
      </c>
      <c r="L1073" t="s">
        <v>9341</v>
      </c>
      <c r="M1073" t="s">
        <v>6078</v>
      </c>
      <c r="N1073" s="61" t="s">
        <v>6231</v>
      </c>
      <c r="O1073">
        <v>57934</v>
      </c>
    </row>
    <row r="1074" spans="1:15" x14ac:dyDescent="0.2">
      <c r="A1074" t="s">
        <v>4745</v>
      </c>
      <c r="B1074" s="61" t="s">
        <v>9337</v>
      </c>
      <c r="C1074" s="61" t="s">
        <v>34</v>
      </c>
      <c r="F1074" t="s">
        <v>4745</v>
      </c>
      <c r="G1074" t="s">
        <v>6073</v>
      </c>
      <c r="H1074" t="s">
        <v>9342</v>
      </c>
      <c r="J1074" t="s">
        <v>9339</v>
      </c>
      <c r="K1074" t="s">
        <v>9340</v>
      </c>
      <c r="L1074" t="s">
        <v>9341</v>
      </c>
      <c r="M1074" t="s">
        <v>6078</v>
      </c>
      <c r="N1074" s="61" t="s">
        <v>6231</v>
      </c>
      <c r="O1074">
        <v>65182</v>
      </c>
    </row>
    <row r="1075" spans="1:15" x14ac:dyDescent="0.2">
      <c r="A1075" t="s">
        <v>4746</v>
      </c>
      <c r="B1075" s="61" t="s">
        <v>9343</v>
      </c>
      <c r="C1075" s="61" t="s">
        <v>34</v>
      </c>
      <c r="F1075" t="s">
        <v>4746</v>
      </c>
      <c r="G1075" t="s">
        <v>6073</v>
      </c>
      <c r="H1075" t="s">
        <v>9344</v>
      </c>
      <c r="J1075" t="s">
        <v>9345</v>
      </c>
      <c r="K1075" t="s">
        <v>9346</v>
      </c>
      <c r="L1075" t="s">
        <v>9347</v>
      </c>
      <c r="M1075" t="s">
        <v>6078</v>
      </c>
      <c r="N1075" s="61" t="s">
        <v>6231</v>
      </c>
      <c r="O1075">
        <v>84631</v>
      </c>
    </row>
    <row r="1076" spans="1:15" x14ac:dyDescent="0.2">
      <c r="A1076" t="s">
        <v>4747</v>
      </c>
      <c r="B1076" s="61" t="s">
        <v>9348</v>
      </c>
      <c r="C1076" s="61" t="s">
        <v>34</v>
      </c>
      <c r="F1076" t="s">
        <v>4747</v>
      </c>
      <c r="G1076" t="s">
        <v>6073</v>
      </c>
      <c r="H1076" t="s">
        <v>9349</v>
      </c>
      <c r="L1076" t="s">
        <v>9350</v>
      </c>
      <c r="M1076" t="s">
        <v>6078</v>
      </c>
      <c r="N1076" s="61" t="s">
        <v>6145</v>
      </c>
      <c r="O1076">
        <v>57933</v>
      </c>
    </row>
    <row r="1077" spans="1:15" x14ac:dyDescent="0.2">
      <c r="A1077" t="s">
        <v>462</v>
      </c>
      <c r="B1077" s="61" t="s">
        <v>8259</v>
      </c>
      <c r="C1077" s="61" t="s">
        <v>34</v>
      </c>
      <c r="F1077" t="s">
        <v>462</v>
      </c>
      <c r="G1077" t="s">
        <v>6073</v>
      </c>
      <c r="I1077" t="s">
        <v>9351</v>
      </c>
      <c r="L1077" t="s">
        <v>9352</v>
      </c>
      <c r="M1077" t="s">
        <v>6078</v>
      </c>
      <c r="N1077" s="61" t="s">
        <v>9353</v>
      </c>
      <c r="O1077">
        <v>57932</v>
      </c>
    </row>
    <row r="1078" spans="1:15" x14ac:dyDescent="0.2">
      <c r="A1078" t="s">
        <v>3251</v>
      </c>
      <c r="B1078" s="61" t="s">
        <v>9354</v>
      </c>
      <c r="C1078" s="61" t="s">
        <v>34</v>
      </c>
      <c r="F1078" t="s">
        <v>3251</v>
      </c>
      <c r="G1078" t="s">
        <v>6073</v>
      </c>
      <c r="I1078" t="s">
        <v>9355</v>
      </c>
      <c r="L1078" t="s">
        <v>9356</v>
      </c>
      <c r="M1078" t="s">
        <v>6078</v>
      </c>
      <c r="N1078" s="61" t="s">
        <v>9274</v>
      </c>
      <c r="O1078">
        <v>57931</v>
      </c>
    </row>
    <row r="1079" spans="1:15" x14ac:dyDescent="0.2">
      <c r="A1079" t="s">
        <v>4748</v>
      </c>
      <c r="B1079" s="61" t="s">
        <v>8259</v>
      </c>
      <c r="C1079" s="61" t="s">
        <v>34</v>
      </c>
      <c r="F1079" t="s">
        <v>4748</v>
      </c>
      <c r="G1079" t="s">
        <v>6073</v>
      </c>
      <c r="M1079" t="s">
        <v>6078</v>
      </c>
      <c r="N1079" s="61" t="s">
        <v>9357</v>
      </c>
      <c r="O1079">
        <v>58391</v>
      </c>
    </row>
    <row r="1080" spans="1:15" x14ac:dyDescent="0.2">
      <c r="A1080" t="s">
        <v>4749</v>
      </c>
      <c r="B1080" s="61" t="s">
        <v>9358</v>
      </c>
      <c r="C1080" s="61" t="s">
        <v>34</v>
      </c>
      <c r="F1080" t="s">
        <v>4749</v>
      </c>
      <c r="G1080" t="s">
        <v>6073</v>
      </c>
      <c r="H1080" t="s">
        <v>34</v>
      </c>
      <c r="I1080" t="s">
        <v>34</v>
      </c>
      <c r="L1080" t="s">
        <v>9359</v>
      </c>
      <c r="M1080" t="s">
        <v>6078</v>
      </c>
      <c r="N1080" s="61" t="s">
        <v>9353</v>
      </c>
      <c r="O1080">
        <v>57930</v>
      </c>
    </row>
    <row r="1081" spans="1:15" x14ac:dyDescent="0.2">
      <c r="A1081" t="s">
        <v>4750</v>
      </c>
      <c r="B1081" s="61" t="s">
        <v>9360</v>
      </c>
      <c r="C1081" s="61" t="s">
        <v>34</v>
      </c>
      <c r="F1081" t="s">
        <v>4750</v>
      </c>
      <c r="G1081" t="s">
        <v>6073</v>
      </c>
      <c r="J1081" t="s">
        <v>9361</v>
      </c>
      <c r="K1081" t="s">
        <v>9346</v>
      </c>
      <c r="L1081" t="s">
        <v>9362</v>
      </c>
      <c r="M1081" t="s">
        <v>6078</v>
      </c>
      <c r="N1081" s="61" t="s">
        <v>6231</v>
      </c>
      <c r="O1081">
        <v>89058</v>
      </c>
    </row>
    <row r="1082" spans="1:15" x14ac:dyDescent="0.2">
      <c r="A1082" t="s">
        <v>4751</v>
      </c>
      <c r="B1082" s="61" t="s">
        <v>9363</v>
      </c>
      <c r="C1082" s="61" t="s">
        <v>34</v>
      </c>
      <c r="F1082" t="s">
        <v>4751</v>
      </c>
      <c r="G1082" t="s">
        <v>6073</v>
      </c>
      <c r="H1082" t="s">
        <v>34</v>
      </c>
      <c r="I1082" t="s">
        <v>34</v>
      </c>
      <c r="L1082" t="s">
        <v>9364</v>
      </c>
      <c r="M1082" t="s">
        <v>6078</v>
      </c>
      <c r="N1082" s="61" t="s">
        <v>9353</v>
      </c>
      <c r="O1082">
        <v>57929</v>
      </c>
    </row>
    <row r="1083" spans="1:15" x14ac:dyDescent="0.2">
      <c r="A1083" t="s">
        <v>4752</v>
      </c>
      <c r="B1083" s="61" t="s">
        <v>34</v>
      </c>
      <c r="C1083" s="61" t="s">
        <v>34</v>
      </c>
      <c r="F1083" t="s">
        <v>4752</v>
      </c>
      <c r="G1083" t="s">
        <v>6073</v>
      </c>
      <c r="H1083" t="s">
        <v>34</v>
      </c>
      <c r="I1083" t="s">
        <v>34</v>
      </c>
      <c r="L1083" t="s">
        <v>9365</v>
      </c>
      <c r="N1083" s="61" t="s">
        <v>3784</v>
      </c>
      <c r="O1083">
        <v>57928</v>
      </c>
    </row>
    <row r="1084" spans="1:15" x14ac:dyDescent="0.2">
      <c r="A1084" t="s">
        <v>4753</v>
      </c>
      <c r="B1084" s="61" t="s">
        <v>9366</v>
      </c>
      <c r="C1084" s="61" t="s">
        <v>9367</v>
      </c>
      <c r="F1084" t="s">
        <v>4753</v>
      </c>
      <c r="G1084" t="s">
        <v>6073</v>
      </c>
      <c r="H1084" t="s">
        <v>9368</v>
      </c>
      <c r="J1084" t="s">
        <v>9369</v>
      </c>
      <c r="K1084" t="s">
        <v>9370</v>
      </c>
      <c r="L1084" t="s">
        <v>9371</v>
      </c>
      <c r="M1084" t="s">
        <v>6078</v>
      </c>
      <c r="N1084" s="61" t="s">
        <v>6145</v>
      </c>
      <c r="O1084">
        <v>66118</v>
      </c>
    </row>
    <row r="1085" spans="1:15" x14ac:dyDescent="0.2">
      <c r="A1085" t="s">
        <v>4754</v>
      </c>
      <c r="B1085" s="61" t="s">
        <v>9372</v>
      </c>
      <c r="C1085" s="61" t="s">
        <v>34</v>
      </c>
      <c r="F1085" t="s">
        <v>4754</v>
      </c>
      <c r="G1085" t="s">
        <v>6073</v>
      </c>
      <c r="H1085" t="s">
        <v>34</v>
      </c>
      <c r="I1085" t="s">
        <v>34</v>
      </c>
      <c r="L1085" t="s">
        <v>9373</v>
      </c>
      <c r="M1085" t="s">
        <v>6104</v>
      </c>
      <c r="N1085" s="61" t="s">
        <v>9374</v>
      </c>
      <c r="O1085">
        <v>57927</v>
      </c>
    </row>
    <row r="1086" spans="1:15" x14ac:dyDescent="0.2">
      <c r="A1086" t="s">
        <v>4755</v>
      </c>
      <c r="B1086" s="61" t="s">
        <v>9375</v>
      </c>
      <c r="C1086" s="61" t="s">
        <v>34</v>
      </c>
      <c r="F1086" t="s">
        <v>4755</v>
      </c>
      <c r="G1086" t="s">
        <v>6073</v>
      </c>
      <c r="I1086" t="s">
        <v>9376</v>
      </c>
      <c r="L1086" t="s">
        <v>9377</v>
      </c>
      <c r="M1086" t="s">
        <v>6104</v>
      </c>
      <c r="N1086" s="61" t="s">
        <v>9378</v>
      </c>
      <c r="O1086">
        <v>57926</v>
      </c>
    </row>
    <row r="1087" spans="1:15" x14ac:dyDescent="0.2">
      <c r="A1087" t="s">
        <v>4756</v>
      </c>
      <c r="B1087" s="61" t="s">
        <v>9379</v>
      </c>
      <c r="C1087" s="61" t="s">
        <v>34</v>
      </c>
      <c r="F1087" t="s">
        <v>4756</v>
      </c>
      <c r="G1087" t="s">
        <v>6073</v>
      </c>
      <c r="H1087" t="s">
        <v>34</v>
      </c>
      <c r="I1087" t="s">
        <v>9380</v>
      </c>
      <c r="L1087" t="s">
        <v>9381</v>
      </c>
      <c r="M1087" t="s">
        <v>7683</v>
      </c>
      <c r="N1087" s="61" t="s">
        <v>9382</v>
      </c>
      <c r="O1087">
        <v>57925</v>
      </c>
    </row>
    <row r="1088" spans="1:15" x14ac:dyDescent="0.2">
      <c r="A1088" t="s">
        <v>4757</v>
      </c>
      <c r="B1088" s="61" t="s">
        <v>9383</v>
      </c>
      <c r="C1088" s="61" t="s">
        <v>34</v>
      </c>
      <c r="F1088" t="s">
        <v>4757</v>
      </c>
      <c r="G1088" t="s">
        <v>6073</v>
      </c>
      <c r="L1088" t="s">
        <v>9384</v>
      </c>
      <c r="M1088" t="s">
        <v>6095</v>
      </c>
      <c r="N1088" s="61" t="s">
        <v>9385</v>
      </c>
      <c r="O1088">
        <v>57924</v>
      </c>
    </row>
    <row r="1089" spans="1:15" x14ac:dyDescent="0.2">
      <c r="A1089" t="s">
        <v>4758</v>
      </c>
      <c r="B1089" s="61" t="s">
        <v>9386</v>
      </c>
      <c r="C1089" s="61" t="s">
        <v>34</v>
      </c>
      <c r="F1089" t="s">
        <v>4758</v>
      </c>
      <c r="G1089" t="s">
        <v>6073</v>
      </c>
      <c r="L1089" t="s">
        <v>9387</v>
      </c>
      <c r="M1089" t="s">
        <v>6095</v>
      </c>
      <c r="N1089" s="61" t="s">
        <v>6141</v>
      </c>
      <c r="O1089">
        <v>57923</v>
      </c>
    </row>
    <row r="1090" spans="1:15" x14ac:dyDescent="0.2">
      <c r="A1090" t="s">
        <v>4759</v>
      </c>
      <c r="B1090" s="61" t="s">
        <v>9388</v>
      </c>
      <c r="C1090" s="61" t="s">
        <v>34</v>
      </c>
      <c r="F1090" t="s">
        <v>4759</v>
      </c>
      <c r="G1090" t="s">
        <v>6073</v>
      </c>
      <c r="L1090" t="s">
        <v>9389</v>
      </c>
      <c r="M1090" t="s">
        <v>6095</v>
      </c>
      <c r="N1090" s="61" t="s">
        <v>9385</v>
      </c>
      <c r="O1090">
        <v>57922</v>
      </c>
    </row>
    <row r="1091" spans="1:15" x14ac:dyDescent="0.2">
      <c r="A1091" t="s">
        <v>4760</v>
      </c>
      <c r="B1091" s="61" t="s">
        <v>9390</v>
      </c>
      <c r="C1091" s="61" t="s">
        <v>34</v>
      </c>
      <c r="F1091" t="s">
        <v>4760</v>
      </c>
      <c r="G1091" t="s">
        <v>6073</v>
      </c>
      <c r="I1091" t="s">
        <v>9391</v>
      </c>
      <c r="L1091" t="s">
        <v>9392</v>
      </c>
      <c r="M1091" t="s">
        <v>6095</v>
      </c>
      <c r="N1091" s="61" t="s">
        <v>6141</v>
      </c>
      <c r="O1091">
        <v>57943</v>
      </c>
    </row>
    <row r="1092" spans="1:15" x14ac:dyDescent="0.2">
      <c r="A1092" t="s">
        <v>4761</v>
      </c>
      <c r="B1092" s="61" t="s">
        <v>9393</v>
      </c>
      <c r="C1092" s="61" t="s">
        <v>34</v>
      </c>
      <c r="F1092" t="s">
        <v>4761</v>
      </c>
      <c r="G1092" t="s">
        <v>6073</v>
      </c>
      <c r="I1092" t="s">
        <v>9394</v>
      </c>
      <c r="L1092" t="s">
        <v>9395</v>
      </c>
      <c r="M1092" t="s">
        <v>6078</v>
      </c>
      <c r="N1092" s="61" t="s">
        <v>6231</v>
      </c>
      <c r="O1092">
        <v>57944</v>
      </c>
    </row>
    <row r="1093" spans="1:15" x14ac:dyDescent="0.2">
      <c r="A1093" t="s">
        <v>4762</v>
      </c>
      <c r="B1093" s="61" t="s">
        <v>9396</v>
      </c>
      <c r="C1093" s="61" t="s">
        <v>34</v>
      </c>
      <c r="F1093" t="s">
        <v>4762</v>
      </c>
      <c r="G1093" t="s">
        <v>6073</v>
      </c>
      <c r="I1093" t="s">
        <v>9397</v>
      </c>
      <c r="L1093" t="s">
        <v>9398</v>
      </c>
      <c r="M1093" t="s">
        <v>6078</v>
      </c>
      <c r="N1093" s="61" t="s">
        <v>6314</v>
      </c>
      <c r="O1093">
        <v>57945</v>
      </c>
    </row>
    <row r="1094" spans="1:15" x14ac:dyDescent="0.2">
      <c r="A1094" t="s">
        <v>4763</v>
      </c>
      <c r="B1094" s="61" t="s">
        <v>9399</v>
      </c>
      <c r="C1094" s="61" t="s">
        <v>34</v>
      </c>
      <c r="F1094" t="s">
        <v>4763</v>
      </c>
      <c r="G1094" t="s">
        <v>6073</v>
      </c>
      <c r="H1094" t="s">
        <v>34</v>
      </c>
      <c r="I1094" t="s">
        <v>9400</v>
      </c>
      <c r="L1094" t="s">
        <v>9401</v>
      </c>
      <c r="M1094" t="s">
        <v>6078</v>
      </c>
      <c r="N1094" s="61" t="s">
        <v>6438</v>
      </c>
      <c r="O1094">
        <v>57966</v>
      </c>
    </row>
    <row r="1095" spans="1:15" x14ac:dyDescent="0.2">
      <c r="A1095" t="s">
        <v>4764</v>
      </c>
      <c r="B1095" s="61" t="s">
        <v>9402</v>
      </c>
      <c r="C1095" s="61" t="s">
        <v>34</v>
      </c>
      <c r="F1095" t="s">
        <v>4764</v>
      </c>
      <c r="G1095" t="s">
        <v>6073</v>
      </c>
      <c r="I1095" t="s">
        <v>9403</v>
      </c>
      <c r="L1095" t="s">
        <v>9404</v>
      </c>
      <c r="M1095" t="s">
        <v>6078</v>
      </c>
      <c r="N1095" s="61" t="s">
        <v>9405</v>
      </c>
      <c r="O1095">
        <v>126105</v>
      </c>
    </row>
    <row r="1096" spans="1:15" x14ac:dyDescent="0.2">
      <c r="A1096" t="s">
        <v>4764</v>
      </c>
      <c r="B1096" s="61" t="s">
        <v>9406</v>
      </c>
      <c r="C1096" s="61" t="s">
        <v>34</v>
      </c>
      <c r="F1096" t="s">
        <v>4764</v>
      </c>
      <c r="G1096" t="s">
        <v>6073</v>
      </c>
      <c r="H1096" t="s">
        <v>9407</v>
      </c>
      <c r="L1096" t="s">
        <v>9404</v>
      </c>
      <c r="M1096" t="s">
        <v>6078</v>
      </c>
      <c r="N1096" s="61" t="s">
        <v>9274</v>
      </c>
      <c r="O1096">
        <v>57967</v>
      </c>
    </row>
    <row r="1097" spans="1:15" x14ac:dyDescent="0.2">
      <c r="A1097" t="s">
        <v>4765</v>
      </c>
      <c r="B1097" s="61" t="s">
        <v>34</v>
      </c>
      <c r="C1097" s="61" t="s">
        <v>34</v>
      </c>
      <c r="F1097" t="s">
        <v>9408</v>
      </c>
      <c r="G1097" t="s">
        <v>6073</v>
      </c>
      <c r="N1097" s="61" t="s">
        <v>3784</v>
      </c>
      <c r="O1097">
        <v>58378</v>
      </c>
    </row>
    <row r="1098" spans="1:15" x14ac:dyDescent="0.2">
      <c r="A1098" t="s">
        <v>4766</v>
      </c>
      <c r="B1098" s="61" t="s">
        <v>9409</v>
      </c>
      <c r="C1098" s="61" t="s">
        <v>34</v>
      </c>
      <c r="F1098" t="s">
        <v>4766</v>
      </c>
      <c r="G1098" t="s">
        <v>6073</v>
      </c>
      <c r="I1098" t="s">
        <v>9410</v>
      </c>
      <c r="L1098" t="s">
        <v>9411</v>
      </c>
      <c r="M1098" t="s">
        <v>6078</v>
      </c>
      <c r="N1098" s="61" t="s">
        <v>9412</v>
      </c>
      <c r="O1098">
        <v>57965</v>
      </c>
    </row>
    <row r="1099" spans="1:15" x14ac:dyDescent="0.2">
      <c r="A1099" t="s">
        <v>4767</v>
      </c>
      <c r="B1099" s="61" t="s">
        <v>9413</v>
      </c>
      <c r="C1099" s="61" t="s">
        <v>34</v>
      </c>
      <c r="F1099" t="s">
        <v>4767</v>
      </c>
      <c r="G1099" t="s">
        <v>6073</v>
      </c>
      <c r="L1099" t="s">
        <v>9414</v>
      </c>
      <c r="M1099" t="s">
        <v>6078</v>
      </c>
      <c r="N1099" s="61" t="s">
        <v>6092</v>
      </c>
      <c r="O1099">
        <v>57963</v>
      </c>
    </row>
    <row r="1100" spans="1:15" x14ac:dyDescent="0.2">
      <c r="A1100" t="s">
        <v>4768</v>
      </c>
      <c r="B1100" s="61" t="s">
        <v>9415</v>
      </c>
      <c r="C1100" s="61" t="s">
        <v>34</v>
      </c>
      <c r="F1100" t="s">
        <v>4768</v>
      </c>
      <c r="G1100" t="s">
        <v>6073</v>
      </c>
      <c r="I1100" t="s">
        <v>9416</v>
      </c>
      <c r="L1100" t="s">
        <v>9417</v>
      </c>
      <c r="M1100" t="s">
        <v>6635</v>
      </c>
      <c r="N1100" s="61" t="s">
        <v>9418</v>
      </c>
      <c r="O1100">
        <v>117389</v>
      </c>
    </row>
    <row r="1101" spans="1:15" x14ac:dyDescent="0.2">
      <c r="A1101" t="s">
        <v>663</v>
      </c>
      <c r="B1101" s="61" t="s">
        <v>9419</v>
      </c>
      <c r="C1101" s="61" t="s">
        <v>34</v>
      </c>
      <c r="F1101" t="s">
        <v>663</v>
      </c>
      <c r="G1101" t="s">
        <v>6073</v>
      </c>
      <c r="H1101" t="s">
        <v>34</v>
      </c>
      <c r="I1101" t="s">
        <v>9420</v>
      </c>
      <c r="L1101" t="s">
        <v>9421</v>
      </c>
      <c r="M1101" t="s">
        <v>6078</v>
      </c>
      <c r="N1101" s="61" t="s">
        <v>8667</v>
      </c>
      <c r="O1101">
        <v>57962</v>
      </c>
    </row>
    <row r="1102" spans="1:15" x14ac:dyDescent="0.2">
      <c r="A1102" t="s">
        <v>4769</v>
      </c>
      <c r="B1102" s="61" t="s">
        <v>9422</v>
      </c>
      <c r="C1102" s="61" t="s">
        <v>34</v>
      </c>
      <c r="F1102" t="s">
        <v>9423</v>
      </c>
      <c r="G1102" t="s">
        <v>6073</v>
      </c>
      <c r="H1102" t="s">
        <v>9424</v>
      </c>
      <c r="J1102" t="s">
        <v>9425</v>
      </c>
      <c r="K1102" t="s">
        <v>9426</v>
      </c>
      <c r="L1102" t="s">
        <v>9427</v>
      </c>
      <c r="M1102" t="s">
        <v>6078</v>
      </c>
      <c r="N1102" s="61" t="s">
        <v>9274</v>
      </c>
      <c r="O1102">
        <v>58079</v>
      </c>
    </row>
    <row r="1103" spans="1:15" x14ac:dyDescent="0.2">
      <c r="A1103" t="s">
        <v>4770</v>
      </c>
      <c r="B1103" s="61" t="s">
        <v>9428</v>
      </c>
      <c r="C1103" s="61" t="s">
        <v>34</v>
      </c>
      <c r="F1103" t="s">
        <v>4770</v>
      </c>
      <c r="G1103" t="s">
        <v>6073</v>
      </c>
      <c r="I1103" t="s">
        <v>9429</v>
      </c>
      <c r="L1103" t="s">
        <v>9430</v>
      </c>
      <c r="M1103" t="s">
        <v>6078</v>
      </c>
      <c r="N1103" s="61" t="s">
        <v>6438</v>
      </c>
      <c r="O1103">
        <v>57961</v>
      </c>
    </row>
    <row r="1104" spans="1:15" x14ac:dyDescent="0.2">
      <c r="A1104" t="s">
        <v>4771</v>
      </c>
      <c r="B1104" s="61" t="s">
        <v>9431</v>
      </c>
      <c r="C1104" s="61" t="s">
        <v>34</v>
      </c>
      <c r="F1104" t="s">
        <v>4771</v>
      </c>
      <c r="G1104" t="s">
        <v>6073</v>
      </c>
      <c r="J1104" t="s">
        <v>8461</v>
      </c>
      <c r="K1104" t="s">
        <v>9432</v>
      </c>
      <c r="L1104" t="s">
        <v>9433</v>
      </c>
      <c r="M1104" t="s">
        <v>6266</v>
      </c>
      <c r="N1104" s="61" t="s">
        <v>9434</v>
      </c>
      <c r="O1104">
        <v>116817</v>
      </c>
    </row>
    <row r="1105" spans="1:15" x14ac:dyDescent="0.2">
      <c r="A1105" t="s">
        <v>4772</v>
      </c>
      <c r="B1105" s="61" t="s">
        <v>9435</v>
      </c>
      <c r="C1105" s="61" t="s">
        <v>34</v>
      </c>
      <c r="F1105" t="s">
        <v>4772</v>
      </c>
      <c r="G1105" t="s">
        <v>6073</v>
      </c>
      <c r="I1105" t="s">
        <v>9436</v>
      </c>
      <c r="L1105" t="s">
        <v>9437</v>
      </c>
      <c r="M1105" t="s">
        <v>6266</v>
      </c>
      <c r="N1105" s="61" t="s">
        <v>9438</v>
      </c>
      <c r="O1105">
        <v>57960</v>
      </c>
    </row>
    <row r="1106" spans="1:15" x14ac:dyDescent="0.2">
      <c r="A1106" t="s">
        <v>4773</v>
      </c>
      <c r="B1106" s="61" t="s">
        <v>9439</v>
      </c>
      <c r="C1106" s="61" t="s">
        <v>34</v>
      </c>
      <c r="F1106" t="s">
        <v>4773</v>
      </c>
      <c r="G1106" t="s">
        <v>6073</v>
      </c>
      <c r="I1106" t="s">
        <v>9440</v>
      </c>
      <c r="L1106" t="s">
        <v>9441</v>
      </c>
      <c r="M1106" t="s">
        <v>6078</v>
      </c>
      <c r="N1106" s="61" t="s">
        <v>6584</v>
      </c>
      <c r="O1106">
        <v>57959</v>
      </c>
    </row>
    <row r="1107" spans="1:15" x14ac:dyDescent="0.2">
      <c r="A1107" t="s">
        <v>4774</v>
      </c>
      <c r="B1107" s="61" t="s">
        <v>9442</v>
      </c>
      <c r="C1107" s="61" t="s">
        <v>34</v>
      </c>
      <c r="F1107" t="s">
        <v>4774</v>
      </c>
      <c r="G1107" t="s">
        <v>6073</v>
      </c>
      <c r="M1107" t="s">
        <v>6078</v>
      </c>
      <c r="N1107" s="61" t="s">
        <v>6577</v>
      </c>
      <c r="O1107">
        <v>57969</v>
      </c>
    </row>
    <row r="1108" spans="1:15" x14ac:dyDescent="0.2">
      <c r="A1108" t="s">
        <v>4775</v>
      </c>
      <c r="B1108" s="61" t="s">
        <v>9443</v>
      </c>
      <c r="C1108" s="61" t="s">
        <v>34</v>
      </c>
      <c r="F1108" t="s">
        <v>4775</v>
      </c>
      <c r="G1108" t="s">
        <v>6073</v>
      </c>
      <c r="H1108" t="s">
        <v>9444</v>
      </c>
      <c r="L1108" t="s">
        <v>9445</v>
      </c>
      <c r="M1108" t="s">
        <v>6095</v>
      </c>
      <c r="N1108" s="61" t="s">
        <v>9446</v>
      </c>
      <c r="O1108">
        <v>61605</v>
      </c>
    </row>
    <row r="1109" spans="1:15" x14ac:dyDescent="0.2">
      <c r="A1109" t="s">
        <v>4776</v>
      </c>
      <c r="B1109" s="61" t="s">
        <v>9447</v>
      </c>
      <c r="C1109" s="61" t="s">
        <v>34</v>
      </c>
      <c r="F1109" t="s">
        <v>4776</v>
      </c>
      <c r="G1109" t="s">
        <v>6073</v>
      </c>
      <c r="I1109" t="s">
        <v>9448</v>
      </c>
      <c r="L1109" t="s">
        <v>9449</v>
      </c>
      <c r="M1109" t="s">
        <v>6078</v>
      </c>
      <c r="N1109" s="61" t="s">
        <v>6083</v>
      </c>
      <c r="O1109">
        <v>57958</v>
      </c>
    </row>
    <row r="1110" spans="1:15" x14ac:dyDescent="0.2">
      <c r="A1110" t="s">
        <v>4777</v>
      </c>
      <c r="B1110" s="61" t="s">
        <v>9450</v>
      </c>
      <c r="C1110" s="61" t="s">
        <v>34</v>
      </c>
      <c r="F1110" t="s">
        <v>4777</v>
      </c>
      <c r="G1110" t="s">
        <v>6073</v>
      </c>
      <c r="H1110" t="s">
        <v>34</v>
      </c>
      <c r="I1110" t="s">
        <v>9451</v>
      </c>
      <c r="L1110" t="s">
        <v>9452</v>
      </c>
      <c r="M1110" t="s">
        <v>6188</v>
      </c>
      <c r="N1110" s="61" t="s">
        <v>9453</v>
      </c>
      <c r="O1110">
        <v>57956</v>
      </c>
    </row>
    <row r="1111" spans="1:15" x14ac:dyDescent="0.2">
      <c r="A1111" t="s">
        <v>4778</v>
      </c>
      <c r="B1111" s="61" t="s">
        <v>9454</v>
      </c>
      <c r="C1111" s="61" t="s">
        <v>34</v>
      </c>
      <c r="F1111" t="s">
        <v>4778</v>
      </c>
      <c r="G1111" t="s">
        <v>6073</v>
      </c>
      <c r="H1111" t="s">
        <v>34</v>
      </c>
      <c r="I1111" t="s">
        <v>9455</v>
      </c>
      <c r="L1111" t="s">
        <v>9456</v>
      </c>
      <c r="M1111" t="s">
        <v>6104</v>
      </c>
      <c r="N1111" s="61" t="s">
        <v>9457</v>
      </c>
      <c r="O1111">
        <v>57955</v>
      </c>
    </row>
    <row r="1112" spans="1:15" x14ac:dyDescent="0.2">
      <c r="A1112" t="s">
        <v>4779</v>
      </c>
      <c r="B1112" s="61" t="s">
        <v>9458</v>
      </c>
      <c r="C1112" s="61" t="s">
        <v>34</v>
      </c>
      <c r="F1112" t="s">
        <v>4779</v>
      </c>
      <c r="G1112" t="s">
        <v>6073</v>
      </c>
      <c r="H1112" t="s">
        <v>9459</v>
      </c>
      <c r="J1112" t="s">
        <v>9460</v>
      </c>
      <c r="K1112" t="s">
        <v>9461</v>
      </c>
      <c r="L1112" t="s">
        <v>9462</v>
      </c>
      <c r="M1112" t="s">
        <v>6078</v>
      </c>
      <c r="N1112" s="61" t="s">
        <v>8633</v>
      </c>
      <c r="O1112">
        <v>115932</v>
      </c>
    </row>
    <row r="1113" spans="1:15" x14ac:dyDescent="0.2">
      <c r="A1113" t="s">
        <v>4780</v>
      </c>
      <c r="B1113" s="61" t="s">
        <v>9463</v>
      </c>
      <c r="C1113" s="61" t="s">
        <v>34</v>
      </c>
      <c r="F1113" t="s">
        <v>4780</v>
      </c>
      <c r="G1113" t="s">
        <v>6073</v>
      </c>
      <c r="L1113" t="s">
        <v>9464</v>
      </c>
      <c r="M1113" t="s">
        <v>6078</v>
      </c>
      <c r="N1113" s="61" t="s">
        <v>6386</v>
      </c>
      <c r="O1113">
        <v>57954</v>
      </c>
    </row>
    <row r="1114" spans="1:15" x14ac:dyDescent="0.2">
      <c r="A1114" t="s">
        <v>4781</v>
      </c>
      <c r="B1114" s="61" t="s">
        <v>9469</v>
      </c>
      <c r="C1114" s="61" t="s">
        <v>34</v>
      </c>
      <c r="F1114" t="s">
        <v>9470</v>
      </c>
      <c r="G1114" t="s">
        <v>6073</v>
      </c>
      <c r="H1114" t="s">
        <v>9471</v>
      </c>
      <c r="L1114" t="s">
        <v>9472</v>
      </c>
      <c r="M1114" t="s">
        <v>6266</v>
      </c>
      <c r="N1114" s="61" t="s">
        <v>6336</v>
      </c>
      <c r="O1114">
        <v>57257</v>
      </c>
    </row>
    <row r="1115" spans="1:15" x14ac:dyDescent="0.2">
      <c r="A1115" t="s">
        <v>4781</v>
      </c>
      <c r="B1115" s="61" t="s">
        <v>9465</v>
      </c>
      <c r="C1115" s="61" t="s">
        <v>34</v>
      </c>
      <c r="F1115" t="s">
        <v>4781</v>
      </c>
      <c r="G1115" t="s">
        <v>6073</v>
      </c>
      <c r="J1115" t="s">
        <v>9466</v>
      </c>
      <c r="K1115" t="s">
        <v>9467</v>
      </c>
      <c r="L1115" t="s">
        <v>9468</v>
      </c>
      <c r="M1115" t="s">
        <v>6266</v>
      </c>
      <c r="N1115" s="61" t="s">
        <v>6336</v>
      </c>
      <c r="O1115">
        <v>71631</v>
      </c>
    </row>
    <row r="1116" spans="1:15" x14ac:dyDescent="0.2">
      <c r="A1116" t="s">
        <v>4782</v>
      </c>
      <c r="B1116" s="61" t="s">
        <v>9473</v>
      </c>
      <c r="C1116" s="61" t="s">
        <v>34</v>
      </c>
      <c r="F1116" t="s">
        <v>4782</v>
      </c>
      <c r="G1116" t="s">
        <v>6073</v>
      </c>
      <c r="L1116" t="s">
        <v>9474</v>
      </c>
      <c r="M1116" t="s">
        <v>6266</v>
      </c>
      <c r="N1116" s="61" t="s">
        <v>8187</v>
      </c>
      <c r="O1116">
        <v>62643</v>
      </c>
    </row>
    <row r="1117" spans="1:15" x14ac:dyDescent="0.2">
      <c r="A1117" t="s">
        <v>3162</v>
      </c>
      <c r="B1117" s="61" t="s">
        <v>9475</v>
      </c>
      <c r="C1117" s="61" t="s">
        <v>34</v>
      </c>
      <c r="F1117" t="s">
        <v>3162</v>
      </c>
      <c r="G1117" t="s">
        <v>6073</v>
      </c>
      <c r="L1117" t="s">
        <v>9476</v>
      </c>
      <c r="M1117" t="s">
        <v>6078</v>
      </c>
      <c r="N1117" s="61" t="s">
        <v>8083</v>
      </c>
      <c r="O1117">
        <v>57953</v>
      </c>
    </row>
    <row r="1118" spans="1:15" x14ac:dyDescent="0.2">
      <c r="A1118" t="s">
        <v>581</v>
      </c>
      <c r="B1118" s="61" t="s">
        <v>9477</v>
      </c>
      <c r="C1118" s="61" t="s">
        <v>34</v>
      </c>
      <c r="F1118" t="s">
        <v>581</v>
      </c>
      <c r="G1118" t="s">
        <v>6073</v>
      </c>
      <c r="H1118" t="s">
        <v>9478</v>
      </c>
      <c r="L1118" t="s">
        <v>9476</v>
      </c>
      <c r="M1118" t="s">
        <v>6078</v>
      </c>
      <c r="N1118" s="61" t="s">
        <v>8083</v>
      </c>
      <c r="O1118">
        <v>57952</v>
      </c>
    </row>
    <row r="1119" spans="1:15" x14ac:dyDescent="0.2">
      <c r="A1119" t="s">
        <v>4783</v>
      </c>
      <c r="B1119" s="61" t="s">
        <v>9479</v>
      </c>
      <c r="C1119" s="61" t="s">
        <v>34</v>
      </c>
      <c r="F1119" t="s">
        <v>4783</v>
      </c>
      <c r="G1119" t="s">
        <v>6073</v>
      </c>
      <c r="H1119" t="s">
        <v>34</v>
      </c>
      <c r="I1119" t="s">
        <v>9480</v>
      </c>
      <c r="L1119" t="s">
        <v>9481</v>
      </c>
      <c r="M1119" t="s">
        <v>6095</v>
      </c>
      <c r="N1119" s="61" t="s">
        <v>7742</v>
      </c>
      <c r="O1119">
        <v>57951</v>
      </c>
    </row>
    <row r="1120" spans="1:15" x14ac:dyDescent="0.2">
      <c r="A1120" t="s">
        <v>4784</v>
      </c>
      <c r="B1120" s="61" t="s">
        <v>9482</v>
      </c>
      <c r="C1120" s="61" t="s">
        <v>34</v>
      </c>
      <c r="F1120" t="s">
        <v>4784</v>
      </c>
      <c r="G1120" t="s">
        <v>6073</v>
      </c>
      <c r="L1120" t="s">
        <v>9483</v>
      </c>
      <c r="M1120" t="s">
        <v>6078</v>
      </c>
      <c r="N1120" s="61" t="s">
        <v>8164</v>
      </c>
      <c r="O1120">
        <v>57950</v>
      </c>
    </row>
    <row r="1121" spans="1:15" x14ac:dyDescent="0.2">
      <c r="A1121" t="s">
        <v>4785</v>
      </c>
      <c r="B1121" s="61" t="s">
        <v>9484</v>
      </c>
      <c r="C1121" s="61" t="s">
        <v>34</v>
      </c>
      <c r="F1121" t="s">
        <v>9485</v>
      </c>
      <c r="G1121" t="s">
        <v>6073</v>
      </c>
      <c r="L1121" t="s">
        <v>9486</v>
      </c>
      <c r="M1121" t="s">
        <v>6078</v>
      </c>
      <c r="N1121" s="61" t="s">
        <v>6128</v>
      </c>
      <c r="O1121">
        <v>58010</v>
      </c>
    </row>
    <row r="1122" spans="1:15" x14ac:dyDescent="0.2">
      <c r="A1122" t="s">
        <v>4786</v>
      </c>
      <c r="B1122" s="61" t="s">
        <v>9487</v>
      </c>
      <c r="C1122" s="61" t="s">
        <v>34</v>
      </c>
      <c r="F1122" t="s">
        <v>4786</v>
      </c>
      <c r="G1122" t="s">
        <v>6073</v>
      </c>
      <c r="H1122" t="s">
        <v>34</v>
      </c>
      <c r="I1122" t="s">
        <v>34</v>
      </c>
      <c r="L1122" t="s">
        <v>9488</v>
      </c>
      <c r="M1122" t="s">
        <v>6078</v>
      </c>
      <c r="N1122" s="61" t="s">
        <v>9489</v>
      </c>
      <c r="O1122">
        <v>57949</v>
      </c>
    </row>
    <row r="1123" spans="1:15" x14ac:dyDescent="0.2">
      <c r="A1123" t="s">
        <v>4787</v>
      </c>
      <c r="B1123" s="61" t="s">
        <v>9490</v>
      </c>
      <c r="C1123" s="61" t="s">
        <v>34</v>
      </c>
      <c r="F1123" t="s">
        <v>4787</v>
      </c>
      <c r="G1123" t="s">
        <v>6073</v>
      </c>
      <c r="J1123" t="s">
        <v>9491</v>
      </c>
      <c r="K1123" t="s">
        <v>9492</v>
      </c>
      <c r="L1123" t="s">
        <v>9493</v>
      </c>
      <c r="M1123" t="s">
        <v>6104</v>
      </c>
      <c r="N1123" s="61" t="s">
        <v>9494</v>
      </c>
      <c r="O1123">
        <v>70970</v>
      </c>
    </row>
    <row r="1124" spans="1:15" x14ac:dyDescent="0.2">
      <c r="A1124" t="s">
        <v>465</v>
      </c>
      <c r="B1124" s="61" t="s">
        <v>9495</v>
      </c>
      <c r="C1124" s="61" t="s">
        <v>34</v>
      </c>
      <c r="F1124" t="s">
        <v>465</v>
      </c>
      <c r="G1124" t="s">
        <v>6073</v>
      </c>
      <c r="I1124" t="s">
        <v>9496</v>
      </c>
      <c r="L1124" t="s">
        <v>9497</v>
      </c>
      <c r="M1124" t="s">
        <v>6078</v>
      </c>
      <c r="N1124" s="61" t="s">
        <v>6110</v>
      </c>
      <c r="O1124">
        <v>57948</v>
      </c>
    </row>
    <row r="1125" spans="1:15" x14ac:dyDescent="0.2">
      <c r="A1125" t="s">
        <v>4788</v>
      </c>
      <c r="B1125" s="61" t="s">
        <v>9498</v>
      </c>
      <c r="C1125" s="61" t="s">
        <v>34</v>
      </c>
      <c r="F1125" t="s">
        <v>4788</v>
      </c>
      <c r="G1125" t="s">
        <v>6073</v>
      </c>
      <c r="H1125" t="s">
        <v>34</v>
      </c>
      <c r="I1125" t="s">
        <v>9499</v>
      </c>
      <c r="L1125" t="s">
        <v>9500</v>
      </c>
      <c r="M1125" t="s">
        <v>6078</v>
      </c>
      <c r="N1125" s="61" t="s">
        <v>6083</v>
      </c>
      <c r="O1125">
        <v>57947</v>
      </c>
    </row>
    <row r="1126" spans="1:15" x14ac:dyDescent="0.2">
      <c r="A1126" t="s">
        <v>4789</v>
      </c>
      <c r="B1126" s="61" t="s">
        <v>9501</v>
      </c>
      <c r="C1126" s="61" t="s">
        <v>34</v>
      </c>
      <c r="F1126" t="s">
        <v>4789</v>
      </c>
      <c r="G1126" t="s">
        <v>6073</v>
      </c>
      <c r="H1126" t="s">
        <v>9502</v>
      </c>
      <c r="J1126" t="s">
        <v>9503</v>
      </c>
      <c r="L1126" t="s">
        <v>9504</v>
      </c>
      <c r="M1126" t="s">
        <v>6078</v>
      </c>
      <c r="N1126" s="61" t="s">
        <v>6314</v>
      </c>
      <c r="O1126">
        <v>58236</v>
      </c>
    </row>
    <row r="1127" spans="1:15" x14ac:dyDescent="0.2">
      <c r="A1127" t="s">
        <v>4790</v>
      </c>
      <c r="B1127" s="61" t="s">
        <v>9505</v>
      </c>
      <c r="C1127" s="61" t="s">
        <v>34</v>
      </c>
      <c r="F1127" t="s">
        <v>4790</v>
      </c>
      <c r="G1127" t="s">
        <v>6073</v>
      </c>
      <c r="H1127" t="s">
        <v>34</v>
      </c>
      <c r="I1127" t="s">
        <v>9506</v>
      </c>
      <c r="L1127" t="s">
        <v>9507</v>
      </c>
      <c r="M1127" t="s">
        <v>6078</v>
      </c>
      <c r="N1127" s="61" t="s">
        <v>6083</v>
      </c>
      <c r="O1127">
        <v>57921</v>
      </c>
    </row>
    <row r="1128" spans="1:15" x14ac:dyDescent="0.2">
      <c r="A1128" t="s">
        <v>4791</v>
      </c>
      <c r="B1128" s="61" t="s">
        <v>9508</v>
      </c>
      <c r="C1128" s="61" t="s">
        <v>34</v>
      </c>
      <c r="F1128" t="s">
        <v>4791</v>
      </c>
      <c r="G1128" t="s">
        <v>6073</v>
      </c>
      <c r="H1128" t="s">
        <v>34</v>
      </c>
      <c r="I1128" t="s">
        <v>34</v>
      </c>
      <c r="L1128" t="s">
        <v>9509</v>
      </c>
      <c r="M1128" t="s">
        <v>6078</v>
      </c>
      <c r="N1128" s="61" t="s">
        <v>7447</v>
      </c>
      <c r="O1128">
        <v>57920</v>
      </c>
    </row>
    <row r="1129" spans="1:15" x14ac:dyDescent="0.2">
      <c r="A1129" t="s">
        <v>4792</v>
      </c>
      <c r="B1129" s="61" t="s">
        <v>8663</v>
      </c>
      <c r="C1129" s="61" t="s">
        <v>34</v>
      </c>
      <c r="F1129" t="s">
        <v>4792</v>
      </c>
      <c r="G1129" t="s">
        <v>6073</v>
      </c>
      <c r="L1129" t="s">
        <v>9510</v>
      </c>
      <c r="M1129" t="s">
        <v>6266</v>
      </c>
      <c r="N1129" s="61" t="s">
        <v>8664</v>
      </c>
      <c r="O1129">
        <v>57300</v>
      </c>
    </row>
    <row r="1130" spans="1:15" x14ac:dyDescent="0.2">
      <c r="A1130" t="s">
        <v>4793</v>
      </c>
      <c r="B1130" s="61" t="s">
        <v>9511</v>
      </c>
      <c r="C1130" s="61" t="s">
        <v>34</v>
      </c>
      <c r="F1130" t="s">
        <v>4793</v>
      </c>
      <c r="G1130" t="s">
        <v>6073</v>
      </c>
      <c r="H1130" t="s">
        <v>34</v>
      </c>
      <c r="I1130" t="s">
        <v>34</v>
      </c>
      <c r="L1130" t="s">
        <v>9512</v>
      </c>
      <c r="M1130" t="s">
        <v>6078</v>
      </c>
      <c r="N1130" s="61" t="s">
        <v>9513</v>
      </c>
      <c r="O1130">
        <v>57919</v>
      </c>
    </row>
    <row r="1131" spans="1:15" x14ac:dyDescent="0.2">
      <c r="A1131" t="s">
        <v>4794</v>
      </c>
      <c r="B1131" s="61" t="s">
        <v>9514</v>
      </c>
      <c r="C1131" s="61" t="s">
        <v>34</v>
      </c>
      <c r="F1131" t="s">
        <v>4794</v>
      </c>
      <c r="G1131" t="s">
        <v>6073</v>
      </c>
      <c r="H1131" t="s">
        <v>34</v>
      </c>
      <c r="I1131" t="s">
        <v>9515</v>
      </c>
      <c r="L1131" t="s">
        <v>9516</v>
      </c>
      <c r="M1131" t="s">
        <v>6078</v>
      </c>
      <c r="N1131" s="61" t="s">
        <v>7447</v>
      </c>
      <c r="O1131">
        <v>57894</v>
      </c>
    </row>
    <row r="1132" spans="1:15" x14ac:dyDescent="0.2">
      <c r="A1132" t="s">
        <v>4795</v>
      </c>
      <c r="B1132" s="61" t="s">
        <v>9517</v>
      </c>
      <c r="C1132" s="61" t="s">
        <v>34</v>
      </c>
      <c r="F1132" t="s">
        <v>4795</v>
      </c>
      <c r="G1132" t="s">
        <v>6073</v>
      </c>
      <c r="I1132" t="s">
        <v>9518</v>
      </c>
      <c r="L1132" t="s">
        <v>9519</v>
      </c>
      <c r="M1132" t="s">
        <v>6266</v>
      </c>
      <c r="N1132" s="61" t="s">
        <v>9520</v>
      </c>
      <c r="O1132">
        <v>57892</v>
      </c>
    </row>
    <row r="1133" spans="1:15" x14ac:dyDescent="0.2">
      <c r="A1133" t="s">
        <v>4796</v>
      </c>
      <c r="B1133" s="61" t="s">
        <v>34</v>
      </c>
      <c r="C1133" s="61" t="s">
        <v>34</v>
      </c>
      <c r="F1133" t="s">
        <v>4796</v>
      </c>
      <c r="G1133" t="s">
        <v>6073</v>
      </c>
      <c r="H1133" t="s">
        <v>34</v>
      </c>
      <c r="I1133" t="s">
        <v>34</v>
      </c>
      <c r="L1133" t="s">
        <v>34</v>
      </c>
      <c r="N1133" s="61" t="s">
        <v>3784</v>
      </c>
      <c r="O1133">
        <v>58345</v>
      </c>
    </row>
    <row r="1134" spans="1:15" x14ac:dyDescent="0.2">
      <c r="A1134" t="s">
        <v>594</v>
      </c>
      <c r="B1134" s="61" t="s">
        <v>9521</v>
      </c>
      <c r="C1134" s="61" t="s">
        <v>34</v>
      </c>
      <c r="F1134" t="s">
        <v>594</v>
      </c>
      <c r="G1134" t="s">
        <v>6073</v>
      </c>
      <c r="I1134" t="s">
        <v>7619</v>
      </c>
      <c r="L1134" t="s">
        <v>9522</v>
      </c>
      <c r="M1134" t="s">
        <v>6078</v>
      </c>
      <c r="N1134" s="61" t="s">
        <v>6083</v>
      </c>
      <c r="O1134">
        <v>57891</v>
      </c>
    </row>
    <row r="1135" spans="1:15" x14ac:dyDescent="0.2">
      <c r="A1135" t="s">
        <v>468</v>
      </c>
      <c r="B1135" s="61" t="s">
        <v>9523</v>
      </c>
      <c r="C1135" s="61" t="s">
        <v>34</v>
      </c>
      <c r="F1135" t="s">
        <v>468</v>
      </c>
      <c r="G1135" t="s">
        <v>6073</v>
      </c>
      <c r="I1135" t="s">
        <v>9524</v>
      </c>
      <c r="L1135" t="s">
        <v>9525</v>
      </c>
      <c r="M1135" t="s">
        <v>6078</v>
      </c>
      <c r="N1135" s="61" t="s">
        <v>6083</v>
      </c>
      <c r="O1135">
        <v>57890</v>
      </c>
    </row>
    <row r="1136" spans="1:15" x14ac:dyDescent="0.2">
      <c r="A1136" t="s">
        <v>4797</v>
      </c>
      <c r="B1136" s="61" t="s">
        <v>9526</v>
      </c>
      <c r="C1136" s="61" t="s">
        <v>34</v>
      </c>
      <c r="F1136" t="s">
        <v>4797</v>
      </c>
      <c r="G1136" t="s">
        <v>6073</v>
      </c>
      <c r="J1136" t="s">
        <v>9527</v>
      </c>
      <c r="K1136" t="s">
        <v>6557</v>
      </c>
      <c r="L1136" t="s">
        <v>9528</v>
      </c>
      <c r="M1136" t="s">
        <v>6078</v>
      </c>
      <c r="N1136" s="61" t="s">
        <v>6977</v>
      </c>
      <c r="O1136">
        <v>57889</v>
      </c>
    </row>
    <row r="1137" spans="1:15" x14ac:dyDescent="0.2">
      <c r="A1137" t="s">
        <v>472</v>
      </c>
      <c r="B1137" s="61" t="s">
        <v>9529</v>
      </c>
      <c r="C1137" s="61" t="s">
        <v>34</v>
      </c>
      <c r="F1137" t="s">
        <v>472</v>
      </c>
      <c r="G1137" t="s">
        <v>6073</v>
      </c>
      <c r="I1137" t="s">
        <v>9531</v>
      </c>
      <c r="L1137" t="s">
        <v>9532</v>
      </c>
      <c r="M1137" t="s">
        <v>6078</v>
      </c>
      <c r="N1137" s="61" t="s">
        <v>6525</v>
      </c>
      <c r="O1137">
        <v>57888</v>
      </c>
    </row>
    <row r="1138" spans="1:15" x14ac:dyDescent="0.2">
      <c r="A1138" t="s">
        <v>472</v>
      </c>
      <c r="B1138" s="61" t="s">
        <v>9529</v>
      </c>
      <c r="C1138" s="61" t="s">
        <v>34</v>
      </c>
      <c r="F1138" t="s">
        <v>9530</v>
      </c>
      <c r="G1138" t="s">
        <v>6073</v>
      </c>
      <c r="I1138" t="s">
        <v>9531</v>
      </c>
      <c r="L1138" t="s">
        <v>9532</v>
      </c>
      <c r="M1138" t="s">
        <v>6078</v>
      </c>
      <c r="N1138" s="61" t="s">
        <v>6525</v>
      </c>
      <c r="O1138">
        <v>58344</v>
      </c>
    </row>
    <row r="1139" spans="1:15" x14ac:dyDescent="0.2">
      <c r="A1139" t="s">
        <v>4798</v>
      </c>
      <c r="B1139" s="61" t="s">
        <v>9533</v>
      </c>
      <c r="C1139" s="61" t="s">
        <v>34</v>
      </c>
      <c r="F1139" t="s">
        <v>4798</v>
      </c>
      <c r="G1139" t="s">
        <v>6073</v>
      </c>
      <c r="H1139" t="s">
        <v>34</v>
      </c>
      <c r="I1139" t="s">
        <v>9534</v>
      </c>
      <c r="L1139" t="s">
        <v>9535</v>
      </c>
      <c r="M1139" t="s">
        <v>6266</v>
      </c>
      <c r="N1139" s="61" t="s">
        <v>6430</v>
      </c>
      <c r="O1139">
        <v>57887</v>
      </c>
    </row>
    <row r="1140" spans="1:15" x14ac:dyDescent="0.2">
      <c r="A1140" t="s">
        <v>4799</v>
      </c>
      <c r="B1140" s="61" t="s">
        <v>9536</v>
      </c>
      <c r="C1140" s="61" t="s">
        <v>34</v>
      </c>
      <c r="F1140" t="s">
        <v>4799</v>
      </c>
      <c r="G1140" t="s">
        <v>6073</v>
      </c>
      <c r="H1140" t="s">
        <v>34</v>
      </c>
      <c r="I1140" t="s">
        <v>34</v>
      </c>
      <c r="L1140" t="s">
        <v>9537</v>
      </c>
      <c r="M1140" t="s">
        <v>6078</v>
      </c>
      <c r="N1140" s="61" t="s">
        <v>6219</v>
      </c>
      <c r="O1140">
        <v>57886</v>
      </c>
    </row>
    <row r="1141" spans="1:15" x14ac:dyDescent="0.2">
      <c r="A1141" t="s">
        <v>4800</v>
      </c>
      <c r="B1141" s="61" t="s">
        <v>9538</v>
      </c>
      <c r="C1141" s="61" t="s">
        <v>34</v>
      </c>
      <c r="F1141" t="s">
        <v>4800</v>
      </c>
      <c r="G1141" t="s">
        <v>6073</v>
      </c>
      <c r="H1141" t="s">
        <v>34</v>
      </c>
      <c r="I1141" t="s">
        <v>9539</v>
      </c>
      <c r="L1141" t="s">
        <v>9540</v>
      </c>
      <c r="M1141" t="s">
        <v>6078</v>
      </c>
      <c r="N1141" s="61" t="s">
        <v>6231</v>
      </c>
      <c r="O1141">
        <v>57885</v>
      </c>
    </row>
    <row r="1142" spans="1:15" x14ac:dyDescent="0.2">
      <c r="A1142" t="s">
        <v>4801</v>
      </c>
      <c r="B1142" s="61" t="s">
        <v>9541</v>
      </c>
      <c r="C1142" s="61" t="s">
        <v>34</v>
      </c>
      <c r="F1142" t="s">
        <v>4801</v>
      </c>
      <c r="G1142" t="s">
        <v>6073</v>
      </c>
      <c r="H1142" t="s">
        <v>34</v>
      </c>
      <c r="I1142" t="s">
        <v>34</v>
      </c>
      <c r="L1142" t="s">
        <v>9542</v>
      </c>
      <c r="M1142" t="s">
        <v>6266</v>
      </c>
      <c r="N1142" s="61" t="s">
        <v>8750</v>
      </c>
      <c r="O1142">
        <v>57884</v>
      </c>
    </row>
    <row r="1143" spans="1:15" x14ac:dyDescent="0.2">
      <c r="A1143" t="s">
        <v>4802</v>
      </c>
      <c r="B1143" s="61" t="s">
        <v>9543</v>
      </c>
      <c r="C1143" s="61" t="s">
        <v>9544</v>
      </c>
      <c r="F1143" t="s">
        <v>4802</v>
      </c>
      <c r="G1143" t="s">
        <v>6073</v>
      </c>
      <c r="I1143" t="s">
        <v>9545</v>
      </c>
      <c r="L1143" t="s">
        <v>9546</v>
      </c>
      <c r="M1143" t="s">
        <v>6104</v>
      </c>
      <c r="N1143" s="61" t="s">
        <v>9547</v>
      </c>
      <c r="O1143">
        <v>57883</v>
      </c>
    </row>
    <row r="1144" spans="1:15" x14ac:dyDescent="0.2">
      <c r="A1144" t="s">
        <v>4803</v>
      </c>
      <c r="B1144" s="61" t="s">
        <v>9548</v>
      </c>
      <c r="C1144" s="61" t="s">
        <v>34</v>
      </c>
      <c r="F1144" t="s">
        <v>4803</v>
      </c>
      <c r="G1144" t="s">
        <v>6073</v>
      </c>
      <c r="H1144" t="s">
        <v>34</v>
      </c>
      <c r="I1144" t="s">
        <v>9549</v>
      </c>
      <c r="L1144" t="s">
        <v>9550</v>
      </c>
      <c r="M1144" t="s">
        <v>6266</v>
      </c>
      <c r="N1144" s="61" t="s">
        <v>8952</v>
      </c>
      <c r="O1144">
        <v>57882</v>
      </c>
    </row>
    <row r="1145" spans="1:15" x14ac:dyDescent="0.2">
      <c r="A1145" t="s">
        <v>4804</v>
      </c>
      <c r="B1145" s="61" t="s">
        <v>34</v>
      </c>
      <c r="C1145" s="61" t="s">
        <v>34</v>
      </c>
      <c r="F1145" t="s">
        <v>4804</v>
      </c>
      <c r="G1145" t="s">
        <v>6073</v>
      </c>
      <c r="H1145" t="s">
        <v>34</v>
      </c>
      <c r="I1145" t="s">
        <v>34</v>
      </c>
      <c r="L1145" t="s">
        <v>34</v>
      </c>
      <c r="N1145" s="61" t="s">
        <v>3784</v>
      </c>
      <c r="O1145">
        <v>58390</v>
      </c>
    </row>
    <row r="1146" spans="1:15" x14ac:dyDescent="0.2">
      <c r="A1146" t="s">
        <v>477</v>
      </c>
      <c r="B1146" s="61" t="s">
        <v>9551</v>
      </c>
      <c r="C1146" s="61" t="s">
        <v>34</v>
      </c>
      <c r="F1146" t="s">
        <v>477</v>
      </c>
      <c r="G1146" t="s">
        <v>6073</v>
      </c>
      <c r="I1146" t="s">
        <v>9552</v>
      </c>
      <c r="L1146" t="s">
        <v>9553</v>
      </c>
      <c r="M1146" t="s">
        <v>6078</v>
      </c>
      <c r="N1146" s="61" t="s">
        <v>6211</v>
      </c>
      <c r="O1146">
        <v>57881</v>
      </c>
    </row>
    <row r="1147" spans="1:15" x14ac:dyDescent="0.2">
      <c r="A1147" t="s">
        <v>4805</v>
      </c>
      <c r="B1147" s="61" t="s">
        <v>9554</v>
      </c>
      <c r="C1147" s="61" t="s">
        <v>34</v>
      </c>
      <c r="F1147" t="s">
        <v>4805</v>
      </c>
      <c r="G1147" t="s">
        <v>6073</v>
      </c>
      <c r="H1147" t="s">
        <v>34</v>
      </c>
      <c r="I1147" t="s">
        <v>6112</v>
      </c>
      <c r="L1147" t="s">
        <v>9555</v>
      </c>
      <c r="M1147" t="s">
        <v>6078</v>
      </c>
      <c r="N1147" s="61" t="s">
        <v>6114</v>
      </c>
      <c r="O1147">
        <v>57880</v>
      </c>
    </row>
    <row r="1148" spans="1:15" x14ac:dyDescent="0.2">
      <c r="A1148" t="s">
        <v>4806</v>
      </c>
      <c r="B1148" s="61" t="s">
        <v>9556</v>
      </c>
      <c r="C1148" s="61" t="s">
        <v>34</v>
      </c>
      <c r="F1148" t="s">
        <v>4806</v>
      </c>
      <c r="G1148" t="s">
        <v>6073</v>
      </c>
      <c r="L1148" t="s">
        <v>9557</v>
      </c>
      <c r="M1148" t="s">
        <v>6078</v>
      </c>
      <c r="N1148" s="61" t="s">
        <v>6386</v>
      </c>
      <c r="O1148">
        <v>57879</v>
      </c>
    </row>
    <row r="1149" spans="1:15" x14ac:dyDescent="0.2">
      <c r="A1149" t="s">
        <v>4807</v>
      </c>
      <c r="B1149" s="61" t="s">
        <v>9558</v>
      </c>
      <c r="C1149" s="61" t="s">
        <v>34</v>
      </c>
      <c r="F1149" t="s">
        <v>4807</v>
      </c>
      <c r="G1149" t="s">
        <v>6073</v>
      </c>
      <c r="H1149" t="s">
        <v>9559</v>
      </c>
      <c r="L1149" t="s">
        <v>9560</v>
      </c>
      <c r="M1149" t="s">
        <v>6266</v>
      </c>
      <c r="N1149" s="61" t="s">
        <v>9561</v>
      </c>
      <c r="O1149">
        <v>57878</v>
      </c>
    </row>
    <row r="1150" spans="1:15" x14ac:dyDescent="0.2">
      <c r="A1150" t="s">
        <v>4808</v>
      </c>
      <c r="B1150" s="61" t="s">
        <v>9562</v>
      </c>
      <c r="C1150" s="61" t="s">
        <v>34</v>
      </c>
      <c r="F1150" t="s">
        <v>4808</v>
      </c>
      <c r="G1150" t="s">
        <v>6073</v>
      </c>
      <c r="H1150" t="s">
        <v>34</v>
      </c>
      <c r="I1150" t="s">
        <v>34</v>
      </c>
      <c r="L1150" t="s">
        <v>34</v>
      </c>
      <c r="M1150" t="s">
        <v>6078</v>
      </c>
      <c r="N1150" s="61" t="s">
        <v>6314</v>
      </c>
      <c r="O1150">
        <v>58412</v>
      </c>
    </row>
    <row r="1151" spans="1:15" x14ac:dyDescent="0.2">
      <c r="A1151" t="s">
        <v>4809</v>
      </c>
      <c r="B1151" s="61" t="s">
        <v>9563</v>
      </c>
      <c r="C1151" s="61" t="s">
        <v>34</v>
      </c>
      <c r="F1151" t="s">
        <v>4809</v>
      </c>
      <c r="G1151" t="s">
        <v>6073</v>
      </c>
      <c r="H1151" t="s">
        <v>9564</v>
      </c>
      <c r="J1151" t="s">
        <v>8080</v>
      </c>
      <c r="K1151" t="s">
        <v>9565</v>
      </c>
      <c r="L1151" t="s">
        <v>9566</v>
      </c>
      <c r="M1151" t="s">
        <v>6266</v>
      </c>
      <c r="N1151" s="61" t="s">
        <v>6790</v>
      </c>
      <c r="O1151">
        <v>79928</v>
      </c>
    </row>
    <row r="1152" spans="1:15" x14ac:dyDescent="0.2">
      <c r="A1152" t="s">
        <v>4810</v>
      </c>
      <c r="B1152" s="61" t="s">
        <v>9567</v>
      </c>
      <c r="C1152" s="61" t="s">
        <v>34</v>
      </c>
      <c r="F1152" t="s">
        <v>4810</v>
      </c>
      <c r="G1152" t="s">
        <v>6073</v>
      </c>
      <c r="H1152" t="s">
        <v>34</v>
      </c>
      <c r="I1152" t="s">
        <v>34</v>
      </c>
      <c r="L1152" t="s">
        <v>34</v>
      </c>
      <c r="M1152" t="s">
        <v>6095</v>
      </c>
      <c r="N1152" s="61" t="s">
        <v>9568</v>
      </c>
      <c r="O1152">
        <v>58411</v>
      </c>
    </row>
    <row r="1153" spans="1:15" x14ac:dyDescent="0.2">
      <c r="A1153" t="s">
        <v>4811</v>
      </c>
      <c r="B1153" s="61" t="s">
        <v>9569</v>
      </c>
      <c r="C1153" s="61" t="s">
        <v>34</v>
      </c>
      <c r="F1153" t="s">
        <v>4811</v>
      </c>
      <c r="G1153" t="s">
        <v>6073</v>
      </c>
      <c r="L1153" t="s">
        <v>9570</v>
      </c>
      <c r="M1153" t="s">
        <v>6078</v>
      </c>
      <c r="N1153" s="61" t="s">
        <v>6110</v>
      </c>
      <c r="O1153">
        <v>125527</v>
      </c>
    </row>
    <row r="1154" spans="1:15" x14ac:dyDescent="0.2">
      <c r="A1154" t="s">
        <v>4812</v>
      </c>
      <c r="B1154" s="61" t="s">
        <v>9571</v>
      </c>
      <c r="C1154" s="61" t="s">
        <v>34</v>
      </c>
      <c r="F1154" t="s">
        <v>4812</v>
      </c>
      <c r="G1154" t="s">
        <v>6073</v>
      </c>
      <c r="M1154" t="s">
        <v>6078</v>
      </c>
      <c r="N1154" s="61" t="s">
        <v>6859</v>
      </c>
      <c r="O1154">
        <v>71117</v>
      </c>
    </row>
    <row r="1155" spans="1:15" x14ac:dyDescent="0.2">
      <c r="A1155" t="s">
        <v>4812</v>
      </c>
      <c r="B1155" s="61" t="s">
        <v>9571</v>
      </c>
      <c r="C1155" s="61" t="s">
        <v>34</v>
      </c>
      <c r="F1155" t="s">
        <v>4812</v>
      </c>
      <c r="G1155" t="s">
        <v>6073</v>
      </c>
      <c r="H1155" t="s">
        <v>34</v>
      </c>
      <c r="I1155" t="s">
        <v>34</v>
      </c>
      <c r="L1155" t="s">
        <v>34</v>
      </c>
      <c r="M1155" t="s">
        <v>6078</v>
      </c>
      <c r="N1155" s="61" t="s">
        <v>6092</v>
      </c>
      <c r="O1155">
        <v>58410</v>
      </c>
    </row>
    <row r="1156" spans="1:15" x14ac:dyDescent="0.2">
      <c r="A1156" t="s">
        <v>4813</v>
      </c>
      <c r="B1156" s="61" t="s">
        <v>9572</v>
      </c>
      <c r="C1156" s="61" t="s">
        <v>34</v>
      </c>
      <c r="F1156" t="s">
        <v>4813</v>
      </c>
      <c r="G1156" t="s">
        <v>6073</v>
      </c>
      <c r="H1156" t="s">
        <v>9573</v>
      </c>
      <c r="L1156" t="s">
        <v>9574</v>
      </c>
      <c r="M1156" t="s">
        <v>6078</v>
      </c>
      <c r="N1156" s="61" t="s">
        <v>6551</v>
      </c>
      <c r="O1156">
        <v>57877</v>
      </c>
    </row>
    <row r="1157" spans="1:15" x14ac:dyDescent="0.2">
      <c r="A1157" t="s">
        <v>4814</v>
      </c>
      <c r="B1157" s="61" t="s">
        <v>9575</v>
      </c>
      <c r="C1157" s="61" t="s">
        <v>34</v>
      </c>
      <c r="F1157" t="s">
        <v>4814</v>
      </c>
      <c r="G1157" t="s">
        <v>6073</v>
      </c>
      <c r="H1157" t="s">
        <v>34</v>
      </c>
      <c r="I1157" t="s">
        <v>9576</v>
      </c>
      <c r="L1157" t="s">
        <v>9577</v>
      </c>
      <c r="M1157" t="s">
        <v>6078</v>
      </c>
      <c r="N1157" s="61" t="s">
        <v>6219</v>
      </c>
      <c r="O1157">
        <v>57876</v>
      </c>
    </row>
    <row r="1158" spans="1:15" x14ac:dyDescent="0.2">
      <c r="A1158" t="s">
        <v>4815</v>
      </c>
      <c r="B1158" s="61" t="s">
        <v>9578</v>
      </c>
      <c r="C1158" s="61" t="s">
        <v>34</v>
      </c>
      <c r="F1158" t="s">
        <v>4815</v>
      </c>
      <c r="G1158" t="s">
        <v>6073</v>
      </c>
      <c r="L1158" t="s">
        <v>9579</v>
      </c>
      <c r="M1158" t="s">
        <v>6078</v>
      </c>
      <c r="N1158" s="61" t="s">
        <v>6255</v>
      </c>
      <c r="O1158">
        <v>116102</v>
      </c>
    </row>
    <row r="1159" spans="1:15" x14ac:dyDescent="0.2">
      <c r="A1159" t="s">
        <v>4816</v>
      </c>
      <c r="B1159" s="61" t="s">
        <v>9580</v>
      </c>
      <c r="C1159" s="61" t="s">
        <v>34</v>
      </c>
      <c r="F1159" t="s">
        <v>4816</v>
      </c>
      <c r="G1159" t="s">
        <v>6073</v>
      </c>
      <c r="I1159" t="s">
        <v>9581</v>
      </c>
      <c r="L1159" t="s">
        <v>9582</v>
      </c>
      <c r="M1159" t="s">
        <v>6148</v>
      </c>
      <c r="N1159" s="61" t="s">
        <v>9583</v>
      </c>
      <c r="O1159">
        <v>70023</v>
      </c>
    </row>
    <row r="1160" spans="1:15" x14ac:dyDescent="0.2">
      <c r="A1160" t="s">
        <v>4817</v>
      </c>
      <c r="B1160" s="61" t="s">
        <v>9584</v>
      </c>
      <c r="C1160" s="61" t="s">
        <v>34</v>
      </c>
      <c r="F1160" t="s">
        <v>4817</v>
      </c>
      <c r="G1160" t="s">
        <v>6073</v>
      </c>
      <c r="H1160" t="s">
        <v>9585</v>
      </c>
      <c r="J1160" t="s">
        <v>9586</v>
      </c>
      <c r="K1160" t="s">
        <v>9587</v>
      </c>
      <c r="L1160" t="s">
        <v>9588</v>
      </c>
      <c r="M1160" t="s">
        <v>6078</v>
      </c>
      <c r="N1160" s="61" t="s">
        <v>9589</v>
      </c>
      <c r="O1160">
        <v>64969</v>
      </c>
    </row>
    <row r="1161" spans="1:15" x14ac:dyDescent="0.2">
      <c r="A1161" t="s">
        <v>4818</v>
      </c>
      <c r="B1161" s="61" t="s">
        <v>9590</v>
      </c>
      <c r="C1161" s="61" t="s">
        <v>34</v>
      </c>
      <c r="F1161" t="s">
        <v>4818</v>
      </c>
      <c r="G1161" t="s">
        <v>6073</v>
      </c>
      <c r="L1161" t="s">
        <v>9591</v>
      </c>
      <c r="M1161" t="s">
        <v>6266</v>
      </c>
      <c r="N1161" s="61" t="s">
        <v>9592</v>
      </c>
      <c r="O1161">
        <v>57874</v>
      </c>
    </row>
    <row r="1162" spans="1:15" x14ac:dyDescent="0.2">
      <c r="A1162" t="s">
        <v>4819</v>
      </c>
      <c r="B1162" s="61" t="s">
        <v>9593</v>
      </c>
      <c r="C1162" s="61" t="s">
        <v>34</v>
      </c>
      <c r="F1162" t="s">
        <v>4819</v>
      </c>
      <c r="G1162" t="s">
        <v>6073</v>
      </c>
      <c r="H1162" t="s">
        <v>9594</v>
      </c>
      <c r="J1162" t="s">
        <v>9595</v>
      </c>
      <c r="K1162" t="s">
        <v>6538</v>
      </c>
      <c r="L1162" t="s">
        <v>9596</v>
      </c>
      <c r="M1162" t="s">
        <v>6078</v>
      </c>
      <c r="N1162" s="61" t="s">
        <v>6211</v>
      </c>
      <c r="O1162">
        <v>57873</v>
      </c>
    </row>
    <row r="1163" spans="1:15" x14ac:dyDescent="0.2">
      <c r="A1163" t="s">
        <v>4820</v>
      </c>
      <c r="B1163" s="61" t="s">
        <v>9597</v>
      </c>
      <c r="C1163" s="61" t="s">
        <v>34</v>
      </c>
      <c r="F1163" t="s">
        <v>4820</v>
      </c>
      <c r="G1163" t="s">
        <v>6073</v>
      </c>
      <c r="H1163" t="s">
        <v>9598</v>
      </c>
      <c r="J1163" t="s">
        <v>9599</v>
      </c>
      <c r="K1163" t="s">
        <v>9600</v>
      </c>
      <c r="L1163" t="s">
        <v>9601</v>
      </c>
      <c r="M1163" t="s">
        <v>6078</v>
      </c>
      <c r="N1163" s="61" t="s">
        <v>6314</v>
      </c>
      <c r="O1163">
        <v>94292</v>
      </c>
    </row>
    <row r="1164" spans="1:15" x14ac:dyDescent="0.2">
      <c r="A1164" t="s">
        <v>4821</v>
      </c>
      <c r="B1164" s="61" t="s">
        <v>9602</v>
      </c>
      <c r="C1164" s="61" t="s">
        <v>34</v>
      </c>
      <c r="F1164" t="s">
        <v>4821</v>
      </c>
      <c r="G1164" t="s">
        <v>6073</v>
      </c>
      <c r="H1164" t="s">
        <v>9603</v>
      </c>
      <c r="L1164" t="s">
        <v>9604</v>
      </c>
      <c r="M1164" t="s">
        <v>6078</v>
      </c>
      <c r="N1164" s="61" t="s">
        <v>6128</v>
      </c>
      <c r="O1164">
        <v>114444</v>
      </c>
    </row>
    <row r="1165" spans="1:15" x14ac:dyDescent="0.2">
      <c r="A1165" t="s">
        <v>4822</v>
      </c>
      <c r="B1165" s="61" t="s">
        <v>9605</v>
      </c>
      <c r="C1165" s="61" t="s">
        <v>34</v>
      </c>
      <c r="F1165" t="s">
        <v>4822</v>
      </c>
      <c r="G1165" t="s">
        <v>6073</v>
      </c>
      <c r="H1165" t="s">
        <v>9606</v>
      </c>
      <c r="J1165" t="s">
        <v>8080</v>
      </c>
      <c r="K1165" t="s">
        <v>9607</v>
      </c>
      <c r="L1165" t="s">
        <v>9608</v>
      </c>
      <c r="M1165" t="s">
        <v>8277</v>
      </c>
      <c r="N1165" s="61" t="s">
        <v>8735</v>
      </c>
      <c r="O1165">
        <v>95302</v>
      </c>
    </row>
    <row r="1166" spans="1:15" x14ac:dyDescent="0.2">
      <c r="A1166" t="s">
        <v>4823</v>
      </c>
      <c r="B1166" s="61" t="s">
        <v>9609</v>
      </c>
      <c r="C1166" s="61" t="s">
        <v>34</v>
      </c>
      <c r="F1166" t="s">
        <v>4823</v>
      </c>
      <c r="G1166" t="s">
        <v>6073</v>
      </c>
      <c r="H1166" t="s">
        <v>34</v>
      </c>
      <c r="I1166" t="s">
        <v>9610</v>
      </c>
      <c r="L1166" t="s">
        <v>9611</v>
      </c>
      <c r="M1166" t="s">
        <v>6078</v>
      </c>
      <c r="N1166" s="61" t="s">
        <v>6128</v>
      </c>
      <c r="O1166">
        <v>57872</v>
      </c>
    </row>
    <row r="1167" spans="1:15" x14ac:dyDescent="0.2">
      <c r="A1167" t="s">
        <v>4824</v>
      </c>
      <c r="B1167" s="61" t="s">
        <v>9612</v>
      </c>
      <c r="C1167" s="61" t="s">
        <v>34</v>
      </c>
      <c r="F1167" t="s">
        <v>4824</v>
      </c>
      <c r="G1167" t="s">
        <v>6073</v>
      </c>
      <c r="H1167" t="s">
        <v>34</v>
      </c>
      <c r="I1167" t="s">
        <v>34</v>
      </c>
      <c r="L1167" t="s">
        <v>9613</v>
      </c>
      <c r="M1167" t="s">
        <v>6078</v>
      </c>
      <c r="N1167" s="61" t="s">
        <v>7804</v>
      </c>
      <c r="O1167">
        <v>57893</v>
      </c>
    </row>
    <row r="1168" spans="1:15" x14ac:dyDescent="0.2">
      <c r="A1168" t="s">
        <v>4825</v>
      </c>
      <c r="B1168" s="61" t="s">
        <v>9614</v>
      </c>
      <c r="C1168" s="61" t="s">
        <v>34</v>
      </c>
      <c r="F1168" t="s">
        <v>4825</v>
      </c>
      <c r="G1168" t="s">
        <v>6073</v>
      </c>
      <c r="H1168" t="s">
        <v>34</v>
      </c>
      <c r="I1168" t="s">
        <v>34</v>
      </c>
      <c r="L1168" t="s">
        <v>9615</v>
      </c>
      <c r="M1168" t="s">
        <v>6078</v>
      </c>
      <c r="N1168" s="61" t="s">
        <v>6314</v>
      </c>
      <c r="O1168">
        <v>57895</v>
      </c>
    </row>
    <row r="1169" spans="1:15" x14ac:dyDescent="0.2">
      <c r="A1169" t="s">
        <v>4826</v>
      </c>
      <c r="B1169" s="61" t="s">
        <v>9616</v>
      </c>
      <c r="C1169" s="61" t="s">
        <v>34</v>
      </c>
      <c r="F1169" t="s">
        <v>4826</v>
      </c>
      <c r="G1169" t="s">
        <v>6073</v>
      </c>
      <c r="H1169" t="s">
        <v>34</v>
      </c>
      <c r="I1169" t="s">
        <v>34</v>
      </c>
      <c r="L1169" t="s">
        <v>9617</v>
      </c>
      <c r="M1169" t="s">
        <v>6078</v>
      </c>
      <c r="N1169" s="61" t="s">
        <v>6444</v>
      </c>
      <c r="O1169">
        <v>57918</v>
      </c>
    </row>
    <row r="1170" spans="1:15" x14ac:dyDescent="0.2">
      <c r="A1170" t="s">
        <v>4827</v>
      </c>
      <c r="B1170" s="61" t="s">
        <v>9618</v>
      </c>
      <c r="C1170" s="61" t="s">
        <v>34</v>
      </c>
      <c r="F1170" t="s">
        <v>4827</v>
      </c>
      <c r="G1170" t="s">
        <v>6073</v>
      </c>
      <c r="H1170" t="s">
        <v>34</v>
      </c>
      <c r="I1170" t="s">
        <v>9619</v>
      </c>
      <c r="L1170" t="s">
        <v>9620</v>
      </c>
      <c r="M1170" t="s">
        <v>6078</v>
      </c>
      <c r="N1170" s="61" t="s">
        <v>6159</v>
      </c>
      <c r="O1170">
        <v>57896</v>
      </c>
    </row>
    <row r="1171" spans="1:15" x14ac:dyDescent="0.2">
      <c r="A1171" t="s">
        <v>4828</v>
      </c>
      <c r="B1171" s="61" t="s">
        <v>9621</v>
      </c>
      <c r="C1171" s="61" t="s">
        <v>34</v>
      </c>
      <c r="F1171" t="s">
        <v>4828</v>
      </c>
      <c r="G1171" t="s">
        <v>6073</v>
      </c>
      <c r="J1171" t="s">
        <v>9622</v>
      </c>
      <c r="K1171" t="s">
        <v>9623</v>
      </c>
      <c r="L1171" t="s">
        <v>9624</v>
      </c>
      <c r="M1171" t="s">
        <v>6078</v>
      </c>
      <c r="N1171" s="61" t="s">
        <v>6551</v>
      </c>
      <c r="O1171">
        <v>89392</v>
      </c>
    </row>
    <row r="1172" spans="1:15" x14ac:dyDescent="0.2">
      <c r="A1172" t="s">
        <v>4829</v>
      </c>
      <c r="B1172" s="61" t="s">
        <v>9627</v>
      </c>
      <c r="C1172" s="61" t="s">
        <v>34</v>
      </c>
      <c r="F1172" t="s">
        <v>4829</v>
      </c>
      <c r="G1172" t="s">
        <v>6073</v>
      </c>
      <c r="I1172" t="s">
        <v>9628</v>
      </c>
      <c r="L1172" t="s">
        <v>9629</v>
      </c>
      <c r="M1172" t="s">
        <v>6095</v>
      </c>
      <c r="N1172" s="61" t="s">
        <v>9630</v>
      </c>
      <c r="O1172">
        <v>66205</v>
      </c>
    </row>
    <row r="1173" spans="1:15" x14ac:dyDescent="0.2">
      <c r="A1173" t="s">
        <v>4829</v>
      </c>
      <c r="B1173" s="61" t="s">
        <v>8109</v>
      </c>
      <c r="C1173" s="61" t="s">
        <v>34</v>
      </c>
      <c r="F1173" t="s">
        <v>4829</v>
      </c>
      <c r="G1173" t="s">
        <v>6073</v>
      </c>
      <c r="H1173" t="s">
        <v>34</v>
      </c>
      <c r="I1173" t="s">
        <v>9625</v>
      </c>
      <c r="L1173" t="s">
        <v>9626</v>
      </c>
      <c r="M1173" t="s">
        <v>6095</v>
      </c>
      <c r="N1173" s="61" t="s">
        <v>8112</v>
      </c>
      <c r="O1173">
        <v>57917</v>
      </c>
    </row>
    <row r="1174" spans="1:15" x14ac:dyDescent="0.2">
      <c r="A1174" t="s">
        <v>4830</v>
      </c>
      <c r="B1174" s="61" t="s">
        <v>9631</v>
      </c>
      <c r="C1174" s="61" t="s">
        <v>34</v>
      </c>
      <c r="F1174" t="s">
        <v>4830</v>
      </c>
      <c r="G1174" t="s">
        <v>6073</v>
      </c>
      <c r="H1174" t="s">
        <v>34</v>
      </c>
      <c r="I1174" t="s">
        <v>9632</v>
      </c>
      <c r="L1174" t="s">
        <v>9633</v>
      </c>
      <c r="M1174" t="s">
        <v>6095</v>
      </c>
      <c r="N1174" s="61" t="s">
        <v>9634</v>
      </c>
      <c r="O1174">
        <v>57916</v>
      </c>
    </row>
    <row r="1175" spans="1:15" x14ac:dyDescent="0.2">
      <c r="A1175" t="s">
        <v>4831</v>
      </c>
      <c r="B1175" s="61" t="s">
        <v>9635</v>
      </c>
      <c r="C1175" s="61" t="s">
        <v>34</v>
      </c>
      <c r="F1175" t="s">
        <v>4831</v>
      </c>
      <c r="G1175" t="s">
        <v>6073</v>
      </c>
      <c r="H1175" t="s">
        <v>34</v>
      </c>
      <c r="I1175" t="s">
        <v>7426</v>
      </c>
      <c r="L1175" t="s">
        <v>7427</v>
      </c>
      <c r="M1175" t="s">
        <v>6078</v>
      </c>
      <c r="N1175" s="61" t="s">
        <v>6525</v>
      </c>
      <c r="O1175">
        <v>57915</v>
      </c>
    </row>
    <row r="1176" spans="1:15" x14ac:dyDescent="0.2">
      <c r="A1176" t="s">
        <v>4832</v>
      </c>
      <c r="B1176" s="61" t="s">
        <v>9636</v>
      </c>
      <c r="C1176" s="61" t="s">
        <v>34</v>
      </c>
      <c r="F1176" t="s">
        <v>4832</v>
      </c>
      <c r="G1176" t="s">
        <v>6073</v>
      </c>
      <c r="H1176" t="s">
        <v>9637</v>
      </c>
      <c r="I1176" t="s">
        <v>9638</v>
      </c>
      <c r="L1176" t="s">
        <v>9639</v>
      </c>
      <c r="M1176" t="s">
        <v>6266</v>
      </c>
      <c r="N1176" s="61" t="s">
        <v>9640</v>
      </c>
      <c r="O1176">
        <v>58328</v>
      </c>
    </row>
    <row r="1177" spans="1:15" x14ac:dyDescent="0.2">
      <c r="A1177" t="s">
        <v>4833</v>
      </c>
      <c r="B1177" s="61" t="s">
        <v>9641</v>
      </c>
      <c r="C1177" s="61" t="s">
        <v>34</v>
      </c>
      <c r="F1177" t="s">
        <v>4833</v>
      </c>
      <c r="G1177" t="s">
        <v>6073</v>
      </c>
      <c r="J1177" t="s">
        <v>9642</v>
      </c>
      <c r="K1177" t="s">
        <v>9643</v>
      </c>
      <c r="L1177" t="s">
        <v>9644</v>
      </c>
      <c r="M1177" t="s">
        <v>6078</v>
      </c>
      <c r="N1177" s="61" t="s">
        <v>8164</v>
      </c>
      <c r="O1177">
        <v>120072</v>
      </c>
    </row>
    <row r="1178" spans="1:15" x14ac:dyDescent="0.2">
      <c r="A1178" t="s">
        <v>4834</v>
      </c>
      <c r="B1178" s="61" t="s">
        <v>34</v>
      </c>
      <c r="C1178" s="61" t="s">
        <v>34</v>
      </c>
      <c r="F1178" t="s">
        <v>4834</v>
      </c>
      <c r="G1178" t="s">
        <v>6073</v>
      </c>
      <c r="H1178" t="s">
        <v>34</v>
      </c>
      <c r="I1178" t="s">
        <v>34</v>
      </c>
      <c r="L1178" t="s">
        <v>34</v>
      </c>
      <c r="N1178" s="61" t="s">
        <v>3784</v>
      </c>
      <c r="O1178">
        <v>58343</v>
      </c>
    </row>
    <row r="1179" spans="1:15" x14ac:dyDescent="0.2">
      <c r="A1179" t="s">
        <v>4835</v>
      </c>
      <c r="B1179" s="61" t="s">
        <v>9645</v>
      </c>
      <c r="C1179" s="61" t="s">
        <v>9646</v>
      </c>
      <c r="F1179" t="s">
        <v>4835</v>
      </c>
      <c r="G1179" t="s">
        <v>6073</v>
      </c>
      <c r="J1179" t="s">
        <v>8500</v>
      </c>
      <c r="K1179" t="s">
        <v>9647</v>
      </c>
      <c r="L1179" t="s">
        <v>9648</v>
      </c>
      <c r="M1179" t="s">
        <v>6078</v>
      </c>
      <c r="N1179" s="61" t="s">
        <v>6083</v>
      </c>
      <c r="O1179">
        <v>57914</v>
      </c>
    </row>
    <row r="1180" spans="1:15" x14ac:dyDescent="0.2">
      <c r="A1180" t="s">
        <v>4836</v>
      </c>
      <c r="B1180" s="61" t="s">
        <v>9649</v>
      </c>
      <c r="C1180" s="61" t="s">
        <v>34</v>
      </c>
      <c r="F1180" t="s">
        <v>4836</v>
      </c>
      <c r="G1180" t="s">
        <v>6073</v>
      </c>
      <c r="H1180" t="s">
        <v>34</v>
      </c>
      <c r="I1180" t="s">
        <v>34</v>
      </c>
      <c r="L1180" t="s">
        <v>9650</v>
      </c>
      <c r="M1180" t="s">
        <v>6104</v>
      </c>
      <c r="N1180" s="61" t="s">
        <v>9651</v>
      </c>
      <c r="O1180">
        <v>57913</v>
      </c>
    </row>
    <row r="1181" spans="1:15" x14ac:dyDescent="0.2">
      <c r="A1181" t="s">
        <v>4837</v>
      </c>
      <c r="B1181" s="61" t="s">
        <v>9652</v>
      </c>
      <c r="C1181" s="61" t="s">
        <v>34</v>
      </c>
      <c r="F1181" t="s">
        <v>4837</v>
      </c>
      <c r="G1181" t="s">
        <v>6073</v>
      </c>
      <c r="I1181" t="s">
        <v>9653</v>
      </c>
      <c r="L1181" t="s">
        <v>9654</v>
      </c>
      <c r="M1181" t="s">
        <v>6078</v>
      </c>
      <c r="N1181" s="61" t="s">
        <v>6977</v>
      </c>
      <c r="O1181">
        <v>57912</v>
      </c>
    </row>
    <row r="1182" spans="1:15" x14ac:dyDescent="0.2">
      <c r="A1182" t="s">
        <v>4838</v>
      </c>
      <c r="B1182" s="61" t="s">
        <v>9655</v>
      </c>
      <c r="C1182" s="61" t="s">
        <v>34</v>
      </c>
      <c r="F1182" t="s">
        <v>9656</v>
      </c>
      <c r="G1182" t="s">
        <v>6073</v>
      </c>
      <c r="J1182" t="s">
        <v>9657</v>
      </c>
      <c r="K1182" t="s">
        <v>9658</v>
      </c>
      <c r="L1182" t="s">
        <v>9659</v>
      </c>
      <c r="M1182" t="s">
        <v>6104</v>
      </c>
      <c r="N1182" s="61" t="s">
        <v>9660</v>
      </c>
      <c r="O1182">
        <v>92810</v>
      </c>
    </row>
    <row r="1183" spans="1:15" x14ac:dyDescent="0.2">
      <c r="A1183" t="s">
        <v>4839</v>
      </c>
      <c r="B1183" s="61" t="s">
        <v>9661</v>
      </c>
      <c r="C1183" s="61" t="s">
        <v>34</v>
      </c>
      <c r="F1183" t="s">
        <v>4839</v>
      </c>
      <c r="G1183" t="s">
        <v>6073</v>
      </c>
      <c r="L1183" t="s">
        <v>9662</v>
      </c>
      <c r="M1183" t="s">
        <v>6078</v>
      </c>
      <c r="N1183" s="61" t="s">
        <v>6122</v>
      </c>
      <c r="O1183">
        <v>57911</v>
      </c>
    </row>
    <row r="1184" spans="1:15" x14ac:dyDescent="0.2">
      <c r="A1184" t="s">
        <v>4840</v>
      </c>
      <c r="B1184" s="61" t="s">
        <v>9663</v>
      </c>
      <c r="C1184" s="61" t="s">
        <v>34</v>
      </c>
      <c r="F1184" t="s">
        <v>4840</v>
      </c>
      <c r="G1184" t="s">
        <v>6073</v>
      </c>
      <c r="H1184" t="s">
        <v>34</v>
      </c>
      <c r="I1184" t="s">
        <v>9664</v>
      </c>
      <c r="L1184" t="s">
        <v>9665</v>
      </c>
      <c r="M1184" t="s">
        <v>6078</v>
      </c>
      <c r="N1184" s="61" t="s">
        <v>6568</v>
      </c>
      <c r="O1184">
        <v>57910</v>
      </c>
    </row>
    <row r="1185" spans="1:15" x14ac:dyDescent="0.2">
      <c r="A1185" t="s">
        <v>4841</v>
      </c>
      <c r="B1185" s="61" t="s">
        <v>9666</v>
      </c>
      <c r="C1185" s="61" t="s">
        <v>34</v>
      </c>
      <c r="F1185" t="s">
        <v>4841</v>
      </c>
      <c r="G1185" t="s">
        <v>6073</v>
      </c>
      <c r="I1185" t="s">
        <v>9667</v>
      </c>
      <c r="L1185" t="s">
        <v>9668</v>
      </c>
      <c r="M1185" t="s">
        <v>6775</v>
      </c>
      <c r="N1185" s="61" t="s">
        <v>9669</v>
      </c>
      <c r="O1185">
        <v>57909</v>
      </c>
    </row>
    <row r="1186" spans="1:15" x14ac:dyDescent="0.2">
      <c r="A1186" t="s">
        <v>479</v>
      </c>
      <c r="B1186" s="61" t="s">
        <v>9670</v>
      </c>
      <c r="C1186" s="61" t="s">
        <v>34</v>
      </c>
      <c r="F1186" t="s">
        <v>479</v>
      </c>
      <c r="G1186" t="s">
        <v>6073</v>
      </c>
      <c r="I1186" t="s">
        <v>9671</v>
      </c>
      <c r="L1186" t="s">
        <v>9672</v>
      </c>
      <c r="M1186" t="s">
        <v>6078</v>
      </c>
      <c r="N1186" s="61" t="s">
        <v>9673</v>
      </c>
      <c r="O1186">
        <v>57908</v>
      </c>
    </row>
    <row r="1187" spans="1:15" x14ac:dyDescent="0.2">
      <c r="A1187" t="s">
        <v>4842</v>
      </c>
      <c r="B1187" s="61" t="s">
        <v>9674</v>
      </c>
      <c r="C1187" s="61" t="s">
        <v>34</v>
      </c>
      <c r="F1187" t="s">
        <v>4842</v>
      </c>
      <c r="G1187" t="s">
        <v>6073</v>
      </c>
      <c r="H1187" t="s">
        <v>9675</v>
      </c>
      <c r="L1187" t="s">
        <v>9676</v>
      </c>
      <c r="M1187" t="s">
        <v>6095</v>
      </c>
      <c r="N1187" s="61" t="s">
        <v>9677</v>
      </c>
      <c r="O1187">
        <v>61281</v>
      </c>
    </row>
    <row r="1188" spans="1:15" x14ac:dyDescent="0.2">
      <c r="A1188" t="s">
        <v>4843</v>
      </c>
      <c r="B1188" s="61" t="s">
        <v>9678</v>
      </c>
      <c r="C1188" s="61" t="s">
        <v>34</v>
      </c>
      <c r="F1188" t="s">
        <v>4843</v>
      </c>
      <c r="G1188" t="s">
        <v>6073</v>
      </c>
      <c r="H1188" t="s">
        <v>34</v>
      </c>
      <c r="I1188" t="s">
        <v>34</v>
      </c>
      <c r="L1188" t="s">
        <v>9679</v>
      </c>
      <c r="M1188" t="s">
        <v>6078</v>
      </c>
      <c r="N1188" s="61" t="s">
        <v>7751</v>
      </c>
      <c r="O1188">
        <v>57907</v>
      </c>
    </row>
    <row r="1189" spans="1:15" x14ac:dyDescent="0.2">
      <c r="A1189" t="s">
        <v>4844</v>
      </c>
      <c r="B1189" s="61" t="s">
        <v>9680</v>
      </c>
      <c r="C1189" s="61" t="s">
        <v>34</v>
      </c>
      <c r="F1189" t="s">
        <v>4844</v>
      </c>
      <c r="G1189" t="s">
        <v>6073</v>
      </c>
      <c r="I1189" t="s">
        <v>9681</v>
      </c>
      <c r="L1189" t="s">
        <v>9682</v>
      </c>
      <c r="M1189" t="s">
        <v>6095</v>
      </c>
      <c r="N1189" s="61" t="s">
        <v>7742</v>
      </c>
      <c r="O1189">
        <v>57906</v>
      </c>
    </row>
    <row r="1190" spans="1:15" x14ac:dyDescent="0.2">
      <c r="A1190" t="s">
        <v>4845</v>
      </c>
      <c r="B1190" s="61" t="s">
        <v>9683</v>
      </c>
      <c r="C1190" s="61" t="s">
        <v>34</v>
      </c>
      <c r="F1190" t="s">
        <v>4845</v>
      </c>
      <c r="G1190" t="s">
        <v>6073</v>
      </c>
      <c r="H1190" t="s">
        <v>9684</v>
      </c>
      <c r="J1190" t="s">
        <v>9685</v>
      </c>
      <c r="K1190" t="s">
        <v>9686</v>
      </c>
      <c r="L1190" t="s">
        <v>9687</v>
      </c>
      <c r="M1190" t="s">
        <v>6078</v>
      </c>
      <c r="N1190" s="61" t="s">
        <v>6577</v>
      </c>
      <c r="O1190">
        <v>93937</v>
      </c>
    </row>
    <row r="1191" spans="1:15" x14ac:dyDescent="0.2">
      <c r="A1191" t="s">
        <v>4846</v>
      </c>
      <c r="B1191" s="61" t="s">
        <v>9688</v>
      </c>
      <c r="C1191" s="61" t="s">
        <v>34</v>
      </c>
      <c r="F1191" t="s">
        <v>4846</v>
      </c>
      <c r="G1191" t="s">
        <v>6073</v>
      </c>
      <c r="H1191" t="s">
        <v>34</v>
      </c>
      <c r="I1191" t="s">
        <v>9689</v>
      </c>
      <c r="L1191" t="s">
        <v>9690</v>
      </c>
      <c r="M1191" t="s">
        <v>6078</v>
      </c>
      <c r="N1191" s="61" t="s">
        <v>6122</v>
      </c>
      <c r="O1191">
        <v>57905</v>
      </c>
    </row>
    <row r="1192" spans="1:15" x14ac:dyDescent="0.2">
      <c r="A1192" t="s">
        <v>4847</v>
      </c>
      <c r="B1192" s="61" t="s">
        <v>9691</v>
      </c>
      <c r="C1192" s="61" t="s">
        <v>34</v>
      </c>
      <c r="F1192" t="s">
        <v>4847</v>
      </c>
      <c r="G1192" t="s">
        <v>6073</v>
      </c>
      <c r="H1192" t="s">
        <v>34</v>
      </c>
      <c r="I1192" t="s">
        <v>9692</v>
      </c>
      <c r="L1192" t="s">
        <v>9693</v>
      </c>
      <c r="M1192" t="s">
        <v>7197</v>
      </c>
      <c r="N1192" s="61" t="s">
        <v>9694</v>
      </c>
      <c r="O1192">
        <v>57904</v>
      </c>
    </row>
    <row r="1193" spans="1:15" x14ac:dyDescent="0.2">
      <c r="A1193" t="s">
        <v>4848</v>
      </c>
      <c r="B1193" s="61" t="s">
        <v>9695</v>
      </c>
      <c r="C1193" s="61" t="s">
        <v>34</v>
      </c>
      <c r="F1193" t="s">
        <v>4848</v>
      </c>
      <c r="G1193" t="s">
        <v>6073</v>
      </c>
      <c r="L1193" t="s">
        <v>9696</v>
      </c>
      <c r="M1193" t="s">
        <v>6266</v>
      </c>
      <c r="N1193" s="61" t="s">
        <v>8959</v>
      </c>
      <c r="O1193">
        <v>105658</v>
      </c>
    </row>
    <row r="1194" spans="1:15" x14ac:dyDescent="0.2">
      <c r="A1194" t="s">
        <v>4849</v>
      </c>
      <c r="B1194" s="61" t="s">
        <v>9697</v>
      </c>
      <c r="C1194" s="61" t="s">
        <v>34</v>
      </c>
      <c r="F1194" t="s">
        <v>4849</v>
      </c>
      <c r="G1194" t="s">
        <v>6073</v>
      </c>
      <c r="H1194" t="s">
        <v>34</v>
      </c>
      <c r="I1194" t="s">
        <v>9698</v>
      </c>
      <c r="L1194" t="s">
        <v>9445</v>
      </c>
      <c r="M1194" t="s">
        <v>6095</v>
      </c>
      <c r="N1194" s="61" t="s">
        <v>9446</v>
      </c>
      <c r="O1194">
        <v>57899</v>
      </c>
    </row>
    <row r="1195" spans="1:15" x14ac:dyDescent="0.2">
      <c r="A1195" t="s">
        <v>4850</v>
      </c>
      <c r="B1195" s="61" t="s">
        <v>9699</v>
      </c>
      <c r="C1195" s="61" t="s">
        <v>34</v>
      </c>
      <c r="F1195" t="s">
        <v>4850</v>
      </c>
      <c r="G1195" t="s">
        <v>6073</v>
      </c>
      <c r="H1195" t="s">
        <v>34</v>
      </c>
      <c r="I1195" t="s">
        <v>34</v>
      </c>
      <c r="L1195" t="s">
        <v>9700</v>
      </c>
      <c r="M1195" t="s">
        <v>6078</v>
      </c>
      <c r="N1195" s="61" t="s">
        <v>6110</v>
      </c>
      <c r="O1195">
        <v>57971</v>
      </c>
    </row>
    <row r="1196" spans="1:15" x14ac:dyDescent="0.2">
      <c r="A1196" t="s">
        <v>4851</v>
      </c>
      <c r="B1196" s="61" t="s">
        <v>9701</v>
      </c>
      <c r="C1196" s="61" t="s">
        <v>34</v>
      </c>
      <c r="F1196" t="s">
        <v>4851</v>
      </c>
      <c r="G1196" t="s">
        <v>6073</v>
      </c>
      <c r="H1196" t="s">
        <v>34</v>
      </c>
      <c r="I1196" t="s">
        <v>9702</v>
      </c>
      <c r="L1196" t="s">
        <v>9703</v>
      </c>
      <c r="M1196" t="s">
        <v>6078</v>
      </c>
      <c r="N1196" s="61" t="s">
        <v>6083</v>
      </c>
      <c r="O1196">
        <v>58042</v>
      </c>
    </row>
    <row r="1197" spans="1:15" x14ac:dyDescent="0.2">
      <c r="A1197" t="s">
        <v>4852</v>
      </c>
      <c r="B1197" s="61" t="s">
        <v>9704</v>
      </c>
      <c r="C1197" s="61" t="s">
        <v>34</v>
      </c>
      <c r="F1197" t="s">
        <v>4852</v>
      </c>
      <c r="G1197" t="s">
        <v>6073</v>
      </c>
      <c r="I1197" t="s">
        <v>9705</v>
      </c>
      <c r="L1197" t="s">
        <v>9706</v>
      </c>
      <c r="M1197" t="s">
        <v>6095</v>
      </c>
      <c r="N1197" s="61" t="s">
        <v>9707</v>
      </c>
      <c r="O1197">
        <v>57903</v>
      </c>
    </row>
    <row r="1198" spans="1:15" x14ac:dyDescent="0.2">
      <c r="A1198" t="s">
        <v>483</v>
      </c>
      <c r="B1198" s="61" t="s">
        <v>9708</v>
      </c>
      <c r="C1198" s="61" t="s">
        <v>34</v>
      </c>
      <c r="F1198" t="s">
        <v>483</v>
      </c>
      <c r="G1198" t="s">
        <v>6073</v>
      </c>
      <c r="H1198" t="s">
        <v>9709</v>
      </c>
      <c r="I1198" t="s">
        <v>9710</v>
      </c>
      <c r="L1198" t="s">
        <v>9711</v>
      </c>
      <c r="M1198" t="s">
        <v>6078</v>
      </c>
      <c r="N1198" s="61" t="s">
        <v>6128</v>
      </c>
      <c r="O1198">
        <v>57901</v>
      </c>
    </row>
    <row r="1199" spans="1:15" x14ac:dyDescent="0.2">
      <c r="A1199" t="s">
        <v>4853</v>
      </c>
      <c r="B1199" s="61" t="s">
        <v>9708</v>
      </c>
      <c r="C1199" s="61" t="s">
        <v>34</v>
      </c>
      <c r="F1199" t="s">
        <v>9712</v>
      </c>
      <c r="G1199" t="s">
        <v>6073</v>
      </c>
      <c r="I1199" t="s">
        <v>9710</v>
      </c>
      <c r="L1199" t="s">
        <v>9711</v>
      </c>
      <c r="M1199" t="s">
        <v>6078</v>
      </c>
      <c r="N1199" s="61" t="s">
        <v>6128</v>
      </c>
      <c r="O1199">
        <v>57900</v>
      </c>
    </row>
    <row r="1200" spans="1:15" x14ac:dyDescent="0.2">
      <c r="A1200" t="s">
        <v>4854</v>
      </c>
      <c r="B1200" s="61" t="s">
        <v>9713</v>
      </c>
      <c r="C1200" s="61" t="s">
        <v>34</v>
      </c>
      <c r="F1200" t="s">
        <v>4854</v>
      </c>
      <c r="G1200" t="s">
        <v>6073</v>
      </c>
      <c r="L1200" t="s">
        <v>9714</v>
      </c>
      <c r="M1200" t="s">
        <v>6078</v>
      </c>
      <c r="N1200" s="61" t="s">
        <v>6584</v>
      </c>
      <c r="O1200">
        <v>57898</v>
      </c>
    </row>
    <row r="1201" spans="1:15" x14ac:dyDescent="0.2">
      <c r="A1201" t="s">
        <v>4855</v>
      </c>
      <c r="B1201" s="61" t="s">
        <v>9715</v>
      </c>
      <c r="C1201" s="61" t="s">
        <v>34</v>
      </c>
      <c r="F1201" t="s">
        <v>4855</v>
      </c>
      <c r="G1201" t="s">
        <v>6073</v>
      </c>
      <c r="I1201" t="s">
        <v>9716</v>
      </c>
      <c r="L1201" t="s">
        <v>9717</v>
      </c>
      <c r="M1201" t="s">
        <v>6078</v>
      </c>
      <c r="N1201" s="61" t="s">
        <v>9718</v>
      </c>
      <c r="O1201">
        <v>57897</v>
      </c>
    </row>
    <row r="1202" spans="1:15" x14ac:dyDescent="0.2">
      <c r="A1202" t="s">
        <v>4856</v>
      </c>
      <c r="B1202" s="61" t="s">
        <v>9719</v>
      </c>
      <c r="C1202" s="61" t="s">
        <v>34</v>
      </c>
      <c r="F1202" t="s">
        <v>4856</v>
      </c>
      <c r="G1202" t="s">
        <v>6073</v>
      </c>
      <c r="H1202" t="s">
        <v>34</v>
      </c>
      <c r="I1202" t="s">
        <v>9720</v>
      </c>
      <c r="L1202" t="s">
        <v>9721</v>
      </c>
      <c r="M1202" t="s">
        <v>6240</v>
      </c>
      <c r="N1202" s="61" t="s">
        <v>9722</v>
      </c>
      <c r="O1202">
        <v>57957</v>
      </c>
    </row>
    <row r="1203" spans="1:15" x14ac:dyDescent="0.2">
      <c r="A1203" t="s">
        <v>4857</v>
      </c>
      <c r="B1203" s="61" t="s">
        <v>9723</v>
      </c>
      <c r="C1203" s="61" t="s">
        <v>34</v>
      </c>
      <c r="F1203" t="s">
        <v>4857</v>
      </c>
      <c r="G1203" t="s">
        <v>6073</v>
      </c>
      <c r="H1203" t="s">
        <v>34</v>
      </c>
      <c r="I1203" t="s">
        <v>9724</v>
      </c>
      <c r="L1203" t="s">
        <v>9725</v>
      </c>
      <c r="M1203" t="s">
        <v>6078</v>
      </c>
      <c r="N1203" s="61" t="s">
        <v>6231</v>
      </c>
      <c r="O1203">
        <v>57970</v>
      </c>
    </row>
    <row r="1204" spans="1:15" x14ac:dyDescent="0.2">
      <c r="A1204" t="s">
        <v>4858</v>
      </c>
      <c r="B1204" s="61" t="s">
        <v>9726</v>
      </c>
      <c r="C1204" s="61" t="s">
        <v>34</v>
      </c>
      <c r="F1204" t="s">
        <v>4858</v>
      </c>
      <c r="G1204" t="s">
        <v>6073</v>
      </c>
      <c r="H1204" t="s">
        <v>9727</v>
      </c>
      <c r="L1204" t="s">
        <v>9728</v>
      </c>
      <c r="M1204" t="s">
        <v>6095</v>
      </c>
      <c r="N1204" s="61" t="s">
        <v>8837</v>
      </c>
      <c r="O1204">
        <v>58041</v>
      </c>
    </row>
    <row r="1205" spans="1:15" x14ac:dyDescent="0.2">
      <c r="A1205" t="s">
        <v>4859</v>
      </c>
      <c r="B1205" s="61" t="s">
        <v>9729</v>
      </c>
      <c r="C1205" s="61" t="s">
        <v>34</v>
      </c>
      <c r="F1205" t="s">
        <v>4859</v>
      </c>
      <c r="G1205" t="s">
        <v>6073</v>
      </c>
      <c r="H1205" t="s">
        <v>9727</v>
      </c>
      <c r="M1205" t="s">
        <v>6095</v>
      </c>
      <c r="N1205" s="61" t="s">
        <v>9730</v>
      </c>
      <c r="O1205">
        <v>58040</v>
      </c>
    </row>
    <row r="1206" spans="1:15" x14ac:dyDescent="0.2">
      <c r="A1206" t="s">
        <v>4860</v>
      </c>
      <c r="B1206" s="61" t="s">
        <v>9731</v>
      </c>
      <c r="C1206" s="61" t="s">
        <v>34</v>
      </c>
      <c r="F1206" t="s">
        <v>4860</v>
      </c>
      <c r="G1206" t="s">
        <v>6073</v>
      </c>
      <c r="H1206" t="s">
        <v>34</v>
      </c>
      <c r="I1206" t="s">
        <v>9732</v>
      </c>
      <c r="L1206" t="s">
        <v>9733</v>
      </c>
      <c r="M1206" t="s">
        <v>7489</v>
      </c>
      <c r="N1206" s="61" t="s">
        <v>9734</v>
      </c>
      <c r="O1206">
        <v>58039</v>
      </c>
    </row>
    <row r="1207" spans="1:15" x14ac:dyDescent="0.2">
      <c r="A1207" t="s">
        <v>4861</v>
      </c>
      <c r="B1207" s="61" t="s">
        <v>9735</v>
      </c>
      <c r="C1207" s="61" t="s">
        <v>34</v>
      </c>
      <c r="F1207" t="s">
        <v>4861</v>
      </c>
      <c r="G1207" t="s">
        <v>6073</v>
      </c>
      <c r="H1207" t="s">
        <v>34</v>
      </c>
      <c r="I1207" t="s">
        <v>9736</v>
      </c>
      <c r="L1207" t="s">
        <v>9737</v>
      </c>
      <c r="M1207" t="s">
        <v>6095</v>
      </c>
      <c r="N1207" s="61" t="s">
        <v>9738</v>
      </c>
      <c r="O1207">
        <v>58038</v>
      </c>
    </row>
    <row r="1208" spans="1:15" x14ac:dyDescent="0.2">
      <c r="A1208" t="s">
        <v>4862</v>
      </c>
      <c r="B1208" s="61" t="s">
        <v>9739</v>
      </c>
      <c r="C1208" s="61" t="s">
        <v>34</v>
      </c>
      <c r="F1208" t="s">
        <v>4862</v>
      </c>
      <c r="G1208" t="s">
        <v>6073</v>
      </c>
      <c r="L1208" t="s">
        <v>9740</v>
      </c>
      <c r="M1208" t="s">
        <v>6078</v>
      </c>
      <c r="N1208" s="61" t="s">
        <v>6128</v>
      </c>
      <c r="O1208">
        <v>57567</v>
      </c>
    </row>
    <row r="1209" spans="1:15" x14ac:dyDescent="0.2">
      <c r="A1209" t="s">
        <v>4863</v>
      </c>
      <c r="B1209" s="61" t="s">
        <v>9741</v>
      </c>
      <c r="C1209" s="61" t="s">
        <v>34</v>
      </c>
      <c r="F1209" t="s">
        <v>4863</v>
      </c>
      <c r="G1209" t="s">
        <v>6073</v>
      </c>
      <c r="H1209" t="s">
        <v>9742</v>
      </c>
      <c r="I1209" t="s">
        <v>9743</v>
      </c>
      <c r="J1209" t="s">
        <v>9744</v>
      </c>
      <c r="K1209" t="s">
        <v>9745</v>
      </c>
      <c r="L1209" t="s">
        <v>9746</v>
      </c>
      <c r="M1209" t="s">
        <v>6078</v>
      </c>
      <c r="N1209" s="61" t="s">
        <v>9747</v>
      </c>
      <c r="O1209">
        <v>70039</v>
      </c>
    </row>
    <row r="1210" spans="1:15" x14ac:dyDescent="0.2">
      <c r="A1210" t="s">
        <v>4864</v>
      </c>
      <c r="B1210" s="61" t="s">
        <v>9748</v>
      </c>
      <c r="C1210" s="61" t="s">
        <v>34</v>
      </c>
      <c r="F1210" t="s">
        <v>4864</v>
      </c>
      <c r="G1210" t="s">
        <v>6073</v>
      </c>
      <c r="H1210" t="s">
        <v>34</v>
      </c>
      <c r="I1210" t="s">
        <v>34</v>
      </c>
      <c r="L1210" t="s">
        <v>9749</v>
      </c>
      <c r="M1210" t="s">
        <v>6078</v>
      </c>
      <c r="N1210" s="61" t="s">
        <v>9750</v>
      </c>
      <c r="O1210">
        <v>58037</v>
      </c>
    </row>
    <row r="1211" spans="1:15" x14ac:dyDescent="0.2">
      <c r="A1211" t="s">
        <v>4865</v>
      </c>
      <c r="B1211" s="61" t="s">
        <v>9751</v>
      </c>
      <c r="C1211" s="61" t="s">
        <v>34</v>
      </c>
      <c r="F1211" t="s">
        <v>4865</v>
      </c>
      <c r="G1211" t="s">
        <v>6073</v>
      </c>
      <c r="H1211" t="s">
        <v>9752</v>
      </c>
      <c r="J1211" t="s">
        <v>9753</v>
      </c>
      <c r="K1211" t="s">
        <v>9754</v>
      </c>
      <c r="L1211" t="s">
        <v>9755</v>
      </c>
      <c r="M1211" t="s">
        <v>6078</v>
      </c>
      <c r="N1211" s="61" t="s">
        <v>6083</v>
      </c>
      <c r="O1211">
        <v>117078</v>
      </c>
    </row>
    <row r="1212" spans="1:15" x14ac:dyDescent="0.2">
      <c r="A1212" t="s">
        <v>4866</v>
      </c>
      <c r="B1212" s="61" t="s">
        <v>9756</v>
      </c>
      <c r="C1212" s="61" t="s">
        <v>34</v>
      </c>
      <c r="F1212" t="s">
        <v>4866</v>
      </c>
      <c r="G1212" t="s">
        <v>6073</v>
      </c>
      <c r="H1212" t="s">
        <v>9757</v>
      </c>
      <c r="J1212" t="s">
        <v>9758</v>
      </c>
      <c r="K1212" t="s">
        <v>9759</v>
      </c>
      <c r="L1212" t="s">
        <v>9760</v>
      </c>
      <c r="M1212" t="s">
        <v>6078</v>
      </c>
      <c r="N1212" s="61" t="s">
        <v>6977</v>
      </c>
      <c r="O1212">
        <v>126107</v>
      </c>
    </row>
    <row r="1213" spans="1:15" x14ac:dyDescent="0.2">
      <c r="A1213" t="s">
        <v>4867</v>
      </c>
      <c r="B1213" s="61" t="s">
        <v>9761</v>
      </c>
      <c r="C1213" s="61" t="s">
        <v>34</v>
      </c>
      <c r="F1213" t="s">
        <v>4867</v>
      </c>
      <c r="G1213" t="s">
        <v>6073</v>
      </c>
      <c r="H1213" t="s">
        <v>9762</v>
      </c>
      <c r="J1213" t="s">
        <v>9763</v>
      </c>
      <c r="K1213" t="s">
        <v>9764</v>
      </c>
      <c r="L1213" t="s">
        <v>9765</v>
      </c>
      <c r="M1213" t="s">
        <v>6078</v>
      </c>
      <c r="N1213" s="61" t="s">
        <v>6584</v>
      </c>
      <c r="O1213">
        <v>96699</v>
      </c>
    </row>
    <row r="1214" spans="1:15" x14ac:dyDescent="0.2">
      <c r="A1214" t="s">
        <v>4868</v>
      </c>
      <c r="B1214" s="61" t="s">
        <v>9766</v>
      </c>
      <c r="C1214" s="61" t="s">
        <v>34</v>
      </c>
      <c r="F1214" t="s">
        <v>4868</v>
      </c>
      <c r="G1214" t="s">
        <v>6073</v>
      </c>
      <c r="H1214" t="s">
        <v>9767</v>
      </c>
      <c r="J1214" t="s">
        <v>9768</v>
      </c>
      <c r="K1214" t="s">
        <v>9769</v>
      </c>
      <c r="L1214" t="s">
        <v>9770</v>
      </c>
      <c r="M1214" t="s">
        <v>6078</v>
      </c>
      <c r="N1214" s="61" t="s">
        <v>6122</v>
      </c>
      <c r="O1214">
        <v>117367</v>
      </c>
    </row>
    <row r="1215" spans="1:15" x14ac:dyDescent="0.2">
      <c r="A1215" t="s">
        <v>4869</v>
      </c>
      <c r="B1215" s="61" t="s">
        <v>9771</v>
      </c>
      <c r="C1215" s="61" t="s">
        <v>34</v>
      </c>
      <c r="F1215" t="s">
        <v>4869</v>
      </c>
      <c r="G1215" t="s">
        <v>6073</v>
      </c>
      <c r="H1215" t="s">
        <v>9772</v>
      </c>
      <c r="I1215" t="s">
        <v>9773</v>
      </c>
      <c r="J1215" t="s">
        <v>9774</v>
      </c>
      <c r="K1215" t="s">
        <v>6655</v>
      </c>
      <c r="L1215" t="s">
        <v>9775</v>
      </c>
      <c r="M1215" t="s">
        <v>6078</v>
      </c>
      <c r="N1215" s="61" t="s">
        <v>9776</v>
      </c>
      <c r="O1215">
        <v>88063</v>
      </c>
    </row>
    <row r="1216" spans="1:15" x14ac:dyDescent="0.2">
      <c r="A1216" t="s">
        <v>4870</v>
      </c>
      <c r="B1216" s="61" t="s">
        <v>9777</v>
      </c>
      <c r="C1216" s="61" t="s">
        <v>34</v>
      </c>
      <c r="F1216" t="s">
        <v>4870</v>
      </c>
      <c r="G1216" t="s">
        <v>6073</v>
      </c>
      <c r="H1216" t="s">
        <v>9778</v>
      </c>
      <c r="J1216" t="s">
        <v>9779</v>
      </c>
      <c r="K1216" t="s">
        <v>9780</v>
      </c>
      <c r="L1216" t="s">
        <v>9781</v>
      </c>
      <c r="M1216" t="s">
        <v>6148</v>
      </c>
      <c r="N1216" s="61" t="s">
        <v>9782</v>
      </c>
      <c r="O1216">
        <v>87492</v>
      </c>
    </row>
    <row r="1217" spans="1:15" x14ac:dyDescent="0.2">
      <c r="A1217" t="s">
        <v>4871</v>
      </c>
      <c r="B1217" s="61" t="s">
        <v>9783</v>
      </c>
      <c r="C1217" s="61" t="s">
        <v>34</v>
      </c>
      <c r="F1217" t="s">
        <v>4871</v>
      </c>
      <c r="G1217" t="s">
        <v>6073</v>
      </c>
      <c r="J1217" t="s">
        <v>9784</v>
      </c>
      <c r="K1217" t="s">
        <v>9785</v>
      </c>
      <c r="L1217" t="s">
        <v>9786</v>
      </c>
      <c r="M1217" t="s">
        <v>6078</v>
      </c>
      <c r="N1217" s="61" t="s">
        <v>8441</v>
      </c>
      <c r="O1217">
        <v>117442</v>
      </c>
    </row>
    <row r="1218" spans="1:15" x14ac:dyDescent="0.2">
      <c r="A1218" t="s">
        <v>4872</v>
      </c>
      <c r="B1218" s="61" t="s">
        <v>9787</v>
      </c>
      <c r="C1218" s="61" t="s">
        <v>34</v>
      </c>
      <c r="F1218" t="s">
        <v>4872</v>
      </c>
      <c r="G1218" t="s">
        <v>6073</v>
      </c>
      <c r="H1218" t="s">
        <v>9788</v>
      </c>
      <c r="J1218" t="s">
        <v>9789</v>
      </c>
      <c r="K1218" t="s">
        <v>9790</v>
      </c>
      <c r="L1218" t="s">
        <v>9791</v>
      </c>
      <c r="M1218" t="s">
        <v>6078</v>
      </c>
      <c r="N1218" s="61" t="s">
        <v>6645</v>
      </c>
      <c r="O1218">
        <v>117435</v>
      </c>
    </row>
    <row r="1219" spans="1:15" x14ac:dyDescent="0.2">
      <c r="A1219" t="s">
        <v>4873</v>
      </c>
      <c r="B1219" s="61" t="s">
        <v>9792</v>
      </c>
      <c r="C1219" s="61" t="s">
        <v>34</v>
      </c>
      <c r="F1219" t="s">
        <v>4873</v>
      </c>
      <c r="G1219" t="s">
        <v>6073</v>
      </c>
      <c r="H1219" t="s">
        <v>9793</v>
      </c>
      <c r="J1219" t="s">
        <v>6560</v>
      </c>
      <c r="K1219" t="s">
        <v>9794</v>
      </c>
      <c r="L1219" t="s">
        <v>9795</v>
      </c>
      <c r="M1219" t="s">
        <v>6078</v>
      </c>
      <c r="N1219" s="61" t="s">
        <v>7034</v>
      </c>
      <c r="O1219">
        <v>126054</v>
      </c>
    </row>
    <row r="1220" spans="1:15" x14ac:dyDescent="0.2">
      <c r="A1220" t="s">
        <v>4874</v>
      </c>
      <c r="B1220" s="61" t="s">
        <v>9796</v>
      </c>
      <c r="C1220" s="61" t="s">
        <v>34</v>
      </c>
      <c r="F1220" t="s">
        <v>4874</v>
      </c>
      <c r="G1220" t="s">
        <v>6073</v>
      </c>
      <c r="H1220" t="s">
        <v>34</v>
      </c>
      <c r="I1220" t="s">
        <v>34</v>
      </c>
      <c r="L1220" t="s">
        <v>9797</v>
      </c>
      <c r="M1220" t="s">
        <v>6078</v>
      </c>
      <c r="N1220" s="61" t="s">
        <v>6551</v>
      </c>
      <c r="O1220">
        <v>57902</v>
      </c>
    </row>
    <row r="1221" spans="1:15" x14ac:dyDescent="0.2">
      <c r="A1221" t="s">
        <v>4875</v>
      </c>
      <c r="B1221" s="61"/>
      <c r="C1221" s="61" t="s">
        <v>34</v>
      </c>
      <c r="F1221" t="s">
        <v>4875</v>
      </c>
      <c r="G1221" t="s">
        <v>6073</v>
      </c>
      <c r="H1221" t="s">
        <v>9798</v>
      </c>
      <c r="J1221" t="s">
        <v>201</v>
      </c>
      <c r="K1221" t="s">
        <v>9799</v>
      </c>
      <c r="L1221" t="s">
        <v>9800</v>
      </c>
      <c r="M1221" t="s">
        <v>6078</v>
      </c>
      <c r="N1221" s="61" t="s">
        <v>6386</v>
      </c>
      <c r="O1221">
        <v>115931</v>
      </c>
    </row>
    <row r="1222" spans="1:15" x14ac:dyDescent="0.2">
      <c r="A1222" t="s">
        <v>4876</v>
      </c>
      <c r="B1222" s="61" t="s">
        <v>9801</v>
      </c>
      <c r="C1222" s="61" t="s">
        <v>34</v>
      </c>
      <c r="F1222" t="s">
        <v>4876</v>
      </c>
      <c r="G1222" t="s">
        <v>6073</v>
      </c>
      <c r="H1222" t="s">
        <v>34</v>
      </c>
      <c r="I1222" t="s">
        <v>9802</v>
      </c>
      <c r="L1222" t="s">
        <v>9803</v>
      </c>
      <c r="M1222" t="s">
        <v>6078</v>
      </c>
      <c r="N1222" s="61" t="s">
        <v>6299</v>
      </c>
      <c r="O1222">
        <v>58036</v>
      </c>
    </row>
    <row r="1223" spans="1:15" x14ac:dyDescent="0.2">
      <c r="A1223" t="s">
        <v>4877</v>
      </c>
      <c r="B1223" s="61" t="s">
        <v>9804</v>
      </c>
      <c r="C1223" s="61" t="s">
        <v>34</v>
      </c>
      <c r="F1223" t="s">
        <v>4877</v>
      </c>
      <c r="G1223" t="s">
        <v>6073</v>
      </c>
      <c r="H1223" t="s">
        <v>34</v>
      </c>
      <c r="I1223" t="s">
        <v>9805</v>
      </c>
      <c r="L1223" t="s">
        <v>9806</v>
      </c>
      <c r="M1223" t="s">
        <v>6078</v>
      </c>
      <c r="N1223" s="61" t="s">
        <v>9807</v>
      </c>
      <c r="O1223">
        <v>58035</v>
      </c>
    </row>
    <row r="1224" spans="1:15" x14ac:dyDescent="0.2">
      <c r="A1224" t="s">
        <v>4878</v>
      </c>
      <c r="B1224" s="61" t="s">
        <v>9808</v>
      </c>
      <c r="C1224" s="61" t="s">
        <v>34</v>
      </c>
      <c r="F1224" t="s">
        <v>4878</v>
      </c>
      <c r="G1224" t="s">
        <v>6073</v>
      </c>
      <c r="L1224" t="s">
        <v>9809</v>
      </c>
      <c r="M1224" t="s">
        <v>6078</v>
      </c>
      <c r="N1224" s="61" t="s">
        <v>6386</v>
      </c>
      <c r="O1224">
        <v>58034</v>
      </c>
    </row>
    <row r="1225" spans="1:15" x14ac:dyDescent="0.2">
      <c r="A1225" t="s">
        <v>4879</v>
      </c>
      <c r="B1225" s="61" t="s">
        <v>9810</v>
      </c>
      <c r="C1225" s="61" t="s">
        <v>34</v>
      </c>
      <c r="F1225" t="s">
        <v>4879</v>
      </c>
      <c r="G1225" t="s">
        <v>6073</v>
      </c>
      <c r="H1225" t="s">
        <v>34</v>
      </c>
      <c r="I1225" t="s">
        <v>34</v>
      </c>
      <c r="L1225" t="s">
        <v>9811</v>
      </c>
      <c r="M1225" t="s">
        <v>6078</v>
      </c>
      <c r="N1225" s="61" t="s">
        <v>6083</v>
      </c>
      <c r="O1225">
        <v>58033</v>
      </c>
    </row>
    <row r="1226" spans="1:15" x14ac:dyDescent="0.2">
      <c r="A1226" t="s">
        <v>4880</v>
      </c>
      <c r="B1226" s="61" t="s">
        <v>9812</v>
      </c>
      <c r="C1226" s="61" t="s">
        <v>34</v>
      </c>
      <c r="F1226" t="s">
        <v>4880</v>
      </c>
      <c r="G1226" t="s">
        <v>6073</v>
      </c>
      <c r="L1226" t="s">
        <v>9813</v>
      </c>
      <c r="M1226" t="s">
        <v>6078</v>
      </c>
      <c r="N1226" s="61" t="s">
        <v>6083</v>
      </c>
      <c r="O1226">
        <v>58032</v>
      </c>
    </row>
    <row r="1227" spans="1:15" x14ac:dyDescent="0.2">
      <c r="A1227" t="s">
        <v>4881</v>
      </c>
      <c r="B1227" s="61" t="s">
        <v>9814</v>
      </c>
      <c r="C1227" s="61" t="s">
        <v>34</v>
      </c>
      <c r="F1227" t="s">
        <v>4881</v>
      </c>
      <c r="G1227" t="s">
        <v>6073</v>
      </c>
      <c r="H1227" t="s">
        <v>34</v>
      </c>
      <c r="I1227" t="s">
        <v>34</v>
      </c>
      <c r="L1227" t="s">
        <v>9815</v>
      </c>
      <c r="M1227" t="s">
        <v>6095</v>
      </c>
      <c r="N1227" s="61" t="s">
        <v>9816</v>
      </c>
      <c r="O1227">
        <v>58031</v>
      </c>
    </row>
    <row r="1228" spans="1:15" x14ac:dyDescent="0.2">
      <c r="A1228" t="s">
        <v>4882</v>
      </c>
      <c r="B1228" s="61" t="s">
        <v>9817</v>
      </c>
      <c r="C1228" s="61" t="s">
        <v>34</v>
      </c>
      <c r="F1228" t="s">
        <v>4882</v>
      </c>
      <c r="G1228" t="s">
        <v>6073</v>
      </c>
      <c r="L1228" t="s">
        <v>9818</v>
      </c>
      <c r="M1228" t="s">
        <v>6422</v>
      </c>
      <c r="N1228" s="61" t="s">
        <v>9819</v>
      </c>
      <c r="O1228">
        <v>74087</v>
      </c>
    </row>
    <row r="1229" spans="1:15" x14ac:dyDescent="0.2">
      <c r="A1229" t="s">
        <v>4883</v>
      </c>
      <c r="B1229" s="61" t="s">
        <v>9820</v>
      </c>
      <c r="C1229" s="61" t="s">
        <v>34</v>
      </c>
      <c r="F1229" t="s">
        <v>4883</v>
      </c>
      <c r="G1229" t="s">
        <v>6073</v>
      </c>
      <c r="I1229" t="s">
        <v>9821</v>
      </c>
      <c r="L1229" t="s">
        <v>9822</v>
      </c>
      <c r="M1229" t="s">
        <v>6078</v>
      </c>
      <c r="N1229" s="61" t="s">
        <v>6083</v>
      </c>
      <c r="O1229">
        <v>58030</v>
      </c>
    </row>
    <row r="1230" spans="1:15" x14ac:dyDescent="0.2">
      <c r="A1230" t="s">
        <v>4884</v>
      </c>
      <c r="B1230" s="61" t="s">
        <v>9823</v>
      </c>
      <c r="C1230" s="61" t="s">
        <v>34</v>
      </c>
      <c r="F1230" t="s">
        <v>9824</v>
      </c>
      <c r="G1230" t="s">
        <v>6073</v>
      </c>
      <c r="J1230" t="s">
        <v>9825</v>
      </c>
      <c r="K1230" t="s">
        <v>9826</v>
      </c>
      <c r="L1230" t="s">
        <v>9827</v>
      </c>
      <c r="M1230" t="s">
        <v>6104</v>
      </c>
      <c r="N1230" s="61" t="s">
        <v>9828</v>
      </c>
      <c r="O1230">
        <v>71273</v>
      </c>
    </row>
    <row r="1231" spans="1:15" x14ac:dyDescent="0.2">
      <c r="A1231" t="s">
        <v>4885</v>
      </c>
      <c r="B1231" s="61" t="s">
        <v>9829</v>
      </c>
      <c r="C1231" s="61" t="s">
        <v>34</v>
      </c>
      <c r="F1231" t="s">
        <v>4885</v>
      </c>
      <c r="G1231" t="s">
        <v>6073</v>
      </c>
      <c r="H1231" t="s">
        <v>34</v>
      </c>
      <c r="I1231" t="s">
        <v>34</v>
      </c>
      <c r="L1231" t="s">
        <v>9830</v>
      </c>
      <c r="M1231" t="s">
        <v>6078</v>
      </c>
      <c r="N1231" s="61" t="s">
        <v>9831</v>
      </c>
      <c r="O1231">
        <v>58029</v>
      </c>
    </row>
    <row r="1232" spans="1:15" x14ac:dyDescent="0.2">
      <c r="A1232" t="s">
        <v>4886</v>
      </c>
      <c r="B1232" s="61" t="s">
        <v>9832</v>
      </c>
      <c r="C1232" s="61" t="s">
        <v>34</v>
      </c>
      <c r="F1232" t="s">
        <v>4886</v>
      </c>
      <c r="G1232" t="s">
        <v>6073</v>
      </c>
      <c r="L1232" t="s">
        <v>9833</v>
      </c>
      <c r="M1232" t="s">
        <v>6266</v>
      </c>
      <c r="N1232" s="61" t="s">
        <v>8132</v>
      </c>
      <c r="O1232">
        <v>70660</v>
      </c>
    </row>
    <row r="1233" spans="1:15" x14ac:dyDescent="0.2">
      <c r="A1233" t="s">
        <v>4887</v>
      </c>
      <c r="B1233" s="61" t="s">
        <v>9834</v>
      </c>
      <c r="C1233" s="61" t="s">
        <v>34</v>
      </c>
      <c r="F1233" t="s">
        <v>4887</v>
      </c>
      <c r="G1233" t="s">
        <v>6073</v>
      </c>
      <c r="I1233" t="s">
        <v>9835</v>
      </c>
      <c r="L1233" t="s">
        <v>9836</v>
      </c>
      <c r="M1233" t="s">
        <v>6078</v>
      </c>
      <c r="N1233" s="61" t="s">
        <v>9837</v>
      </c>
      <c r="O1233">
        <v>58028</v>
      </c>
    </row>
    <row r="1234" spans="1:15" x14ac:dyDescent="0.2">
      <c r="A1234" t="s">
        <v>4888</v>
      </c>
      <c r="B1234" s="61" t="s">
        <v>9838</v>
      </c>
      <c r="C1234" s="61" t="s">
        <v>34</v>
      </c>
      <c r="F1234" t="s">
        <v>4888</v>
      </c>
      <c r="G1234" t="s">
        <v>6073</v>
      </c>
      <c r="H1234" t="s">
        <v>34</v>
      </c>
      <c r="I1234" t="s">
        <v>34</v>
      </c>
      <c r="L1234" t="s">
        <v>9839</v>
      </c>
      <c r="M1234" t="s">
        <v>6078</v>
      </c>
      <c r="N1234" s="61" t="s">
        <v>6211</v>
      </c>
      <c r="O1234">
        <v>58027</v>
      </c>
    </row>
    <row r="1235" spans="1:15" x14ac:dyDescent="0.2">
      <c r="A1235" t="s">
        <v>4889</v>
      </c>
      <c r="B1235" s="61" t="s">
        <v>9840</v>
      </c>
      <c r="C1235" s="61" t="s">
        <v>34</v>
      </c>
      <c r="F1235" t="s">
        <v>4889</v>
      </c>
      <c r="G1235" t="s">
        <v>6073</v>
      </c>
      <c r="H1235" t="s">
        <v>34</v>
      </c>
      <c r="I1235" t="s">
        <v>9841</v>
      </c>
      <c r="L1235" t="s">
        <v>9842</v>
      </c>
      <c r="M1235" t="s">
        <v>6266</v>
      </c>
      <c r="N1235" s="61" t="s">
        <v>9843</v>
      </c>
      <c r="O1235">
        <v>58026</v>
      </c>
    </row>
    <row r="1236" spans="1:15" x14ac:dyDescent="0.2">
      <c r="A1236" t="s">
        <v>4890</v>
      </c>
      <c r="B1236" s="61" t="s">
        <v>9844</v>
      </c>
      <c r="C1236" s="61" t="s">
        <v>34</v>
      </c>
      <c r="F1236" t="s">
        <v>4890</v>
      </c>
      <c r="G1236" t="s">
        <v>6073</v>
      </c>
      <c r="H1236" t="s">
        <v>34</v>
      </c>
      <c r="I1236" t="s">
        <v>9845</v>
      </c>
      <c r="L1236" t="s">
        <v>9846</v>
      </c>
      <c r="M1236" t="s">
        <v>6078</v>
      </c>
      <c r="N1236" s="61" t="s">
        <v>9847</v>
      </c>
      <c r="O1236">
        <v>58025</v>
      </c>
    </row>
    <row r="1237" spans="1:15" x14ac:dyDescent="0.2">
      <c r="A1237" t="s">
        <v>4891</v>
      </c>
      <c r="B1237" s="61" t="s">
        <v>9848</v>
      </c>
      <c r="C1237" s="61" t="s">
        <v>34</v>
      </c>
      <c r="F1237" t="s">
        <v>4891</v>
      </c>
      <c r="G1237" t="s">
        <v>6073</v>
      </c>
      <c r="I1237" t="s">
        <v>9849</v>
      </c>
      <c r="L1237" t="s">
        <v>9850</v>
      </c>
      <c r="M1237" t="s">
        <v>6309</v>
      </c>
      <c r="N1237" s="61" t="s">
        <v>9851</v>
      </c>
      <c r="O1237">
        <v>58024</v>
      </c>
    </row>
    <row r="1238" spans="1:15" x14ac:dyDescent="0.2">
      <c r="A1238" t="s">
        <v>4892</v>
      </c>
      <c r="B1238" s="61" t="s">
        <v>9852</v>
      </c>
      <c r="C1238" s="61" t="s">
        <v>34</v>
      </c>
      <c r="F1238" t="s">
        <v>4892</v>
      </c>
      <c r="G1238" t="s">
        <v>6073</v>
      </c>
      <c r="I1238" t="s">
        <v>9853</v>
      </c>
      <c r="L1238" t="s">
        <v>9854</v>
      </c>
      <c r="M1238" t="s">
        <v>6908</v>
      </c>
      <c r="N1238" s="61" t="s">
        <v>9855</v>
      </c>
      <c r="O1238">
        <v>58023</v>
      </c>
    </row>
    <row r="1239" spans="1:15" x14ac:dyDescent="0.2">
      <c r="A1239" t="s">
        <v>4893</v>
      </c>
      <c r="B1239" s="61" t="s">
        <v>9856</v>
      </c>
      <c r="C1239" s="61" t="s">
        <v>34</v>
      </c>
      <c r="F1239" t="s">
        <v>4893</v>
      </c>
      <c r="G1239" t="s">
        <v>6073</v>
      </c>
      <c r="H1239" t="s">
        <v>34</v>
      </c>
      <c r="I1239" t="s">
        <v>34</v>
      </c>
      <c r="L1239" t="s">
        <v>9857</v>
      </c>
      <c r="M1239" t="s">
        <v>6686</v>
      </c>
      <c r="N1239" s="61" t="s">
        <v>9858</v>
      </c>
      <c r="O1239">
        <v>58022</v>
      </c>
    </row>
    <row r="1240" spans="1:15" x14ac:dyDescent="0.2">
      <c r="A1240" t="s">
        <v>4894</v>
      </c>
      <c r="B1240" s="61" t="s">
        <v>9859</v>
      </c>
      <c r="C1240" s="61" t="s">
        <v>34</v>
      </c>
      <c r="F1240" t="s">
        <v>4894</v>
      </c>
      <c r="G1240" t="s">
        <v>6073</v>
      </c>
      <c r="L1240" t="s">
        <v>9860</v>
      </c>
      <c r="M1240" t="s">
        <v>9861</v>
      </c>
      <c r="N1240" s="61" t="s">
        <v>9862</v>
      </c>
      <c r="O1240">
        <v>87783</v>
      </c>
    </row>
    <row r="1241" spans="1:15" x14ac:dyDescent="0.2">
      <c r="A1241" t="s">
        <v>4895</v>
      </c>
      <c r="B1241" s="61" t="s">
        <v>9863</v>
      </c>
      <c r="C1241" s="61" t="s">
        <v>34</v>
      </c>
      <c r="F1241" t="s">
        <v>4895</v>
      </c>
      <c r="G1241" t="s">
        <v>6073</v>
      </c>
      <c r="H1241" t="s">
        <v>34</v>
      </c>
      <c r="I1241" t="s">
        <v>34</v>
      </c>
      <c r="L1241" t="s">
        <v>9864</v>
      </c>
      <c r="M1241" t="s">
        <v>6104</v>
      </c>
      <c r="N1241" s="61" t="s">
        <v>9865</v>
      </c>
      <c r="O1241">
        <v>58043</v>
      </c>
    </row>
    <row r="1242" spans="1:15" x14ac:dyDescent="0.2">
      <c r="A1242" t="s">
        <v>4896</v>
      </c>
      <c r="B1242" s="61" t="s">
        <v>9866</v>
      </c>
      <c r="C1242" s="61" t="s">
        <v>34</v>
      </c>
      <c r="F1242" t="s">
        <v>4896</v>
      </c>
      <c r="G1242" t="s">
        <v>6073</v>
      </c>
      <c r="I1242" t="s">
        <v>9867</v>
      </c>
      <c r="L1242" t="s">
        <v>9868</v>
      </c>
      <c r="M1242" t="s">
        <v>6078</v>
      </c>
      <c r="N1242" s="61" t="s">
        <v>6128</v>
      </c>
      <c r="O1242">
        <v>65837</v>
      </c>
    </row>
    <row r="1243" spans="1:15" x14ac:dyDescent="0.2">
      <c r="A1243" t="s">
        <v>4897</v>
      </c>
      <c r="B1243" s="61" t="s">
        <v>9869</v>
      </c>
      <c r="C1243" s="61" t="s">
        <v>34</v>
      </c>
      <c r="F1243" t="s">
        <v>4897</v>
      </c>
      <c r="G1243" t="s">
        <v>6073</v>
      </c>
      <c r="H1243" t="s">
        <v>34</v>
      </c>
      <c r="I1243" t="s">
        <v>9870</v>
      </c>
      <c r="L1243" t="s">
        <v>9871</v>
      </c>
      <c r="M1243" t="s">
        <v>6148</v>
      </c>
      <c r="N1243" s="61" t="s">
        <v>9872</v>
      </c>
      <c r="O1243">
        <v>58044</v>
      </c>
    </row>
    <row r="1244" spans="1:15" x14ac:dyDescent="0.2">
      <c r="A1244" t="s">
        <v>4898</v>
      </c>
      <c r="B1244" s="61" t="s">
        <v>9873</v>
      </c>
      <c r="C1244" s="61" t="s">
        <v>34</v>
      </c>
      <c r="F1244" t="s">
        <v>4898</v>
      </c>
      <c r="G1244" t="s">
        <v>6073</v>
      </c>
      <c r="I1244" t="s">
        <v>9874</v>
      </c>
      <c r="L1244" t="s">
        <v>9875</v>
      </c>
      <c r="M1244" t="s">
        <v>6078</v>
      </c>
      <c r="N1244" s="61" t="s">
        <v>6128</v>
      </c>
      <c r="O1244">
        <v>58046</v>
      </c>
    </row>
    <row r="1245" spans="1:15" x14ac:dyDescent="0.2">
      <c r="A1245" t="s">
        <v>4899</v>
      </c>
      <c r="B1245" s="61" t="s">
        <v>9876</v>
      </c>
      <c r="C1245" s="61" t="s">
        <v>34</v>
      </c>
      <c r="F1245" t="s">
        <v>4899</v>
      </c>
      <c r="G1245" t="s">
        <v>6073</v>
      </c>
      <c r="H1245" t="s">
        <v>34</v>
      </c>
      <c r="I1245" t="s">
        <v>34</v>
      </c>
      <c r="L1245" t="s">
        <v>9877</v>
      </c>
      <c r="M1245" t="s">
        <v>6078</v>
      </c>
      <c r="N1245" s="61" t="s">
        <v>6164</v>
      </c>
      <c r="O1245">
        <v>58068</v>
      </c>
    </row>
    <row r="1246" spans="1:15" x14ac:dyDescent="0.2">
      <c r="A1246" t="s">
        <v>4900</v>
      </c>
      <c r="B1246" s="61" t="s">
        <v>9878</v>
      </c>
      <c r="C1246" s="61" t="s">
        <v>34</v>
      </c>
      <c r="F1246" t="s">
        <v>4900</v>
      </c>
      <c r="G1246" t="s">
        <v>6073</v>
      </c>
      <c r="H1246" t="s">
        <v>34</v>
      </c>
      <c r="I1246" t="s">
        <v>34</v>
      </c>
      <c r="L1246" t="s">
        <v>9125</v>
      </c>
      <c r="M1246" t="s">
        <v>6078</v>
      </c>
      <c r="N1246" s="61" t="s">
        <v>6128</v>
      </c>
      <c r="O1246">
        <v>58067</v>
      </c>
    </row>
    <row r="1247" spans="1:15" x14ac:dyDescent="0.2">
      <c r="A1247" t="s">
        <v>4901</v>
      </c>
      <c r="B1247" s="61" t="s">
        <v>9879</v>
      </c>
      <c r="C1247" s="61" t="s">
        <v>34</v>
      </c>
      <c r="F1247" t="s">
        <v>4901</v>
      </c>
      <c r="G1247" t="s">
        <v>6073</v>
      </c>
      <c r="H1247" t="s">
        <v>9880</v>
      </c>
      <c r="J1247" t="s">
        <v>9881</v>
      </c>
      <c r="K1247" t="s">
        <v>9882</v>
      </c>
      <c r="L1247" t="s">
        <v>9883</v>
      </c>
      <c r="M1247" t="s">
        <v>6168</v>
      </c>
      <c r="N1247" s="61" t="s">
        <v>9884</v>
      </c>
      <c r="O1247">
        <v>84260</v>
      </c>
    </row>
    <row r="1248" spans="1:15" x14ac:dyDescent="0.2">
      <c r="A1248" t="s">
        <v>4902</v>
      </c>
      <c r="B1248" s="61" t="s">
        <v>9885</v>
      </c>
      <c r="C1248" s="61" t="s">
        <v>34</v>
      </c>
      <c r="F1248" t="s">
        <v>4902</v>
      </c>
      <c r="G1248" t="s">
        <v>6073</v>
      </c>
      <c r="H1248" t="s">
        <v>9886</v>
      </c>
      <c r="J1248" t="s">
        <v>9887</v>
      </c>
      <c r="K1248" t="s">
        <v>9888</v>
      </c>
      <c r="L1248" t="s">
        <v>9889</v>
      </c>
      <c r="M1248" t="s">
        <v>6078</v>
      </c>
      <c r="N1248" s="61" t="s">
        <v>6568</v>
      </c>
      <c r="O1248">
        <v>70784</v>
      </c>
    </row>
    <row r="1249" spans="1:15" x14ac:dyDescent="0.2">
      <c r="A1249" t="s">
        <v>4903</v>
      </c>
      <c r="B1249" s="61" t="s">
        <v>9890</v>
      </c>
      <c r="C1249" s="61" t="s">
        <v>34</v>
      </c>
      <c r="F1249" t="s">
        <v>4903</v>
      </c>
      <c r="G1249" t="s">
        <v>6073</v>
      </c>
      <c r="L1249" t="s">
        <v>9891</v>
      </c>
      <c r="M1249" t="s">
        <v>6635</v>
      </c>
      <c r="N1249" s="61" t="s">
        <v>9892</v>
      </c>
      <c r="O1249">
        <v>119171</v>
      </c>
    </row>
    <row r="1250" spans="1:15" x14ac:dyDescent="0.2">
      <c r="A1250" t="s">
        <v>4904</v>
      </c>
      <c r="B1250" s="61" t="s">
        <v>9893</v>
      </c>
      <c r="C1250" s="61" t="s">
        <v>34</v>
      </c>
      <c r="F1250" t="s">
        <v>4904</v>
      </c>
      <c r="G1250" t="s">
        <v>6073</v>
      </c>
      <c r="H1250" t="s">
        <v>34</v>
      </c>
      <c r="I1250" t="s">
        <v>9894</v>
      </c>
      <c r="L1250" t="s">
        <v>9895</v>
      </c>
      <c r="M1250" t="s">
        <v>6078</v>
      </c>
      <c r="N1250" s="61" t="s">
        <v>6386</v>
      </c>
      <c r="O1250">
        <v>58066</v>
      </c>
    </row>
    <row r="1251" spans="1:15" x14ac:dyDescent="0.2">
      <c r="A1251" t="s">
        <v>4905</v>
      </c>
      <c r="B1251" s="61" t="s">
        <v>9896</v>
      </c>
      <c r="C1251" s="61" t="s">
        <v>34</v>
      </c>
      <c r="F1251" t="s">
        <v>4905</v>
      </c>
      <c r="G1251" t="s">
        <v>6073</v>
      </c>
      <c r="H1251" t="s">
        <v>34</v>
      </c>
      <c r="I1251" t="s">
        <v>9897</v>
      </c>
      <c r="L1251" t="s">
        <v>9898</v>
      </c>
      <c r="M1251" t="s">
        <v>6095</v>
      </c>
      <c r="N1251" s="61" t="s">
        <v>6903</v>
      </c>
      <c r="O1251">
        <v>58065</v>
      </c>
    </row>
    <row r="1252" spans="1:15" x14ac:dyDescent="0.2">
      <c r="A1252" t="s">
        <v>4906</v>
      </c>
      <c r="B1252" s="61" t="s">
        <v>9899</v>
      </c>
      <c r="C1252" s="61" t="s">
        <v>34</v>
      </c>
      <c r="F1252" t="s">
        <v>4906</v>
      </c>
      <c r="G1252" t="s">
        <v>6073</v>
      </c>
      <c r="H1252" t="s">
        <v>9900</v>
      </c>
      <c r="J1252" t="s">
        <v>201</v>
      </c>
      <c r="K1252" t="s">
        <v>9901</v>
      </c>
      <c r="L1252" t="s">
        <v>9902</v>
      </c>
      <c r="M1252" t="s">
        <v>6078</v>
      </c>
      <c r="N1252" s="61" t="s">
        <v>6645</v>
      </c>
      <c r="O1252">
        <v>115451</v>
      </c>
    </row>
    <row r="1253" spans="1:15" x14ac:dyDescent="0.2">
      <c r="A1253" t="s">
        <v>4907</v>
      </c>
      <c r="B1253" s="61" t="s">
        <v>9903</v>
      </c>
      <c r="C1253" s="61" t="s">
        <v>34</v>
      </c>
      <c r="F1253" t="s">
        <v>4907</v>
      </c>
      <c r="G1253" t="s">
        <v>6073</v>
      </c>
      <c r="H1253" t="s">
        <v>34</v>
      </c>
      <c r="I1253" t="s">
        <v>34</v>
      </c>
      <c r="L1253" t="s">
        <v>9904</v>
      </c>
      <c r="M1253" t="s">
        <v>7197</v>
      </c>
      <c r="N1253" s="61" t="s">
        <v>9905</v>
      </c>
      <c r="O1253">
        <v>58064</v>
      </c>
    </row>
    <row r="1254" spans="1:15" x14ac:dyDescent="0.2">
      <c r="A1254" t="s">
        <v>4908</v>
      </c>
      <c r="B1254" s="61" t="s">
        <v>9906</v>
      </c>
      <c r="C1254" s="61" t="s">
        <v>34</v>
      </c>
      <c r="F1254" t="s">
        <v>4908</v>
      </c>
      <c r="G1254" t="s">
        <v>6073</v>
      </c>
      <c r="H1254" t="s">
        <v>34</v>
      </c>
      <c r="I1254" t="s">
        <v>9907</v>
      </c>
      <c r="L1254" t="s">
        <v>9908</v>
      </c>
      <c r="M1254" t="s">
        <v>6104</v>
      </c>
      <c r="N1254" s="61" t="s">
        <v>6204</v>
      </c>
      <c r="O1254">
        <v>58063</v>
      </c>
    </row>
    <row r="1255" spans="1:15" x14ac:dyDescent="0.2">
      <c r="A1255" t="s">
        <v>4909</v>
      </c>
      <c r="B1255" s="61" t="s">
        <v>9909</v>
      </c>
      <c r="C1255" s="61" t="s">
        <v>34</v>
      </c>
      <c r="F1255" t="s">
        <v>4909</v>
      </c>
      <c r="G1255" t="s">
        <v>6073</v>
      </c>
      <c r="J1255" t="s">
        <v>7249</v>
      </c>
      <c r="K1255" t="s">
        <v>8518</v>
      </c>
      <c r="L1255" t="s">
        <v>9910</v>
      </c>
      <c r="M1255" t="s">
        <v>6078</v>
      </c>
      <c r="N1255" s="61" t="s">
        <v>8541</v>
      </c>
      <c r="O1255">
        <v>61737</v>
      </c>
    </row>
    <row r="1256" spans="1:15" x14ac:dyDescent="0.2">
      <c r="A1256" t="s">
        <v>4910</v>
      </c>
      <c r="B1256" s="61" t="s">
        <v>9911</v>
      </c>
      <c r="C1256" s="61" t="s">
        <v>34</v>
      </c>
      <c r="F1256" t="s">
        <v>4910</v>
      </c>
      <c r="G1256" t="s">
        <v>6073</v>
      </c>
      <c r="L1256" t="s">
        <v>9912</v>
      </c>
      <c r="M1256" t="s">
        <v>6078</v>
      </c>
      <c r="N1256" s="61" t="s">
        <v>6977</v>
      </c>
      <c r="O1256">
        <v>58062</v>
      </c>
    </row>
    <row r="1257" spans="1:15" x14ac:dyDescent="0.2">
      <c r="A1257" t="s">
        <v>4911</v>
      </c>
      <c r="B1257" s="61" t="s">
        <v>9913</v>
      </c>
      <c r="C1257" s="61" t="s">
        <v>34</v>
      </c>
      <c r="F1257" t="s">
        <v>4911</v>
      </c>
      <c r="G1257" t="s">
        <v>6073</v>
      </c>
      <c r="H1257" t="s">
        <v>34</v>
      </c>
      <c r="I1257" t="s">
        <v>9914</v>
      </c>
      <c r="L1257" t="s">
        <v>9915</v>
      </c>
      <c r="M1257" t="s">
        <v>6078</v>
      </c>
      <c r="N1257" s="61" t="s">
        <v>6211</v>
      </c>
      <c r="O1257">
        <v>58061</v>
      </c>
    </row>
    <row r="1258" spans="1:15" x14ac:dyDescent="0.2">
      <c r="A1258" t="s">
        <v>4912</v>
      </c>
      <c r="B1258" s="61" t="s">
        <v>9916</v>
      </c>
      <c r="C1258" s="61" t="s">
        <v>34</v>
      </c>
      <c r="F1258" t="s">
        <v>4912</v>
      </c>
      <c r="G1258" t="s">
        <v>6073</v>
      </c>
      <c r="H1258" t="s">
        <v>9917</v>
      </c>
      <c r="I1258" t="s">
        <v>9918</v>
      </c>
      <c r="L1258" t="s">
        <v>9919</v>
      </c>
      <c r="M1258" t="s">
        <v>6078</v>
      </c>
      <c r="N1258" s="61" t="s">
        <v>6128</v>
      </c>
      <c r="O1258">
        <v>58060</v>
      </c>
    </row>
    <row r="1259" spans="1:15" x14ac:dyDescent="0.2">
      <c r="A1259" t="s">
        <v>4913</v>
      </c>
      <c r="B1259" s="61" t="s">
        <v>9920</v>
      </c>
      <c r="C1259" s="61" t="s">
        <v>34</v>
      </c>
      <c r="F1259" t="s">
        <v>4913</v>
      </c>
      <c r="G1259" t="s">
        <v>6073</v>
      </c>
      <c r="I1259" t="s">
        <v>9921</v>
      </c>
      <c r="L1259" t="s">
        <v>9922</v>
      </c>
      <c r="M1259" t="s">
        <v>6078</v>
      </c>
      <c r="N1259" s="61" t="s">
        <v>6223</v>
      </c>
      <c r="O1259">
        <v>58059</v>
      </c>
    </row>
    <row r="1260" spans="1:15" x14ac:dyDescent="0.2">
      <c r="A1260" t="s">
        <v>4914</v>
      </c>
      <c r="B1260" s="61" t="s">
        <v>9923</v>
      </c>
      <c r="C1260" s="61" t="s">
        <v>34</v>
      </c>
      <c r="F1260" t="s">
        <v>4914</v>
      </c>
      <c r="G1260" t="s">
        <v>6073</v>
      </c>
      <c r="H1260" t="s">
        <v>34</v>
      </c>
      <c r="I1260" t="s">
        <v>9924</v>
      </c>
      <c r="L1260" t="s">
        <v>9925</v>
      </c>
      <c r="M1260" t="s">
        <v>6188</v>
      </c>
      <c r="N1260" s="61" t="s">
        <v>9926</v>
      </c>
      <c r="O1260">
        <v>58069</v>
      </c>
    </row>
    <row r="1261" spans="1:15" x14ac:dyDescent="0.2">
      <c r="A1261" t="s">
        <v>4915</v>
      </c>
      <c r="B1261" s="61" t="s">
        <v>9927</v>
      </c>
      <c r="C1261" s="61" t="s">
        <v>34</v>
      </c>
      <c r="F1261" t="s">
        <v>4915</v>
      </c>
      <c r="G1261" t="s">
        <v>6073</v>
      </c>
      <c r="H1261" t="s">
        <v>9928</v>
      </c>
      <c r="J1261" t="s">
        <v>9929</v>
      </c>
      <c r="K1261" t="s">
        <v>8648</v>
      </c>
      <c r="L1261" t="s">
        <v>9930</v>
      </c>
      <c r="M1261" t="s">
        <v>8277</v>
      </c>
      <c r="N1261" s="61" t="s">
        <v>8735</v>
      </c>
      <c r="O1261">
        <v>70548</v>
      </c>
    </row>
    <row r="1262" spans="1:15" x14ac:dyDescent="0.2">
      <c r="A1262" t="s">
        <v>4916</v>
      </c>
      <c r="B1262" s="61" t="s">
        <v>9931</v>
      </c>
      <c r="C1262" s="61" t="s">
        <v>34</v>
      </c>
      <c r="F1262" t="s">
        <v>4916</v>
      </c>
      <c r="G1262" t="s">
        <v>6073</v>
      </c>
      <c r="H1262" t="s">
        <v>34</v>
      </c>
      <c r="I1262" t="s">
        <v>9932</v>
      </c>
      <c r="L1262" t="s">
        <v>9933</v>
      </c>
      <c r="M1262" t="s">
        <v>6078</v>
      </c>
      <c r="N1262" s="61" t="s">
        <v>6114</v>
      </c>
      <c r="O1262">
        <v>58058</v>
      </c>
    </row>
    <row r="1263" spans="1:15" x14ac:dyDescent="0.2">
      <c r="A1263" t="s">
        <v>4917</v>
      </c>
      <c r="B1263" s="61" t="s">
        <v>9934</v>
      </c>
      <c r="C1263" s="61" t="s">
        <v>34</v>
      </c>
      <c r="F1263" t="s">
        <v>4917</v>
      </c>
      <c r="G1263" t="s">
        <v>6073</v>
      </c>
      <c r="I1263" t="s">
        <v>9935</v>
      </c>
      <c r="L1263" t="s">
        <v>9936</v>
      </c>
      <c r="M1263" t="s">
        <v>6078</v>
      </c>
      <c r="N1263" s="61" t="s">
        <v>8254</v>
      </c>
      <c r="O1263">
        <v>58056</v>
      </c>
    </row>
    <row r="1264" spans="1:15" x14ac:dyDescent="0.2">
      <c r="A1264" t="s">
        <v>4918</v>
      </c>
      <c r="B1264" s="61" t="s">
        <v>9937</v>
      </c>
      <c r="C1264" s="61" t="s">
        <v>34</v>
      </c>
      <c r="F1264" t="s">
        <v>4918</v>
      </c>
      <c r="G1264" t="s">
        <v>6073</v>
      </c>
      <c r="H1264" t="s">
        <v>34</v>
      </c>
      <c r="I1264" t="s">
        <v>34</v>
      </c>
      <c r="L1264" t="s">
        <v>9938</v>
      </c>
      <c r="M1264" t="s">
        <v>6078</v>
      </c>
      <c r="N1264" s="61" t="s">
        <v>6128</v>
      </c>
      <c r="O1264">
        <v>58055</v>
      </c>
    </row>
    <row r="1265" spans="1:15" x14ac:dyDescent="0.2">
      <c r="A1265" t="s">
        <v>4919</v>
      </c>
      <c r="B1265" s="61" t="s">
        <v>9939</v>
      </c>
      <c r="C1265" s="61" t="s">
        <v>34</v>
      </c>
      <c r="F1265" t="s">
        <v>4919</v>
      </c>
      <c r="G1265" t="s">
        <v>6073</v>
      </c>
      <c r="I1265" t="s">
        <v>9940</v>
      </c>
      <c r="L1265" t="s">
        <v>9941</v>
      </c>
      <c r="M1265" t="s">
        <v>6908</v>
      </c>
      <c r="N1265" s="61" t="s">
        <v>9942</v>
      </c>
      <c r="O1265">
        <v>58054</v>
      </c>
    </row>
    <row r="1266" spans="1:15" x14ac:dyDescent="0.2">
      <c r="A1266" t="s">
        <v>4920</v>
      </c>
      <c r="B1266" s="61" t="s">
        <v>9943</v>
      </c>
      <c r="C1266" s="61" t="s">
        <v>34</v>
      </c>
      <c r="F1266" t="s">
        <v>4920</v>
      </c>
      <c r="G1266" t="s">
        <v>6073</v>
      </c>
      <c r="I1266" t="s">
        <v>9944</v>
      </c>
      <c r="L1266" t="s">
        <v>9945</v>
      </c>
      <c r="M1266" t="s">
        <v>6078</v>
      </c>
      <c r="N1266" s="61" t="s">
        <v>6211</v>
      </c>
      <c r="O1266">
        <v>58053</v>
      </c>
    </row>
    <row r="1267" spans="1:15" x14ac:dyDescent="0.2">
      <c r="A1267" t="s">
        <v>4921</v>
      </c>
      <c r="B1267" s="61" t="s">
        <v>9946</v>
      </c>
      <c r="C1267" s="61" t="s">
        <v>34</v>
      </c>
      <c r="F1267" t="s">
        <v>4921</v>
      </c>
      <c r="G1267" t="s">
        <v>6073</v>
      </c>
      <c r="H1267" t="s">
        <v>34</v>
      </c>
      <c r="I1267" t="s">
        <v>34</v>
      </c>
      <c r="L1267" t="s">
        <v>9947</v>
      </c>
      <c r="M1267" t="s">
        <v>6078</v>
      </c>
      <c r="N1267" s="61" t="s">
        <v>7255</v>
      </c>
      <c r="O1267">
        <v>58052</v>
      </c>
    </row>
    <row r="1268" spans="1:15" x14ac:dyDescent="0.2">
      <c r="A1268" t="s">
        <v>4922</v>
      </c>
      <c r="B1268" s="61" t="s">
        <v>9948</v>
      </c>
      <c r="C1268" s="61" t="s">
        <v>34</v>
      </c>
      <c r="F1268" t="s">
        <v>4922</v>
      </c>
      <c r="G1268" t="s">
        <v>6073</v>
      </c>
      <c r="H1268" t="s">
        <v>34</v>
      </c>
      <c r="I1268" t="s">
        <v>34</v>
      </c>
      <c r="L1268" t="s">
        <v>9949</v>
      </c>
      <c r="M1268" t="s">
        <v>6078</v>
      </c>
      <c r="N1268" s="61" t="s">
        <v>6118</v>
      </c>
      <c r="O1268">
        <v>58051</v>
      </c>
    </row>
    <row r="1269" spans="1:15" x14ac:dyDescent="0.2">
      <c r="A1269" t="s">
        <v>4923</v>
      </c>
      <c r="B1269" s="61" t="s">
        <v>9950</v>
      </c>
      <c r="C1269" s="61" t="s">
        <v>34</v>
      </c>
      <c r="F1269" t="s">
        <v>4923</v>
      </c>
      <c r="G1269" t="s">
        <v>6073</v>
      </c>
      <c r="H1269" t="s">
        <v>34</v>
      </c>
      <c r="I1269" t="s">
        <v>9951</v>
      </c>
      <c r="L1269" t="s">
        <v>9952</v>
      </c>
      <c r="M1269" t="s">
        <v>6078</v>
      </c>
      <c r="N1269" s="61" t="s">
        <v>8373</v>
      </c>
      <c r="O1269">
        <v>58050</v>
      </c>
    </row>
    <row r="1270" spans="1:15" x14ac:dyDescent="0.2">
      <c r="A1270" t="s">
        <v>4924</v>
      </c>
      <c r="B1270" s="61" t="s">
        <v>8151</v>
      </c>
      <c r="C1270" s="61" t="s">
        <v>34</v>
      </c>
      <c r="F1270" t="s">
        <v>4924</v>
      </c>
      <c r="G1270" t="s">
        <v>6073</v>
      </c>
      <c r="H1270" t="s">
        <v>34</v>
      </c>
      <c r="I1270" t="s">
        <v>34</v>
      </c>
      <c r="L1270" t="s">
        <v>9953</v>
      </c>
      <c r="M1270" t="s">
        <v>6078</v>
      </c>
      <c r="N1270" s="61" t="s">
        <v>6092</v>
      </c>
      <c r="O1270">
        <v>58049</v>
      </c>
    </row>
    <row r="1271" spans="1:15" x14ac:dyDescent="0.2">
      <c r="A1271" t="s">
        <v>4925</v>
      </c>
      <c r="B1271" s="61" t="s">
        <v>34</v>
      </c>
      <c r="C1271" s="61" t="s">
        <v>34</v>
      </c>
      <c r="F1271" t="s">
        <v>4925</v>
      </c>
      <c r="G1271" t="s">
        <v>6073</v>
      </c>
      <c r="H1271" t="s">
        <v>34</v>
      </c>
      <c r="I1271" t="s">
        <v>34</v>
      </c>
      <c r="L1271" t="s">
        <v>34</v>
      </c>
      <c r="N1271" s="61" t="s">
        <v>3784</v>
      </c>
      <c r="O1271">
        <v>58409</v>
      </c>
    </row>
    <row r="1272" spans="1:15" x14ac:dyDescent="0.2">
      <c r="A1272" t="s">
        <v>4926</v>
      </c>
      <c r="B1272" s="61" t="s">
        <v>9954</v>
      </c>
      <c r="C1272" s="61" t="s">
        <v>34</v>
      </c>
      <c r="F1272" t="s">
        <v>4926</v>
      </c>
      <c r="G1272" t="s">
        <v>6073</v>
      </c>
      <c r="I1272" t="s">
        <v>9955</v>
      </c>
      <c r="L1272" t="s">
        <v>9956</v>
      </c>
      <c r="M1272" t="s">
        <v>7197</v>
      </c>
      <c r="N1272" s="61" t="s">
        <v>9957</v>
      </c>
      <c r="O1272">
        <v>67639</v>
      </c>
    </row>
    <row r="1273" spans="1:15" x14ac:dyDescent="0.2">
      <c r="A1273" t="s">
        <v>4927</v>
      </c>
      <c r="B1273" s="61" t="s">
        <v>9958</v>
      </c>
      <c r="C1273" s="61" t="s">
        <v>34</v>
      </c>
      <c r="F1273" t="s">
        <v>4927</v>
      </c>
      <c r="G1273" t="s">
        <v>6073</v>
      </c>
      <c r="I1273" t="s">
        <v>9959</v>
      </c>
      <c r="L1273" t="s">
        <v>9960</v>
      </c>
      <c r="M1273" t="s">
        <v>6078</v>
      </c>
      <c r="N1273" s="61" t="s">
        <v>6853</v>
      </c>
      <c r="O1273">
        <v>58048</v>
      </c>
    </row>
    <row r="1274" spans="1:15" x14ac:dyDescent="0.2">
      <c r="A1274" t="s">
        <v>4928</v>
      </c>
      <c r="B1274" s="61" t="s">
        <v>9961</v>
      </c>
      <c r="C1274" s="61" t="s">
        <v>34</v>
      </c>
      <c r="F1274" t="s">
        <v>4928</v>
      </c>
      <c r="G1274" t="s">
        <v>6073</v>
      </c>
      <c r="I1274" t="s">
        <v>9962</v>
      </c>
      <c r="L1274" t="s">
        <v>9963</v>
      </c>
      <c r="M1274" t="s">
        <v>6422</v>
      </c>
      <c r="N1274" s="61" t="s">
        <v>9964</v>
      </c>
      <c r="O1274">
        <v>70580</v>
      </c>
    </row>
    <row r="1275" spans="1:15" x14ac:dyDescent="0.2">
      <c r="A1275" t="s">
        <v>4929</v>
      </c>
      <c r="B1275" s="61" t="s">
        <v>9965</v>
      </c>
      <c r="C1275" s="61" t="s">
        <v>34</v>
      </c>
      <c r="F1275" t="s">
        <v>4929</v>
      </c>
      <c r="G1275" t="s">
        <v>6073</v>
      </c>
      <c r="H1275" t="s">
        <v>34</v>
      </c>
      <c r="I1275" t="s">
        <v>34</v>
      </c>
      <c r="L1275" t="s">
        <v>9966</v>
      </c>
      <c r="M1275" t="s">
        <v>6078</v>
      </c>
      <c r="N1275" s="61" t="s">
        <v>7391</v>
      </c>
      <c r="O1275">
        <v>58047</v>
      </c>
    </row>
    <row r="1276" spans="1:15" x14ac:dyDescent="0.2">
      <c r="A1276" t="s">
        <v>4930</v>
      </c>
      <c r="B1276" s="61" t="s">
        <v>9967</v>
      </c>
      <c r="C1276" s="61" t="s">
        <v>34</v>
      </c>
      <c r="F1276" t="s">
        <v>4930</v>
      </c>
      <c r="G1276" t="s">
        <v>6073</v>
      </c>
      <c r="H1276" t="s">
        <v>34</v>
      </c>
      <c r="I1276" t="s">
        <v>34</v>
      </c>
      <c r="L1276" t="s">
        <v>9968</v>
      </c>
      <c r="M1276" t="s">
        <v>6078</v>
      </c>
      <c r="N1276" s="61" t="s">
        <v>9969</v>
      </c>
      <c r="O1276">
        <v>58021</v>
      </c>
    </row>
    <row r="1277" spans="1:15" x14ac:dyDescent="0.2">
      <c r="A1277" t="s">
        <v>4931</v>
      </c>
      <c r="B1277" s="61" t="s">
        <v>9970</v>
      </c>
      <c r="C1277" s="61" t="s">
        <v>34</v>
      </c>
      <c r="F1277" t="s">
        <v>4931</v>
      </c>
      <c r="G1277" t="s">
        <v>6073</v>
      </c>
      <c r="H1277" t="s">
        <v>34</v>
      </c>
      <c r="I1277" t="s">
        <v>9971</v>
      </c>
      <c r="L1277" t="s">
        <v>9972</v>
      </c>
      <c r="M1277" t="s">
        <v>6078</v>
      </c>
      <c r="N1277" s="61" t="s">
        <v>6128</v>
      </c>
      <c r="O1277">
        <v>58020</v>
      </c>
    </row>
    <row r="1278" spans="1:15" x14ac:dyDescent="0.2">
      <c r="A1278" t="s">
        <v>4932</v>
      </c>
      <c r="B1278" s="61" t="s">
        <v>9973</v>
      </c>
      <c r="C1278" s="61" t="s">
        <v>34</v>
      </c>
      <c r="F1278" t="s">
        <v>4932</v>
      </c>
      <c r="G1278" t="s">
        <v>6073</v>
      </c>
      <c r="H1278" t="s">
        <v>34</v>
      </c>
      <c r="I1278" t="s">
        <v>34</v>
      </c>
      <c r="L1278" t="s">
        <v>9974</v>
      </c>
      <c r="M1278" t="s">
        <v>6078</v>
      </c>
      <c r="N1278" s="61" t="s">
        <v>8086</v>
      </c>
      <c r="O1278">
        <v>58019</v>
      </c>
    </row>
    <row r="1279" spans="1:15" x14ac:dyDescent="0.2">
      <c r="A1279" t="s">
        <v>4933</v>
      </c>
      <c r="B1279" s="61" t="s">
        <v>9975</v>
      </c>
      <c r="C1279" s="61" t="s">
        <v>34</v>
      </c>
      <c r="F1279" t="s">
        <v>4933</v>
      </c>
      <c r="G1279" t="s">
        <v>6073</v>
      </c>
      <c r="I1279" t="s">
        <v>9976</v>
      </c>
      <c r="L1279" t="s">
        <v>9977</v>
      </c>
      <c r="M1279" t="s">
        <v>6078</v>
      </c>
      <c r="N1279" s="61" t="s">
        <v>6211</v>
      </c>
      <c r="O1279">
        <v>57992</v>
      </c>
    </row>
    <row r="1280" spans="1:15" x14ac:dyDescent="0.2">
      <c r="A1280" t="s">
        <v>4934</v>
      </c>
      <c r="B1280" s="61" t="s">
        <v>9978</v>
      </c>
      <c r="C1280" s="61" t="s">
        <v>34</v>
      </c>
      <c r="F1280" t="s">
        <v>4934</v>
      </c>
      <c r="G1280" t="s">
        <v>6073</v>
      </c>
      <c r="I1280" t="s">
        <v>9979</v>
      </c>
      <c r="L1280" t="s">
        <v>9980</v>
      </c>
      <c r="M1280" t="s">
        <v>6078</v>
      </c>
      <c r="N1280" s="61" t="s">
        <v>6219</v>
      </c>
      <c r="O1280">
        <v>57991</v>
      </c>
    </row>
    <row r="1281" spans="1:15" x14ac:dyDescent="0.2">
      <c r="A1281" t="s">
        <v>4935</v>
      </c>
      <c r="B1281" s="61" t="s">
        <v>9981</v>
      </c>
      <c r="C1281" s="61" t="s">
        <v>34</v>
      </c>
      <c r="F1281" t="s">
        <v>9982</v>
      </c>
      <c r="G1281" t="s">
        <v>6073</v>
      </c>
      <c r="I1281" t="s">
        <v>9983</v>
      </c>
      <c r="L1281" t="s">
        <v>7577</v>
      </c>
      <c r="M1281" t="s">
        <v>6104</v>
      </c>
      <c r="N1281" s="61" t="s">
        <v>9984</v>
      </c>
      <c r="O1281">
        <v>62466</v>
      </c>
    </row>
    <row r="1282" spans="1:15" x14ac:dyDescent="0.2">
      <c r="A1282" t="s">
        <v>4936</v>
      </c>
      <c r="B1282" s="61" t="s">
        <v>9985</v>
      </c>
      <c r="C1282" s="61" t="s">
        <v>9981</v>
      </c>
      <c r="F1282" t="s">
        <v>4936</v>
      </c>
      <c r="G1282" t="s">
        <v>6073</v>
      </c>
      <c r="M1282" t="s">
        <v>6104</v>
      </c>
      <c r="N1282" s="61" t="s">
        <v>9986</v>
      </c>
      <c r="O1282">
        <v>57990</v>
      </c>
    </row>
    <row r="1283" spans="1:15" x14ac:dyDescent="0.2">
      <c r="A1283" t="s">
        <v>4937</v>
      </c>
      <c r="B1283" s="61" t="s">
        <v>9987</v>
      </c>
      <c r="C1283" s="61" t="s">
        <v>34</v>
      </c>
      <c r="F1283" t="s">
        <v>4937</v>
      </c>
      <c r="G1283" t="s">
        <v>6073</v>
      </c>
      <c r="H1283" t="s">
        <v>34</v>
      </c>
      <c r="I1283" t="s">
        <v>9988</v>
      </c>
      <c r="L1283" t="s">
        <v>9989</v>
      </c>
      <c r="M1283" t="s">
        <v>6635</v>
      </c>
      <c r="N1283" s="61" t="s">
        <v>9990</v>
      </c>
      <c r="O1283">
        <v>57989</v>
      </c>
    </row>
    <row r="1284" spans="1:15" x14ac:dyDescent="0.2">
      <c r="A1284" t="s">
        <v>4938</v>
      </c>
      <c r="B1284" s="61" t="s">
        <v>9991</v>
      </c>
      <c r="C1284" s="61" t="s">
        <v>34</v>
      </c>
      <c r="F1284" t="s">
        <v>4938</v>
      </c>
      <c r="G1284" t="s">
        <v>6073</v>
      </c>
      <c r="H1284" t="s">
        <v>34</v>
      </c>
      <c r="I1284" t="s">
        <v>34</v>
      </c>
      <c r="L1284" t="s">
        <v>9992</v>
      </c>
      <c r="M1284" t="s">
        <v>6078</v>
      </c>
      <c r="N1284" s="61" t="s">
        <v>7882</v>
      </c>
      <c r="O1284">
        <v>57988</v>
      </c>
    </row>
    <row r="1285" spans="1:15" x14ac:dyDescent="0.2">
      <c r="A1285" t="s">
        <v>4939</v>
      </c>
      <c r="B1285" s="61" t="s">
        <v>9993</v>
      </c>
      <c r="C1285" s="61" t="s">
        <v>34</v>
      </c>
      <c r="F1285" t="s">
        <v>4939</v>
      </c>
      <c r="G1285" t="s">
        <v>6073</v>
      </c>
      <c r="H1285" t="s">
        <v>34</v>
      </c>
      <c r="I1285" t="s">
        <v>34</v>
      </c>
      <c r="L1285" t="s">
        <v>9994</v>
      </c>
      <c r="M1285" t="s">
        <v>6078</v>
      </c>
      <c r="N1285" s="61" t="s">
        <v>9995</v>
      </c>
      <c r="O1285">
        <v>57987</v>
      </c>
    </row>
    <row r="1286" spans="1:15" x14ac:dyDescent="0.2">
      <c r="A1286" t="s">
        <v>4940</v>
      </c>
      <c r="B1286" s="61" t="s">
        <v>9996</v>
      </c>
      <c r="C1286" s="61" t="s">
        <v>34</v>
      </c>
      <c r="F1286" t="s">
        <v>4940</v>
      </c>
      <c r="G1286" t="s">
        <v>6073</v>
      </c>
      <c r="H1286" t="s">
        <v>34</v>
      </c>
      <c r="I1286" t="s">
        <v>9997</v>
      </c>
      <c r="L1286" t="s">
        <v>9998</v>
      </c>
      <c r="M1286" t="s">
        <v>6095</v>
      </c>
      <c r="N1286" s="61" t="s">
        <v>6473</v>
      </c>
      <c r="O1286">
        <v>57986</v>
      </c>
    </row>
    <row r="1287" spans="1:15" x14ac:dyDescent="0.2">
      <c r="A1287" t="s">
        <v>4941</v>
      </c>
      <c r="B1287" s="61" t="s">
        <v>9999</v>
      </c>
      <c r="C1287" s="61" t="s">
        <v>34</v>
      </c>
      <c r="F1287" t="s">
        <v>4941</v>
      </c>
      <c r="G1287" t="s">
        <v>6073</v>
      </c>
      <c r="H1287" t="s">
        <v>10000</v>
      </c>
      <c r="J1287" t="s">
        <v>7569</v>
      </c>
      <c r="K1287" t="s">
        <v>10001</v>
      </c>
      <c r="L1287" t="s">
        <v>10002</v>
      </c>
      <c r="M1287" t="s">
        <v>6078</v>
      </c>
      <c r="N1287" s="61" t="s">
        <v>10003</v>
      </c>
      <c r="O1287">
        <v>120309</v>
      </c>
    </row>
    <row r="1288" spans="1:15" x14ac:dyDescent="0.2">
      <c r="A1288" t="s">
        <v>4942</v>
      </c>
      <c r="B1288" s="61" t="s">
        <v>10004</v>
      </c>
      <c r="C1288" s="61" t="s">
        <v>34</v>
      </c>
      <c r="F1288" t="s">
        <v>4942</v>
      </c>
      <c r="G1288" t="s">
        <v>6073</v>
      </c>
      <c r="H1288" t="s">
        <v>10005</v>
      </c>
      <c r="J1288" t="s">
        <v>8080</v>
      </c>
      <c r="K1288" t="s">
        <v>10006</v>
      </c>
      <c r="L1288" t="s">
        <v>10007</v>
      </c>
      <c r="M1288" t="s">
        <v>6078</v>
      </c>
      <c r="N1288" s="61" t="s">
        <v>6211</v>
      </c>
      <c r="O1288">
        <v>115382</v>
      </c>
    </row>
    <row r="1289" spans="1:15" x14ac:dyDescent="0.2">
      <c r="A1289" t="s">
        <v>4943</v>
      </c>
      <c r="B1289" s="61" t="s">
        <v>10008</v>
      </c>
      <c r="C1289" s="61" t="s">
        <v>34</v>
      </c>
      <c r="F1289" t="s">
        <v>4943</v>
      </c>
      <c r="G1289" t="s">
        <v>6073</v>
      </c>
      <c r="J1289" t="s">
        <v>10009</v>
      </c>
      <c r="K1289" t="s">
        <v>10010</v>
      </c>
      <c r="L1289" t="s">
        <v>10011</v>
      </c>
      <c r="M1289" t="s">
        <v>6078</v>
      </c>
      <c r="N1289" s="61" t="s">
        <v>6645</v>
      </c>
      <c r="O1289">
        <v>89084</v>
      </c>
    </row>
    <row r="1290" spans="1:15" x14ac:dyDescent="0.2">
      <c r="A1290" t="s">
        <v>4944</v>
      </c>
      <c r="B1290" s="61" t="s">
        <v>34</v>
      </c>
      <c r="C1290" s="61" t="s">
        <v>34</v>
      </c>
      <c r="F1290" t="s">
        <v>4944</v>
      </c>
      <c r="G1290" t="s">
        <v>6073</v>
      </c>
      <c r="H1290" t="s">
        <v>34</v>
      </c>
      <c r="I1290" t="s">
        <v>34</v>
      </c>
      <c r="L1290" t="s">
        <v>34</v>
      </c>
      <c r="N1290" s="61" t="s">
        <v>3784</v>
      </c>
      <c r="O1290">
        <v>57994</v>
      </c>
    </row>
    <row r="1291" spans="1:15" x14ac:dyDescent="0.2">
      <c r="A1291" t="s">
        <v>4945</v>
      </c>
      <c r="B1291" s="61" t="s">
        <v>10012</v>
      </c>
      <c r="C1291" s="61" t="s">
        <v>34</v>
      </c>
      <c r="F1291" t="s">
        <v>4945</v>
      </c>
      <c r="G1291" t="s">
        <v>6073</v>
      </c>
      <c r="I1291" t="s">
        <v>10013</v>
      </c>
      <c r="L1291" t="s">
        <v>10014</v>
      </c>
      <c r="M1291" t="s">
        <v>6078</v>
      </c>
      <c r="N1291" s="61" t="s">
        <v>7882</v>
      </c>
      <c r="O1291">
        <v>57984</v>
      </c>
    </row>
    <row r="1292" spans="1:15" x14ac:dyDescent="0.2">
      <c r="A1292" t="s">
        <v>4946</v>
      </c>
      <c r="B1292" s="61" t="s">
        <v>10015</v>
      </c>
      <c r="C1292" s="61" t="s">
        <v>34</v>
      </c>
      <c r="F1292" t="s">
        <v>4946</v>
      </c>
      <c r="G1292" t="s">
        <v>6073</v>
      </c>
      <c r="L1292" t="s">
        <v>10016</v>
      </c>
      <c r="M1292" t="s">
        <v>6078</v>
      </c>
      <c r="N1292" s="61" t="s">
        <v>6083</v>
      </c>
      <c r="O1292">
        <v>57983</v>
      </c>
    </row>
    <row r="1293" spans="1:15" x14ac:dyDescent="0.2">
      <c r="A1293" t="s">
        <v>4947</v>
      </c>
      <c r="B1293" s="61" t="s">
        <v>10017</v>
      </c>
      <c r="C1293" s="61" t="s">
        <v>34</v>
      </c>
      <c r="F1293" t="s">
        <v>4947</v>
      </c>
      <c r="G1293" t="s">
        <v>6073</v>
      </c>
      <c r="I1293" t="s">
        <v>10018</v>
      </c>
      <c r="L1293" t="s">
        <v>10019</v>
      </c>
      <c r="M1293" t="s">
        <v>6078</v>
      </c>
      <c r="N1293" s="61" t="s">
        <v>6182</v>
      </c>
      <c r="O1293">
        <v>57982</v>
      </c>
    </row>
    <row r="1294" spans="1:15" x14ac:dyDescent="0.2">
      <c r="A1294" t="s">
        <v>4948</v>
      </c>
      <c r="B1294" s="61" t="s">
        <v>10020</v>
      </c>
      <c r="C1294" s="61" t="s">
        <v>34</v>
      </c>
      <c r="F1294" t="s">
        <v>4948</v>
      </c>
      <c r="G1294" t="s">
        <v>6073</v>
      </c>
      <c r="L1294" t="s">
        <v>6085</v>
      </c>
      <c r="M1294" t="s">
        <v>6078</v>
      </c>
      <c r="N1294" s="61" t="s">
        <v>6086</v>
      </c>
      <c r="O1294">
        <v>84576</v>
      </c>
    </row>
    <row r="1295" spans="1:15" x14ac:dyDescent="0.2">
      <c r="A1295" t="s">
        <v>4949</v>
      </c>
      <c r="B1295" s="61" t="s">
        <v>10021</v>
      </c>
      <c r="C1295" s="61" t="s">
        <v>34</v>
      </c>
      <c r="F1295" t="s">
        <v>4949</v>
      </c>
      <c r="G1295" t="s">
        <v>6073</v>
      </c>
      <c r="L1295" t="s">
        <v>10022</v>
      </c>
      <c r="M1295" t="s">
        <v>6078</v>
      </c>
      <c r="N1295" s="61" t="s">
        <v>7735</v>
      </c>
      <c r="O1295">
        <v>57981</v>
      </c>
    </row>
    <row r="1296" spans="1:15" x14ac:dyDescent="0.2">
      <c r="A1296" t="s">
        <v>4950</v>
      </c>
      <c r="B1296" s="61" t="s">
        <v>10023</v>
      </c>
      <c r="C1296" s="61" t="s">
        <v>34</v>
      </c>
      <c r="F1296" t="s">
        <v>4950</v>
      </c>
      <c r="G1296" t="s">
        <v>6073</v>
      </c>
      <c r="I1296" t="s">
        <v>10024</v>
      </c>
      <c r="L1296" t="s">
        <v>10025</v>
      </c>
      <c r="M1296" t="s">
        <v>6078</v>
      </c>
      <c r="N1296" s="61" t="s">
        <v>6145</v>
      </c>
      <c r="O1296">
        <v>57980</v>
      </c>
    </row>
    <row r="1297" spans="1:15" x14ac:dyDescent="0.2">
      <c r="A1297" t="s">
        <v>4951</v>
      </c>
      <c r="B1297" s="61" t="s">
        <v>10026</v>
      </c>
      <c r="C1297" s="61" t="s">
        <v>34</v>
      </c>
      <c r="F1297" t="s">
        <v>4951</v>
      </c>
      <c r="G1297" t="s">
        <v>6073</v>
      </c>
      <c r="H1297" t="s">
        <v>34</v>
      </c>
      <c r="I1297" t="s">
        <v>34</v>
      </c>
      <c r="L1297" t="s">
        <v>10027</v>
      </c>
      <c r="M1297" t="s">
        <v>6309</v>
      </c>
      <c r="N1297" s="61" t="s">
        <v>10028</v>
      </c>
      <c r="O1297">
        <v>57979</v>
      </c>
    </row>
    <row r="1298" spans="1:15" x14ac:dyDescent="0.2">
      <c r="A1298" t="s">
        <v>4952</v>
      </c>
      <c r="B1298" s="61" t="s">
        <v>10029</v>
      </c>
      <c r="C1298" s="61" t="s">
        <v>34</v>
      </c>
      <c r="F1298" t="s">
        <v>4952</v>
      </c>
      <c r="G1298" t="s">
        <v>6073</v>
      </c>
      <c r="L1298" t="s">
        <v>10030</v>
      </c>
      <c r="M1298" t="s">
        <v>7683</v>
      </c>
      <c r="N1298" s="61" t="s">
        <v>10031</v>
      </c>
      <c r="O1298">
        <v>57978</v>
      </c>
    </row>
    <row r="1299" spans="1:15" x14ac:dyDescent="0.2">
      <c r="A1299" t="s">
        <v>4953</v>
      </c>
      <c r="B1299" s="61" t="s">
        <v>10032</v>
      </c>
      <c r="C1299" s="61" t="s">
        <v>34</v>
      </c>
      <c r="F1299" t="s">
        <v>4953</v>
      </c>
      <c r="G1299" t="s">
        <v>6073</v>
      </c>
      <c r="H1299" t="s">
        <v>34</v>
      </c>
      <c r="I1299" t="s">
        <v>34</v>
      </c>
      <c r="L1299" t="s">
        <v>10033</v>
      </c>
      <c r="M1299" t="s">
        <v>6078</v>
      </c>
      <c r="N1299" s="61" t="s">
        <v>6079</v>
      </c>
      <c r="O1299">
        <v>57977</v>
      </c>
    </row>
    <row r="1300" spans="1:15" x14ac:dyDescent="0.2">
      <c r="A1300" t="s">
        <v>4954</v>
      </c>
      <c r="B1300" s="61" t="s">
        <v>10034</v>
      </c>
      <c r="C1300" s="61" t="s">
        <v>34</v>
      </c>
      <c r="F1300" t="s">
        <v>4954</v>
      </c>
      <c r="G1300" t="s">
        <v>6073</v>
      </c>
      <c r="H1300" t="s">
        <v>10035</v>
      </c>
      <c r="I1300" t="s">
        <v>10036</v>
      </c>
      <c r="L1300" t="s">
        <v>10037</v>
      </c>
      <c r="M1300" t="s">
        <v>6078</v>
      </c>
      <c r="N1300" s="61" t="s">
        <v>6079</v>
      </c>
      <c r="O1300">
        <v>57976</v>
      </c>
    </row>
    <row r="1301" spans="1:15" x14ac:dyDescent="0.2">
      <c r="A1301" t="s">
        <v>4955</v>
      </c>
      <c r="B1301" s="61" t="s">
        <v>10038</v>
      </c>
      <c r="C1301" s="61" t="s">
        <v>34</v>
      </c>
      <c r="F1301" t="s">
        <v>4955</v>
      </c>
      <c r="G1301" t="s">
        <v>6073</v>
      </c>
      <c r="H1301" t="s">
        <v>34</v>
      </c>
      <c r="I1301" t="s">
        <v>10039</v>
      </c>
      <c r="L1301" t="s">
        <v>10040</v>
      </c>
      <c r="M1301" t="s">
        <v>6078</v>
      </c>
      <c r="N1301" s="61" t="s">
        <v>6386</v>
      </c>
      <c r="O1301">
        <v>57975</v>
      </c>
    </row>
    <row r="1302" spans="1:15" x14ac:dyDescent="0.2">
      <c r="A1302" t="s">
        <v>4956</v>
      </c>
      <c r="B1302" s="61" t="s">
        <v>10041</v>
      </c>
      <c r="C1302" s="61" t="s">
        <v>34</v>
      </c>
      <c r="F1302" t="s">
        <v>4956</v>
      </c>
      <c r="G1302" t="s">
        <v>6073</v>
      </c>
      <c r="H1302" t="s">
        <v>34</v>
      </c>
      <c r="I1302" t="s">
        <v>34</v>
      </c>
      <c r="L1302" t="s">
        <v>10042</v>
      </c>
      <c r="M1302" t="s">
        <v>6078</v>
      </c>
      <c r="N1302" s="61" t="s">
        <v>7465</v>
      </c>
      <c r="O1302">
        <v>57974</v>
      </c>
    </row>
    <row r="1303" spans="1:15" x14ac:dyDescent="0.2">
      <c r="A1303" t="s">
        <v>4957</v>
      </c>
      <c r="B1303" s="61" t="s">
        <v>10043</v>
      </c>
      <c r="C1303" s="61" t="s">
        <v>34</v>
      </c>
      <c r="F1303" t="s">
        <v>4957</v>
      </c>
      <c r="G1303" t="s">
        <v>6073</v>
      </c>
      <c r="I1303" t="s">
        <v>10044</v>
      </c>
      <c r="L1303" t="s">
        <v>10045</v>
      </c>
      <c r="M1303" t="s">
        <v>6095</v>
      </c>
      <c r="N1303" s="61" t="s">
        <v>6141</v>
      </c>
      <c r="O1303">
        <v>65100</v>
      </c>
    </row>
    <row r="1304" spans="1:15" x14ac:dyDescent="0.2">
      <c r="A1304" t="s">
        <v>4958</v>
      </c>
      <c r="B1304" s="61" t="s">
        <v>34</v>
      </c>
      <c r="C1304" s="61" t="s">
        <v>34</v>
      </c>
      <c r="F1304" t="s">
        <v>4958</v>
      </c>
      <c r="G1304" t="s">
        <v>6073</v>
      </c>
      <c r="H1304" t="s">
        <v>34</v>
      </c>
      <c r="I1304" t="s">
        <v>34</v>
      </c>
      <c r="L1304" t="s">
        <v>34</v>
      </c>
      <c r="N1304" s="61" t="s">
        <v>3784</v>
      </c>
      <c r="O1304">
        <v>58408</v>
      </c>
    </row>
    <row r="1305" spans="1:15" x14ac:dyDescent="0.2">
      <c r="A1305" t="s">
        <v>4959</v>
      </c>
      <c r="B1305" s="61" t="s">
        <v>10046</v>
      </c>
      <c r="C1305" s="61" t="s">
        <v>34</v>
      </c>
      <c r="F1305" t="s">
        <v>4959</v>
      </c>
      <c r="G1305" t="s">
        <v>6073</v>
      </c>
      <c r="I1305" t="s">
        <v>10047</v>
      </c>
      <c r="L1305" t="s">
        <v>10048</v>
      </c>
      <c r="M1305" t="s">
        <v>6078</v>
      </c>
      <c r="N1305" s="61" t="s">
        <v>7696</v>
      </c>
      <c r="O1305">
        <v>57973</v>
      </c>
    </row>
    <row r="1306" spans="1:15" x14ac:dyDescent="0.2">
      <c r="A1306" t="s">
        <v>4960</v>
      </c>
      <c r="B1306" s="61" t="s">
        <v>10049</v>
      </c>
      <c r="C1306" s="61" t="s">
        <v>34</v>
      </c>
      <c r="F1306" t="s">
        <v>4960</v>
      </c>
      <c r="G1306" t="s">
        <v>6073</v>
      </c>
      <c r="I1306" t="s">
        <v>10050</v>
      </c>
      <c r="L1306" t="s">
        <v>10051</v>
      </c>
      <c r="M1306" t="s">
        <v>6078</v>
      </c>
      <c r="N1306" s="61" t="s">
        <v>10052</v>
      </c>
      <c r="O1306">
        <v>57972</v>
      </c>
    </row>
    <row r="1307" spans="1:15" x14ac:dyDescent="0.2">
      <c r="A1307" t="s">
        <v>4961</v>
      </c>
      <c r="B1307" s="61" t="s">
        <v>10053</v>
      </c>
      <c r="C1307" s="61" t="s">
        <v>34</v>
      </c>
      <c r="F1307" t="s">
        <v>4961</v>
      </c>
      <c r="G1307" t="s">
        <v>6073</v>
      </c>
      <c r="H1307" t="s">
        <v>34</v>
      </c>
      <c r="I1307" t="s">
        <v>34</v>
      </c>
      <c r="L1307" t="s">
        <v>10054</v>
      </c>
      <c r="M1307" t="s">
        <v>6078</v>
      </c>
      <c r="N1307" s="61" t="s">
        <v>6079</v>
      </c>
      <c r="O1307">
        <v>57993</v>
      </c>
    </row>
    <row r="1308" spans="1:15" x14ac:dyDescent="0.2">
      <c r="A1308" t="s">
        <v>4962</v>
      </c>
      <c r="B1308" s="61" t="s">
        <v>10055</v>
      </c>
      <c r="C1308" s="61" t="s">
        <v>34</v>
      </c>
      <c r="F1308" t="s">
        <v>4962</v>
      </c>
      <c r="G1308" t="s">
        <v>6073</v>
      </c>
      <c r="J1308" t="s">
        <v>10056</v>
      </c>
      <c r="K1308" t="s">
        <v>10057</v>
      </c>
      <c r="L1308" t="s">
        <v>7706</v>
      </c>
      <c r="M1308" t="s">
        <v>6078</v>
      </c>
      <c r="N1308" s="61" t="s">
        <v>6444</v>
      </c>
      <c r="O1308">
        <v>75709</v>
      </c>
    </row>
    <row r="1309" spans="1:15" x14ac:dyDescent="0.2">
      <c r="A1309" t="s">
        <v>4963</v>
      </c>
      <c r="B1309" s="61" t="s">
        <v>10058</v>
      </c>
      <c r="C1309" s="61" t="s">
        <v>34</v>
      </c>
      <c r="F1309" t="s">
        <v>4963</v>
      </c>
      <c r="G1309" t="s">
        <v>6073</v>
      </c>
      <c r="H1309" t="s">
        <v>34</v>
      </c>
      <c r="I1309" t="s">
        <v>34</v>
      </c>
      <c r="L1309" t="s">
        <v>10059</v>
      </c>
      <c r="M1309" t="s">
        <v>6078</v>
      </c>
      <c r="N1309" s="61" t="s">
        <v>6811</v>
      </c>
      <c r="O1309">
        <v>57995</v>
      </c>
    </row>
    <row r="1310" spans="1:15" x14ac:dyDescent="0.2">
      <c r="A1310" t="s">
        <v>4964</v>
      </c>
      <c r="B1310" s="61" t="s">
        <v>10060</v>
      </c>
      <c r="C1310" s="61" t="s">
        <v>34</v>
      </c>
      <c r="F1310" t="s">
        <v>4964</v>
      </c>
      <c r="G1310" t="s">
        <v>6073</v>
      </c>
      <c r="H1310" t="s">
        <v>34</v>
      </c>
      <c r="I1310" t="s">
        <v>10061</v>
      </c>
      <c r="L1310" t="s">
        <v>10062</v>
      </c>
      <c r="M1310" t="s">
        <v>6078</v>
      </c>
      <c r="N1310" s="61" t="s">
        <v>6584</v>
      </c>
      <c r="O1310">
        <v>58018</v>
      </c>
    </row>
    <row r="1311" spans="1:15" x14ac:dyDescent="0.2">
      <c r="A1311" t="s">
        <v>4965</v>
      </c>
      <c r="B1311" s="61" t="s">
        <v>10063</v>
      </c>
      <c r="C1311" s="61" t="s">
        <v>34</v>
      </c>
      <c r="F1311" t="s">
        <v>10064</v>
      </c>
      <c r="G1311" t="s">
        <v>6073</v>
      </c>
      <c r="I1311" t="s">
        <v>10065</v>
      </c>
      <c r="L1311" t="s">
        <v>10066</v>
      </c>
      <c r="M1311" t="s">
        <v>6078</v>
      </c>
      <c r="N1311" s="61" t="s">
        <v>10067</v>
      </c>
      <c r="O1311">
        <v>57996</v>
      </c>
    </row>
    <row r="1312" spans="1:15" x14ac:dyDescent="0.2">
      <c r="A1312" t="s">
        <v>4966</v>
      </c>
      <c r="B1312" s="61" t="s">
        <v>10068</v>
      </c>
      <c r="C1312" s="61" t="s">
        <v>34</v>
      </c>
      <c r="F1312" t="s">
        <v>4966</v>
      </c>
      <c r="G1312" t="s">
        <v>6073</v>
      </c>
      <c r="I1312" t="s">
        <v>10069</v>
      </c>
      <c r="L1312" t="s">
        <v>10070</v>
      </c>
      <c r="M1312" t="s">
        <v>6266</v>
      </c>
      <c r="N1312" s="61" t="s">
        <v>8579</v>
      </c>
      <c r="O1312">
        <v>58017</v>
      </c>
    </row>
    <row r="1313" spans="1:15" x14ac:dyDescent="0.2">
      <c r="A1313" t="s">
        <v>4967</v>
      </c>
      <c r="B1313" s="61" t="s">
        <v>10071</v>
      </c>
      <c r="C1313" s="61" t="s">
        <v>34</v>
      </c>
      <c r="F1313" t="s">
        <v>4967</v>
      </c>
      <c r="G1313" t="s">
        <v>6073</v>
      </c>
      <c r="H1313" t="s">
        <v>34</v>
      </c>
      <c r="I1313" t="s">
        <v>10072</v>
      </c>
      <c r="L1313" t="s">
        <v>10073</v>
      </c>
      <c r="M1313" t="s">
        <v>6078</v>
      </c>
      <c r="N1313" s="61" t="s">
        <v>6988</v>
      </c>
      <c r="O1313">
        <v>58016</v>
      </c>
    </row>
    <row r="1314" spans="1:15" x14ac:dyDescent="0.2">
      <c r="A1314" t="s">
        <v>4968</v>
      </c>
      <c r="B1314" s="61" t="s">
        <v>10074</v>
      </c>
      <c r="C1314" s="61" t="s">
        <v>34</v>
      </c>
      <c r="F1314" t="s">
        <v>4968</v>
      </c>
      <c r="G1314" t="s">
        <v>6073</v>
      </c>
      <c r="L1314" t="s">
        <v>10075</v>
      </c>
      <c r="M1314" t="s">
        <v>6078</v>
      </c>
      <c r="N1314" s="61" t="s">
        <v>6100</v>
      </c>
      <c r="O1314">
        <v>58015</v>
      </c>
    </row>
    <row r="1315" spans="1:15" x14ac:dyDescent="0.2">
      <c r="A1315" t="s">
        <v>4969</v>
      </c>
      <c r="B1315" s="61" t="s">
        <v>10076</v>
      </c>
      <c r="C1315" s="61" t="s">
        <v>34</v>
      </c>
      <c r="F1315" t="s">
        <v>4969</v>
      </c>
      <c r="G1315" t="s">
        <v>6073</v>
      </c>
      <c r="M1315" t="s">
        <v>6104</v>
      </c>
      <c r="N1315" s="61" t="s">
        <v>10077</v>
      </c>
      <c r="O1315">
        <v>58014</v>
      </c>
    </row>
    <row r="1316" spans="1:15" x14ac:dyDescent="0.2">
      <c r="A1316" t="s">
        <v>4970</v>
      </c>
      <c r="B1316" s="61" t="s">
        <v>10078</v>
      </c>
      <c r="C1316" s="61" t="s">
        <v>34</v>
      </c>
      <c r="F1316" t="s">
        <v>4970</v>
      </c>
      <c r="G1316" t="s">
        <v>6073</v>
      </c>
      <c r="H1316" t="s">
        <v>34</v>
      </c>
      <c r="I1316" t="s">
        <v>10079</v>
      </c>
      <c r="L1316" t="s">
        <v>10080</v>
      </c>
      <c r="M1316" t="s">
        <v>6078</v>
      </c>
      <c r="N1316" s="61" t="s">
        <v>7908</v>
      </c>
      <c r="O1316">
        <v>58013</v>
      </c>
    </row>
    <row r="1317" spans="1:15" x14ac:dyDescent="0.2">
      <c r="A1317" t="s">
        <v>4971</v>
      </c>
      <c r="B1317" s="61" t="s">
        <v>10081</v>
      </c>
      <c r="C1317" s="61" t="s">
        <v>34</v>
      </c>
      <c r="F1317" t="s">
        <v>4971</v>
      </c>
      <c r="G1317" t="s">
        <v>6073</v>
      </c>
      <c r="H1317" t="s">
        <v>34</v>
      </c>
      <c r="I1317" t="s">
        <v>10082</v>
      </c>
      <c r="L1317" t="s">
        <v>10083</v>
      </c>
      <c r="M1317" t="s">
        <v>6266</v>
      </c>
      <c r="N1317" s="61" t="s">
        <v>10084</v>
      </c>
      <c r="O1317">
        <v>58012</v>
      </c>
    </row>
    <row r="1318" spans="1:15" x14ac:dyDescent="0.2">
      <c r="A1318" t="s">
        <v>612</v>
      </c>
      <c r="B1318" s="61" t="s">
        <v>10085</v>
      </c>
      <c r="C1318" s="61" t="s">
        <v>34</v>
      </c>
      <c r="F1318" t="s">
        <v>612</v>
      </c>
      <c r="G1318" t="s">
        <v>6073</v>
      </c>
      <c r="I1318" t="s">
        <v>10086</v>
      </c>
      <c r="L1318" t="s">
        <v>10087</v>
      </c>
      <c r="M1318" t="s">
        <v>6078</v>
      </c>
      <c r="N1318" s="61" t="s">
        <v>6086</v>
      </c>
      <c r="O1318">
        <v>58011</v>
      </c>
    </row>
    <row r="1319" spans="1:15" x14ac:dyDescent="0.2">
      <c r="A1319" t="s">
        <v>4972</v>
      </c>
      <c r="B1319" s="61" t="s">
        <v>10088</v>
      </c>
      <c r="C1319" s="61" t="s">
        <v>34</v>
      </c>
      <c r="F1319" t="s">
        <v>4972</v>
      </c>
      <c r="G1319" t="s">
        <v>6073</v>
      </c>
      <c r="I1319" t="s">
        <v>10089</v>
      </c>
      <c r="L1319" t="s">
        <v>10090</v>
      </c>
      <c r="M1319" t="s">
        <v>6078</v>
      </c>
      <c r="N1319" s="61" t="s">
        <v>6438</v>
      </c>
      <c r="O1319">
        <v>58009</v>
      </c>
    </row>
    <row r="1320" spans="1:15" x14ac:dyDescent="0.2">
      <c r="A1320" t="s">
        <v>4973</v>
      </c>
      <c r="B1320" s="61" t="s">
        <v>10091</v>
      </c>
      <c r="C1320" s="61" t="s">
        <v>34</v>
      </c>
      <c r="F1320" t="s">
        <v>4973</v>
      </c>
      <c r="G1320" t="s">
        <v>6073</v>
      </c>
      <c r="H1320" t="s">
        <v>34</v>
      </c>
      <c r="I1320" t="s">
        <v>34</v>
      </c>
      <c r="L1320" t="s">
        <v>10092</v>
      </c>
      <c r="M1320" t="s">
        <v>6078</v>
      </c>
      <c r="N1320" s="61" t="s">
        <v>8484</v>
      </c>
      <c r="O1320">
        <v>58008</v>
      </c>
    </row>
    <row r="1321" spans="1:15" x14ac:dyDescent="0.2">
      <c r="A1321" t="s">
        <v>4974</v>
      </c>
      <c r="B1321" s="61" t="s">
        <v>10093</v>
      </c>
      <c r="C1321" s="61" t="s">
        <v>34</v>
      </c>
      <c r="F1321" t="s">
        <v>4974</v>
      </c>
      <c r="G1321" t="s">
        <v>6073</v>
      </c>
      <c r="H1321" t="s">
        <v>34</v>
      </c>
      <c r="I1321" t="s">
        <v>10094</v>
      </c>
      <c r="L1321" t="s">
        <v>10095</v>
      </c>
      <c r="M1321" t="s">
        <v>6078</v>
      </c>
      <c r="N1321" s="61" t="s">
        <v>7653</v>
      </c>
      <c r="O1321">
        <v>58007</v>
      </c>
    </row>
    <row r="1322" spans="1:15" x14ac:dyDescent="0.2">
      <c r="A1322" t="s">
        <v>4975</v>
      </c>
      <c r="B1322" s="61" t="s">
        <v>10096</v>
      </c>
      <c r="C1322" s="61" t="s">
        <v>34</v>
      </c>
      <c r="F1322" t="s">
        <v>4975</v>
      </c>
      <c r="G1322" t="s">
        <v>6073</v>
      </c>
      <c r="I1322" t="s">
        <v>10097</v>
      </c>
      <c r="L1322" t="s">
        <v>10098</v>
      </c>
      <c r="M1322" t="s">
        <v>6078</v>
      </c>
      <c r="N1322" s="61" t="s">
        <v>10099</v>
      </c>
      <c r="O1322">
        <v>58006</v>
      </c>
    </row>
    <row r="1323" spans="1:15" x14ac:dyDescent="0.2">
      <c r="A1323" t="s">
        <v>4976</v>
      </c>
      <c r="B1323" s="61" t="s">
        <v>10100</v>
      </c>
      <c r="C1323" s="61" t="s">
        <v>34</v>
      </c>
      <c r="F1323" t="s">
        <v>4976</v>
      </c>
      <c r="G1323" t="s">
        <v>6073</v>
      </c>
      <c r="I1323" t="s">
        <v>10101</v>
      </c>
      <c r="L1323" t="s">
        <v>10102</v>
      </c>
      <c r="M1323" t="s">
        <v>6078</v>
      </c>
      <c r="N1323" s="61" t="s">
        <v>7193</v>
      </c>
      <c r="O1323">
        <v>58005</v>
      </c>
    </row>
    <row r="1324" spans="1:15" x14ac:dyDescent="0.2">
      <c r="A1324" t="s">
        <v>4977</v>
      </c>
      <c r="B1324" s="61" t="s">
        <v>10103</v>
      </c>
      <c r="C1324" s="61" t="s">
        <v>34</v>
      </c>
      <c r="F1324" t="s">
        <v>4977</v>
      </c>
      <c r="G1324" t="s">
        <v>6073</v>
      </c>
      <c r="H1324" t="s">
        <v>34</v>
      </c>
      <c r="I1324" t="s">
        <v>10104</v>
      </c>
      <c r="L1324" t="s">
        <v>10105</v>
      </c>
      <c r="M1324" t="s">
        <v>6078</v>
      </c>
      <c r="N1324" s="61" t="s">
        <v>6584</v>
      </c>
      <c r="O1324">
        <v>58004</v>
      </c>
    </row>
    <row r="1325" spans="1:15" x14ac:dyDescent="0.2">
      <c r="A1325" t="s">
        <v>4978</v>
      </c>
      <c r="B1325" s="61" t="s">
        <v>10106</v>
      </c>
      <c r="C1325" s="61" t="s">
        <v>34</v>
      </c>
      <c r="F1325" t="s">
        <v>4978</v>
      </c>
      <c r="G1325" t="s">
        <v>6073</v>
      </c>
      <c r="I1325" t="s">
        <v>10107</v>
      </c>
      <c r="L1325" t="s">
        <v>10108</v>
      </c>
      <c r="M1325" t="s">
        <v>6078</v>
      </c>
      <c r="N1325" s="61" t="s">
        <v>6223</v>
      </c>
      <c r="O1325">
        <v>58003</v>
      </c>
    </row>
    <row r="1326" spans="1:15" x14ac:dyDescent="0.2">
      <c r="A1326" t="s">
        <v>4979</v>
      </c>
      <c r="B1326" s="61" t="s">
        <v>7736</v>
      </c>
      <c r="C1326" s="61" t="s">
        <v>34</v>
      </c>
      <c r="F1326" t="s">
        <v>4979</v>
      </c>
      <c r="G1326" t="s">
        <v>6073</v>
      </c>
      <c r="I1326" t="s">
        <v>10109</v>
      </c>
      <c r="L1326" t="s">
        <v>10110</v>
      </c>
      <c r="M1326" t="s">
        <v>6078</v>
      </c>
      <c r="N1326" s="61" t="s">
        <v>6314</v>
      </c>
      <c r="O1326">
        <v>58002</v>
      </c>
    </row>
    <row r="1327" spans="1:15" x14ac:dyDescent="0.2">
      <c r="A1327" t="s">
        <v>4980</v>
      </c>
      <c r="B1327" s="61" t="s">
        <v>10111</v>
      </c>
      <c r="C1327" s="61" t="s">
        <v>34</v>
      </c>
      <c r="F1327" t="s">
        <v>4980</v>
      </c>
      <c r="G1327" t="s">
        <v>6073</v>
      </c>
      <c r="H1327" t="s">
        <v>34</v>
      </c>
      <c r="I1327" t="s">
        <v>34</v>
      </c>
      <c r="L1327" t="s">
        <v>10112</v>
      </c>
      <c r="M1327" t="s">
        <v>6104</v>
      </c>
      <c r="N1327" s="61" t="s">
        <v>9044</v>
      </c>
      <c r="O1327">
        <v>58001</v>
      </c>
    </row>
    <row r="1328" spans="1:15" x14ac:dyDescent="0.2">
      <c r="A1328" t="s">
        <v>4981</v>
      </c>
      <c r="B1328" s="61" t="s">
        <v>10113</v>
      </c>
      <c r="C1328" s="61" t="s">
        <v>34</v>
      </c>
      <c r="F1328" t="s">
        <v>4981</v>
      </c>
      <c r="G1328" t="s">
        <v>6073</v>
      </c>
      <c r="J1328" t="s">
        <v>10114</v>
      </c>
      <c r="K1328" t="s">
        <v>10115</v>
      </c>
      <c r="L1328" t="s">
        <v>10116</v>
      </c>
      <c r="M1328" t="s">
        <v>6078</v>
      </c>
      <c r="N1328" s="61" t="s">
        <v>6444</v>
      </c>
      <c r="O1328">
        <v>58000</v>
      </c>
    </row>
    <row r="1329" spans="1:15" x14ac:dyDescent="0.2">
      <c r="A1329" t="s">
        <v>4982</v>
      </c>
      <c r="B1329" s="61" t="s">
        <v>10117</v>
      </c>
      <c r="C1329" s="61" t="s">
        <v>34</v>
      </c>
      <c r="F1329" t="s">
        <v>4982</v>
      </c>
      <c r="G1329" t="s">
        <v>6073</v>
      </c>
      <c r="H1329" t="s">
        <v>34</v>
      </c>
      <c r="I1329" t="s">
        <v>34</v>
      </c>
      <c r="L1329" t="s">
        <v>10118</v>
      </c>
      <c r="M1329" t="s">
        <v>6346</v>
      </c>
      <c r="N1329" s="61" t="s">
        <v>10119</v>
      </c>
      <c r="O1329">
        <v>57999</v>
      </c>
    </row>
    <row r="1330" spans="1:15" x14ac:dyDescent="0.2">
      <c r="A1330" t="s">
        <v>4983</v>
      </c>
      <c r="B1330" s="61" t="s">
        <v>10120</v>
      </c>
      <c r="C1330" s="61" t="s">
        <v>34</v>
      </c>
      <c r="F1330" t="s">
        <v>4983</v>
      </c>
      <c r="G1330" t="s">
        <v>6073</v>
      </c>
      <c r="I1330" t="s">
        <v>10121</v>
      </c>
      <c r="L1330" t="s">
        <v>10122</v>
      </c>
      <c r="M1330" t="s">
        <v>6078</v>
      </c>
      <c r="N1330" s="61" t="s">
        <v>10123</v>
      </c>
      <c r="O1330">
        <v>57998</v>
      </c>
    </row>
    <row r="1331" spans="1:15" x14ac:dyDescent="0.2">
      <c r="A1331" t="s">
        <v>4984</v>
      </c>
      <c r="B1331" s="61" t="s">
        <v>10124</v>
      </c>
      <c r="C1331" s="61" t="s">
        <v>34</v>
      </c>
      <c r="F1331" t="s">
        <v>4984</v>
      </c>
      <c r="G1331" t="s">
        <v>6073</v>
      </c>
      <c r="L1331" t="s">
        <v>10125</v>
      </c>
      <c r="M1331" t="s">
        <v>6078</v>
      </c>
      <c r="N1331" s="61" t="s">
        <v>6128</v>
      </c>
      <c r="O1331">
        <v>57997</v>
      </c>
    </row>
    <row r="1332" spans="1:15" x14ac:dyDescent="0.2">
      <c r="A1332" t="s">
        <v>4985</v>
      </c>
      <c r="B1332" s="61" t="s">
        <v>10126</v>
      </c>
      <c r="C1332" s="61" t="s">
        <v>34</v>
      </c>
      <c r="F1332" t="s">
        <v>4985</v>
      </c>
      <c r="G1332" t="s">
        <v>6073</v>
      </c>
      <c r="H1332" t="s">
        <v>34</v>
      </c>
      <c r="I1332" t="s">
        <v>34</v>
      </c>
      <c r="L1332" t="s">
        <v>34</v>
      </c>
      <c r="M1332" t="s">
        <v>6078</v>
      </c>
      <c r="N1332" s="61" t="s">
        <v>7882</v>
      </c>
      <c r="O1332">
        <v>58406</v>
      </c>
    </row>
    <row r="1333" spans="1:15" x14ac:dyDescent="0.2">
      <c r="A1333" t="s">
        <v>4986</v>
      </c>
      <c r="B1333" s="61" t="s">
        <v>10127</v>
      </c>
      <c r="C1333" s="61" t="s">
        <v>34</v>
      </c>
      <c r="F1333" t="s">
        <v>4986</v>
      </c>
      <c r="G1333" t="s">
        <v>6073</v>
      </c>
      <c r="H1333" t="s">
        <v>34</v>
      </c>
      <c r="I1333" t="s">
        <v>34</v>
      </c>
      <c r="L1333" t="s">
        <v>34</v>
      </c>
      <c r="M1333" t="s">
        <v>6266</v>
      </c>
      <c r="N1333" s="61" t="s">
        <v>6830</v>
      </c>
      <c r="O1333">
        <v>58405</v>
      </c>
    </row>
    <row r="1334" spans="1:15" x14ac:dyDescent="0.2">
      <c r="A1334" t="s">
        <v>4986</v>
      </c>
      <c r="B1334" s="61" t="s">
        <v>10127</v>
      </c>
      <c r="C1334" s="61" t="s">
        <v>34</v>
      </c>
      <c r="F1334" t="s">
        <v>4986</v>
      </c>
      <c r="G1334" t="s">
        <v>6073</v>
      </c>
      <c r="J1334" t="s">
        <v>10128</v>
      </c>
      <c r="K1334" t="s">
        <v>10129</v>
      </c>
      <c r="L1334" t="s">
        <v>10130</v>
      </c>
      <c r="M1334" t="s">
        <v>6266</v>
      </c>
      <c r="N1334" s="61" t="s">
        <v>6830</v>
      </c>
      <c r="O1334">
        <v>94234</v>
      </c>
    </row>
    <row r="1335" spans="1:15" x14ac:dyDescent="0.2">
      <c r="A1335" t="s">
        <v>4987</v>
      </c>
      <c r="B1335" s="61" t="s">
        <v>10131</v>
      </c>
      <c r="C1335" s="61" t="s">
        <v>34</v>
      </c>
      <c r="F1335" t="s">
        <v>4987</v>
      </c>
      <c r="G1335" t="s">
        <v>6073</v>
      </c>
      <c r="H1335" t="s">
        <v>34</v>
      </c>
      <c r="I1335" t="s">
        <v>34</v>
      </c>
      <c r="L1335" t="s">
        <v>10132</v>
      </c>
      <c r="M1335" t="s">
        <v>6078</v>
      </c>
      <c r="N1335" s="61" t="s">
        <v>6274</v>
      </c>
      <c r="O1335">
        <v>58057</v>
      </c>
    </row>
    <row r="1336" spans="1:15" x14ac:dyDescent="0.2">
      <c r="A1336" t="s">
        <v>4988</v>
      </c>
      <c r="B1336" s="61" t="s">
        <v>10133</v>
      </c>
      <c r="C1336" s="61" t="s">
        <v>34</v>
      </c>
      <c r="F1336" t="s">
        <v>4988</v>
      </c>
      <c r="G1336" t="s">
        <v>6073</v>
      </c>
      <c r="I1336" t="s">
        <v>10134</v>
      </c>
      <c r="L1336" t="s">
        <v>10135</v>
      </c>
      <c r="M1336" t="s">
        <v>6148</v>
      </c>
      <c r="N1336" s="61" t="s">
        <v>10136</v>
      </c>
      <c r="O1336">
        <v>58070</v>
      </c>
    </row>
    <row r="1337" spans="1:15" x14ac:dyDescent="0.2">
      <c r="A1337" t="s">
        <v>4989</v>
      </c>
      <c r="B1337" s="61" t="s">
        <v>10137</v>
      </c>
      <c r="C1337" s="61" t="s">
        <v>34</v>
      </c>
      <c r="F1337" t="s">
        <v>4989</v>
      </c>
      <c r="G1337" t="s">
        <v>6073</v>
      </c>
      <c r="L1337" t="s">
        <v>10138</v>
      </c>
      <c r="M1337" t="s">
        <v>6078</v>
      </c>
      <c r="N1337" s="61" t="s">
        <v>6577</v>
      </c>
      <c r="O1337">
        <v>58071</v>
      </c>
    </row>
    <row r="1338" spans="1:15" x14ac:dyDescent="0.2">
      <c r="A1338" t="s">
        <v>4990</v>
      </c>
      <c r="B1338" s="61" t="s">
        <v>10139</v>
      </c>
      <c r="C1338" s="61" t="s">
        <v>34</v>
      </c>
      <c r="F1338" t="s">
        <v>4990</v>
      </c>
      <c r="G1338" t="s">
        <v>6073</v>
      </c>
      <c r="I1338" t="s">
        <v>10140</v>
      </c>
      <c r="L1338" t="s">
        <v>10141</v>
      </c>
      <c r="M1338" t="s">
        <v>6078</v>
      </c>
      <c r="N1338" s="61" t="s">
        <v>6386</v>
      </c>
      <c r="O1338">
        <v>58142</v>
      </c>
    </row>
    <row r="1339" spans="1:15" x14ac:dyDescent="0.2">
      <c r="A1339" t="s">
        <v>4991</v>
      </c>
      <c r="B1339" s="61" t="s">
        <v>10142</v>
      </c>
      <c r="C1339" s="61" t="s">
        <v>34</v>
      </c>
      <c r="F1339" t="s">
        <v>4991</v>
      </c>
      <c r="G1339" t="s">
        <v>6073</v>
      </c>
      <c r="H1339" t="s">
        <v>34</v>
      </c>
      <c r="I1339" t="s">
        <v>34</v>
      </c>
      <c r="L1339" t="s">
        <v>10143</v>
      </c>
      <c r="M1339" t="s">
        <v>6266</v>
      </c>
      <c r="N1339" s="61" t="s">
        <v>10144</v>
      </c>
      <c r="O1339">
        <v>58141</v>
      </c>
    </row>
    <row r="1340" spans="1:15" x14ac:dyDescent="0.2">
      <c r="A1340" t="s">
        <v>4992</v>
      </c>
      <c r="B1340" s="61" t="s">
        <v>10145</v>
      </c>
      <c r="C1340" s="61" t="s">
        <v>34</v>
      </c>
      <c r="F1340" t="s">
        <v>4992</v>
      </c>
      <c r="G1340" t="s">
        <v>6073</v>
      </c>
      <c r="I1340" t="s">
        <v>10146</v>
      </c>
      <c r="L1340" t="s">
        <v>10147</v>
      </c>
      <c r="M1340" t="s">
        <v>6078</v>
      </c>
      <c r="N1340" s="61" t="s">
        <v>6969</v>
      </c>
      <c r="O1340">
        <v>58211</v>
      </c>
    </row>
    <row r="1341" spans="1:15" x14ac:dyDescent="0.2">
      <c r="A1341" t="s">
        <v>4993</v>
      </c>
      <c r="B1341" s="61" t="s">
        <v>10148</v>
      </c>
      <c r="C1341" s="61" t="s">
        <v>34</v>
      </c>
      <c r="F1341" t="s">
        <v>4993</v>
      </c>
      <c r="G1341" t="s">
        <v>6073</v>
      </c>
      <c r="H1341" t="s">
        <v>34</v>
      </c>
      <c r="I1341" t="s">
        <v>34</v>
      </c>
      <c r="L1341" t="s">
        <v>10149</v>
      </c>
      <c r="M1341" t="s">
        <v>6078</v>
      </c>
      <c r="N1341" s="61" t="s">
        <v>6083</v>
      </c>
      <c r="O1341">
        <v>58140</v>
      </c>
    </row>
    <row r="1342" spans="1:15" x14ac:dyDescent="0.2">
      <c r="A1342" t="s">
        <v>4994</v>
      </c>
      <c r="B1342" s="61" t="s">
        <v>10150</v>
      </c>
      <c r="C1342" s="61" t="s">
        <v>34</v>
      </c>
      <c r="F1342" t="s">
        <v>4994</v>
      </c>
      <c r="G1342" t="s">
        <v>6073</v>
      </c>
      <c r="H1342" t="s">
        <v>10151</v>
      </c>
      <c r="J1342" t="s">
        <v>8221</v>
      </c>
      <c r="K1342" t="s">
        <v>10152</v>
      </c>
      <c r="L1342" t="s">
        <v>10153</v>
      </c>
      <c r="M1342" t="s">
        <v>6078</v>
      </c>
      <c r="N1342" s="61" t="s">
        <v>6255</v>
      </c>
      <c r="O1342">
        <v>127752</v>
      </c>
    </row>
    <row r="1343" spans="1:15" x14ac:dyDescent="0.2">
      <c r="A1343" t="s">
        <v>4995</v>
      </c>
      <c r="B1343" s="61" t="s">
        <v>10154</v>
      </c>
      <c r="C1343" s="61" t="s">
        <v>34</v>
      </c>
      <c r="F1343" t="s">
        <v>4995</v>
      </c>
      <c r="G1343" t="s">
        <v>6073</v>
      </c>
      <c r="H1343" t="s">
        <v>34</v>
      </c>
      <c r="I1343" t="s">
        <v>34</v>
      </c>
      <c r="L1343" t="s">
        <v>10155</v>
      </c>
      <c r="M1343" t="s">
        <v>6095</v>
      </c>
      <c r="N1343" s="61" t="s">
        <v>10156</v>
      </c>
      <c r="O1343">
        <v>58139</v>
      </c>
    </row>
    <row r="1344" spans="1:15" x14ac:dyDescent="0.2">
      <c r="A1344" t="s">
        <v>4996</v>
      </c>
      <c r="B1344" s="61" t="s">
        <v>10157</v>
      </c>
      <c r="C1344" s="61" t="s">
        <v>34</v>
      </c>
      <c r="F1344" t="s">
        <v>4996</v>
      </c>
      <c r="G1344" t="s">
        <v>6073</v>
      </c>
      <c r="H1344" t="s">
        <v>34</v>
      </c>
      <c r="I1344" t="s">
        <v>10158</v>
      </c>
      <c r="L1344" t="s">
        <v>10159</v>
      </c>
      <c r="M1344" t="s">
        <v>10160</v>
      </c>
      <c r="N1344" s="61" t="s">
        <v>10161</v>
      </c>
      <c r="O1344">
        <v>58138</v>
      </c>
    </row>
    <row r="1345" spans="1:15" x14ac:dyDescent="0.2">
      <c r="A1345" t="s">
        <v>4997</v>
      </c>
      <c r="B1345" s="61" t="s">
        <v>10162</v>
      </c>
      <c r="C1345" s="61" t="s">
        <v>34</v>
      </c>
      <c r="F1345" t="s">
        <v>4997</v>
      </c>
      <c r="G1345" t="s">
        <v>6073</v>
      </c>
      <c r="I1345" t="s">
        <v>10163</v>
      </c>
      <c r="L1345" t="s">
        <v>10164</v>
      </c>
      <c r="M1345" t="s">
        <v>6078</v>
      </c>
      <c r="N1345" s="61" t="s">
        <v>6977</v>
      </c>
      <c r="O1345">
        <v>58137</v>
      </c>
    </row>
    <row r="1346" spans="1:15" x14ac:dyDescent="0.2">
      <c r="A1346" t="s">
        <v>4998</v>
      </c>
      <c r="B1346" s="61" t="s">
        <v>10165</v>
      </c>
      <c r="C1346" s="61" t="s">
        <v>34</v>
      </c>
      <c r="F1346" t="s">
        <v>4998</v>
      </c>
      <c r="G1346" t="s">
        <v>6073</v>
      </c>
      <c r="L1346" t="s">
        <v>10166</v>
      </c>
      <c r="M1346" t="s">
        <v>10160</v>
      </c>
      <c r="N1346" s="61" t="s">
        <v>10167</v>
      </c>
      <c r="O1346">
        <v>58136</v>
      </c>
    </row>
    <row r="1347" spans="1:15" x14ac:dyDescent="0.2">
      <c r="A1347" t="s">
        <v>4999</v>
      </c>
      <c r="B1347" s="61" t="s">
        <v>10168</v>
      </c>
      <c r="C1347" s="61" t="s">
        <v>34</v>
      </c>
      <c r="F1347" t="s">
        <v>4999</v>
      </c>
      <c r="G1347" t="s">
        <v>6073</v>
      </c>
      <c r="H1347" t="s">
        <v>34</v>
      </c>
      <c r="I1347" t="s">
        <v>10169</v>
      </c>
      <c r="L1347" t="s">
        <v>10170</v>
      </c>
      <c r="M1347" t="s">
        <v>6608</v>
      </c>
      <c r="N1347" s="61" t="s">
        <v>10171</v>
      </c>
      <c r="O1347">
        <v>58135</v>
      </c>
    </row>
    <row r="1348" spans="1:15" x14ac:dyDescent="0.2">
      <c r="A1348" t="s">
        <v>5000</v>
      </c>
      <c r="B1348" s="61" t="s">
        <v>10172</v>
      </c>
      <c r="C1348" s="61" t="s">
        <v>34</v>
      </c>
      <c r="F1348" t="s">
        <v>5000</v>
      </c>
      <c r="G1348" t="s">
        <v>6073</v>
      </c>
      <c r="L1348" t="s">
        <v>10173</v>
      </c>
      <c r="M1348" t="s">
        <v>6148</v>
      </c>
      <c r="N1348" s="61" t="s">
        <v>10174</v>
      </c>
      <c r="O1348">
        <v>57347</v>
      </c>
    </row>
    <row r="1349" spans="1:15" x14ac:dyDescent="0.2">
      <c r="A1349" t="s">
        <v>5001</v>
      </c>
      <c r="B1349" s="61" t="s">
        <v>10175</v>
      </c>
      <c r="C1349" s="61" t="s">
        <v>10176</v>
      </c>
      <c r="F1349" t="s">
        <v>5001</v>
      </c>
      <c r="G1349" t="s">
        <v>10177</v>
      </c>
      <c r="H1349" t="s">
        <v>10178</v>
      </c>
      <c r="J1349" t="s">
        <v>10179</v>
      </c>
      <c r="K1349" t="s">
        <v>10180</v>
      </c>
      <c r="L1349" t="s">
        <v>10181</v>
      </c>
      <c r="N1349" s="61" t="s">
        <v>10182</v>
      </c>
      <c r="O1349">
        <v>87600</v>
      </c>
    </row>
    <row r="1350" spans="1:15" x14ac:dyDescent="0.2">
      <c r="A1350" t="s">
        <v>5002</v>
      </c>
      <c r="B1350" s="61" t="s">
        <v>10183</v>
      </c>
      <c r="C1350" s="61" t="s">
        <v>34</v>
      </c>
      <c r="F1350" t="s">
        <v>5002</v>
      </c>
      <c r="G1350" t="s">
        <v>6073</v>
      </c>
      <c r="L1350" t="s">
        <v>10184</v>
      </c>
      <c r="M1350" t="s">
        <v>6148</v>
      </c>
      <c r="N1350" s="61" t="s">
        <v>10185</v>
      </c>
      <c r="O1350">
        <v>115403</v>
      </c>
    </row>
    <row r="1351" spans="1:15" x14ac:dyDescent="0.2">
      <c r="A1351" t="s">
        <v>5003</v>
      </c>
      <c r="B1351" s="61" t="s">
        <v>10186</v>
      </c>
      <c r="C1351" s="61" t="s">
        <v>34</v>
      </c>
      <c r="F1351" t="s">
        <v>5003</v>
      </c>
      <c r="G1351" t="s">
        <v>6073</v>
      </c>
      <c r="H1351" t="s">
        <v>34</v>
      </c>
      <c r="I1351" t="s">
        <v>34</v>
      </c>
      <c r="L1351" t="s">
        <v>10187</v>
      </c>
      <c r="M1351" t="s">
        <v>6078</v>
      </c>
      <c r="N1351" s="61" t="s">
        <v>10188</v>
      </c>
      <c r="O1351">
        <v>58134</v>
      </c>
    </row>
    <row r="1352" spans="1:15" x14ac:dyDescent="0.2">
      <c r="A1352" t="s">
        <v>5004</v>
      </c>
      <c r="B1352" s="61" t="s">
        <v>10189</v>
      </c>
      <c r="C1352" s="61" t="s">
        <v>34</v>
      </c>
      <c r="F1352" t="s">
        <v>5004</v>
      </c>
      <c r="G1352" t="s">
        <v>6073</v>
      </c>
      <c r="H1352" t="s">
        <v>34</v>
      </c>
      <c r="I1352" t="s">
        <v>10190</v>
      </c>
      <c r="L1352" t="s">
        <v>10191</v>
      </c>
      <c r="M1352" t="s">
        <v>6410</v>
      </c>
      <c r="N1352" s="61" t="s">
        <v>10192</v>
      </c>
      <c r="O1352">
        <v>58133</v>
      </c>
    </row>
    <row r="1353" spans="1:15" x14ac:dyDescent="0.2">
      <c r="A1353" t="s">
        <v>5005</v>
      </c>
      <c r="B1353" s="61" t="s">
        <v>10193</v>
      </c>
      <c r="C1353" s="61" t="s">
        <v>34</v>
      </c>
      <c r="F1353" t="s">
        <v>5005</v>
      </c>
      <c r="G1353" t="s">
        <v>6073</v>
      </c>
      <c r="L1353" t="s">
        <v>10194</v>
      </c>
      <c r="M1353" t="s">
        <v>6078</v>
      </c>
      <c r="N1353" s="61" t="s">
        <v>6100</v>
      </c>
      <c r="O1353">
        <v>114930</v>
      </c>
    </row>
    <row r="1354" spans="1:15" x14ac:dyDescent="0.2">
      <c r="A1354" t="s">
        <v>5006</v>
      </c>
      <c r="B1354" s="61" t="s">
        <v>10195</v>
      </c>
      <c r="C1354" s="61" t="s">
        <v>34</v>
      </c>
      <c r="F1354" t="s">
        <v>5006</v>
      </c>
      <c r="G1354" t="s">
        <v>6073</v>
      </c>
      <c r="L1354" t="s">
        <v>10196</v>
      </c>
      <c r="M1354" t="s">
        <v>6078</v>
      </c>
      <c r="N1354" s="61" t="s">
        <v>6577</v>
      </c>
      <c r="O1354">
        <v>58132</v>
      </c>
    </row>
    <row r="1355" spans="1:15" x14ac:dyDescent="0.2">
      <c r="A1355" t="s">
        <v>5007</v>
      </c>
      <c r="B1355" s="61" t="s">
        <v>10197</v>
      </c>
      <c r="C1355" s="61" t="s">
        <v>34</v>
      </c>
      <c r="F1355" t="s">
        <v>5007</v>
      </c>
      <c r="G1355" t="s">
        <v>6073</v>
      </c>
      <c r="J1355" t="s">
        <v>10198</v>
      </c>
      <c r="K1355" t="s">
        <v>10199</v>
      </c>
      <c r="L1355" t="s">
        <v>10200</v>
      </c>
      <c r="M1355" t="s">
        <v>6078</v>
      </c>
      <c r="N1355" s="61" t="s">
        <v>10201</v>
      </c>
      <c r="O1355">
        <v>87836</v>
      </c>
    </row>
    <row r="1356" spans="1:15" x14ac:dyDescent="0.2">
      <c r="A1356" t="s">
        <v>5008</v>
      </c>
      <c r="B1356" s="61" t="s">
        <v>10202</v>
      </c>
      <c r="C1356" s="61" t="s">
        <v>34</v>
      </c>
      <c r="F1356" t="s">
        <v>5008</v>
      </c>
      <c r="G1356" t="s">
        <v>6073</v>
      </c>
      <c r="H1356" t="s">
        <v>34</v>
      </c>
      <c r="I1356" t="s">
        <v>10203</v>
      </c>
      <c r="L1356" t="s">
        <v>10204</v>
      </c>
      <c r="M1356" t="s">
        <v>6078</v>
      </c>
      <c r="N1356" s="61" t="s">
        <v>6577</v>
      </c>
      <c r="O1356">
        <v>58131</v>
      </c>
    </row>
    <row r="1357" spans="1:15" x14ac:dyDescent="0.2">
      <c r="A1357" t="s">
        <v>5009</v>
      </c>
      <c r="B1357" s="61" t="s">
        <v>10205</v>
      </c>
      <c r="C1357" s="61" t="s">
        <v>34</v>
      </c>
      <c r="F1357" t="s">
        <v>5009</v>
      </c>
      <c r="G1357" t="s">
        <v>6073</v>
      </c>
      <c r="I1357" t="s">
        <v>10206</v>
      </c>
      <c r="L1357" t="s">
        <v>10207</v>
      </c>
      <c r="M1357" t="s">
        <v>6095</v>
      </c>
      <c r="N1357" s="61" t="s">
        <v>10208</v>
      </c>
      <c r="O1357">
        <v>58130</v>
      </c>
    </row>
    <row r="1358" spans="1:15" x14ac:dyDescent="0.2">
      <c r="A1358" t="s">
        <v>5010</v>
      </c>
      <c r="B1358" s="61" t="s">
        <v>10209</v>
      </c>
      <c r="C1358" s="61" t="s">
        <v>34</v>
      </c>
      <c r="F1358" t="s">
        <v>5010</v>
      </c>
      <c r="G1358" t="s">
        <v>6073</v>
      </c>
      <c r="I1358" t="s">
        <v>10210</v>
      </c>
      <c r="L1358" t="s">
        <v>10211</v>
      </c>
      <c r="M1358" t="s">
        <v>6078</v>
      </c>
      <c r="N1358" s="61" t="s">
        <v>9168</v>
      </c>
      <c r="O1358">
        <v>58129</v>
      </c>
    </row>
    <row r="1359" spans="1:15" x14ac:dyDescent="0.2">
      <c r="A1359" t="s">
        <v>5011</v>
      </c>
      <c r="B1359" s="61" t="s">
        <v>10212</v>
      </c>
      <c r="C1359" s="61" t="s">
        <v>34</v>
      </c>
      <c r="F1359" t="s">
        <v>5011</v>
      </c>
      <c r="G1359" t="s">
        <v>6073</v>
      </c>
      <c r="H1359" t="s">
        <v>34</v>
      </c>
      <c r="I1359" t="s">
        <v>34</v>
      </c>
      <c r="L1359" t="s">
        <v>10213</v>
      </c>
      <c r="M1359" t="s">
        <v>6078</v>
      </c>
      <c r="N1359" s="61" t="s">
        <v>9847</v>
      </c>
      <c r="O1359">
        <v>58128</v>
      </c>
    </row>
    <row r="1360" spans="1:15" x14ac:dyDescent="0.2">
      <c r="A1360" t="s">
        <v>5012</v>
      </c>
      <c r="B1360" s="61" t="s">
        <v>10214</v>
      </c>
      <c r="C1360" s="61" t="s">
        <v>34</v>
      </c>
      <c r="F1360" t="s">
        <v>5012</v>
      </c>
      <c r="G1360" t="s">
        <v>6073</v>
      </c>
      <c r="H1360" t="s">
        <v>34</v>
      </c>
      <c r="I1360" t="s">
        <v>34</v>
      </c>
      <c r="L1360" t="s">
        <v>10215</v>
      </c>
      <c r="M1360" t="s">
        <v>6078</v>
      </c>
      <c r="N1360" s="61" t="s">
        <v>10216</v>
      </c>
      <c r="O1360">
        <v>58127</v>
      </c>
    </row>
    <row r="1361" spans="1:15" x14ac:dyDescent="0.2">
      <c r="A1361" t="s">
        <v>5013</v>
      </c>
      <c r="B1361" s="61" t="s">
        <v>10217</v>
      </c>
      <c r="C1361" s="61" t="s">
        <v>34</v>
      </c>
      <c r="F1361" t="s">
        <v>5013</v>
      </c>
      <c r="G1361" t="s">
        <v>6073</v>
      </c>
      <c r="I1361" t="s">
        <v>10218</v>
      </c>
      <c r="L1361" t="s">
        <v>10219</v>
      </c>
      <c r="M1361" t="s">
        <v>6078</v>
      </c>
      <c r="N1361" s="61" t="s">
        <v>6128</v>
      </c>
      <c r="O1361">
        <v>58126</v>
      </c>
    </row>
    <row r="1362" spans="1:15" x14ac:dyDescent="0.2">
      <c r="A1362" t="s">
        <v>5014</v>
      </c>
      <c r="B1362" s="61" t="s">
        <v>10220</v>
      </c>
      <c r="C1362" s="61" t="s">
        <v>34</v>
      </c>
      <c r="F1362" t="s">
        <v>5014</v>
      </c>
      <c r="G1362" t="s">
        <v>6073</v>
      </c>
      <c r="H1362" t="s">
        <v>10221</v>
      </c>
      <c r="L1362" t="s">
        <v>10222</v>
      </c>
      <c r="M1362" t="s">
        <v>6078</v>
      </c>
      <c r="N1362" s="61" t="s">
        <v>6145</v>
      </c>
      <c r="O1362">
        <v>58125</v>
      </c>
    </row>
    <row r="1363" spans="1:15" x14ac:dyDescent="0.2">
      <c r="A1363" t="s">
        <v>5015</v>
      </c>
      <c r="B1363" s="61" t="s">
        <v>10223</v>
      </c>
      <c r="C1363" s="61" t="s">
        <v>34</v>
      </c>
      <c r="F1363" t="s">
        <v>5015</v>
      </c>
      <c r="G1363" t="s">
        <v>6073</v>
      </c>
      <c r="H1363" t="s">
        <v>34</v>
      </c>
      <c r="I1363" t="s">
        <v>10224</v>
      </c>
      <c r="L1363" t="s">
        <v>10225</v>
      </c>
      <c r="M1363" t="s">
        <v>6095</v>
      </c>
      <c r="N1363" s="61" t="s">
        <v>10226</v>
      </c>
      <c r="O1363">
        <v>58123</v>
      </c>
    </row>
    <row r="1364" spans="1:15" x14ac:dyDescent="0.2">
      <c r="A1364" t="s">
        <v>5016</v>
      </c>
      <c r="B1364" s="61" t="s">
        <v>10227</v>
      </c>
      <c r="C1364" s="61" t="s">
        <v>34</v>
      </c>
      <c r="F1364" t="s">
        <v>10228</v>
      </c>
      <c r="G1364" t="s">
        <v>6073</v>
      </c>
      <c r="H1364" t="s">
        <v>10229</v>
      </c>
      <c r="M1364" t="s">
        <v>6095</v>
      </c>
      <c r="N1364" s="61" t="s">
        <v>10230</v>
      </c>
      <c r="O1364">
        <v>58124</v>
      </c>
    </row>
    <row r="1365" spans="1:15" x14ac:dyDescent="0.2">
      <c r="A1365" t="s">
        <v>5017</v>
      </c>
      <c r="B1365" s="61" t="s">
        <v>10231</v>
      </c>
      <c r="C1365" s="61" t="s">
        <v>34</v>
      </c>
      <c r="F1365" t="s">
        <v>5017</v>
      </c>
      <c r="G1365" t="s">
        <v>6073</v>
      </c>
      <c r="L1365" t="s">
        <v>10232</v>
      </c>
      <c r="M1365" t="s">
        <v>8249</v>
      </c>
      <c r="N1365" s="61" t="s">
        <v>10233</v>
      </c>
      <c r="O1365">
        <v>58122</v>
      </c>
    </row>
    <row r="1366" spans="1:15" x14ac:dyDescent="0.2">
      <c r="A1366" t="s">
        <v>5018</v>
      </c>
      <c r="B1366" s="61" t="s">
        <v>10234</v>
      </c>
      <c r="C1366" s="61" t="s">
        <v>34</v>
      </c>
      <c r="F1366" t="s">
        <v>5018</v>
      </c>
      <c r="G1366" t="s">
        <v>6073</v>
      </c>
      <c r="H1366" t="s">
        <v>34</v>
      </c>
      <c r="I1366" t="s">
        <v>10235</v>
      </c>
      <c r="L1366" t="s">
        <v>10236</v>
      </c>
      <c r="M1366" t="s">
        <v>6078</v>
      </c>
      <c r="N1366" s="61" t="s">
        <v>6525</v>
      </c>
      <c r="O1366">
        <v>58143</v>
      </c>
    </row>
    <row r="1367" spans="1:15" x14ac:dyDescent="0.2">
      <c r="A1367" t="s">
        <v>5019</v>
      </c>
      <c r="B1367" s="61" t="s">
        <v>10237</v>
      </c>
      <c r="C1367" s="61" t="s">
        <v>34</v>
      </c>
      <c r="F1367" t="s">
        <v>5019</v>
      </c>
      <c r="G1367" t="s">
        <v>6073</v>
      </c>
      <c r="H1367" t="s">
        <v>34</v>
      </c>
      <c r="I1367" t="s">
        <v>34</v>
      </c>
      <c r="L1367" t="s">
        <v>10238</v>
      </c>
      <c r="M1367" t="s">
        <v>10160</v>
      </c>
      <c r="N1367" s="61" t="s">
        <v>10239</v>
      </c>
      <c r="O1367">
        <v>58144</v>
      </c>
    </row>
    <row r="1368" spans="1:15" x14ac:dyDescent="0.2">
      <c r="A1368" t="s">
        <v>5020</v>
      </c>
      <c r="B1368" s="61" t="s">
        <v>10240</v>
      </c>
      <c r="C1368" s="61" t="s">
        <v>34</v>
      </c>
      <c r="F1368" t="s">
        <v>5020</v>
      </c>
      <c r="G1368" t="s">
        <v>6073</v>
      </c>
      <c r="H1368" t="s">
        <v>34</v>
      </c>
      <c r="I1368" t="s">
        <v>9716</v>
      </c>
      <c r="L1368" t="s">
        <v>10241</v>
      </c>
      <c r="M1368" t="s">
        <v>6078</v>
      </c>
      <c r="N1368" s="61" t="s">
        <v>6182</v>
      </c>
      <c r="O1368">
        <v>58145</v>
      </c>
    </row>
    <row r="1369" spans="1:15" x14ac:dyDescent="0.2">
      <c r="A1369" t="s">
        <v>5021</v>
      </c>
      <c r="B1369" s="61" t="s">
        <v>10242</v>
      </c>
      <c r="C1369" s="61" t="s">
        <v>34</v>
      </c>
      <c r="F1369" t="s">
        <v>5021</v>
      </c>
      <c r="G1369" t="s">
        <v>6073</v>
      </c>
      <c r="I1369" t="s">
        <v>10243</v>
      </c>
      <c r="L1369" t="s">
        <v>10244</v>
      </c>
      <c r="M1369" t="s">
        <v>6266</v>
      </c>
      <c r="N1369" s="61" t="s">
        <v>10245</v>
      </c>
      <c r="O1369">
        <v>58146</v>
      </c>
    </row>
    <row r="1370" spans="1:15" x14ac:dyDescent="0.2">
      <c r="A1370" t="s">
        <v>5022</v>
      </c>
      <c r="B1370" s="61" t="s">
        <v>10246</v>
      </c>
      <c r="C1370" s="61" t="s">
        <v>34</v>
      </c>
      <c r="F1370" t="s">
        <v>5022</v>
      </c>
      <c r="G1370" t="s">
        <v>6073</v>
      </c>
      <c r="H1370" t="s">
        <v>10247</v>
      </c>
      <c r="L1370" t="s">
        <v>10248</v>
      </c>
      <c r="M1370" t="s">
        <v>6309</v>
      </c>
      <c r="N1370" s="61" t="s">
        <v>10249</v>
      </c>
      <c r="O1370">
        <v>62613</v>
      </c>
    </row>
    <row r="1371" spans="1:15" x14ac:dyDescent="0.2">
      <c r="A1371" t="s">
        <v>5023</v>
      </c>
      <c r="B1371" s="61" t="s">
        <v>10250</v>
      </c>
      <c r="C1371" s="61" t="s">
        <v>34</v>
      </c>
      <c r="F1371" t="s">
        <v>5023</v>
      </c>
      <c r="G1371" t="s">
        <v>6073</v>
      </c>
      <c r="H1371" t="s">
        <v>34</v>
      </c>
      <c r="I1371" t="s">
        <v>34</v>
      </c>
      <c r="L1371" t="s">
        <v>10251</v>
      </c>
      <c r="M1371" t="s">
        <v>6078</v>
      </c>
      <c r="N1371" s="61" t="s">
        <v>6164</v>
      </c>
      <c r="O1371">
        <v>58168</v>
      </c>
    </row>
    <row r="1372" spans="1:15" x14ac:dyDescent="0.2">
      <c r="A1372" t="s">
        <v>5024</v>
      </c>
      <c r="B1372" s="61" t="s">
        <v>10252</v>
      </c>
      <c r="C1372" s="61" t="s">
        <v>34</v>
      </c>
      <c r="F1372" t="s">
        <v>5024</v>
      </c>
      <c r="G1372" t="s">
        <v>6073</v>
      </c>
      <c r="H1372" t="s">
        <v>34</v>
      </c>
      <c r="I1372" t="s">
        <v>34</v>
      </c>
      <c r="L1372" t="s">
        <v>10253</v>
      </c>
      <c r="M1372" t="s">
        <v>6078</v>
      </c>
      <c r="N1372" s="61" t="s">
        <v>6100</v>
      </c>
      <c r="O1372">
        <v>58167</v>
      </c>
    </row>
    <row r="1373" spans="1:15" x14ac:dyDescent="0.2">
      <c r="A1373" t="s">
        <v>5025</v>
      </c>
      <c r="B1373" s="61" t="s">
        <v>8029</v>
      </c>
      <c r="C1373" s="61" t="s">
        <v>34</v>
      </c>
      <c r="F1373" t="s">
        <v>5025</v>
      </c>
      <c r="G1373" t="s">
        <v>6073</v>
      </c>
      <c r="H1373" t="s">
        <v>34</v>
      </c>
      <c r="I1373" t="s">
        <v>8030</v>
      </c>
      <c r="L1373" t="s">
        <v>8031</v>
      </c>
      <c r="M1373" t="s">
        <v>6078</v>
      </c>
      <c r="N1373" s="61" t="s">
        <v>8032</v>
      </c>
      <c r="O1373">
        <v>58166</v>
      </c>
    </row>
    <row r="1374" spans="1:15" x14ac:dyDescent="0.2">
      <c r="A1374" t="s">
        <v>5026</v>
      </c>
      <c r="B1374" s="61" t="s">
        <v>10254</v>
      </c>
      <c r="C1374" s="61" t="s">
        <v>34</v>
      </c>
      <c r="F1374" t="s">
        <v>5026</v>
      </c>
      <c r="G1374" t="s">
        <v>6073</v>
      </c>
      <c r="H1374" t="s">
        <v>34</v>
      </c>
      <c r="I1374" t="s">
        <v>34</v>
      </c>
      <c r="L1374" t="s">
        <v>10255</v>
      </c>
      <c r="M1374" t="s">
        <v>6078</v>
      </c>
      <c r="N1374" s="61" t="s">
        <v>6444</v>
      </c>
      <c r="O1374">
        <v>58165</v>
      </c>
    </row>
    <row r="1375" spans="1:15" x14ac:dyDescent="0.2">
      <c r="A1375" t="s">
        <v>5027</v>
      </c>
      <c r="B1375" s="61" t="s">
        <v>10256</v>
      </c>
      <c r="C1375" s="61" t="s">
        <v>34</v>
      </c>
      <c r="F1375" t="s">
        <v>5027</v>
      </c>
      <c r="G1375" t="s">
        <v>6073</v>
      </c>
      <c r="L1375" t="s">
        <v>10257</v>
      </c>
      <c r="M1375" t="s">
        <v>6078</v>
      </c>
      <c r="N1375" s="61" t="s">
        <v>6444</v>
      </c>
      <c r="O1375">
        <v>117081</v>
      </c>
    </row>
    <row r="1376" spans="1:15" x14ac:dyDescent="0.2">
      <c r="A1376" t="s">
        <v>5028</v>
      </c>
      <c r="B1376" s="61" t="s">
        <v>10258</v>
      </c>
      <c r="C1376" s="61" t="s">
        <v>34</v>
      </c>
      <c r="F1376" t="s">
        <v>5028</v>
      </c>
      <c r="G1376" t="s">
        <v>6073</v>
      </c>
      <c r="I1376" t="s">
        <v>10259</v>
      </c>
      <c r="L1376" t="s">
        <v>10260</v>
      </c>
      <c r="M1376" t="s">
        <v>6266</v>
      </c>
      <c r="N1376" s="61" t="s">
        <v>7924</v>
      </c>
      <c r="O1376">
        <v>58164</v>
      </c>
    </row>
    <row r="1377" spans="1:15" x14ac:dyDescent="0.2">
      <c r="A1377" t="s">
        <v>5029</v>
      </c>
      <c r="B1377" s="61" t="s">
        <v>10261</v>
      </c>
      <c r="C1377" s="61" t="s">
        <v>34</v>
      </c>
      <c r="F1377" t="s">
        <v>5029</v>
      </c>
      <c r="G1377" t="s">
        <v>6073</v>
      </c>
      <c r="H1377" t="s">
        <v>34</v>
      </c>
      <c r="I1377" t="s">
        <v>34</v>
      </c>
      <c r="L1377" t="s">
        <v>10262</v>
      </c>
      <c r="M1377" t="s">
        <v>6078</v>
      </c>
      <c r="N1377" s="61" t="s">
        <v>7193</v>
      </c>
      <c r="O1377">
        <v>58163</v>
      </c>
    </row>
    <row r="1378" spans="1:15" x14ac:dyDescent="0.2">
      <c r="A1378" t="s">
        <v>5030</v>
      </c>
      <c r="B1378" s="61" t="s">
        <v>10263</v>
      </c>
      <c r="C1378" s="61" t="s">
        <v>34</v>
      </c>
      <c r="F1378" t="s">
        <v>5030</v>
      </c>
      <c r="G1378" t="s">
        <v>6073</v>
      </c>
      <c r="H1378" t="s">
        <v>34</v>
      </c>
      <c r="I1378" t="s">
        <v>34</v>
      </c>
      <c r="L1378" t="s">
        <v>10264</v>
      </c>
      <c r="M1378" t="s">
        <v>6266</v>
      </c>
      <c r="N1378" s="61" t="s">
        <v>6945</v>
      </c>
      <c r="O1378">
        <v>58162</v>
      </c>
    </row>
    <row r="1379" spans="1:15" x14ac:dyDescent="0.2">
      <c r="A1379" t="s">
        <v>5031</v>
      </c>
      <c r="B1379" s="61" t="s">
        <v>10265</v>
      </c>
      <c r="C1379" s="61" t="s">
        <v>34</v>
      </c>
      <c r="F1379" t="s">
        <v>5031</v>
      </c>
      <c r="G1379" t="s">
        <v>6073</v>
      </c>
      <c r="H1379" t="s">
        <v>34</v>
      </c>
      <c r="I1379" t="s">
        <v>10266</v>
      </c>
      <c r="L1379" t="s">
        <v>10267</v>
      </c>
      <c r="M1379" t="s">
        <v>7150</v>
      </c>
      <c r="N1379" s="61" t="s">
        <v>10268</v>
      </c>
      <c r="O1379">
        <v>58161</v>
      </c>
    </row>
    <row r="1380" spans="1:15" x14ac:dyDescent="0.2">
      <c r="A1380" t="s">
        <v>5032</v>
      </c>
      <c r="B1380" s="61" t="s">
        <v>10269</v>
      </c>
      <c r="C1380" s="61" t="s">
        <v>34</v>
      </c>
      <c r="F1380" t="s">
        <v>5032</v>
      </c>
      <c r="G1380" t="s">
        <v>6073</v>
      </c>
      <c r="L1380" t="s">
        <v>10270</v>
      </c>
      <c r="M1380" t="s">
        <v>6078</v>
      </c>
      <c r="N1380" s="61" t="s">
        <v>10271</v>
      </c>
      <c r="O1380">
        <v>114697</v>
      </c>
    </row>
    <row r="1381" spans="1:15" x14ac:dyDescent="0.2">
      <c r="A1381" t="s">
        <v>5033</v>
      </c>
      <c r="B1381" s="61" t="s">
        <v>10272</v>
      </c>
      <c r="C1381" s="61" t="s">
        <v>34</v>
      </c>
      <c r="F1381" t="s">
        <v>5033</v>
      </c>
      <c r="G1381" t="s">
        <v>6073</v>
      </c>
      <c r="L1381" t="s">
        <v>10273</v>
      </c>
      <c r="M1381" t="s">
        <v>6078</v>
      </c>
      <c r="N1381" s="61" t="s">
        <v>6577</v>
      </c>
      <c r="O1381">
        <v>58160</v>
      </c>
    </row>
    <row r="1382" spans="1:15" x14ac:dyDescent="0.2">
      <c r="A1382" t="s">
        <v>5034</v>
      </c>
      <c r="B1382" s="61" t="s">
        <v>10274</v>
      </c>
      <c r="C1382" s="61" t="s">
        <v>34</v>
      </c>
      <c r="F1382" t="s">
        <v>10275</v>
      </c>
      <c r="G1382" t="s">
        <v>6073</v>
      </c>
      <c r="J1382" t="s">
        <v>7355</v>
      </c>
      <c r="K1382" t="s">
        <v>10276</v>
      </c>
      <c r="L1382" t="s">
        <v>10277</v>
      </c>
      <c r="M1382" t="s">
        <v>6078</v>
      </c>
      <c r="N1382" s="61" t="s">
        <v>6444</v>
      </c>
      <c r="O1382">
        <v>115282</v>
      </c>
    </row>
    <row r="1383" spans="1:15" x14ac:dyDescent="0.2">
      <c r="A1383" t="s">
        <v>5035</v>
      </c>
      <c r="B1383" s="61" t="s">
        <v>10278</v>
      </c>
      <c r="C1383" s="61" t="s">
        <v>34</v>
      </c>
      <c r="F1383" t="s">
        <v>5035</v>
      </c>
      <c r="G1383" t="s">
        <v>6073</v>
      </c>
      <c r="L1383" t="s">
        <v>10279</v>
      </c>
      <c r="M1383" t="s">
        <v>6095</v>
      </c>
      <c r="N1383" s="61" t="s">
        <v>9049</v>
      </c>
      <c r="O1383">
        <v>58169</v>
      </c>
    </row>
    <row r="1384" spans="1:15" x14ac:dyDescent="0.2">
      <c r="A1384" t="s">
        <v>5036</v>
      </c>
      <c r="B1384" s="61" t="s">
        <v>10280</v>
      </c>
      <c r="C1384" s="61" t="s">
        <v>34</v>
      </c>
      <c r="F1384" t="s">
        <v>5036</v>
      </c>
      <c r="G1384" t="s">
        <v>6073</v>
      </c>
      <c r="I1384" t="s">
        <v>10281</v>
      </c>
      <c r="L1384" t="s">
        <v>10282</v>
      </c>
      <c r="M1384" t="s">
        <v>6078</v>
      </c>
      <c r="N1384" s="61" t="s">
        <v>6444</v>
      </c>
      <c r="O1384">
        <v>58159</v>
      </c>
    </row>
    <row r="1385" spans="1:15" x14ac:dyDescent="0.2">
      <c r="A1385" t="s">
        <v>5037</v>
      </c>
      <c r="B1385" s="61" t="s">
        <v>10283</v>
      </c>
      <c r="C1385" s="61" t="s">
        <v>34</v>
      </c>
      <c r="F1385" t="s">
        <v>5037</v>
      </c>
      <c r="G1385" t="s">
        <v>6073</v>
      </c>
      <c r="H1385" t="s">
        <v>34</v>
      </c>
      <c r="I1385" t="s">
        <v>34</v>
      </c>
      <c r="L1385" t="s">
        <v>34</v>
      </c>
      <c r="M1385" t="s">
        <v>6078</v>
      </c>
      <c r="N1385" s="61" t="s">
        <v>7215</v>
      </c>
      <c r="O1385">
        <v>58158</v>
      </c>
    </row>
    <row r="1386" spans="1:15" x14ac:dyDescent="0.2">
      <c r="A1386" t="s">
        <v>5038</v>
      </c>
      <c r="B1386" s="61" t="s">
        <v>10284</v>
      </c>
      <c r="C1386" s="61" t="s">
        <v>34</v>
      </c>
      <c r="F1386" t="s">
        <v>5038</v>
      </c>
      <c r="G1386" t="s">
        <v>6073</v>
      </c>
      <c r="L1386" t="s">
        <v>10285</v>
      </c>
      <c r="M1386" t="s">
        <v>6078</v>
      </c>
      <c r="N1386" s="61" t="s">
        <v>6596</v>
      </c>
      <c r="O1386">
        <v>58156</v>
      </c>
    </row>
    <row r="1387" spans="1:15" x14ac:dyDescent="0.2">
      <c r="A1387" t="s">
        <v>5039</v>
      </c>
      <c r="B1387" s="61" t="s">
        <v>10286</v>
      </c>
      <c r="C1387" s="61" t="s">
        <v>34</v>
      </c>
      <c r="F1387" t="s">
        <v>5039</v>
      </c>
      <c r="G1387" t="s">
        <v>6073</v>
      </c>
      <c r="I1387" t="s">
        <v>10287</v>
      </c>
      <c r="L1387" t="s">
        <v>10288</v>
      </c>
      <c r="M1387" t="s">
        <v>6104</v>
      </c>
      <c r="N1387" s="61" t="s">
        <v>10289</v>
      </c>
      <c r="O1387">
        <v>58155</v>
      </c>
    </row>
    <row r="1388" spans="1:15" x14ac:dyDescent="0.2">
      <c r="A1388" t="s">
        <v>5040</v>
      </c>
      <c r="B1388" s="61" t="s">
        <v>10290</v>
      </c>
      <c r="C1388" s="61" t="s">
        <v>34</v>
      </c>
      <c r="F1388" t="s">
        <v>10291</v>
      </c>
      <c r="G1388" t="s">
        <v>6073</v>
      </c>
      <c r="H1388" t="s">
        <v>10292</v>
      </c>
      <c r="J1388" t="s">
        <v>10293</v>
      </c>
      <c r="K1388" t="s">
        <v>10294</v>
      </c>
      <c r="L1388" t="s">
        <v>10295</v>
      </c>
      <c r="M1388" t="s">
        <v>6078</v>
      </c>
      <c r="N1388" s="61" t="s">
        <v>7680</v>
      </c>
      <c r="O1388">
        <v>87528</v>
      </c>
    </row>
    <row r="1389" spans="1:15" x14ac:dyDescent="0.2">
      <c r="A1389" t="s">
        <v>5041</v>
      </c>
      <c r="B1389" s="61" t="s">
        <v>10296</v>
      </c>
      <c r="C1389" s="61" t="s">
        <v>34</v>
      </c>
      <c r="F1389" t="s">
        <v>5041</v>
      </c>
      <c r="G1389" t="s">
        <v>6073</v>
      </c>
      <c r="H1389" t="s">
        <v>34</v>
      </c>
      <c r="I1389" t="s">
        <v>34</v>
      </c>
      <c r="L1389" t="s">
        <v>10297</v>
      </c>
      <c r="M1389" t="s">
        <v>6235</v>
      </c>
      <c r="N1389" s="61" t="s">
        <v>10298</v>
      </c>
      <c r="O1389">
        <v>58154</v>
      </c>
    </row>
    <row r="1390" spans="1:15" x14ac:dyDescent="0.2">
      <c r="A1390" t="s">
        <v>5042</v>
      </c>
      <c r="B1390" s="61" t="s">
        <v>10299</v>
      </c>
      <c r="C1390" s="61" t="s">
        <v>34</v>
      </c>
      <c r="F1390" t="s">
        <v>5042</v>
      </c>
      <c r="G1390" t="s">
        <v>6073</v>
      </c>
      <c r="H1390" t="s">
        <v>34</v>
      </c>
      <c r="I1390" t="s">
        <v>34</v>
      </c>
      <c r="L1390" t="s">
        <v>34</v>
      </c>
      <c r="M1390" t="s">
        <v>6608</v>
      </c>
      <c r="N1390" s="61" t="s">
        <v>10300</v>
      </c>
      <c r="O1390">
        <v>58153</v>
      </c>
    </row>
    <row r="1391" spans="1:15" x14ac:dyDescent="0.2">
      <c r="A1391" t="s">
        <v>5043</v>
      </c>
      <c r="B1391" s="61" t="s">
        <v>10301</v>
      </c>
      <c r="C1391" s="61" t="s">
        <v>34</v>
      </c>
      <c r="F1391" t="s">
        <v>5043</v>
      </c>
      <c r="G1391" t="s">
        <v>6073</v>
      </c>
      <c r="H1391" t="s">
        <v>34</v>
      </c>
      <c r="I1391" t="s">
        <v>10302</v>
      </c>
      <c r="L1391" t="s">
        <v>10303</v>
      </c>
      <c r="M1391" t="s">
        <v>6266</v>
      </c>
      <c r="N1391" s="61" t="s">
        <v>10304</v>
      </c>
      <c r="O1391">
        <v>58152</v>
      </c>
    </row>
    <row r="1392" spans="1:15" x14ac:dyDescent="0.2">
      <c r="A1392" t="s">
        <v>5044</v>
      </c>
      <c r="B1392" s="61" t="s">
        <v>10305</v>
      </c>
      <c r="C1392" s="61" t="s">
        <v>34</v>
      </c>
      <c r="F1392" t="s">
        <v>5044</v>
      </c>
      <c r="G1392" t="s">
        <v>6073</v>
      </c>
      <c r="H1392" t="s">
        <v>34</v>
      </c>
      <c r="I1392" t="s">
        <v>10306</v>
      </c>
      <c r="L1392" t="s">
        <v>10307</v>
      </c>
      <c r="M1392" t="s">
        <v>6078</v>
      </c>
      <c r="N1392" s="61" t="s">
        <v>8351</v>
      </c>
      <c r="O1392">
        <v>58151</v>
      </c>
    </row>
    <row r="1393" spans="1:15" x14ac:dyDescent="0.2">
      <c r="A1393" t="s">
        <v>5045</v>
      </c>
      <c r="B1393" s="61" t="s">
        <v>9636</v>
      </c>
      <c r="C1393" s="61" t="s">
        <v>34</v>
      </c>
      <c r="F1393" t="s">
        <v>5045</v>
      </c>
      <c r="G1393" t="s">
        <v>6073</v>
      </c>
      <c r="I1393" t="s">
        <v>9638</v>
      </c>
      <c r="L1393" t="s">
        <v>9639</v>
      </c>
      <c r="M1393" t="s">
        <v>6266</v>
      </c>
      <c r="N1393" s="61" t="s">
        <v>9640</v>
      </c>
      <c r="O1393">
        <v>58150</v>
      </c>
    </row>
    <row r="1394" spans="1:15" x14ac:dyDescent="0.2">
      <c r="A1394" t="s">
        <v>5046</v>
      </c>
      <c r="B1394" s="61" t="s">
        <v>10308</v>
      </c>
      <c r="C1394" s="61" t="s">
        <v>34</v>
      </c>
      <c r="F1394" t="s">
        <v>5046</v>
      </c>
      <c r="G1394" t="s">
        <v>6073</v>
      </c>
      <c r="H1394" t="s">
        <v>34</v>
      </c>
      <c r="I1394" t="s">
        <v>34</v>
      </c>
      <c r="L1394" t="s">
        <v>10309</v>
      </c>
      <c r="M1394" t="s">
        <v>6078</v>
      </c>
      <c r="N1394" s="61" t="s">
        <v>6444</v>
      </c>
      <c r="O1394">
        <v>58149</v>
      </c>
    </row>
    <row r="1395" spans="1:15" x14ac:dyDescent="0.2">
      <c r="A1395" t="s">
        <v>5047</v>
      </c>
      <c r="B1395" s="61" t="s">
        <v>34</v>
      </c>
      <c r="C1395" s="61" t="s">
        <v>34</v>
      </c>
      <c r="F1395" t="s">
        <v>5047</v>
      </c>
      <c r="G1395" t="s">
        <v>6073</v>
      </c>
      <c r="H1395" t="s">
        <v>34</v>
      </c>
      <c r="I1395" t="s">
        <v>34</v>
      </c>
      <c r="L1395" t="s">
        <v>34</v>
      </c>
      <c r="N1395" s="61" t="s">
        <v>3784</v>
      </c>
      <c r="O1395">
        <v>58407</v>
      </c>
    </row>
    <row r="1396" spans="1:15" x14ac:dyDescent="0.2">
      <c r="A1396" t="s">
        <v>5048</v>
      </c>
      <c r="B1396" s="61" t="s">
        <v>10310</v>
      </c>
      <c r="C1396" s="61" t="s">
        <v>34</v>
      </c>
      <c r="F1396" t="s">
        <v>5048</v>
      </c>
      <c r="G1396" t="s">
        <v>6073</v>
      </c>
      <c r="J1396" t="s">
        <v>10311</v>
      </c>
      <c r="K1396" t="s">
        <v>10312</v>
      </c>
      <c r="L1396" t="s">
        <v>10313</v>
      </c>
      <c r="M1396" t="s">
        <v>6078</v>
      </c>
      <c r="N1396" s="61" t="s">
        <v>6114</v>
      </c>
      <c r="O1396">
        <v>126714</v>
      </c>
    </row>
    <row r="1397" spans="1:15" x14ac:dyDescent="0.2">
      <c r="A1397" t="s">
        <v>5049</v>
      </c>
      <c r="B1397" s="61" t="s">
        <v>10314</v>
      </c>
      <c r="C1397" s="61" t="s">
        <v>34</v>
      </c>
      <c r="F1397" t="s">
        <v>5049</v>
      </c>
      <c r="G1397" t="s">
        <v>6073</v>
      </c>
      <c r="H1397" t="s">
        <v>10315</v>
      </c>
      <c r="J1397" t="s">
        <v>8783</v>
      </c>
      <c r="K1397" t="s">
        <v>10316</v>
      </c>
      <c r="L1397" t="s">
        <v>10317</v>
      </c>
      <c r="M1397" t="s">
        <v>6078</v>
      </c>
      <c r="N1397" s="61" t="s">
        <v>7154</v>
      </c>
      <c r="O1397">
        <v>117530</v>
      </c>
    </row>
    <row r="1398" spans="1:15" x14ac:dyDescent="0.2">
      <c r="A1398" t="s">
        <v>5050</v>
      </c>
      <c r="B1398" s="61" t="s">
        <v>10318</v>
      </c>
      <c r="C1398" s="61" t="s">
        <v>34</v>
      </c>
      <c r="F1398" t="s">
        <v>5050</v>
      </c>
      <c r="G1398" t="s">
        <v>6073</v>
      </c>
      <c r="L1398" t="s">
        <v>10319</v>
      </c>
      <c r="M1398" t="s">
        <v>6078</v>
      </c>
      <c r="N1398" s="61" t="s">
        <v>6083</v>
      </c>
      <c r="O1398">
        <v>92726</v>
      </c>
    </row>
    <row r="1399" spans="1:15" x14ac:dyDescent="0.2">
      <c r="A1399" t="s">
        <v>5051</v>
      </c>
      <c r="B1399" s="61" t="s">
        <v>10320</v>
      </c>
      <c r="C1399" s="61" t="s">
        <v>34</v>
      </c>
      <c r="F1399" t="s">
        <v>5051</v>
      </c>
      <c r="G1399" t="s">
        <v>6073</v>
      </c>
      <c r="H1399" t="s">
        <v>10321</v>
      </c>
      <c r="I1399" t="s">
        <v>10322</v>
      </c>
      <c r="J1399" t="s">
        <v>10323</v>
      </c>
      <c r="K1399" t="s">
        <v>10324</v>
      </c>
      <c r="L1399" t="s">
        <v>10325</v>
      </c>
      <c r="M1399" t="s">
        <v>6266</v>
      </c>
      <c r="N1399" s="61" t="s">
        <v>10326</v>
      </c>
      <c r="O1399">
        <v>94897</v>
      </c>
    </row>
    <row r="1400" spans="1:15" x14ac:dyDescent="0.2">
      <c r="A1400" t="s">
        <v>5052</v>
      </c>
      <c r="B1400" s="61" t="s">
        <v>10327</v>
      </c>
      <c r="C1400" s="61" t="s">
        <v>34</v>
      </c>
      <c r="F1400" t="s">
        <v>5052</v>
      </c>
      <c r="G1400" t="s">
        <v>6073</v>
      </c>
      <c r="H1400" t="s">
        <v>10328</v>
      </c>
      <c r="J1400" t="s">
        <v>8461</v>
      </c>
      <c r="K1400" t="s">
        <v>10329</v>
      </c>
      <c r="M1400" t="s">
        <v>6608</v>
      </c>
      <c r="N1400" s="61" t="s">
        <v>10330</v>
      </c>
      <c r="O1400">
        <v>114327</v>
      </c>
    </row>
    <row r="1401" spans="1:15" x14ac:dyDescent="0.2">
      <c r="A1401" t="s">
        <v>5053</v>
      </c>
      <c r="B1401" s="61" t="s">
        <v>10331</v>
      </c>
      <c r="C1401" s="61" t="s">
        <v>34</v>
      </c>
      <c r="F1401" t="s">
        <v>5053</v>
      </c>
      <c r="G1401" t="s">
        <v>6073</v>
      </c>
      <c r="H1401" t="s">
        <v>10332</v>
      </c>
      <c r="J1401" t="s">
        <v>8014</v>
      </c>
      <c r="K1401" t="s">
        <v>10333</v>
      </c>
      <c r="L1401" t="s">
        <v>10334</v>
      </c>
      <c r="M1401" t="s">
        <v>6078</v>
      </c>
      <c r="N1401" s="61" t="s">
        <v>6164</v>
      </c>
      <c r="O1401">
        <v>117043</v>
      </c>
    </row>
    <row r="1402" spans="1:15" x14ac:dyDescent="0.2">
      <c r="A1402" t="s">
        <v>5054</v>
      </c>
      <c r="B1402" s="61" t="s">
        <v>10335</v>
      </c>
      <c r="C1402" s="61" t="s">
        <v>34</v>
      </c>
      <c r="F1402" t="s">
        <v>5054</v>
      </c>
      <c r="G1402" t="s">
        <v>6073</v>
      </c>
      <c r="J1402" t="s">
        <v>10336</v>
      </c>
      <c r="K1402" t="s">
        <v>10337</v>
      </c>
      <c r="L1402" t="s">
        <v>10338</v>
      </c>
      <c r="M1402" t="s">
        <v>6078</v>
      </c>
      <c r="N1402" s="61" t="s">
        <v>6083</v>
      </c>
      <c r="O1402">
        <v>88144</v>
      </c>
    </row>
    <row r="1403" spans="1:15" x14ac:dyDescent="0.2">
      <c r="A1403" t="s">
        <v>5055</v>
      </c>
      <c r="B1403" s="61" t="s">
        <v>10339</v>
      </c>
      <c r="C1403" s="61" t="s">
        <v>34</v>
      </c>
      <c r="F1403" t="s">
        <v>5055</v>
      </c>
      <c r="G1403" t="s">
        <v>6073</v>
      </c>
      <c r="H1403" t="s">
        <v>10340</v>
      </c>
      <c r="I1403" t="s">
        <v>10341</v>
      </c>
      <c r="J1403" t="s">
        <v>10342</v>
      </c>
      <c r="K1403" t="s">
        <v>10343</v>
      </c>
      <c r="L1403" t="s">
        <v>10344</v>
      </c>
      <c r="M1403" t="s">
        <v>6078</v>
      </c>
      <c r="N1403" s="61" t="s">
        <v>6977</v>
      </c>
      <c r="O1403">
        <v>115322</v>
      </c>
    </row>
    <row r="1404" spans="1:15" x14ac:dyDescent="0.2">
      <c r="A1404" t="s">
        <v>5056</v>
      </c>
      <c r="B1404" s="61" t="s">
        <v>10345</v>
      </c>
      <c r="C1404" s="61" t="s">
        <v>34</v>
      </c>
      <c r="F1404" t="s">
        <v>5056</v>
      </c>
      <c r="G1404" t="s">
        <v>6073</v>
      </c>
      <c r="J1404" t="s">
        <v>10346</v>
      </c>
      <c r="L1404" t="s">
        <v>10347</v>
      </c>
      <c r="M1404" t="s">
        <v>6078</v>
      </c>
      <c r="N1404" s="61" t="s">
        <v>8040</v>
      </c>
      <c r="O1404">
        <v>96919</v>
      </c>
    </row>
    <row r="1405" spans="1:15" x14ac:dyDescent="0.2">
      <c r="A1405" t="s">
        <v>5057</v>
      </c>
      <c r="B1405" s="61" t="s">
        <v>10348</v>
      </c>
      <c r="C1405" s="61" t="s">
        <v>34</v>
      </c>
      <c r="F1405" t="s">
        <v>10349</v>
      </c>
      <c r="G1405" t="s">
        <v>6073</v>
      </c>
      <c r="I1405" t="s">
        <v>10350</v>
      </c>
      <c r="L1405" t="s">
        <v>10351</v>
      </c>
      <c r="N1405" s="61" t="s">
        <v>7447</v>
      </c>
      <c r="O1405">
        <v>58404</v>
      </c>
    </row>
    <row r="1406" spans="1:15" x14ac:dyDescent="0.2">
      <c r="A1406" t="s">
        <v>5058</v>
      </c>
      <c r="B1406" s="61" t="s">
        <v>10352</v>
      </c>
      <c r="C1406" s="61" t="s">
        <v>34</v>
      </c>
      <c r="F1406" t="s">
        <v>10353</v>
      </c>
      <c r="G1406" t="s">
        <v>6073</v>
      </c>
      <c r="L1406" t="s">
        <v>10354</v>
      </c>
      <c r="M1406" t="s">
        <v>6078</v>
      </c>
      <c r="N1406" s="61" t="s">
        <v>10355</v>
      </c>
      <c r="O1406">
        <v>57964</v>
      </c>
    </row>
    <row r="1407" spans="1:15" x14ac:dyDescent="0.2">
      <c r="A1407" t="s">
        <v>5059</v>
      </c>
      <c r="B1407" s="61" t="s">
        <v>10356</v>
      </c>
      <c r="C1407" s="61" t="s">
        <v>34</v>
      </c>
      <c r="F1407" t="s">
        <v>5059</v>
      </c>
      <c r="G1407" t="s">
        <v>6073</v>
      </c>
      <c r="H1407" t="s">
        <v>10357</v>
      </c>
      <c r="J1407" t="s">
        <v>10358</v>
      </c>
      <c r="K1407" t="s">
        <v>10359</v>
      </c>
      <c r="L1407" t="s">
        <v>10360</v>
      </c>
      <c r="M1407" t="s">
        <v>6078</v>
      </c>
      <c r="N1407" s="61" t="s">
        <v>6079</v>
      </c>
      <c r="O1407">
        <v>115447</v>
      </c>
    </row>
    <row r="1408" spans="1:15" x14ac:dyDescent="0.2">
      <c r="A1408" t="s">
        <v>5060</v>
      </c>
      <c r="B1408" s="61" t="s">
        <v>10361</v>
      </c>
      <c r="C1408" s="61" t="s">
        <v>34</v>
      </c>
      <c r="F1408" t="s">
        <v>5060</v>
      </c>
      <c r="G1408" t="s">
        <v>6073</v>
      </c>
      <c r="J1408" t="s">
        <v>10362</v>
      </c>
      <c r="K1408" t="s">
        <v>10363</v>
      </c>
      <c r="L1408" t="s">
        <v>10364</v>
      </c>
      <c r="M1408" t="s">
        <v>6078</v>
      </c>
      <c r="N1408" s="61" t="s">
        <v>6211</v>
      </c>
      <c r="O1408">
        <v>127739</v>
      </c>
    </row>
    <row r="1409" spans="1:15" x14ac:dyDescent="0.2">
      <c r="A1409" t="s">
        <v>5061</v>
      </c>
      <c r="B1409" s="61" t="s">
        <v>10365</v>
      </c>
      <c r="C1409" s="61" t="s">
        <v>34</v>
      </c>
      <c r="F1409" t="s">
        <v>5061</v>
      </c>
      <c r="G1409" t="s">
        <v>6073</v>
      </c>
      <c r="H1409" t="s">
        <v>34</v>
      </c>
      <c r="I1409" t="s">
        <v>34</v>
      </c>
      <c r="L1409" t="s">
        <v>10366</v>
      </c>
      <c r="M1409" t="s">
        <v>6078</v>
      </c>
      <c r="N1409" s="61" t="s">
        <v>6255</v>
      </c>
      <c r="O1409">
        <v>58148</v>
      </c>
    </row>
    <row r="1410" spans="1:15" x14ac:dyDescent="0.2">
      <c r="A1410" t="s">
        <v>5062</v>
      </c>
      <c r="B1410" s="61" t="s">
        <v>10367</v>
      </c>
      <c r="C1410" s="61" t="s">
        <v>34</v>
      </c>
      <c r="F1410" t="s">
        <v>5062</v>
      </c>
      <c r="G1410" t="s">
        <v>6073</v>
      </c>
      <c r="H1410" t="s">
        <v>10368</v>
      </c>
      <c r="L1410" t="s">
        <v>10369</v>
      </c>
      <c r="M1410" t="s">
        <v>6309</v>
      </c>
      <c r="N1410" s="61" t="s">
        <v>10370</v>
      </c>
      <c r="O1410">
        <v>58147</v>
      </c>
    </row>
    <row r="1411" spans="1:15" x14ac:dyDescent="0.2">
      <c r="A1411" t="s">
        <v>5063</v>
      </c>
      <c r="B1411" s="61" t="s">
        <v>34</v>
      </c>
      <c r="C1411" s="61" t="s">
        <v>34</v>
      </c>
      <c r="F1411" t="s">
        <v>5063</v>
      </c>
      <c r="G1411" t="s">
        <v>6073</v>
      </c>
      <c r="H1411" t="s">
        <v>34</v>
      </c>
      <c r="I1411" t="s">
        <v>34</v>
      </c>
      <c r="L1411" t="s">
        <v>34</v>
      </c>
      <c r="N1411" s="61" t="s">
        <v>3784</v>
      </c>
      <c r="O1411">
        <v>58342</v>
      </c>
    </row>
    <row r="1412" spans="1:15" x14ac:dyDescent="0.2">
      <c r="A1412" t="s">
        <v>5064</v>
      </c>
      <c r="B1412" s="61" t="s">
        <v>10371</v>
      </c>
      <c r="C1412" s="61" t="s">
        <v>34</v>
      </c>
      <c r="F1412" t="s">
        <v>5064</v>
      </c>
      <c r="G1412" t="s">
        <v>6073</v>
      </c>
      <c r="I1412" t="s">
        <v>10372</v>
      </c>
      <c r="L1412" t="s">
        <v>10373</v>
      </c>
      <c r="M1412" t="s">
        <v>6078</v>
      </c>
      <c r="N1412" s="61" t="s">
        <v>6444</v>
      </c>
      <c r="O1412">
        <v>58121</v>
      </c>
    </row>
    <row r="1413" spans="1:15" x14ac:dyDescent="0.2">
      <c r="A1413" t="s">
        <v>5065</v>
      </c>
      <c r="B1413" s="61" t="s">
        <v>10374</v>
      </c>
      <c r="C1413" s="61" t="s">
        <v>34</v>
      </c>
      <c r="F1413" t="s">
        <v>5065</v>
      </c>
      <c r="G1413" t="s">
        <v>6073</v>
      </c>
      <c r="L1413" t="s">
        <v>10375</v>
      </c>
      <c r="M1413" t="s">
        <v>6078</v>
      </c>
      <c r="N1413" s="61" t="s">
        <v>6215</v>
      </c>
      <c r="O1413">
        <v>58120</v>
      </c>
    </row>
    <row r="1414" spans="1:15" x14ac:dyDescent="0.2">
      <c r="A1414" t="s">
        <v>5066</v>
      </c>
      <c r="B1414" s="61" t="s">
        <v>10376</v>
      </c>
      <c r="C1414" s="61" t="s">
        <v>34</v>
      </c>
      <c r="F1414" t="s">
        <v>5066</v>
      </c>
      <c r="G1414" t="s">
        <v>6073</v>
      </c>
      <c r="L1414" t="s">
        <v>10377</v>
      </c>
      <c r="M1414" t="s">
        <v>6095</v>
      </c>
      <c r="N1414" s="61" t="s">
        <v>10378</v>
      </c>
      <c r="O1414">
        <v>58119</v>
      </c>
    </row>
    <row r="1415" spans="1:15" x14ac:dyDescent="0.2">
      <c r="A1415" t="s">
        <v>5067</v>
      </c>
      <c r="B1415" s="61" t="s">
        <v>10379</v>
      </c>
      <c r="C1415" s="61" t="s">
        <v>34</v>
      </c>
      <c r="F1415" t="s">
        <v>5067</v>
      </c>
      <c r="G1415" t="s">
        <v>6073</v>
      </c>
      <c r="H1415" t="s">
        <v>34</v>
      </c>
      <c r="I1415" t="s">
        <v>34</v>
      </c>
      <c r="L1415" t="s">
        <v>10380</v>
      </c>
      <c r="M1415" t="s">
        <v>6078</v>
      </c>
      <c r="N1415" s="61" t="s">
        <v>10381</v>
      </c>
      <c r="O1415">
        <v>58094</v>
      </c>
    </row>
    <row r="1416" spans="1:15" x14ac:dyDescent="0.2">
      <c r="A1416" t="s">
        <v>5068</v>
      </c>
      <c r="B1416" s="61" t="s">
        <v>10382</v>
      </c>
      <c r="C1416" s="61" t="s">
        <v>34</v>
      </c>
      <c r="F1416" t="s">
        <v>5068</v>
      </c>
      <c r="G1416" t="s">
        <v>6073</v>
      </c>
      <c r="L1416" t="s">
        <v>10383</v>
      </c>
      <c r="M1416" t="s">
        <v>6078</v>
      </c>
      <c r="N1416" s="61" t="s">
        <v>10384</v>
      </c>
      <c r="O1416">
        <v>58092</v>
      </c>
    </row>
    <row r="1417" spans="1:15" x14ac:dyDescent="0.2">
      <c r="A1417" t="s">
        <v>5069</v>
      </c>
      <c r="B1417" s="61" t="s">
        <v>10385</v>
      </c>
      <c r="C1417" s="61" t="s">
        <v>34</v>
      </c>
      <c r="F1417" t="s">
        <v>5069</v>
      </c>
      <c r="G1417" t="s">
        <v>6073</v>
      </c>
      <c r="H1417" t="s">
        <v>34</v>
      </c>
      <c r="I1417" t="s">
        <v>34</v>
      </c>
      <c r="L1417" t="s">
        <v>10386</v>
      </c>
      <c r="M1417" t="s">
        <v>6078</v>
      </c>
      <c r="N1417" s="61" t="s">
        <v>10387</v>
      </c>
      <c r="O1417">
        <v>58091</v>
      </c>
    </row>
    <row r="1418" spans="1:15" x14ac:dyDescent="0.2">
      <c r="A1418" t="s">
        <v>5070</v>
      </c>
      <c r="B1418" s="61" t="s">
        <v>10388</v>
      </c>
      <c r="C1418" s="61" t="s">
        <v>34</v>
      </c>
      <c r="F1418" t="s">
        <v>5070</v>
      </c>
      <c r="G1418" t="s">
        <v>6073</v>
      </c>
      <c r="H1418" t="s">
        <v>34</v>
      </c>
      <c r="I1418" t="s">
        <v>34</v>
      </c>
      <c r="L1418" t="s">
        <v>10389</v>
      </c>
      <c r="M1418" t="s">
        <v>6078</v>
      </c>
      <c r="N1418" s="61" t="s">
        <v>7465</v>
      </c>
      <c r="O1418">
        <v>58090</v>
      </c>
    </row>
    <row r="1419" spans="1:15" x14ac:dyDescent="0.2">
      <c r="A1419" t="s">
        <v>5071</v>
      </c>
      <c r="B1419" s="61" t="s">
        <v>10390</v>
      </c>
      <c r="C1419" s="61" t="s">
        <v>10391</v>
      </c>
      <c r="F1419" t="s">
        <v>5071</v>
      </c>
      <c r="G1419" t="s">
        <v>6073</v>
      </c>
      <c r="H1419" t="s">
        <v>34</v>
      </c>
      <c r="I1419" t="s">
        <v>34</v>
      </c>
      <c r="L1419" t="s">
        <v>10392</v>
      </c>
      <c r="M1419" t="s">
        <v>6078</v>
      </c>
      <c r="N1419" s="61" t="s">
        <v>7225</v>
      </c>
      <c r="O1419">
        <v>58089</v>
      </c>
    </row>
    <row r="1420" spans="1:15" x14ac:dyDescent="0.2">
      <c r="A1420" t="s">
        <v>5072</v>
      </c>
      <c r="B1420" s="61" t="s">
        <v>10393</v>
      </c>
      <c r="C1420" s="61" t="s">
        <v>34</v>
      </c>
      <c r="F1420" t="s">
        <v>5072</v>
      </c>
      <c r="G1420" t="s">
        <v>6073</v>
      </c>
      <c r="H1420" t="s">
        <v>34</v>
      </c>
      <c r="I1420" t="s">
        <v>34</v>
      </c>
      <c r="L1420" t="s">
        <v>10394</v>
      </c>
      <c r="M1420" t="s">
        <v>6078</v>
      </c>
      <c r="N1420" s="61" t="s">
        <v>6577</v>
      </c>
      <c r="O1420">
        <v>58088</v>
      </c>
    </row>
    <row r="1421" spans="1:15" x14ac:dyDescent="0.2">
      <c r="A1421" t="s">
        <v>5073</v>
      </c>
      <c r="B1421" s="61" t="s">
        <v>10395</v>
      </c>
      <c r="C1421" s="61" t="s">
        <v>34</v>
      </c>
      <c r="F1421" t="s">
        <v>5073</v>
      </c>
      <c r="G1421" t="s">
        <v>6073</v>
      </c>
      <c r="H1421" t="s">
        <v>34</v>
      </c>
      <c r="I1421" t="s">
        <v>10396</v>
      </c>
      <c r="L1421" t="s">
        <v>10397</v>
      </c>
      <c r="M1421" t="s">
        <v>6104</v>
      </c>
      <c r="N1421" s="61" t="s">
        <v>10398</v>
      </c>
      <c r="O1421">
        <v>58087</v>
      </c>
    </row>
    <row r="1422" spans="1:15" x14ac:dyDescent="0.2">
      <c r="A1422" t="s">
        <v>5074</v>
      </c>
      <c r="B1422" s="61" t="s">
        <v>10399</v>
      </c>
      <c r="C1422" s="61" t="s">
        <v>34</v>
      </c>
      <c r="F1422" t="s">
        <v>5074</v>
      </c>
      <c r="G1422" t="s">
        <v>6073</v>
      </c>
      <c r="H1422" t="s">
        <v>34</v>
      </c>
      <c r="I1422" t="s">
        <v>34</v>
      </c>
      <c r="L1422" t="s">
        <v>10400</v>
      </c>
      <c r="M1422" t="s">
        <v>6078</v>
      </c>
      <c r="N1422" s="61" t="s">
        <v>6092</v>
      </c>
      <c r="O1422">
        <v>58086</v>
      </c>
    </row>
    <row r="1423" spans="1:15" x14ac:dyDescent="0.2">
      <c r="A1423" t="s">
        <v>5075</v>
      </c>
      <c r="B1423" s="61" t="s">
        <v>10401</v>
      </c>
      <c r="C1423" s="61" t="s">
        <v>34</v>
      </c>
      <c r="F1423" t="s">
        <v>5075</v>
      </c>
      <c r="G1423" t="s">
        <v>6073</v>
      </c>
      <c r="J1423" t="s">
        <v>10402</v>
      </c>
      <c r="K1423" t="s">
        <v>10403</v>
      </c>
      <c r="L1423" t="s">
        <v>10404</v>
      </c>
      <c r="M1423" t="s">
        <v>6078</v>
      </c>
      <c r="N1423" s="61" t="s">
        <v>6211</v>
      </c>
      <c r="O1423">
        <v>65113</v>
      </c>
    </row>
    <row r="1424" spans="1:15" x14ac:dyDescent="0.2">
      <c r="A1424" t="s">
        <v>5076</v>
      </c>
      <c r="B1424" s="61" t="s">
        <v>10405</v>
      </c>
      <c r="C1424" s="61" t="s">
        <v>34</v>
      </c>
      <c r="F1424" t="s">
        <v>5076</v>
      </c>
      <c r="G1424" t="s">
        <v>6073</v>
      </c>
      <c r="H1424" t="s">
        <v>34</v>
      </c>
      <c r="I1424" t="s">
        <v>10406</v>
      </c>
      <c r="L1424" t="s">
        <v>10407</v>
      </c>
      <c r="M1424" t="s">
        <v>6266</v>
      </c>
      <c r="N1424" s="61" t="s">
        <v>10408</v>
      </c>
      <c r="O1424">
        <v>58085</v>
      </c>
    </row>
    <row r="1425" spans="1:15" x14ac:dyDescent="0.2">
      <c r="A1425" t="s">
        <v>5077</v>
      </c>
      <c r="B1425" s="61" t="s">
        <v>10409</v>
      </c>
      <c r="C1425" s="61" t="s">
        <v>34</v>
      </c>
      <c r="F1425" t="s">
        <v>5077</v>
      </c>
      <c r="G1425" t="s">
        <v>6073</v>
      </c>
      <c r="I1425" t="s">
        <v>10410</v>
      </c>
      <c r="L1425" t="s">
        <v>10411</v>
      </c>
      <c r="M1425" t="s">
        <v>6078</v>
      </c>
      <c r="N1425" s="61" t="s">
        <v>6083</v>
      </c>
      <c r="O1425">
        <v>58084</v>
      </c>
    </row>
    <row r="1426" spans="1:15" x14ac:dyDescent="0.2">
      <c r="A1426" t="s">
        <v>5078</v>
      </c>
      <c r="B1426" s="61" t="s">
        <v>10412</v>
      </c>
      <c r="C1426" s="61" t="s">
        <v>34</v>
      </c>
      <c r="F1426" t="s">
        <v>5078</v>
      </c>
      <c r="G1426" t="s">
        <v>6073</v>
      </c>
      <c r="H1426" t="s">
        <v>34</v>
      </c>
      <c r="I1426" t="s">
        <v>10413</v>
      </c>
      <c r="L1426" t="s">
        <v>10414</v>
      </c>
      <c r="M1426" t="s">
        <v>6309</v>
      </c>
      <c r="N1426" s="61" t="s">
        <v>6893</v>
      </c>
      <c r="O1426">
        <v>58083</v>
      </c>
    </row>
    <row r="1427" spans="1:15" x14ac:dyDescent="0.2">
      <c r="A1427" t="s">
        <v>5079</v>
      </c>
      <c r="B1427" s="61" t="s">
        <v>10415</v>
      </c>
      <c r="C1427" s="61" t="s">
        <v>34</v>
      </c>
      <c r="F1427" t="s">
        <v>5079</v>
      </c>
      <c r="G1427" t="s">
        <v>6073</v>
      </c>
      <c r="I1427" t="s">
        <v>10416</v>
      </c>
      <c r="L1427" t="s">
        <v>10417</v>
      </c>
      <c r="M1427" t="s">
        <v>6078</v>
      </c>
      <c r="N1427" s="61" t="s">
        <v>6128</v>
      </c>
      <c r="O1427">
        <v>58082</v>
      </c>
    </row>
    <row r="1428" spans="1:15" x14ac:dyDescent="0.2">
      <c r="A1428" t="s">
        <v>5080</v>
      </c>
      <c r="B1428" s="61" t="s">
        <v>10418</v>
      </c>
      <c r="C1428" s="61" t="s">
        <v>34</v>
      </c>
      <c r="F1428" t="s">
        <v>5080</v>
      </c>
      <c r="G1428" t="s">
        <v>6073</v>
      </c>
      <c r="L1428" t="s">
        <v>10419</v>
      </c>
      <c r="M1428" t="s">
        <v>6078</v>
      </c>
      <c r="N1428" s="61" t="s">
        <v>8164</v>
      </c>
      <c r="O1428">
        <v>58081</v>
      </c>
    </row>
    <row r="1429" spans="1:15" x14ac:dyDescent="0.2">
      <c r="A1429" t="s">
        <v>5081</v>
      </c>
      <c r="B1429" s="61" t="s">
        <v>10420</v>
      </c>
      <c r="C1429" s="61" t="s">
        <v>34</v>
      </c>
      <c r="F1429" t="s">
        <v>5081</v>
      </c>
      <c r="G1429" t="s">
        <v>6073</v>
      </c>
      <c r="H1429" t="s">
        <v>34</v>
      </c>
      <c r="I1429" t="s">
        <v>34</v>
      </c>
      <c r="L1429" t="s">
        <v>10421</v>
      </c>
      <c r="M1429" t="s">
        <v>6104</v>
      </c>
      <c r="N1429" s="61" t="s">
        <v>10422</v>
      </c>
      <c r="O1429">
        <v>58080</v>
      </c>
    </row>
    <row r="1430" spans="1:15" x14ac:dyDescent="0.2">
      <c r="A1430" t="s">
        <v>5082</v>
      </c>
      <c r="B1430" s="61" t="s">
        <v>34</v>
      </c>
      <c r="C1430" s="61" t="s">
        <v>34</v>
      </c>
      <c r="F1430" t="s">
        <v>5082</v>
      </c>
      <c r="G1430" t="s">
        <v>6073</v>
      </c>
      <c r="H1430" t="s">
        <v>34</v>
      </c>
      <c r="I1430" t="s">
        <v>34</v>
      </c>
      <c r="L1430" t="s">
        <v>34</v>
      </c>
      <c r="N1430" s="61" t="s">
        <v>3784</v>
      </c>
      <c r="O1430">
        <v>58403</v>
      </c>
    </row>
    <row r="1431" spans="1:15" x14ac:dyDescent="0.2">
      <c r="A1431" t="s">
        <v>5083</v>
      </c>
      <c r="B1431" s="61" t="s">
        <v>10423</v>
      </c>
      <c r="C1431" s="61" t="s">
        <v>34</v>
      </c>
      <c r="F1431" t="s">
        <v>5083</v>
      </c>
      <c r="G1431" t="s">
        <v>6073</v>
      </c>
      <c r="I1431" t="s">
        <v>10424</v>
      </c>
      <c r="L1431" t="s">
        <v>10425</v>
      </c>
      <c r="M1431" t="s">
        <v>6078</v>
      </c>
      <c r="N1431" s="61" t="s">
        <v>6110</v>
      </c>
      <c r="O1431">
        <v>58078</v>
      </c>
    </row>
    <row r="1432" spans="1:15" x14ac:dyDescent="0.2">
      <c r="A1432" t="s">
        <v>5084</v>
      </c>
      <c r="B1432" s="61" t="s">
        <v>10426</v>
      </c>
      <c r="C1432" s="61" t="s">
        <v>34</v>
      </c>
      <c r="F1432" t="s">
        <v>5084</v>
      </c>
      <c r="G1432" t="s">
        <v>6073</v>
      </c>
      <c r="L1432" t="s">
        <v>10427</v>
      </c>
      <c r="M1432" t="s">
        <v>6078</v>
      </c>
      <c r="N1432" s="61" t="s">
        <v>6083</v>
      </c>
      <c r="O1432">
        <v>58077</v>
      </c>
    </row>
    <row r="1433" spans="1:15" x14ac:dyDescent="0.2">
      <c r="A1433" t="s">
        <v>5085</v>
      </c>
      <c r="B1433" s="61" t="s">
        <v>10428</v>
      </c>
      <c r="C1433" s="61" t="s">
        <v>34</v>
      </c>
      <c r="F1433" t="s">
        <v>5085</v>
      </c>
      <c r="G1433" t="s">
        <v>6073</v>
      </c>
      <c r="H1433" t="s">
        <v>34</v>
      </c>
      <c r="I1433" t="s">
        <v>34</v>
      </c>
      <c r="L1433" t="s">
        <v>10429</v>
      </c>
      <c r="M1433" t="s">
        <v>6148</v>
      </c>
      <c r="N1433" s="61" t="s">
        <v>10430</v>
      </c>
      <c r="O1433">
        <v>58076</v>
      </c>
    </row>
    <row r="1434" spans="1:15" x14ac:dyDescent="0.2">
      <c r="A1434" t="s">
        <v>5086</v>
      </c>
      <c r="B1434" s="61" t="s">
        <v>10431</v>
      </c>
      <c r="C1434" s="61" t="s">
        <v>34</v>
      </c>
      <c r="F1434" t="s">
        <v>5086</v>
      </c>
      <c r="G1434" t="s">
        <v>6073</v>
      </c>
      <c r="H1434" t="s">
        <v>10432</v>
      </c>
      <c r="J1434" t="s">
        <v>10433</v>
      </c>
      <c r="K1434" t="s">
        <v>10434</v>
      </c>
      <c r="L1434" t="s">
        <v>10435</v>
      </c>
      <c r="M1434" t="s">
        <v>6422</v>
      </c>
      <c r="N1434" s="61" t="s">
        <v>10436</v>
      </c>
      <c r="O1434">
        <v>71049</v>
      </c>
    </row>
    <row r="1435" spans="1:15" x14ac:dyDescent="0.2">
      <c r="A1435" t="s">
        <v>5087</v>
      </c>
      <c r="B1435" s="61" t="s">
        <v>10437</v>
      </c>
      <c r="C1435" s="61" t="s">
        <v>10438</v>
      </c>
      <c r="F1435" t="s">
        <v>5087</v>
      </c>
      <c r="G1435" t="s">
        <v>6073</v>
      </c>
      <c r="L1435" t="s">
        <v>7892</v>
      </c>
      <c r="M1435" t="s">
        <v>6078</v>
      </c>
      <c r="N1435" s="61" t="s">
        <v>6853</v>
      </c>
      <c r="O1435">
        <v>58075</v>
      </c>
    </row>
    <row r="1436" spans="1:15" x14ac:dyDescent="0.2">
      <c r="A1436" t="s">
        <v>5088</v>
      </c>
      <c r="B1436" s="61" t="s">
        <v>10439</v>
      </c>
      <c r="C1436" s="61" t="s">
        <v>34</v>
      </c>
      <c r="F1436" t="s">
        <v>5088</v>
      </c>
      <c r="G1436" t="s">
        <v>6073</v>
      </c>
      <c r="H1436" t="s">
        <v>34</v>
      </c>
      <c r="I1436" t="s">
        <v>34</v>
      </c>
      <c r="L1436" t="s">
        <v>10440</v>
      </c>
      <c r="M1436" t="s">
        <v>7683</v>
      </c>
      <c r="N1436" s="61" t="s">
        <v>10441</v>
      </c>
      <c r="O1436">
        <v>58074</v>
      </c>
    </row>
    <row r="1437" spans="1:15" x14ac:dyDescent="0.2">
      <c r="A1437" t="s">
        <v>5089</v>
      </c>
      <c r="B1437" s="61" t="s">
        <v>10442</v>
      </c>
      <c r="C1437" s="61" t="s">
        <v>34</v>
      </c>
      <c r="F1437" t="s">
        <v>5089</v>
      </c>
      <c r="G1437" t="s">
        <v>6073</v>
      </c>
      <c r="H1437" t="s">
        <v>34</v>
      </c>
      <c r="I1437" t="s">
        <v>10443</v>
      </c>
      <c r="L1437" t="s">
        <v>10444</v>
      </c>
      <c r="M1437" t="s">
        <v>6148</v>
      </c>
      <c r="N1437" s="61" t="s">
        <v>10445</v>
      </c>
      <c r="O1437">
        <v>58073</v>
      </c>
    </row>
    <row r="1438" spans="1:15" x14ac:dyDescent="0.2">
      <c r="A1438" t="s">
        <v>5090</v>
      </c>
      <c r="B1438" s="61" t="s">
        <v>10446</v>
      </c>
      <c r="C1438" s="61" t="s">
        <v>34</v>
      </c>
      <c r="F1438" t="s">
        <v>5090</v>
      </c>
      <c r="G1438" t="s">
        <v>6073</v>
      </c>
      <c r="H1438" t="s">
        <v>10447</v>
      </c>
      <c r="L1438" t="s">
        <v>10448</v>
      </c>
      <c r="M1438" t="s">
        <v>6635</v>
      </c>
      <c r="N1438" s="61" t="s">
        <v>10449</v>
      </c>
      <c r="O1438">
        <v>58072</v>
      </c>
    </row>
    <row r="1439" spans="1:15" x14ac:dyDescent="0.2">
      <c r="A1439" t="s">
        <v>5091</v>
      </c>
      <c r="B1439" s="61" t="s">
        <v>10450</v>
      </c>
      <c r="C1439" s="61" t="s">
        <v>34</v>
      </c>
      <c r="F1439" t="s">
        <v>5091</v>
      </c>
      <c r="G1439" t="s">
        <v>6073</v>
      </c>
      <c r="H1439" t="s">
        <v>34</v>
      </c>
      <c r="I1439" t="s">
        <v>34</v>
      </c>
      <c r="L1439" t="s">
        <v>10451</v>
      </c>
      <c r="M1439" t="s">
        <v>6078</v>
      </c>
      <c r="N1439" s="61" t="s">
        <v>6128</v>
      </c>
      <c r="O1439">
        <v>58093</v>
      </c>
    </row>
    <row r="1440" spans="1:15" x14ac:dyDescent="0.2">
      <c r="A1440" t="s">
        <v>5092</v>
      </c>
      <c r="B1440" s="61" t="s">
        <v>34</v>
      </c>
      <c r="C1440" s="61" t="s">
        <v>34</v>
      </c>
      <c r="F1440" t="s">
        <v>5092</v>
      </c>
      <c r="G1440" t="s">
        <v>6073</v>
      </c>
      <c r="H1440" t="s">
        <v>34</v>
      </c>
      <c r="I1440" t="s">
        <v>34</v>
      </c>
      <c r="L1440" t="s">
        <v>34</v>
      </c>
      <c r="N1440" s="61" t="s">
        <v>3784</v>
      </c>
      <c r="O1440">
        <v>58341</v>
      </c>
    </row>
    <row r="1441" spans="1:15" x14ac:dyDescent="0.2">
      <c r="A1441" t="s">
        <v>5093</v>
      </c>
      <c r="B1441" s="61" t="s">
        <v>10452</v>
      </c>
      <c r="C1441" s="61" t="s">
        <v>34</v>
      </c>
      <c r="F1441" t="s">
        <v>5093</v>
      </c>
      <c r="G1441" t="s">
        <v>6073</v>
      </c>
      <c r="H1441" t="s">
        <v>34</v>
      </c>
      <c r="I1441" t="s">
        <v>10453</v>
      </c>
      <c r="L1441" t="s">
        <v>10454</v>
      </c>
      <c r="M1441" t="s">
        <v>6078</v>
      </c>
      <c r="N1441" s="61" t="s">
        <v>10455</v>
      </c>
      <c r="O1441">
        <v>58095</v>
      </c>
    </row>
    <row r="1442" spans="1:15" x14ac:dyDescent="0.2">
      <c r="A1442" t="s">
        <v>5094</v>
      </c>
      <c r="B1442" s="61" t="s">
        <v>10456</v>
      </c>
      <c r="C1442" s="61" t="s">
        <v>10457</v>
      </c>
      <c r="F1442" t="s">
        <v>5094</v>
      </c>
      <c r="G1442" t="s">
        <v>6073</v>
      </c>
      <c r="H1442" t="s">
        <v>10458</v>
      </c>
      <c r="I1442" t="s">
        <v>10459</v>
      </c>
      <c r="J1442" t="s">
        <v>10460</v>
      </c>
      <c r="K1442" t="s">
        <v>10461</v>
      </c>
      <c r="L1442" t="s">
        <v>10462</v>
      </c>
      <c r="M1442" t="s">
        <v>6078</v>
      </c>
      <c r="N1442" s="61" t="s">
        <v>6568</v>
      </c>
      <c r="O1442">
        <v>61175</v>
      </c>
    </row>
    <row r="1443" spans="1:15" x14ac:dyDescent="0.2">
      <c r="A1443" t="s">
        <v>5095</v>
      </c>
      <c r="B1443" s="61" t="s">
        <v>10463</v>
      </c>
      <c r="C1443" s="61" t="s">
        <v>34</v>
      </c>
      <c r="F1443" t="s">
        <v>10464</v>
      </c>
      <c r="G1443" t="s">
        <v>6073</v>
      </c>
      <c r="H1443" t="s">
        <v>10465</v>
      </c>
      <c r="J1443" t="s">
        <v>10466</v>
      </c>
      <c r="K1443" t="s">
        <v>10467</v>
      </c>
      <c r="L1443" t="s">
        <v>10468</v>
      </c>
      <c r="M1443" t="s">
        <v>6104</v>
      </c>
      <c r="N1443" s="61" t="s">
        <v>10469</v>
      </c>
      <c r="O1443">
        <v>114737</v>
      </c>
    </row>
    <row r="1444" spans="1:15" x14ac:dyDescent="0.2">
      <c r="A1444" t="s">
        <v>5096</v>
      </c>
      <c r="B1444" s="61" t="s">
        <v>10470</v>
      </c>
      <c r="C1444" s="61" t="s">
        <v>34</v>
      </c>
      <c r="F1444" t="s">
        <v>5096</v>
      </c>
      <c r="G1444" t="s">
        <v>6073</v>
      </c>
      <c r="L1444" t="s">
        <v>10471</v>
      </c>
      <c r="M1444" t="s">
        <v>6078</v>
      </c>
      <c r="N1444" s="61" t="s">
        <v>6577</v>
      </c>
      <c r="O1444">
        <v>58118</v>
      </c>
    </row>
    <row r="1445" spans="1:15" x14ac:dyDescent="0.2">
      <c r="A1445" t="s">
        <v>5097</v>
      </c>
      <c r="B1445" s="61" t="s">
        <v>10472</v>
      </c>
      <c r="C1445" s="61" t="s">
        <v>34</v>
      </c>
      <c r="F1445" t="s">
        <v>5097</v>
      </c>
      <c r="G1445" t="s">
        <v>6073</v>
      </c>
      <c r="H1445" t="s">
        <v>34</v>
      </c>
      <c r="I1445" t="s">
        <v>10473</v>
      </c>
      <c r="L1445" t="s">
        <v>10474</v>
      </c>
      <c r="M1445" t="s">
        <v>6078</v>
      </c>
      <c r="N1445" s="61" t="s">
        <v>10475</v>
      </c>
      <c r="O1445">
        <v>58096</v>
      </c>
    </row>
    <row r="1446" spans="1:15" x14ac:dyDescent="0.2">
      <c r="A1446" t="s">
        <v>5098</v>
      </c>
      <c r="B1446" s="61" t="s">
        <v>10476</v>
      </c>
      <c r="C1446" s="61" t="s">
        <v>34</v>
      </c>
      <c r="F1446" t="s">
        <v>5098</v>
      </c>
      <c r="G1446" t="s">
        <v>6073</v>
      </c>
      <c r="M1446" t="s">
        <v>6078</v>
      </c>
      <c r="N1446" s="61" t="s">
        <v>7735</v>
      </c>
      <c r="O1446">
        <v>58413</v>
      </c>
    </row>
    <row r="1447" spans="1:15" x14ac:dyDescent="0.2">
      <c r="A1447" t="s">
        <v>5099</v>
      </c>
      <c r="B1447" s="61" t="s">
        <v>10477</v>
      </c>
      <c r="C1447" s="61" t="s">
        <v>34</v>
      </c>
      <c r="F1447" t="s">
        <v>5099</v>
      </c>
      <c r="G1447" t="s">
        <v>6073</v>
      </c>
      <c r="L1447" t="s">
        <v>10478</v>
      </c>
      <c r="M1447" t="s">
        <v>6078</v>
      </c>
      <c r="N1447" s="61" t="s">
        <v>6577</v>
      </c>
      <c r="O1447">
        <v>58117</v>
      </c>
    </row>
    <row r="1448" spans="1:15" x14ac:dyDescent="0.2">
      <c r="A1448" t="s">
        <v>5100</v>
      </c>
      <c r="B1448" s="61" t="s">
        <v>10479</v>
      </c>
      <c r="C1448" s="61" t="s">
        <v>34</v>
      </c>
      <c r="F1448" t="s">
        <v>5100</v>
      </c>
      <c r="G1448" t="s">
        <v>6073</v>
      </c>
      <c r="M1448" t="s">
        <v>6078</v>
      </c>
      <c r="N1448" s="61" t="s">
        <v>6577</v>
      </c>
      <c r="O1448">
        <v>58116</v>
      </c>
    </row>
    <row r="1449" spans="1:15" x14ac:dyDescent="0.2">
      <c r="A1449" t="s">
        <v>5101</v>
      </c>
      <c r="B1449" s="61" t="s">
        <v>10470</v>
      </c>
      <c r="C1449" s="61" t="s">
        <v>34</v>
      </c>
      <c r="F1449" t="s">
        <v>5101</v>
      </c>
      <c r="G1449" t="s">
        <v>6073</v>
      </c>
      <c r="L1449" t="s">
        <v>10480</v>
      </c>
      <c r="M1449" t="s">
        <v>6078</v>
      </c>
      <c r="N1449" s="61" t="s">
        <v>6577</v>
      </c>
      <c r="O1449">
        <v>58115</v>
      </c>
    </row>
    <row r="1450" spans="1:15" x14ac:dyDescent="0.2">
      <c r="A1450" t="s">
        <v>5102</v>
      </c>
      <c r="B1450" s="61" t="s">
        <v>34</v>
      </c>
      <c r="C1450" s="61" t="s">
        <v>34</v>
      </c>
      <c r="F1450" t="s">
        <v>5102</v>
      </c>
      <c r="G1450" t="s">
        <v>6073</v>
      </c>
      <c r="H1450" t="s">
        <v>34</v>
      </c>
      <c r="I1450" t="s">
        <v>34</v>
      </c>
      <c r="L1450" t="s">
        <v>34</v>
      </c>
      <c r="N1450" s="61" t="s">
        <v>3784</v>
      </c>
      <c r="O1450">
        <v>58402</v>
      </c>
    </row>
    <row r="1451" spans="1:15" x14ac:dyDescent="0.2">
      <c r="A1451" t="s">
        <v>5103</v>
      </c>
      <c r="B1451" s="61" t="s">
        <v>7066</v>
      </c>
      <c r="C1451" s="61" t="s">
        <v>34</v>
      </c>
      <c r="F1451" t="s">
        <v>5103</v>
      </c>
      <c r="G1451" t="s">
        <v>6073</v>
      </c>
      <c r="L1451" t="s">
        <v>7068</v>
      </c>
      <c r="M1451" t="s">
        <v>6078</v>
      </c>
      <c r="N1451" s="61" t="s">
        <v>6988</v>
      </c>
      <c r="O1451">
        <v>58114</v>
      </c>
    </row>
    <row r="1452" spans="1:15" x14ac:dyDescent="0.2">
      <c r="A1452" t="s">
        <v>5104</v>
      </c>
      <c r="B1452" s="61" t="s">
        <v>10481</v>
      </c>
      <c r="C1452" s="61" t="s">
        <v>34</v>
      </c>
      <c r="F1452" t="s">
        <v>10482</v>
      </c>
      <c r="G1452" t="s">
        <v>6073</v>
      </c>
      <c r="J1452" t="s">
        <v>10483</v>
      </c>
      <c r="K1452" t="s">
        <v>10484</v>
      </c>
      <c r="L1452" t="s">
        <v>10485</v>
      </c>
      <c r="M1452" t="s">
        <v>6148</v>
      </c>
      <c r="N1452" s="61" t="s">
        <v>10486</v>
      </c>
      <c r="O1452">
        <v>108749</v>
      </c>
    </row>
    <row r="1453" spans="1:15" x14ac:dyDescent="0.2">
      <c r="A1453" t="s">
        <v>5105</v>
      </c>
      <c r="B1453" s="61" t="s">
        <v>34</v>
      </c>
      <c r="C1453" s="61" t="s">
        <v>34</v>
      </c>
      <c r="F1453" t="s">
        <v>5105</v>
      </c>
      <c r="G1453" t="s">
        <v>6073</v>
      </c>
      <c r="H1453" t="s">
        <v>34</v>
      </c>
      <c r="I1453" t="s">
        <v>34</v>
      </c>
      <c r="L1453" t="s">
        <v>34</v>
      </c>
      <c r="N1453" s="61" t="s">
        <v>3784</v>
      </c>
      <c r="O1453">
        <v>58401</v>
      </c>
    </row>
    <row r="1454" spans="1:15" x14ac:dyDescent="0.2">
      <c r="A1454" t="s">
        <v>5106</v>
      </c>
      <c r="B1454" s="61" t="s">
        <v>10487</v>
      </c>
      <c r="C1454" s="61" t="s">
        <v>34</v>
      </c>
      <c r="F1454" t="s">
        <v>5106</v>
      </c>
      <c r="G1454" t="s">
        <v>6073</v>
      </c>
      <c r="H1454" t="s">
        <v>34</v>
      </c>
      <c r="I1454" t="s">
        <v>34</v>
      </c>
      <c r="L1454" t="s">
        <v>10488</v>
      </c>
      <c r="M1454" t="s">
        <v>6078</v>
      </c>
      <c r="N1454" s="61" t="s">
        <v>6577</v>
      </c>
      <c r="O1454">
        <v>58112</v>
      </c>
    </row>
    <row r="1455" spans="1:15" x14ac:dyDescent="0.2">
      <c r="A1455" t="s">
        <v>5107</v>
      </c>
      <c r="B1455" s="61" t="s">
        <v>7054</v>
      </c>
      <c r="C1455" s="61" t="s">
        <v>34</v>
      </c>
      <c r="F1455" t="s">
        <v>5107</v>
      </c>
      <c r="G1455" t="s">
        <v>6073</v>
      </c>
      <c r="H1455" t="s">
        <v>10489</v>
      </c>
      <c r="I1455" t="s">
        <v>34</v>
      </c>
      <c r="L1455" t="s">
        <v>7070</v>
      </c>
      <c r="M1455" t="s">
        <v>6078</v>
      </c>
      <c r="N1455" s="61" t="s">
        <v>7079</v>
      </c>
      <c r="O1455">
        <v>58113</v>
      </c>
    </row>
    <row r="1456" spans="1:15" x14ac:dyDescent="0.2">
      <c r="A1456" t="s">
        <v>5108</v>
      </c>
      <c r="B1456" s="61" t="s">
        <v>10490</v>
      </c>
      <c r="C1456" s="61" t="s">
        <v>10491</v>
      </c>
      <c r="F1456" t="s">
        <v>5108</v>
      </c>
      <c r="G1456" t="s">
        <v>6073</v>
      </c>
      <c r="L1456" t="s">
        <v>10492</v>
      </c>
      <c r="M1456" t="s">
        <v>6078</v>
      </c>
      <c r="N1456" s="61" t="s">
        <v>6438</v>
      </c>
      <c r="O1456">
        <v>58111</v>
      </c>
    </row>
    <row r="1457" spans="1:15" x14ac:dyDescent="0.2">
      <c r="A1457" t="s">
        <v>5109</v>
      </c>
      <c r="B1457" s="61" t="s">
        <v>10493</v>
      </c>
      <c r="C1457" s="61" t="s">
        <v>34</v>
      </c>
      <c r="F1457" t="s">
        <v>5109</v>
      </c>
      <c r="G1457" t="s">
        <v>6073</v>
      </c>
      <c r="H1457" t="s">
        <v>34</v>
      </c>
      <c r="I1457" t="s">
        <v>10494</v>
      </c>
      <c r="L1457" t="s">
        <v>10495</v>
      </c>
      <c r="M1457" t="s">
        <v>6635</v>
      </c>
      <c r="N1457" s="61" t="s">
        <v>10496</v>
      </c>
      <c r="O1457">
        <v>58110</v>
      </c>
    </row>
    <row r="1458" spans="1:15" x14ac:dyDescent="0.2">
      <c r="A1458" t="s">
        <v>5110</v>
      </c>
      <c r="B1458" s="61" t="s">
        <v>10497</v>
      </c>
      <c r="C1458" s="61" t="s">
        <v>34</v>
      </c>
      <c r="F1458" t="s">
        <v>5110</v>
      </c>
      <c r="G1458" t="s">
        <v>6073</v>
      </c>
      <c r="H1458" t="s">
        <v>34</v>
      </c>
      <c r="I1458" t="s">
        <v>10498</v>
      </c>
      <c r="L1458" t="s">
        <v>10499</v>
      </c>
      <c r="M1458" t="s">
        <v>6635</v>
      </c>
      <c r="N1458" s="61" t="s">
        <v>10500</v>
      </c>
      <c r="O1458">
        <v>58109</v>
      </c>
    </row>
    <row r="1459" spans="1:15" x14ac:dyDescent="0.2">
      <c r="A1459" t="s">
        <v>5111</v>
      </c>
      <c r="B1459" s="61" t="s">
        <v>10501</v>
      </c>
      <c r="C1459" s="61" t="s">
        <v>34</v>
      </c>
      <c r="F1459" t="s">
        <v>5111</v>
      </c>
      <c r="G1459" t="s">
        <v>6073</v>
      </c>
      <c r="H1459" t="s">
        <v>10502</v>
      </c>
      <c r="L1459" t="s">
        <v>10503</v>
      </c>
      <c r="M1459" t="s">
        <v>6078</v>
      </c>
      <c r="N1459" s="61" t="s">
        <v>9168</v>
      </c>
      <c r="O1459">
        <v>58107</v>
      </c>
    </row>
    <row r="1460" spans="1:15" x14ac:dyDescent="0.2">
      <c r="A1460" t="s">
        <v>5112</v>
      </c>
      <c r="B1460" s="61" t="s">
        <v>10504</v>
      </c>
      <c r="C1460" s="61" t="s">
        <v>34</v>
      </c>
      <c r="F1460" t="s">
        <v>5112</v>
      </c>
      <c r="G1460" t="s">
        <v>6073</v>
      </c>
      <c r="L1460" t="s">
        <v>10505</v>
      </c>
      <c r="M1460" t="s">
        <v>7683</v>
      </c>
      <c r="N1460" s="61" t="s">
        <v>10506</v>
      </c>
      <c r="O1460">
        <v>64616</v>
      </c>
    </row>
    <row r="1461" spans="1:15" x14ac:dyDescent="0.2">
      <c r="A1461" t="s">
        <v>5113</v>
      </c>
      <c r="B1461" s="61" t="s">
        <v>10507</v>
      </c>
      <c r="C1461" s="61" t="s">
        <v>34</v>
      </c>
      <c r="F1461" t="s">
        <v>5113</v>
      </c>
      <c r="G1461" t="s">
        <v>6073</v>
      </c>
      <c r="M1461" t="s">
        <v>6078</v>
      </c>
      <c r="N1461" s="61" t="s">
        <v>6922</v>
      </c>
      <c r="O1461">
        <v>58106</v>
      </c>
    </row>
    <row r="1462" spans="1:15" x14ac:dyDescent="0.2">
      <c r="A1462" t="s">
        <v>5114</v>
      </c>
      <c r="B1462" s="61" t="s">
        <v>10508</v>
      </c>
      <c r="C1462" s="61" t="s">
        <v>34</v>
      </c>
      <c r="F1462" t="s">
        <v>5114</v>
      </c>
      <c r="G1462" t="s">
        <v>6073</v>
      </c>
      <c r="H1462" t="s">
        <v>34</v>
      </c>
      <c r="I1462" t="s">
        <v>34</v>
      </c>
      <c r="L1462" t="s">
        <v>10509</v>
      </c>
      <c r="M1462" t="s">
        <v>6078</v>
      </c>
      <c r="N1462" s="61" t="s">
        <v>6092</v>
      </c>
      <c r="O1462">
        <v>58105</v>
      </c>
    </row>
    <row r="1463" spans="1:15" x14ac:dyDescent="0.2">
      <c r="A1463" t="s">
        <v>5115</v>
      </c>
      <c r="B1463" s="61" t="s">
        <v>10510</v>
      </c>
      <c r="C1463" s="61" t="s">
        <v>34</v>
      </c>
      <c r="F1463" t="s">
        <v>5115</v>
      </c>
      <c r="G1463" t="s">
        <v>6073</v>
      </c>
      <c r="I1463" t="s">
        <v>10511</v>
      </c>
      <c r="L1463" t="s">
        <v>10512</v>
      </c>
      <c r="M1463" t="s">
        <v>6078</v>
      </c>
      <c r="N1463" s="61" t="s">
        <v>10513</v>
      </c>
      <c r="O1463">
        <v>58104</v>
      </c>
    </row>
    <row r="1464" spans="1:15" x14ac:dyDescent="0.2">
      <c r="A1464" t="s">
        <v>5116</v>
      </c>
      <c r="B1464" s="61" t="s">
        <v>10514</v>
      </c>
      <c r="C1464" s="61" t="s">
        <v>34</v>
      </c>
      <c r="F1464" t="s">
        <v>5116</v>
      </c>
      <c r="G1464" t="s">
        <v>6073</v>
      </c>
      <c r="H1464" t="s">
        <v>34</v>
      </c>
      <c r="I1464" t="s">
        <v>10515</v>
      </c>
      <c r="L1464" t="s">
        <v>10515</v>
      </c>
      <c r="M1464" t="s">
        <v>6078</v>
      </c>
      <c r="N1464" s="61" t="s">
        <v>10516</v>
      </c>
      <c r="O1464">
        <v>58103</v>
      </c>
    </row>
    <row r="1465" spans="1:15" x14ac:dyDescent="0.2">
      <c r="A1465" t="s">
        <v>5117</v>
      </c>
      <c r="B1465" s="61" t="s">
        <v>10517</v>
      </c>
      <c r="C1465" s="61" t="s">
        <v>34</v>
      </c>
      <c r="F1465" t="s">
        <v>5117</v>
      </c>
      <c r="G1465" t="s">
        <v>6073</v>
      </c>
      <c r="H1465" t="s">
        <v>10518</v>
      </c>
      <c r="J1465" t="s">
        <v>10519</v>
      </c>
      <c r="K1465" t="s">
        <v>10520</v>
      </c>
      <c r="L1465" t="s">
        <v>10521</v>
      </c>
      <c r="M1465" t="s">
        <v>6078</v>
      </c>
      <c r="N1465" s="61" t="s">
        <v>6122</v>
      </c>
      <c r="O1465">
        <v>115417</v>
      </c>
    </row>
    <row r="1466" spans="1:15" x14ac:dyDescent="0.2">
      <c r="A1466" t="s">
        <v>5118</v>
      </c>
      <c r="B1466" s="61" t="s">
        <v>10522</v>
      </c>
      <c r="C1466" s="61" t="s">
        <v>34</v>
      </c>
      <c r="F1466" t="s">
        <v>5118</v>
      </c>
      <c r="G1466" t="s">
        <v>6073</v>
      </c>
      <c r="H1466" t="s">
        <v>34</v>
      </c>
      <c r="I1466" t="s">
        <v>10523</v>
      </c>
      <c r="L1466" t="s">
        <v>10524</v>
      </c>
      <c r="M1466" t="s">
        <v>6078</v>
      </c>
      <c r="N1466" s="61" t="s">
        <v>10525</v>
      </c>
      <c r="O1466">
        <v>58102</v>
      </c>
    </row>
    <row r="1467" spans="1:15" x14ac:dyDescent="0.2">
      <c r="A1467" t="s">
        <v>5119</v>
      </c>
      <c r="B1467" s="61" t="s">
        <v>10526</v>
      </c>
      <c r="C1467" s="61" t="s">
        <v>34</v>
      </c>
      <c r="F1467" t="s">
        <v>5119</v>
      </c>
      <c r="G1467" t="s">
        <v>6073</v>
      </c>
      <c r="L1467" t="s">
        <v>10527</v>
      </c>
      <c r="M1467" t="s">
        <v>6078</v>
      </c>
      <c r="N1467" s="61" t="s">
        <v>6211</v>
      </c>
      <c r="O1467">
        <v>58101</v>
      </c>
    </row>
    <row r="1468" spans="1:15" x14ac:dyDescent="0.2">
      <c r="A1468" t="s">
        <v>5120</v>
      </c>
      <c r="B1468" s="61" t="s">
        <v>10528</v>
      </c>
      <c r="C1468" s="61" t="s">
        <v>34</v>
      </c>
      <c r="F1468" t="s">
        <v>5120</v>
      </c>
      <c r="G1468" t="s">
        <v>6073</v>
      </c>
      <c r="H1468" t="s">
        <v>34</v>
      </c>
      <c r="I1468" t="s">
        <v>34</v>
      </c>
      <c r="L1468" t="s">
        <v>34</v>
      </c>
      <c r="M1468" t="s">
        <v>6266</v>
      </c>
      <c r="N1468" s="61" t="s">
        <v>7467</v>
      </c>
      <c r="O1468">
        <v>58100</v>
      </c>
    </row>
    <row r="1469" spans="1:15" x14ac:dyDescent="0.2">
      <c r="A1469" t="s">
        <v>5121</v>
      </c>
      <c r="B1469" s="61" t="s">
        <v>34</v>
      </c>
      <c r="C1469" s="61" t="s">
        <v>34</v>
      </c>
      <c r="F1469" t="s">
        <v>5121</v>
      </c>
      <c r="G1469" t="s">
        <v>6073</v>
      </c>
      <c r="H1469" t="s">
        <v>34</v>
      </c>
      <c r="I1469" t="s">
        <v>34</v>
      </c>
      <c r="L1469" t="s">
        <v>34</v>
      </c>
      <c r="N1469" s="61" t="s">
        <v>3784</v>
      </c>
      <c r="O1469">
        <v>58400</v>
      </c>
    </row>
    <row r="1470" spans="1:15" x14ac:dyDescent="0.2">
      <c r="A1470" t="s">
        <v>5122</v>
      </c>
      <c r="B1470" s="61" t="s">
        <v>10529</v>
      </c>
      <c r="C1470" s="61" t="s">
        <v>34</v>
      </c>
      <c r="F1470" t="s">
        <v>5122</v>
      </c>
      <c r="G1470" t="s">
        <v>6073</v>
      </c>
      <c r="L1470" t="s">
        <v>10530</v>
      </c>
      <c r="M1470" t="s">
        <v>6078</v>
      </c>
      <c r="N1470" s="61" t="s">
        <v>6128</v>
      </c>
      <c r="O1470">
        <v>58099</v>
      </c>
    </row>
    <row r="1471" spans="1:15" x14ac:dyDescent="0.2">
      <c r="A1471" t="s">
        <v>5123</v>
      </c>
      <c r="B1471" s="61" t="s">
        <v>10531</v>
      </c>
      <c r="C1471" s="61" t="s">
        <v>34</v>
      </c>
      <c r="F1471" t="s">
        <v>5123</v>
      </c>
      <c r="G1471" t="s">
        <v>6073</v>
      </c>
      <c r="H1471" t="s">
        <v>10532</v>
      </c>
      <c r="J1471" t="s">
        <v>10533</v>
      </c>
      <c r="K1471" t="s">
        <v>10534</v>
      </c>
      <c r="L1471" t="s">
        <v>10535</v>
      </c>
      <c r="M1471" t="s">
        <v>6078</v>
      </c>
      <c r="N1471" s="61" t="s">
        <v>6577</v>
      </c>
      <c r="O1471">
        <v>67678</v>
      </c>
    </row>
    <row r="1472" spans="1:15" x14ac:dyDescent="0.2">
      <c r="A1472" t="s">
        <v>5124</v>
      </c>
      <c r="B1472" s="61" t="s">
        <v>34</v>
      </c>
      <c r="C1472" s="61" t="s">
        <v>34</v>
      </c>
      <c r="F1472" t="s">
        <v>5124</v>
      </c>
      <c r="G1472" t="s">
        <v>6073</v>
      </c>
      <c r="H1472" t="s">
        <v>34</v>
      </c>
      <c r="I1472" t="s">
        <v>34</v>
      </c>
      <c r="L1472" t="s">
        <v>34</v>
      </c>
      <c r="N1472" s="61" t="s">
        <v>3784</v>
      </c>
      <c r="O1472">
        <v>58098</v>
      </c>
    </row>
    <row r="1473" spans="1:15" x14ac:dyDescent="0.2">
      <c r="A1473" t="s">
        <v>5125</v>
      </c>
      <c r="B1473" s="61" t="s">
        <v>10536</v>
      </c>
      <c r="C1473" s="61" t="s">
        <v>34</v>
      </c>
      <c r="F1473" t="s">
        <v>5125</v>
      </c>
      <c r="G1473" t="s">
        <v>6073</v>
      </c>
      <c r="L1473" t="s">
        <v>10537</v>
      </c>
      <c r="M1473" t="s">
        <v>6078</v>
      </c>
      <c r="N1473" s="61" t="s">
        <v>10538</v>
      </c>
      <c r="O1473">
        <v>58097</v>
      </c>
    </row>
    <row r="1474" spans="1:15" x14ac:dyDescent="0.2">
      <c r="A1474" t="s">
        <v>5126</v>
      </c>
      <c r="B1474" s="61" t="s">
        <v>10539</v>
      </c>
      <c r="C1474" s="61" t="s">
        <v>34</v>
      </c>
      <c r="F1474" t="s">
        <v>5126</v>
      </c>
      <c r="G1474" t="s">
        <v>6073</v>
      </c>
      <c r="H1474" t="s">
        <v>34</v>
      </c>
      <c r="I1474" t="s">
        <v>34</v>
      </c>
      <c r="L1474" t="s">
        <v>10540</v>
      </c>
      <c r="M1474" t="s">
        <v>6235</v>
      </c>
      <c r="N1474" s="61" t="s">
        <v>10541</v>
      </c>
      <c r="O1474">
        <v>58157</v>
      </c>
    </row>
    <row r="1475" spans="1:15" x14ac:dyDescent="0.2">
      <c r="A1475" t="s">
        <v>5127</v>
      </c>
      <c r="B1475" s="61" t="s">
        <v>10542</v>
      </c>
      <c r="C1475" s="61" t="s">
        <v>34</v>
      </c>
      <c r="F1475" t="s">
        <v>5127</v>
      </c>
      <c r="G1475" t="s">
        <v>6073</v>
      </c>
      <c r="H1475" t="s">
        <v>34</v>
      </c>
      <c r="I1475" t="s">
        <v>10543</v>
      </c>
      <c r="L1475" t="s">
        <v>10544</v>
      </c>
      <c r="M1475" t="s">
        <v>6078</v>
      </c>
      <c r="N1475" s="61" t="s">
        <v>10545</v>
      </c>
      <c r="O1475">
        <v>58170</v>
      </c>
    </row>
    <row r="1476" spans="1:15" x14ac:dyDescent="0.2">
      <c r="A1476" t="s">
        <v>5128</v>
      </c>
      <c r="B1476" s="61" t="s">
        <v>10546</v>
      </c>
      <c r="C1476" s="61" t="s">
        <v>34</v>
      </c>
      <c r="F1476" t="s">
        <v>5128</v>
      </c>
      <c r="G1476" t="s">
        <v>6073</v>
      </c>
      <c r="I1476" t="s">
        <v>10547</v>
      </c>
      <c r="L1476" t="s">
        <v>10548</v>
      </c>
      <c r="M1476" t="s">
        <v>6078</v>
      </c>
      <c r="N1476" s="61" t="s">
        <v>10549</v>
      </c>
      <c r="O1476">
        <v>58171</v>
      </c>
    </row>
    <row r="1477" spans="1:15" x14ac:dyDescent="0.2">
      <c r="A1477" t="s">
        <v>5129</v>
      </c>
      <c r="B1477" s="61" t="s">
        <v>10550</v>
      </c>
      <c r="C1477" s="61" t="s">
        <v>34</v>
      </c>
      <c r="F1477" t="s">
        <v>5129</v>
      </c>
      <c r="G1477" t="s">
        <v>6073</v>
      </c>
      <c r="I1477" t="s">
        <v>10551</v>
      </c>
      <c r="L1477" t="s">
        <v>10552</v>
      </c>
      <c r="M1477" t="s">
        <v>6078</v>
      </c>
      <c r="N1477" s="61" t="s">
        <v>10553</v>
      </c>
      <c r="O1477">
        <v>58242</v>
      </c>
    </row>
    <row r="1478" spans="1:15" x14ac:dyDescent="0.2">
      <c r="A1478" t="s">
        <v>5130</v>
      </c>
      <c r="B1478" s="61" t="s">
        <v>10554</v>
      </c>
      <c r="C1478" s="61" t="s">
        <v>34</v>
      </c>
      <c r="F1478" t="s">
        <v>5130</v>
      </c>
      <c r="G1478" t="s">
        <v>6073</v>
      </c>
      <c r="L1478" t="s">
        <v>10555</v>
      </c>
      <c r="M1478" t="s">
        <v>6104</v>
      </c>
      <c r="N1478" s="61" t="s">
        <v>10556</v>
      </c>
      <c r="O1478">
        <v>58241</v>
      </c>
    </row>
    <row r="1479" spans="1:15" x14ac:dyDescent="0.2">
      <c r="A1479" t="s">
        <v>5131</v>
      </c>
      <c r="B1479" s="61" t="s">
        <v>10557</v>
      </c>
      <c r="C1479" s="61" t="s">
        <v>34</v>
      </c>
      <c r="F1479" t="s">
        <v>5131</v>
      </c>
      <c r="G1479" t="s">
        <v>6073</v>
      </c>
      <c r="H1479" t="s">
        <v>34</v>
      </c>
      <c r="I1479" t="s">
        <v>34</v>
      </c>
      <c r="L1479" t="s">
        <v>10558</v>
      </c>
      <c r="M1479" t="s">
        <v>6168</v>
      </c>
      <c r="N1479" s="61" t="s">
        <v>10559</v>
      </c>
      <c r="O1479">
        <v>58240</v>
      </c>
    </row>
    <row r="1480" spans="1:15" x14ac:dyDescent="0.2">
      <c r="A1480" t="s">
        <v>5132</v>
      </c>
      <c r="B1480" s="61" t="s">
        <v>10560</v>
      </c>
      <c r="C1480" s="61" t="s">
        <v>34</v>
      </c>
      <c r="F1480" t="s">
        <v>10561</v>
      </c>
      <c r="G1480" t="s">
        <v>6073</v>
      </c>
      <c r="J1480" t="s">
        <v>26</v>
      </c>
      <c r="K1480" t="s">
        <v>3209</v>
      </c>
      <c r="L1480" t="s">
        <v>10562</v>
      </c>
      <c r="M1480" t="s">
        <v>6078</v>
      </c>
      <c r="N1480" s="61" t="s">
        <v>10563</v>
      </c>
      <c r="O1480">
        <v>71580</v>
      </c>
    </row>
    <row r="1481" spans="1:15" x14ac:dyDescent="0.2">
      <c r="A1481" t="s">
        <v>5133</v>
      </c>
      <c r="B1481" s="61" t="s">
        <v>10564</v>
      </c>
      <c r="C1481" s="61" t="s">
        <v>34</v>
      </c>
      <c r="F1481" t="s">
        <v>5133</v>
      </c>
      <c r="G1481" t="s">
        <v>6073</v>
      </c>
      <c r="M1481" t="s">
        <v>6078</v>
      </c>
      <c r="N1481" s="61" t="s">
        <v>10565</v>
      </c>
      <c r="O1481">
        <v>58399</v>
      </c>
    </row>
    <row r="1482" spans="1:15" x14ac:dyDescent="0.2">
      <c r="A1482" t="s">
        <v>5134</v>
      </c>
      <c r="B1482" s="61" t="s">
        <v>10566</v>
      </c>
      <c r="C1482" s="61" t="s">
        <v>34</v>
      </c>
      <c r="F1482" t="s">
        <v>5134</v>
      </c>
      <c r="G1482" t="s">
        <v>6073</v>
      </c>
      <c r="L1482" t="s">
        <v>10567</v>
      </c>
      <c r="M1482" t="s">
        <v>6104</v>
      </c>
      <c r="N1482" s="61" t="s">
        <v>10568</v>
      </c>
      <c r="O1482">
        <v>70559</v>
      </c>
    </row>
    <row r="1483" spans="1:15" x14ac:dyDescent="0.2">
      <c r="A1483" t="s">
        <v>5135</v>
      </c>
      <c r="B1483" s="61" t="s">
        <v>10569</v>
      </c>
      <c r="C1483" s="61" t="s">
        <v>34</v>
      </c>
      <c r="F1483" t="s">
        <v>5135</v>
      </c>
      <c r="G1483" t="s">
        <v>6073</v>
      </c>
      <c r="L1483" t="s">
        <v>10570</v>
      </c>
      <c r="M1483" t="s">
        <v>6422</v>
      </c>
      <c r="N1483" s="61" t="s">
        <v>10571</v>
      </c>
      <c r="O1483">
        <v>120425</v>
      </c>
    </row>
    <row r="1484" spans="1:15" x14ac:dyDescent="0.2">
      <c r="A1484" t="s">
        <v>2305</v>
      </c>
      <c r="B1484" s="61" t="s">
        <v>10572</v>
      </c>
      <c r="C1484" s="61" t="s">
        <v>34</v>
      </c>
      <c r="F1484" t="s">
        <v>10573</v>
      </c>
      <c r="G1484" t="s">
        <v>6073</v>
      </c>
      <c r="H1484" t="s">
        <v>10574</v>
      </c>
      <c r="I1484" t="s">
        <v>10218</v>
      </c>
      <c r="J1484" t="s">
        <v>10575</v>
      </c>
      <c r="K1484" t="s">
        <v>10576</v>
      </c>
      <c r="L1484" t="s">
        <v>10577</v>
      </c>
      <c r="M1484" t="s">
        <v>6078</v>
      </c>
      <c r="N1484" s="61" t="s">
        <v>6128</v>
      </c>
      <c r="O1484">
        <v>58239</v>
      </c>
    </row>
    <row r="1485" spans="1:15" x14ac:dyDescent="0.2">
      <c r="A1485" t="s">
        <v>5136</v>
      </c>
      <c r="B1485" s="61" t="s">
        <v>10578</v>
      </c>
      <c r="C1485" s="61" t="s">
        <v>34</v>
      </c>
      <c r="F1485" t="s">
        <v>5136</v>
      </c>
      <c r="G1485" t="s">
        <v>6073</v>
      </c>
      <c r="I1485" t="s">
        <v>10579</v>
      </c>
      <c r="L1485" t="s">
        <v>10580</v>
      </c>
      <c r="M1485" t="s">
        <v>6078</v>
      </c>
      <c r="N1485" s="61" t="s">
        <v>8484</v>
      </c>
      <c r="O1485">
        <v>58238</v>
      </c>
    </row>
    <row r="1486" spans="1:15" x14ac:dyDescent="0.2">
      <c r="A1486" t="s">
        <v>5137</v>
      </c>
      <c r="B1486" s="61" t="s">
        <v>10581</v>
      </c>
      <c r="C1486" s="61" t="s">
        <v>34</v>
      </c>
      <c r="F1486" t="s">
        <v>5137</v>
      </c>
      <c r="G1486" t="s">
        <v>6073</v>
      </c>
      <c r="I1486" t="s">
        <v>10582</v>
      </c>
      <c r="L1486" t="s">
        <v>10583</v>
      </c>
      <c r="M1486" t="s">
        <v>6078</v>
      </c>
      <c r="N1486" s="61" t="s">
        <v>10584</v>
      </c>
      <c r="O1486">
        <v>58237</v>
      </c>
    </row>
    <row r="1487" spans="1:15" x14ac:dyDescent="0.2">
      <c r="A1487" t="s">
        <v>5138</v>
      </c>
      <c r="B1487" s="61" t="s">
        <v>10585</v>
      </c>
      <c r="C1487" s="61" t="s">
        <v>34</v>
      </c>
      <c r="F1487" t="s">
        <v>5138</v>
      </c>
      <c r="G1487" t="s">
        <v>6073</v>
      </c>
      <c r="N1487" s="61" t="s">
        <v>10586</v>
      </c>
      <c r="O1487">
        <v>58398</v>
      </c>
    </row>
    <row r="1488" spans="1:15" x14ac:dyDescent="0.2">
      <c r="A1488" t="s">
        <v>5139</v>
      </c>
      <c r="B1488" s="61" t="s">
        <v>10587</v>
      </c>
      <c r="C1488" s="61" t="s">
        <v>34</v>
      </c>
      <c r="F1488" t="s">
        <v>5139</v>
      </c>
      <c r="G1488" t="s">
        <v>6073</v>
      </c>
      <c r="H1488" t="s">
        <v>34</v>
      </c>
      <c r="I1488" t="s">
        <v>10588</v>
      </c>
      <c r="L1488" t="s">
        <v>10589</v>
      </c>
      <c r="M1488" t="s">
        <v>6095</v>
      </c>
      <c r="N1488" s="61" t="s">
        <v>10590</v>
      </c>
      <c r="O1488">
        <v>58235</v>
      </c>
    </row>
    <row r="1489" spans="1:15" x14ac:dyDescent="0.2">
      <c r="A1489" t="s">
        <v>5140</v>
      </c>
      <c r="B1489" s="61" t="s">
        <v>10591</v>
      </c>
      <c r="C1489" s="61" t="s">
        <v>34</v>
      </c>
      <c r="F1489" t="s">
        <v>5140</v>
      </c>
      <c r="G1489" t="s">
        <v>6073</v>
      </c>
      <c r="L1489" t="s">
        <v>10592</v>
      </c>
      <c r="M1489" t="s">
        <v>6078</v>
      </c>
      <c r="N1489" s="61" t="s">
        <v>6211</v>
      </c>
      <c r="O1489">
        <v>57761</v>
      </c>
    </row>
    <row r="1490" spans="1:15" x14ac:dyDescent="0.2">
      <c r="A1490" t="s">
        <v>5141</v>
      </c>
      <c r="B1490" s="61" t="s">
        <v>10593</v>
      </c>
      <c r="C1490" s="61" t="s">
        <v>34</v>
      </c>
      <c r="F1490" t="s">
        <v>5141</v>
      </c>
      <c r="G1490" t="s">
        <v>6073</v>
      </c>
      <c r="L1490" t="s">
        <v>10594</v>
      </c>
      <c r="M1490" t="s">
        <v>6078</v>
      </c>
      <c r="N1490" s="61" t="s">
        <v>6219</v>
      </c>
      <c r="O1490">
        <v>58234</v>
      </c>
    </row>
    <row r="1491" spans="1:15" x14ac:dyDescent="0.2">
      <c r="A1491" t="s">
        <v>5142</v>
      </c>
      <c r="B1491" s="61" t="s">
        <v>10595</v>
      </c>
      <c r="C1491" s="61" t="s">
        <v>34</v>
      </c>
      <c r="F1491" t="s">
        <v>5142</v>
      </c>
      <c r="G1491" t="s">
        <v>6073</v>
      </c>
      <c r="H1491" t="s">
        <v>10596</v>
      </c>
      <c r="J1491" t="s">
        <v>10597</v>
      </c>
      <c r="K1491" t="s">
        <v>10598</v>
      </c>
      <c r="M1491" t="s">
        <v>6240</v>
      </c>
      <c r="N1491" s="61" t="s">
        <v>10599</v>
      </c>
      <c r="O1491">
        <v>94343</v>
      </c>
    </row>
    <row r="1492" spans="1:15" x14ac:dyDescent="0.2">
      <c r="A1492" t="s">
        <v>5143</v>
      </c>
      <c r="B1492" s="61" t="s">
        <v>10600</v>
      </c>
      <c r="C1492" s="61" t="s">
        <v>34</v>
      </c>
      <c r="F1492" t="s">
        <v>5143</v>
      </c>
      <c r="G1492" t="s">
        <v>6073</v>
      </c>
      <c r="H1492" t="s">
        <v>34</v>
      </c>
      <c r="I1492" t="s">
        <v>10601</v>
      </c>
      <c r="L1492" t="s">
        <v>10602</v>
      </c>
      <c r="M1492" t="s">
        <v>6078</v>
      </c>
      <c r="N1492" s="61" t="s">
        <v>6211</v>
      </c>
      <c r="O1492">
        <v>58233</v>
      </c>
    </row>
    <row r="1493" spans="1:15" x14ac:dyDescent="0.2">
      <c r="A1493" t="s">
        <v>5144</v>
      </c>
      <c r="B1493" s="61" t="s">
        <v>9777</v>
      </c>
      <c r="C1493" s="61" t="s">
        <v>34</v>
      </c>
      <c r="F1493" t="s">
        <v>5144</v>
      </c>
      <c r="G1493" t="s">
        <v>6073</v>
      </c>
      <c r="H1493" t="s">
        <v>10603</v>
      </c>
      <c r="I1493" t="s">
        <v>10604</v>
      </c>
      <c r="L1493" t="s">
        <v>10605</v>
      </c>
      <c r="M1493" t="s">
        <v>6148</v>
      </c>
      <c r="N1493" s="61" t="s">
        <v>10606</v>
      </c>
      <c r="O1493">
        <v>58232</v>
      </c>
    </row>
    <row r="1494" spans="1:15" x14ac:dyDescent="0.2">
      <c r="A1494" t="s">
        <v>5145</v>
      </c>
      <c r="B1494" s="61" t="s">
        <v>10607</v>
      </c>
      <c r="C1494" s="61" t="s">
        <v>34</v>
      </c>
      <c r="F1494" t="s">
        <v>5145</v>
      </c>
      <c r="G1494" t="s">
        <v>6073</v>
      </c>
      <c r="H1494" t="s">
        <v>34</v>
      </c>
      <c r="I1494" t="s">
        <v>34</v>
      </c>
      <c r="L1494" t="s">
        <v>10608</v>
      </c>
      <c r="M1494" t="s">
        <v>6078</v>
      </c>
      <c r="N1494" s="61" t="s">
        <v>6083</v>
      </c>
      <c r="O1494">
        <v>58231</v>
      </c>
    </row>
    <row r="1495" spans="1:15" x14ac:dyDescent="0.2">
      <c r="A1495" t="s">
        <v>5146</v>
      </c>
      <c r="B1495" s="61" t="s">
        <v>10609</v>
      </c>
      <c r="C1495" s="61" t="s">
        <v>34</v>
      </c>
      <c r="F1495" t="s">
        <v>5146</v>
      </c>
      <c r="G1495" t="s">
        <v>6073</v>
      </c>
      <c r="H1495" t="s">
        <v>34</v>
      </c>
      <c r="I1495" t="s">
        <v>34</v>
      </c>
      <c r="L1495" t="s">
        <v>10610</v>
      </c>
      <c r="M1495" t="s">
        <v>6266</v>
      </c>
      <c r="N1495" s="61" t="s">
        <v>8187</v>
      </c>
      <c r="O1495">
        <v>58230</v>
      </c>
    </row>
    <row r="1496" spans="1:15" x14ac:dyDescent="0.2">
      <c r="A1496" t="s">
        <v>5147</v>
      </c>
      <c r="B1496" s="61" t="s">
        <v>10611</v>
      </c>
      <c r="C1496" s="61" t="s">
        <v>34</v>
      </c>
      <c r="F1496" t="s">
        <v>5147</v>
      </c>
      <c r="G1496" t="s">
        <v>6073</v>
      </c>
      <c r="H1496" t="s">
        <v>34</v>
      </c>
      <c r="I1496" t="s">
        <v>34</v>
      </c>
      <c r="L1496" t="s">
        <v>10612</v>
      </c>
      <c r="M1496" t="s">
        <v>6078</v>
      </c>
      <c r="N1496" s="61" t="s">
        <v>10613</v>
      </c>
      <c r="O1496">
        <v>58229</v>
      </c>
    </row>
    <row r="1497" spans="1:15" x14ac:dyDescent="0.2">
      <c r="A1497" t="s">
        <v>5148</v>
      </c>
      <c r="B1497" s="61" t="s">
        <v>10614</v>
      </c>
      <c r="C1497" s="61" t="s">
        <v>34</v>
      </c>
      <c r="F1497" t="s">
        <v>5148</v>
      </c>
      <c r="G1497" t="s">
        <v>6073</v>
      </c>
      <c r="H1497" t="s">
        <v>34</v>
      </c>
      <c r="I1497" t="s">
        <v>34</v>
      </c>
      <c r="L1497" t="s">
        <v>10615</v>
      </c>
      <c r="M1497" t="s">
        <v>6078</v>
      </c>
      <c r="N1497" s="61" t="s">
        <v>6083</v>
      </c>
      <c r="O1497">
        <v>58228</v>
      </c>
    </row>
    <row r="1498" spans="1:15" x14ac:dyDescent="0.2">
      <c r="A1498" t="s">
        <v>5149</v>
      </c>
      <c r="B1498" s="61" t="s">
        <v>10616</v>
      </c>
      <c r="C1498" s="61" t="s">
        <v>34</v>
      </c>
      <c r="F1498" t="s">
        <v>5149</v>
      </c>
      <c r="G1498" t="s">
        <v>6073</v>
      </c>
      <c r="I1498" t="s">
        <v>10617</v>
      </c>
      <c r="L1498" t="s">
        <v>10618</v>
      </c>
      <c r="M1498" t="s">
        <v>6078</v>
      </c>
      <c r="N1498" s="61" t="s">
        <v>6083</v>
      </c>
      <c r="O1498">
        <v>58227</v>
      </c>
    </row>
    <row r="1499" spans="1:15" x14ac:dyDescent="0.2">
      <c r="A1499" t="s">
        <v>5150</v>
      </c>
      <c r="B1499" s="61" t="s">
        <v>10619</v>
      </c>
      <c r="C1499" s="61" t="s">
        <v>34</v>
      </c>
      <c r="F1499" t="s">
        <v>5150</v>
      </c>
      <c r="G1499" t="s">
        <v>6073</v>
      </c>
      <c r="L1499" t="s">
        <v>10620</v>
      </c>
      <c r="M1499" t="s">
        <v>6078</v>
      </c>
      <c r="N1499" s="61" t="s">
        <v>6255</v>
      </c>
      <c r="O1499">
        <v>58226</v>
      </c>
    </row>
    <row r="1500" spans="1:15" x14ac:dyDescent="0.2">
      <c r="A1500" t="s">
        <v>5151</v>
      </c>
      <c r="B1500" s="61" t="s">
        <v>10621</v>
      </c>
      <c r="C1500" s="61" t="s">
        <v>34</v>
      </c>
      <c r="F1500" t="s">
        <v>5151</v>
      </c>
      <c r="G1500" t="s">
        <v>6073</v>
      </c>
      <c r="H1500" t="s">
        <v>6107</v>
      </c>
      <c r="I1500" t="s">
        <v>10622</v>
      </c>
      <c r="L1500" t="s">
        <v>10623</v>
      </c>
      <c r="M1500" t="s">
        <v>6309</v>
      </c>
      <c r="N1500" s="61" t="s">
        <v>6310</v>
      </c>
      <c r="O1500">
        <v>58224</v>
      </c>
    </row>
    <row r="1501" spans="1:15" x14ac:dyDescent="0.2">
      <c r="A1501" t="s">
        <v>5152</v>
      </c>
      <c r="B1501" s="61" t="s">
        <v>34</v>
      </c>
      <c r="C1501" s="61" t="s">
        <v>34</v>
      </c>
      <c r="F1501" t="s">
        <v>5152</v>
      </c>
      <c r="G1501" t="s">
        <v>6073</v>
      </c>
      <c r="H1501" t="s">
        <v>6107</v>
      </c>
      <c r="N1501" s="61" t="s">
        <v>3784</v>
      </c>
      <c r="O1501">
        <v>58338</v>
      </c>
    </row>
    <row r="1502" spans="1:15" x14ac:dyDescent="0.2">
      <c r="A1502" t="s">
        <v>5153</v>
      </c>
      <c r="B1502" s="61" t="s">
        <v>9419</v>
      </c>
      <c r="C1502" s="61" t="s">
        <v>34</v>
      </c>
      <c r="F1502" t="s">
        <v>5153</v>
      </c>
      <c r="G1502" t="s">
        <v>6073</v>
      </c>
      <c r="H1502" t="s">
        <v>6107</v>
      </c>
      <c r="I1502" t="s">
        <v>9420</v>
      </c>
      <c r="L1502" t="s">
        <v>9421</v>
      </c>
      <c r="M1502" t="s">
        <v>6078</v>
      </c>
      <c r="N1502" s="61" t="s">
        <v>8667</v>
      </c>
      <c r="O1502">
        <v>58336</v>
      </c>
    </row>
    <row r="1503" spans="1:15" x14ac:dyDescent="0.2">
      <c r="A1503" t="s">
        <v>5154</v>
      </c>
      <c r="B1503" s="61" t="s">
        <v>9428</v>
      </c>
      <c r="C1503" s="61" t="s">
        <v>34</v>
      </c>
      <c r="F1503" t="s">
        <v>5154</v>
      </c>
      <c r="G1503" t="s">
        <v>6073</v>
      </c>
      <c r="H1503" t="s">
        <v>10624</v>
      </c>
      <c r="I1503" t="s">
        <v>9429</v>
      </c>
      <c r="L1503" t="s">
        <v>9430</v>
      </c>
      <c r="M1503" t="s">
        <v>6078</v>
      </c>
      <c r="N1503" s="61" t="s">
        <v>6438</v>
      </c>
      <c r="O1503">
        <v>58335</v>
      </c>
    </row>
    <row r="1504" spans="1:15" x14ac:dyDescent="0.2">
      <c r="A1504" t="s">
        <v>5155</v>
      </c>
      <c r="B1504" s="61" t="s">
        <v>10625</v>
      </c>
      <c r="C1504" s="61" t="s">
        <v>34</v>
      </c>
      <c r="F1504" t="s">
        <v>5155</v>
      </c>
      <c r="G1504" t="s">
        <v>6073</v>
      </c>
      <c r="H1504" t="s">
        <v>34</v>
      </c>
      <c r="I1504" t="s">
        <v>10626</v>
      </c>
      <c r="L1504" t="s">
        <v>10626</v>
      </c>
      <c r="M1504" t="s">
        <v>6078</v>
      </c>
      <c r="N1504" s="61" t="s">
        <v>6211</v>
      </c>
      <c r="O1504">
        <v>58223</v>
      </c>
    </row>
    <row r="1505" spans="1:15" x14ac:dyDescent="0.2">
      <c r="A1505" t="s">
        <v>5156</v>
      </c>
      <c r="B1505" s="61" t="s">
        <v>10627</v>
      </c>
      <c r="C1505" s="61" t="s">
        <v>34</v>
      </c>
      <c r="F1505" t="s">
        <v>5156</v>
      </c>
      <c r="G1505" t="s">
        <v>6073</v>
      </c>
      <c r="H1505" t="s">
        <v>34</v>
      </c>
      <c r="I1505" t="s">
        <v>10628</v>
      </c>
      <c r="L1505" t="s">
        <v>10629</v>
      </c>
      <c r="M1505" t="s">
        <v>6078</v>
      </c>
      <c r="N1505" s="61" t="s">
        <v>6231</v>
      </c>
      <c r="O1505">
        <v>58222</v>
      </c>
    </row>
    <row r="1506" spans="1:15" x14ac:dyDescent="0.2">
      <c r="A1506" t="s">
        <v>5157</v>
      </c>
      <c r="B1506" s="61" t="s">
        <v>10630</v>
      </c>
      <c r="C1506" s="61" t="s">
        <v>10631</v>
      </c>
      <c r="F1506" t="s">
        <v>5157</v>
      </c>
      <c r="G1506" t="s">
        <v>6073</v>
      </c>
      <c r="H1506" t="s">
        <v>34</v>
      </c>
      <c r="I1506" t="s">
        <v>10632</v>
      </c>
      <c r="L1506" t="s">
        <v>10633</v>
      </c>
      <c r="M1506" t="s">
        <v>6148</v>
      </c>
      <c r="N1506" s="61" t="s">
        <v>10634</v>
      </c>
      <c r="O1506">
        <v>58243</v>
      </c>
    </row>
    <row r="1507" spans="1:15" x14ac:dyDescent="0.2">
      <c r="A1507" t="s">
        <v>5158</v>
      </c>
      <c r="B1507" s="61" t="s">
        <v>7893</v>
      </c>
      <c r="C1507" s="61" t="s">
        <v>34</v>
      </c>
      <c r="F1507" t="s">
        <v>5158</v>
      </c>
      <c r="G1507" t="s">
        <v>6073</v>
      </c>
      <c r="I1507" t="s">
        <v>7895</v>
      </c>
      <c r="L1507" t="s">
        <v>7896</v>
      </c>
      <c r="M1507" t="s">
        <v>6078</v>
      </c>
      <c r="N1507" s="61" t="s">
        <v>6079</v>
      </c>
      <c r="O1507">
        <v>57305</v>
      </c>
    </row>
    <row r="1508" spans="1:15" x14ac:dyDescent="0.2">
      <c r="A1508" t="s">
        <v>5159</v>
      </c>
      <c r="B1508" s="61" t="s">
        <v>10635</v>
      </c>
      <c r="C1508" s="61" t="s">
        <v>34</v>
      </c>
      <c r="F1508" t="s">
        <v>5159</v>
      </c>
      <c r="G1508" t="s">
        <v>6073</v>
      </c>
      <c r="M1508" t="s">
        <v>6104</v>
      </c>
      <c r="N1508" s="61" t="s">
        <v>6200</v>
      </c>
      <c r="O1508">
        <v>58244</v>
      </c>
    </row>
    <row r="1509" spans="1:15" x14ac:dyDescent="0.2">
      <c r="A1509" t="s">
        <v>5160</v>
      </c>
      <c r="B1509" s="61" t="s">
        <v>10636</v>
      </c>
      <c r="C1509" s="61" t="s">
        <v>34</v>
      </c>
      <c r="F1509" t="s">
        <v>5160</v>
      </c>
      <c r="G1509" t="s">
        <v>6073</v>
      </c>
      <c r="L1509" t="s">
        <v>10637</v>
      </c>
      <c r="M1509" t="s">
        <v>6104</v>
      </c>
      <c r="N1509" s="61" t="s">
        <v>10638</v>
      </c>
      <c r="O1509">
        <v>58245</v>
      </c>
    </row>
    <row r="1510" spans="1:15" x14ac:dyDescent="0.2">
      <c r="A1510" t="s">
        <v>5161</v>
      </c>
      <c r="B1510" s="61" t="s">
        <v>10639</v>
      </c>
      <c r="C1510" s="61" t="s">
        <v>34</v>
      </c>
      <c r="F1510" t="s">
        <v>5161</v>
      </c>
      <c r="G1510" t="s">
        <v>6073</v>
      </c>
      <c r="H1510" t="s">
        <v>10640</v>
      </c>
      <c r="I1510" t="s">
        <v>10641</v>
      </c>
      <c r="J1510" t="s">
        <v>10642</v>
      </c>
      <c r="K1510" t="s">
        <v>10643</v>
      </c>
      <c r="L1510" t="s">
        <v>10644</v>
      </c>
      <c r="M1510" t="s">
        <v>6078</v>
      </c>
      <c r="N1510" s="61" t="s">
        <v>6314</v>
      </c>
      <c r="O1510">
        <v>58246</v>
      </c>
    </row>
    <row r="1511" spans="1:15" x14ac:dyDescent="0.2">
      <c r="A1511" t="s">
        <v>5162</v>
      </c>
      <c r="B1511" s="61" t="s">
        <v>10645</v>
      </c>
      <c r="C1511" s="61" t="s">
        <v>34</v>
      </c>
      <c r="F1511" t="s">
        <v>5162</v>
      </c>
      <c r="G1511" t="s">
        <v>6073</v>
      </c>
      <c r="H1511" t="s">
        <v>34</v>
      </c>
      <c r="I1511" t="s">
        <v>10646</v>
      </c>
      <c r="L1511" t="s">
        <v>10647</v>
      </c>
      <c r="M1511" t="s">
        <v>6078</v>
      </c>
      <c r="N1511" s="61" t="s">
        <v>6079</v>
      </c>
      <c r="O1511">
        <v>58268</v>
      </c>
    </row>
    <row r="1512" spans="1:15" x14ac:dyDescent="0.2">
      <c r="A1512" t="s">
        <v>5163</v>
      </c>
      <c r="B1512" s="61" t="s">
        <v>10648</v>
      </c>
      <c r="C1512" s="61" t="s">
        <v>34</v>
      </c>
      <c r="F1512" t="s">
        <v>5163</v>
      </c>
      <c r="G1512" t="s">
        <v>6073</v>
      </c>
      <c r="J1512" t="s">
        <v>10649</v>
      </c>
      <c r="K1512" t="s">
        <v>10650</v>
      </c>
      <c r="L1512" t="s">
        <v>10651</v>
      </c>
      <c r="M1512" t="s">
        <v>6078</v>
      </c>
      <c r="N1512" s="61" t="s">
        <v>10652</v>
      </c>
      <c r="O1512">
        <v>97076</v>
      </c>
    </row>
    <row r="1513" spans="1:15" x14ac:dyDescent="0.2">
      <c r="A1513" t="s">
        <v>5164</v>
      </c>
      <c r="B1513" s="61" t="s">
        <v>7444</v>
      </c>
      <c r="C1513" s="61" t="s">
        <v>34</v>
      </c>
      <c r="F1513" t="s">
        <v>5164</v>
      </c>
      <c r="G1513" t="s">
        <v>6073</v>
      </c>
      <c r="L1513" t="s">
        <v>7445</v>
      </c>
      <c r="M1513" t="s">
        <v>6078</v>
      </c>
      <c r="N1513" s="61" t="s">
        <v>6100</v>
      </c>
      <c r="O1513">
        <v>61480</v>
      </c>
    </row>
    <row r="1514" spans="1:15" x14ac:dyDescent="0.2">
      <c r="A1514" t="s">
        <v>5165</v>
      </c>
      <c r="B1514" s="61" t="s">
        <v>10653</v>
      </c>
      <c r="C1514" s="61" t="s">
        <v>34</v>
      </c>
      <c r="F1514" t="s">
        <v>5165</v>
      </c>
      <c r="G1514" t="s">
        <v>6073</v>
      </c>
      <c r="H1514" t="s">
        <v>10654</v>
      </c>
      <c r="J1514" t="s">
        <v>10655</v>
      </c>
      <c r="K1514" t="s">
        <v>10656</v>
      </c>
      <c r="L1514" t="s">
        <v>10657</v>
      </c>
      <c r="M1514" t="s">
        <v>6078</v>
      </c>
      <c r="N1514" s="61" t="s">
        <v>10658</v>
      </c>
      <c r="O1514">
        <v>125368</v>
      </c>
    </row>
    <row r="1515" spans="1:15" x14ac:dyDescent="0.2">
      <c r="A1515" t="s">
        <v>5166</v>
      </c>
      <c r="B1515" s="61" t="s">
        <v>10659</v>
      </c>
      <c r="C1515" s="61" t="s">
        <v>34</v>
      </c>
      <c r="F1515" t="s">
        <v>5166</v>
      </c>
      <c r="G1515" t="s">
        <v>6073</v>
      </c>
      <c r="H1515" t="s">
        <v>10660</v>
      </c>
      <c r="I1515" t="s">
        <v>10661</v>
      </c>
      <c r="J1515" t="s">
        <v>5577</v>
      </c>
      <c r="K1515" t="s">
        <v>10662</v>
      </c>
      <c r="L1515" t="s">
        <v>10663</v>
      </c>
      <c r="M1515" t="s">
        <v>7683</v>
      </c>
      <c r="N1515" s="61" t="s">
        <v>10664</v>
      </c>
      <c r="O1515">
        <v>84217</v>
      </c>
    </row>
    <row r="1516" spans="1:15" x14ac:dyDescent="0.2">
      <c r="A1516" t="s">
        <v>5167</v>
      </c>
      <c r="B1516" s="61" t="s">
        <v>10665</v>
      </c>
      <c r="C1516" s="61" t="s">
        <v>34</v>
      </c>
      <c r="F1516" t="s">
        <v>5167</v>
      </c>
      <c r="G1516" t="s">
        <v>6073</v>
      </c>
      <c r="H1516" t="s">
        <v>10666</v>
      </c>
      <c r="J1516" t="s">
        <v>7607</v>
      </c>
      <c r="K1516" t="s">
        <v>10667</v>
      </c>
      <c r="L1516" t="s">
        <v>10668</v>
      </c>
      <c r="M1516" t="s">
        <v>6078</v>
      </c>
      <c r="N1516" s="61" t="s">
        <v>7547</v>
      </c>
      <c r="O1516">
        <v>128527</v>
      </c>
    </row>
    <row r="1517" spans="1:15" x14ac:dyDescent="0.2">
      <c r="A1517" t="s">
        <v>5168</v>
      </c>
      <c r="B1517" s="61" t="s">
        <v>10669</v>
      </c>
      <c r="C1517" s="61" t="s">
        <v>34</v>
      </c>
      <c r="F1517" t="s">
        <v>5168</v>
      </c>
      <c r="G1517" t="s">
        <v>6073</v>
      </c>
      <c r="L1517" t="s">
        <v>10670</v>
      </c>
      <c r="M1517" t="s">
        <v>6104</v>
      </c>
      <c r="N1517" s="61" t="s">
        <v>10671</v>
      </c>
      <c r="O1517">
        <v>92139</v>
      </c>
    </row>
    <row r="1518" spans="1:15" x14ac:dyDescent="0.2">
      <c r="A1518" t="s">
        <v>5169</v>
      </c>
      <c r="B1518" s="61" t="s">
        <v>10672</v>
      </c>
      <c r="C1518" s="61" t="s">
        <v>34</v>
      </c>
      <c r="F1518" t="s">
        <v>5169</v>
      </c>
      <c r="G1518" t="s">
        <v>6073</v>
      </c>
      <c r="H1518" t="s">
        <v>10673</v>
      </c>
      <c r="J1518" t="s">
        <v>8452</v>
      </c>
      <c r="K1518" t="s">
        <v>10674</v>
      </c>
      <c r="L1518" t="s">
        <v>10675</v>
      </c>
      <c r="M1518" t="s">
        <v>6078</v>
      </c>
      <c r="N1518" s="61" t="s">
        <v>6299</v>
      </c>
      <c r="O1518">
        <v>117236</v>
      </c>
    </row>
    <row r="1519" spans="1:15" x14ac:dyDescent="0.2">
      <c r="A1519" t="s">
        <v>5170</v>
      </c>
      <c r="B1519" s="61" t="s">
        <v>10676</v>
      </c>
      <c r="C1519" s="61" t="s">
        <v>34</v>
      </c>
      <c r="F1519" t="s">
        <v>5170</v>
      </c>
      <c r="G1519" t="s">
        <v>6073</v>
      </c>
      <c r="H1519" t="s">
        <v>10677</v>
      </c>
      <c r="L1519" t="s">
        <v>10678</v>
      </c>
      <c r="M1519" t="s">
        <v>6078</v>
      </c>
      <c r="N1519" s="61" t="s">
        <v>6114</v>
      </c>
      <c r="O1519">
        <v>128976</v>
      </c>
    </row>
    <row r="1520" spans="1:15" x14ac:dyDescent="0.2">
      <c r="A1520" t="s">
        <v>5171</v>
      </c>
      <c r="B1520" s="61" t="s">
        <v>10679</v>
      </c>
      <c r="C1520" s="61" t="s">
        <v>34</v>
      </c>
      <c r="F1520" t="s">
        <v>5171</v>
      </c>
      <c r="G1520" t="s">
        <v>6073</v>
      </c>
      <c r="H1520" t="s">
        <v>34</v>
      </c>
      <c r="I1520" t="s">
        <v>34</v>
      </c>
      <c r="L1520" t="s">
        <v>10680</v>
      </c>
      <c r="M1520" t="s">
        <v>6078</v>
      </c>
      <c r="N1520" s="61" t="s">
        <v>10681</v>
      </c>
      <c r="O1520">
        <v>58267</v>
      </c>
    </row>
    <row r="1521" spans="1:15" x14ac:dyDescent="0.2">
      <c r="A1521" t="s">
        <v>5172</v>
      </c>
      <c r="B1521" s="61" t="s">
        <v>10682</v>
      </c>
      <c r="C1521" s="61" t="s">
        <v>34</v>
      </c>
      <c r="F1521" t="s">
        <v>5172</v>
      </c>
      <c r="G1521" t="s">
        <v>6073</v>
      </c>
      <c r="J1521" t="s">
        <v>10683</v>
      </c>
      <c r="K1521" t="s">
        <v>10684</v>
      </c>
      <c r="L1521" t="s">
        <v>10685</v>
      </c>
      <c r="M1521" t="s">
        <v>6078</v>
      </c>
      <c r="N1521" s="61" t="s">
        <v>6128</v>
      </c>
      <c r="O1521">
        <v>92923</v>
      </c>
    </row>
    <row r="1522" spans="1:15" x14ac:dyDescent="0.2">
      <c r="A1522" t="s">
        <v>5173</v>
      </c>
      <c r="B1522" s="61" t="s">
        <v>10686</v>
      </c>
      <c r="C1522" s="61" t="s">
        <v>34</v>
      </c>
      <c r="F1522" t="s">
        <v>5173</v>
      </c>
      <c r="G1522" t="s">
        <v>6073</v>
      </c>
      <c r="H1522" t="s">
        <v>34</v>
      </c>
      <c r="I1522" t="s">
        <v>10687</v>
      </c>
      <c r="L1522" t="s">
        <v>10688</v>
      </c>
      <c r="M1522" t="s">
        <v>6148</v>
      </c>
      <c r="N1522" s="61" t="s">
        <v>10689</v>
      </c>
      <c r="O1522">
        <v>58266</v>
      </c>
    </row>
    <row r="1523" spans="1:15" x14ac:dyDescent="0.2">
      <c r="A1523" t="s">
        <v>5174</v>
      </c>
      <c r="B1523" s="61" t="s">
        <v>10690</v>
      </c>
      <c r="C1523" s="61" t="s">
        <v>34</v>
      </c>
      <c r="F1523" t="s">
        <v>5174</v>
      </c>
      <c r="G1523" t="s">
        <v>6073</v>
      </c>
      <c r="H1523" t="s">
        <v>10691</v>
      </c>
      <c r="I1523" t="s">
        <v>10692</v>
      </c>
      <c r="L1523" t="s">
        <v>10693</v>
      </c>
      <c r="M1523" t="s">
        <v>6078</v>
      </c>
      <c r="N1523" s="61" t="s">
        <v>6118</v>
      </c>
      <c r="O1523">
        <v>58265</v>
      </c>
    </row>
    <row r="1524" spans="1:15" x14ac:dyDescent="0.2">
      <c r="A1524" t="s">
        <v>5175</v>
      </c>
      <c r="B1524" s="61" t="s">
        <v>10694</v>
      </c>
      <c r="C1524" s="61" t="s">
        <v>34</v>
      </c>
      <c r="F1524" t="s">
        <v>5175</v>
      </c>
      <c r="G1524" t="s">
        <v>6073</v>
      </c>
      <c r="H1524" t="s">
        <v>34</v>
      </c>
      <c r="I1524" t="s">
        <v>10695</v>
      </c>
      <c r="L1524" t="s">
        <v>10696</v>
      </c>
      <c r="M1524" t="s">
        <v>6078</v>
      </c>
      <c r="N1524" s="61" t="s">
        <v>10697</v>
      </c>
      <c r="O1524">
        <v>58264</v>
      </c>
    </row>
    <row r="1525" spans="1:15" x14ac:dyDescent="0.2">
      <c r="A1525" t="s">
        <v>5176</v>
      </c>
      <c r="B1525" s="61" t="s">
        <v>10698</v>
      </c>
      <c r="C1525" s="61" t="s">
        <v>34</v>
      </c>
      <c r="F1525" t="s">
        <v>5176</v>
      </c>
      <c r="G1525" t="s">
        <v>6073</v>
      </c>
      <c r="H1525" t="s">
        <v>34</v>
      </c>
      <c r="I1525" t="s">
        <v>34</v>
      </c>
      <c r="L1525" t="s">
        <v>34</v>
      </c>
      <c r="M1525" t="s">
        <v>6078</v>
      </c>
      <c r="N1525" s="61" t="s">
        <v>6231</v>
      </c>
      <c r="O1525">
        <v>58397</v>
      </c>
    </row>
    <row r="1526" spans="1:15" x14ac:dyDescent="0.2">
      <c r="A1526" t="s">
        <v>5177</v>
      </c>
      <c r="B1526" s="61" t="s">
        <v>10699</v>
      </c>
      <c r="C1526" s="61" t="s">
        <v>34</v>
      </c>
      <c r="F1526" t="s">
        <v>5177</v>
      </c>
      <c r="G1526" t="s">
        <v>6073</v>
      </c>
      <c r="H1526" t="s">
        <v>34</v>
      </c>
      <c r="I1526" t="s">
        <v>10700</v>
      </c>
      <c r="L1526" t="s">
        <v>10701</v>
      </c>
      <c r="M1526" t="s">
        <v>6095</v>
      </c>
      <c r="N1526" s="61" t="s">
        <v>10702</v>
      </c>
      <c r="O1526">
        <v>58263</v>
      </c>
    </row>
    <row r="1527" spans="1:15" x14ac:dyDescent="0.2">
      <c r="A1527" t="s">
        <v>5178</v>
      </c>
      <c r="B1527" s="61" t="s">
        <v>10703</v>
      </c>
      <c r="C1527" s="61" t="s">
        <v>34</v>
      </c>
      <c r="F1527" t="s">
        <v>5178</v>
      </c>
      <c r="G1527" t="s">
        <v>6073</v>
      </c>
      <c r="I1527" t="s">
        <v>10704</v>
      </c>
      <c r="L1527" t="s">
        <v>10705</v>
      </c>
      <c r="M1527" t="s">
        <v>6078</v>
      </c>
      <c r="N1527" s="61" t="s">
        <v>6231</v>
      </c>
      <c r="O1527">
        <v>58262</v>
      </c>
    </row>
    <row r="1528" spans="1:15" x14ac:dyDescent="0.2">
      <c r="A1528" t="s">
        <v>5179</v>
      </c>
      <c r="B1528" s="61" t="s">
        <v>10706</v>
      </c>
      <c r="C1528" s="61" t="s">
        <v>34</v>
      </c>
      <c r="F1528" t="s">
        <v>5179</v>
      </c>
      <c r="G1528" t="s">
        <v>6073</v>
      </c>
      <c r="I1528" t="s">
        <v>10707</v>
      </c>
      <c r="L1528" t="s">
        <v>10708</v>
      </c>
      <c r="M1528" t="s">
        <v>6078</v>
      </c>
      <c r="N1528" s="61" t="s">
        <v>6211</v>
      </c>
      <c r="O1528">
        <v>58261</v>
      </c>
    </row>
    <row r="1529" spans="1:15" x14ac:dyDescent="0.2">
      <c r="A1529" t="s">
        <v>5180</v>
      </c>
      <c r="B1529" s="61" t="s">
        <v>10709</v>
      </c>
      <c r="C1529" s="61" t="s">
        <v>34</v>
      </c>
      <c r="F1529" t="s">
        <v>5180</v>
      </c>
      <c r="G1529" t="s">
        <v>6073</v>
      </c>
      <c r="H1529" t="s">
        <v>34</v>
      </c>
      <c r="I1529" t="s">
        <v>34</v>
      </c>
      <c r="L1529" t="s">
        <v>10710</v>
      </c>
      <c r="M1529" t="s">
        <v>6078</v>
      </c>
      <c r="N1529" s="61" t="s">
        <v>10188</v>
      </c>
      <c r="O1529">
        <v>58260</v>
      </c>
    </row>
    <row r="1530" spans="1:15" x14ac:dyDescent="0.2">
      <c r="A1530" t="s">
        <v>5181</v>
      </c>
      <c r="B1530" s="61" t="s">
        <v>10711</v>
      </c>
      <c r="C1530" s="61" t="s">
        <v>34</v>
      </c>
      <c r="F1530" t="s">
        <v>5181</v>
      </c>
      <c r="G1530" t="s">
        <v>6073</v>
      </c>
      <c r="H1530" t="s">
        <v>34</v>
      </c>
      <c r="I1530" t="s">
        <v>10712</v>
      </c>
      <c r="L1530" t="s">
        <v>10713</v>
      </c>
      <c r="M1530" t="s">
        <v>6235</v>
      </c>
      <c r="N1530" s="61" t="s">
        <v>10714</v>
      </c>
      <c r="O1530">
        <v>58259</v>
      </c>
    </row>
    <row r="1531" spans="1:15" x14ac:dyDescent="0.2">
      <c r="A1531" t="s">
        <v>5182</v>
      </c>
      <c r="B1531" s="61" t="s">
        <v>10715</v>
      </c>
      <c r="C1531" s="61" t="s">
        <v>34</v>
      </c>
      <c r="F1531" t="s">
        <v>5182</v>
      </c>
      <c r="G1531" t="s">
        <v>6073</v>
      </c>
      <c r="H1531" t="s">
        <v>34</v>
      </c>
      <c r="I1531" t="s">
        <v>10716</v>
      </c>
      <c r="L1531" t="s">
        <v>10717</v>
      </c>
      <c r="M1531" t="s">
        <v>6078</v>
      </c>
      <c r="N1531" s="61" t="s">
        <v>6079</v>
      </c>
      <c r="O1531">
        <v>58269</v>
      </c>
    </row>
    <row r="1532" spans="1:15" x14ac:dyDescent="0.2">
      <c r="A1532" t="s">
        <v>5183</v>
      </c>
      <c r="B1532" s="61" t="s">
        <v>10718</v>
      </c>
      <c r="C1532" s="61" t="s">
        <v>34</v>
      </c>
      <c r="F1532" t="s">
        <v>5183</v>
      </c>
      <c r="G1532" t="s">
        <v>6073</v>
      </c>
      <c r="I1532" t="s">
        <v>10719</v>
      </c>
      <c r="L1532" t="s">
        <v>10720</v>
      </c>
      <c r="M1532" t="s">
        <v>6078</v>
      </c>
      <c r="N1532" s="61" t="s">
        <v>6386</v>
      </c>
      <c r="O1532">
        <v>58258</v>
      </c>
    </row>
    <row r="1533" spans="1:15" x14ac:dyDescent="0.2">
      <c r="A1533" t="s">
        <v>5184</v>
      </c>
      <c r="B1533" s="61" t="s">
        <v>10721</v>
      </c>
      <c r="C1533" s="61" t="s">
        <v>34</v>
      </c>
      <c r="F1533" t="s">
        <v>5184</v>
      </c>
      <c r="G1533" t="s">
        <v>6073</v>
      </c>
      <c r="I1533" t="s">
        <v>10722</v>
      </c>
      <c r="L1533" t="s">
        <v>10723</v>
      </c>
      <c r="M1533" t="s">
        <v>6078</v>
      </c>
      <c r="N1533" s="61" t="s">
        <v>7225</v>
      </c>
      <c r="O1533">
        <v>58256</v>
      </c>
    </row>
    <row r="1534" spans="1:15" x14ac:dyDescent="0.2">
      <c r="A1534" t="s">
        <v>5185</v>
      </c>
      <c r="B1534" s="61" t="s">
        <v>10724</v>
      </c>
      <c r="C1534" s="61" t="s">
        <v>34</v>
      </c>
      <c r="F1534" t="s">
        <v>5185</v>
      </c>
      <c r="G1534" t="s">
        <v>6073</v>
      </c>
      <c r="H1534" t="s">
        <v>34</v>
      </c>
      <c r="I1534" t="s">
        <v>34</v>
      </c>
      <c r="L1534" t="s">
        <v>10725</v>
      </c>
      <c r="M1534" t="s">
        <v>6410</v>
      </c>
      <c r="N1534" s="61" t="s">
        <v>10726</v>
      </c>
      <c r="O1534">
        <v>58255</v>
      </c>
    </row>
    <row r="1535" spans="1:15" x14ac:dyDescent="0.2">
      <c r="A1535" t="s">
        <v>5186</v>
      </c>
      <c r="B1535" s="61" t="s">
        <v>10727</v>
      </c>
      <c r="C1535" s="61" t="s">
        <v>34</v>
      </c>
      <c r="F1535" t="s">
        <v>5186</v>
      </c>
      <c r="G1535" t="s">
        <v>6073</v>
      </c>
      <c r="J1535" t="s">
        <v>7172</v>
      </c>
      <c r="K1535" t="s">
        <v>10728</v>
      </c>
      <c r="L1535" t="s">
        <v>10729</v>
      </c>
      <c r="M1535" t="s">
        <v>6078</v>
      </c>
      <c r="N1535" s="61" t="s">
        <v>6299</v>
      </c>
      <c r="O1535">
        <v>114774</v>
      </c>
    </row>
    <row r="1536" spans="1:15" x14ac:dyDescent="0.2">
      <c r="A1536" t="s">
        <v>5187</v>
      </c>
      <c r="B1536" s="61" t="s">
        <v>10730</v>
      </c>
      <c r="C1536" s="61" t="s">
        <v>34</v>
      </c>
      <c r="F1536" t="s">
        <v>5187</v>
      </c>
      <c r="G1536" t="s">
        <v>6073</v>
      </c>
      <c r="H1536" t="s">
        <v>34</v>
      </c>
      <c r="I1536" t="s">
        <v>34</v>
      </c>
      <c r="L1536" t="s">
        <v>8550</v>
      </c>
      <c r="M1536" t="s">
        <v>6078</v>
      </c>
      <c r="N1536" s="61" t="s">
        <v>7908</v>
      </c>
      <c r="O1536">
        <v>58254</v>
      </c>
    </row>
    <row r="1537" spans="1:15" x14ac:dyDescent="0.2">
      <c r="A1537" t="s">
        <v>5188</v>
      </c>
      <c r="B1537" s="61" t="s">
        <v>10731</v>
      </c>
      <c r="C1537" s="61" t="s">
        <v>34</v>
      </c>
      <c r="F1537" t="s">
        <v>5188</v>
      </c>
      <c r="G1537" t="s">
        <v>6073</v>
      </c>
      <c r="L1537" t="s">
        <v>10732</v>
      </c>
      <c r="M1537" t="s">
        <v>6078</v>
      </c>
      <c r="N1537" s="61" t="s">
        <v>10733</v>
      </c>
      <c r="O1537">
        <v>58253</v>
      </c>
    </row>
    <row r="1538" spans="1:15" x14ac:dyDescent="0.2">
      <c r="A1538" t="s">
        <v>5189</v>
      </c>
      <c r="B1538" s="61" t="s">
        <v>10734</v>
      </c>
      <c r="C1538" s="61" t="s">
        <v>34</v>
      </c>
      <c r="F1538" t="s">
        <v>5189</v>
      </c>
      <c r="G1538" t="s">
        <v>6073</v>
      </c>
      <c r="H1538" t="s">
        <v>34</v>
      </c>
      <c r="I1538" t="s">
        <v>34</v>
      </c>
      <c r="L1538" t="s">
        <v>10735</v>
      </c>
      <c r="M1538" t="s">
        <v>6078</v>
      </c>
      <c r="N1538" s="61" t="s">
        <v>6215</v>
      </c>
      <c r="O1538">
        <v>58252</v>
      </c>
    </row>
    <row r="1539" spans="1:15" x14ac:dyDescent="0.2">
      <c r="A1539" t="s">
        <v>5190</v>
      </c>
      <c r="B1539" s="61" t="s">
        <v>10736</v>
      </c>
      <c r="C1539" s="61" t="s">
        <v>34</v>
      </c>
      <c r="F1539" t="s">
        <v>5190</v>
      </c>
      <c r="G1539" t="s">
        <v>6073</v>
      </c>
      <c r="H1539" t="s">
        <v>10737</v>
      </c>
      <c r="J1539" t="s">
        <v>8302</v>
      </c>
      <c r="K1539" t="s">
        <v>10738</v>
      </c>
      <c r="L1539" t="s">
        <v>10739</v>
      </c>
      <c r="M1539" t="s">
        <v>6078</v>
      </c>
      <c r="N1539" s="61" t="s">
        <v>10740</v>
      </c>
      <c r="O1539">
        <v>115330</v>
      </c>
    </row>
    <row r="1540" spans="1:15" x14ac:dyDescent="0.2">
      <c r="A1540" t="s">
        <v>5191</v>
      </c>
      <c r="B1540" s="61" t="s">
        <v>10741</v>
      </c>
      <c r="C1540" s="61" t="s">
        <v>34</v>
      </c>
      <c r="F1540" t="s">
        <v>5191</v>
      </c>
      <c r="G1540" t="s">
        <v>6073</v>
      </c>
      <c r="H1540" t="s">
        <v>34</v>
      </c>
      <c r="I1540" t="s">
        <v>34</v>
      </c>
      <c r="L1540" t="s">
        <v>10742</v>
      </c>
      <c r="M1540" t="s">
        <v>6078</v>
      </c>
      <c r="N1540" s="61" t="s">
        <v>6182</v>
      </c>
      <c r="O1540">
        <v>58251</v>
      </c>
    </row>
    <row r="1541" spans="1:15" x14ac:dyDescent="0.2">
      <c r="A1541" t="s">
        <v>5192</v>
      </c>
      <c r="B1541" s="61" t="s">
        <v>10743</v>
      </c>
      <c r="C1541" s="61" t="s">
        <v>34</v>
      </c>
      <c r="F1541" t="s">
        <v>5192</v>
      </c>
      <c r="G1541" t="s">
        <v>6073</v>
      </c>
      <c r="H1541" t="s">
        <v>10744</v>
      </c>
      <c r="J1541" t="s">
        <v>10745</v>
      </c>
      <c r="K1541" t="s">
        <v>10746</v>
      </c>
      <c r="L1541" t="s">
        <v>10747</v>
      </c>
      <c r="M1541" t="s">
        <v>6635</v>
      </c>
      <c r="N1541" s="61" t="s">
        <v>10748</v>
      </c>
      <c r="O1541">
        <v>118828</v>
      </c>
    </row>
    <row r="1542" spans="1:15" x14ac:dyDescent="0.2">
      <c r="A1542" t="s">
        <v>5193</v>
      </c>
      <c r="B1542" s="61" t="s">
        <v>10749</v>
      </c>
      <c r="C1542" s="61" t="s">
        <v>34</v>
      </c>
      <c r="F1542" t="s">
        <v>5193</v>
      </c>
      <c r="G1542" t="s">
        <v>6073</v>
      </c>
      <c r="J1542" t="s">
        <v>6565</v>
      </c>
      <c r="K1542" t="s">
        <v>10750</v>
      </c>
      <c r="L1542" t="s">
        <v>10751</v>
      </c>
      <c r="M1542" t="s">
        <v>6078</v>
      </c>
      <c r="N1542" s="61" t="s">
        <v>6122</v>
      </c>
      <c r="O1542">
        <v>97075</v>
      </c>
    </row>
    <row r="1543" spans="1:15" x14ac:dyDescent="0.2">
      <c r="A1543" t="s">
        <v>5951</v>
      </c>
      <c r="B1543" s="61" t="s">
        <v>10752</v>
      </c>
      <c r="C1543" s="61" t="s">
        <v>34</v>
      </c>
      <c r="F1543" t="s">
        <v>5951</v>
      </c>
      <c r="G1543" t="s">
        <v>6073</v>
      </c>
      <c r="J1543" t="s">
        <v>10753</v>
      </c>
      <c r="K1543" t="s">
        <v>10754</v>
      </c>
      <c r="L1543" t="s">
        <v>10755</v>
      </c>
      <c r="M1543" t="s">
        <v>6078</v>
      </c>
      <c r="N1543" s="61" t="s">
        <v>6114</v>
      </c>
      <c r="O1543">
        <v>129671</v>
      </c>
    </row>
    <row r="1544" spans="1:15" x14ac:dyDescent="0.2">
      <c r="A1544" t="s">
        <v>5194</v>
      </c>
      <c r="B1544" s="61" t="s">
        <v>10756</v>
      </c>
      <c r="C1544" s="61" t="s">
        <v>34</v>
      </c>
      <c r="F1544" t="s">
        <v>5194</v>
      </c>
      <c r="G1544" t="s">
        <v>6073</v>
      </c>
      <c r="H1544" t="s">
        <v>10757</v>
      </c>
      <c r="J1544" t="s">
        <v>10758</v>
      </c>
      <c r="K1544" t="s">
        <v>10759</v>
      </c>
      <c r="L1544" t="s">
        <v>10760</v>
      </c>
      <c r="M1544" t="s">
        <v>6078</v>
      </c>
      <c r="N1544" s="61" t="s">
        <v>7079</v>
      </c>
      <c r="O1544">
        <v>98711</v>
      </c>
    </row>
    <row r="1545" spans="1:15" x14ac:dyDescent="0.2">
      <c r="A1545" t="s">
        <v>5195</v>
      </c>
      <c r="B1545" s="61" t="s">
        <v>10761</v>
      </c>
      <c r="C1545" s="61" t="s">
        <v>34</v>
      </c>
      <c r="F1545" t="s">
        <v>5195</v>
      </c>
      <c r="G1545" t="s">
        <v>6073</v>
      </c>
      <c r="H1545" t="s">
        <v>10762</v>
      </c>
      <c r="J1545" t="s">
        <v>6863</v>
      </c>
      <c r="K1545" t="s">
        <v>10763</v>
      </c>
      <c r="L1545" t="s">
        <v>10764</v>
      </c>
      <c r="M1545" t="s">
        <v>6078</v>
      </c>
      <c r="N1545" s="61" t="s">
        <v>10384</v>
      </c>
      <c r="O1545">
        <v>115742</v>
      </c>
    </row>
    <row r="1546" spans="1:15" x14ac:dyDescent="0.2">
      <c r="A1546" t="s">
        <v>5196</v>
      </c>
      <c r="B1546" s="61" t="s">
        <v>10765</v>
      </c>
      <c r="C1546" s="61" t="s">
        <v>34</v>
      </c>
      <c r="F1546" t="s">
        <v>5196</v>
      </c>
      <c r="G1546" t="s">
        <v>6073</v>
      </c>
      <c r="H1546" t="s">
        <v>34</v>
      </c>
      <c r="I1546" t="s">
        <v>34</v>
      </c>
      <c r="L1546" t="s">
        <v>10766</v>
      </c>
      <c r="M1546" t="s">
        <v>6078</v>
      </c>
      <c r="N1546" s="61" t="s">
        <v>10767</v>
      </c>
      <c r="O1546">
        <v>58250</v>
      </c>
    </row>
    <row r="1547" spans="1:15" x14ac:dyDescent="0.2">
      <c r="A1547" t="s">
        <v>526</v>
      </c>
      <c r="B1547" s="61" t="s">
        <v>10768</v>
      </c>
      <c r="C1547" s="61" t="s">
        <v>34</v>
      </c>
      <c r="F1547" t="s">
        <v>526</v>
      </c>
      <c r="G1547" t="s">
        <v>6073</v>
      </c>
      <c r="I1547" t="s">
        <v>10769</v>
      </c>
      <c r="L1547" t="s">
        <v>10770</v>
      </c>
      <c r="M1547" t="s">
        <v>6095</v>
      </c>
      <c r="N1547" s="61" t="s">
        <v>10771</v>
      </c>
      <c r="O1547">
        <v>58249</v>
      </c>
    </row>
    <row r="1548" spans="1:15" x14ac:dyDescent="0.2">
      <c r="A1548" t="s">
        <v>5197</v>
      </c>
      <c r="B1548" s="61" t="s">
        <v>34</v>
      </c>
      <c r="C1548" s="61" t="s">
        <v>34</v>
      </c>
      <c r="F1548" t="s">
        <v>5197</v>
      </c>
      <c r="G1548" t="s">
        <v>6073</v>
      </c>
      <c r="H1548" t="s">
        <v>34</v>
      </c>
      <c r="I1548" t="s">
        <v>34</v>
      </c>
      <c r="L1548" t="s">
        <v>34</v>
      </c>
      <c r="N1548" s="61" t="s">
        <v>3784</v>
      </c>
      <c r="O1548">
        <v>58414</v>
      </c>
    </row>
    <row r="1549" spans="1:15" x14ac:dyDescent="0.2">
      <c r="A1549" t="s">
        <v>5198</v>
      </c>
      <c r="B1549" s="61" t="s">
        <v>10772</v>
      </c>
      <c r="C1549" s="61" t="s">
        <v>34</v>
      </c>
      <c r="F1549" t="s">
        <v>5198</v>
      </c>
      <c r="G1549" t="s">
        <v>6073</v>
      </c>
      <c r="H1549" t="s">
        <v>34</v>
      </c>
      <c r="I1549" t="s">
        <v>10773</v>
      </c>
      <c r="L1549" t="s">
        <v>10774</v>
      </c>
      <c r="M1549" t="s">
        <v>6078</v>
      </c>
      <c r="N1549" s="61" t="s">
        <v>6128</v>
      </c>
      <c r="O1549">
        <v>58248</v>
      </c>
    </row>
    <row r="1550" spans="1:15" x14ac:dyDescent="0.2">
      <c r="A1550" t="s">
        <v>5199</v>
      </c>
      <c r="B1550" s="61" t="s">
        <v>34</v>
      </c>
      <c r="C1550" s="61" t="s">
        <v>34</v>
      </c>
      <c r="F1550" t="s">
        <v>5199</v>
      </c>
      <c r="G1550" t="s">
        <v>6073</v>
      </c>
      <c r="H1550" t="s">
        <v>34</v>
      </c>
      <c r="I1550" t="s">
        <v>34</v>
      </c>
      <c r="L1550" t="s">
        <v>34</v>
      </c>
      <c r="N1550" s="61" t="s">
        <v>3784</v>
      </c>
      <c r="O1550">
        <v>58247</v>
      </c>
    </row>
    <row r="1551" spans="1:15" x14ac:dyDescent="0.2">
      <c r="A1551" t="s">
        <v>5200</v>
      </c>
      <c r="B1551" s="61" t="s">
        <v>10775</v>
      </c>
      <c r="C1551" s="61" t="s">
        <v>34</v>
      </c>
      <c r="F1551" t="s">
        <v>5200</v>
      </c>
      <c r="G1551" t="s">
        <v>6073</v>
      </c>
      <c r="I1551" t="s">
        <v>10776</v>
      </c>
      <c r="L1551" t="s">
        <v>10777</v>
      </c>
      <c r="M1551" t="s">
        <v>6078</v>
      </c>
      <c r="N1551" s="61" t="s">
        <v>7215</v>
      </c>
      <c r="O1551">
        <v>84238</v>
      </c>
    </row>
    <row r="1552" spans="1:15" x14ac:dyDescent="0.2">
      <c r="A1552" t="s">
        <v>5201</v>
      </c>
      <c r="B1552" s="61" t="s">
        <v>10778</v>
      </c>
      <c r="C1552" s="61" t="s">
        <v>34</v>
      </c>
      <c r="F1552" t="s">
        <v>5201</v>
      </c>
      <c r="G1552" t="s">
        <v>6073</v>
      </c>
      <c r="H1552" t="s">
        <v>34</v>
      </c>
      <c r="I1552" t="s">
        <v>34</v>
      </c>
      <c r="L1552" t="s">
        <v>10779</v>
      </c>
      <c r="M1552" t="s">
        <v>6078</v>
      </c>
      <c r="N1552" s="61" t="s">
        <v>10780</v>
      </c>
      <c r="O1552">
        <v>58220</v>
      </c>
    </row>
    <row r="1553" spans="1:15" x14ac:dyDescent="0.2">
      <c r="A1553" t="s">
        <v>5202</v>
      </c>
      <c r="B1553" s="61" t="s">
        <v>10781</v>
      </c>
      <c r="C1553" s="61" t="s">
        <v>34</v>
      </c>
      <c r="F1553" t="s">
        <v>5202</v>
      </c>
      <c r="G1553" t="s">
        <v>6073</v>
      </c>
      <c r="I1553" t="s">
        <v>10782</v>
      </c>
      <c r="L1553" t="s">
        <v>10783</v>
      </c>
      <c r="M1553" t="s">
        <v>6266</v>
      </c>
      <c r="N1553" s="61" t="s">
        <v>10784</v>
      </c>
      <c r="O1553">
        <v>58221</v>
      </c>
    </row>
    <row r="1554" spans="1:15" x14ac:dyDescent="0.2">
      <c r="A1554" t="s">
        <v>5203</v>
      </c>
      <c r="B1554" s="61" t="s">
        <v>10785</v>
      </c>
      <c r="C1554" s="61" t="s">
        <v>34</v>
      </c>
      <c r="F1554" t="s">
        <v>5203</v>
      </c>
      <c r="G1554" t="s">
        <v>6073</v>
      </c>
      <c r="I1554" t="s">
        <v>10786</v>
      </c>
      <c r="L1554" t="s">
        <v>10787</v>
      </c>
      <c r="M1554" t="s">
        <v>6095</v>
      </c>
      <c r="N1554" s="61" t="s">
        <v>10788</v>
      </c>
      <c r="O1554">
        <v>57875</v>
      </c>
    </row>
    <row r="1555" spans="1:15" x14ac:dyDescent="0.2">
      <c r="A1555" t="s">
        <v>5204</v>
      </c>
      <c r="B1555" s="61" t="s">
        <v>10789</v>
      </c>
      <c r="C1555" s="61" t="s">
        <v>34</v>
      </c>
      <c r="F1555" t="s">
        <v>5204</v>
      </c>
      <c r="G1555" t="s">
        <v>6073</v>
      </c>
      <c r="I1555" t="s">
        <v>10790</v>
      </c>
      <c r="L1555" t="s">
        <v>10791</v>
      </c>
      <c r="M1555" t="s">
        <v>6078</v>
      </c>
      <c r="N1555" s="61" t="s">
        <v>6083</v>
      </c>
      <c r="O1555">
        <v>57604</v>
      </c>
    </row>
    <row r="1556" spans="1:15" x14ac:dyDescent="0.2">
      <c r="A1556" t="s">
        <v>5205</v>
      </c>
      <c r="B1556" s="61" t="s">
        <v>10792</v>
      </c>
      <c r="C1556" s="61" t="s">
        <v>34</v>
      </c>
      <c r="F1556" t="s">
        <v>5205</v>
      </c>
      <c r="G1556" t="s">
        <v>6073</v>
      </c>
      <c r="H1556" t="s">
        <v>34</v>
      </c>
      <c r="I1556" t="s">
        <v>34</v>
      </c>
      <c r="L1556" t="s">
        <v>10793</v>
      </c>
      <c r="M1556" t="s">
        <v>6266</v>
      </c>
      <c r="N1556" s="61" t="s">
        <v>6830</v>
      </c>
      <c r="O1556">
        <v>58219</v>
      </c>
    </row>
    <row r="1557" spans="1:15" x14ac:dyDescent="0.2">
      <c r="A1557" t="s">
        <v>5206</v>
      </c>
      <c r="B1557" s="61" t="s">
        <v>10794</v>
      </c>
      <c r="C1557" s="61" t="s">
        <v>34</v>
      </c>
      <c r="F1557" t="s">
        <v>5206</v>
      </c>
      <c r="G1557" t="s">
        <v>6073</v>
      </c>
      <c r="L1557" t="s">
        <v>10795</v>
      </c>
      <c r="M1557" t="s">
        <v>6078</v>
      </c>
      <c r="N1557" s="61" t="s">
        <v>7882</v>
      </c>
      <c r="O1557">
        <v>58194</v>
      </c>
    </row>
    <row r="1558" spans="1:15" x14ac:dyDescent="0.2">
      <c r="A1558" t="s">
        <v>5207</v>
      </c>
      <c r="B1558" s="61" t="s">
        <v>10796</v>
      </c>
      <c r="C1558" s="61" t="s">
        <v>34</v>
      </c>
      <c r="F1558" t="s">
        <v>5207</v>
      </c>
      <c r="G1558" t="s">
        <v>6073</v>
      </c>
      <c r="H1558" t="s">
        <v>34</v>
      </c>
      <c r="I1558" t="s">
        <v>34</v>
      </c>
      <c r="L1558" t="s">
        <v>10797</v>
      </c>
      <c r="M1558" t="s">
        <v>8390</v>
      </c>
      <c r="N1558" s="61" t="s">
        <v>10798</v>
      </c>
      <c r="O1558">
        <v>58192</v>
      </c>
    </row>
    <row r="1559" spans="1:15" x14ac:dyDescent="0.2">
      <c r="A1559" t="s">
        <v>5208</v>
      </c>
      <c r="B1559" s="61" t="s">
        <v>10799</v>
      </c>
      <c r="C1559" s="61" t="s">
        <v>34</v>
      </c>
      <c r="F1559" t="s">
        <v>5208</v>
      </c>
      <c r="G1559" t="s">
        <v>6073</v>
      </c>
      <c r="J1559" t="s">
        <v>10800</v>
      </c>
      <c r="K1559" t="s">
        <v>10801</v>
      </c>
      <c r="L1559" t="s">
        <v>10802</v>
      </c>
      <c r="M1559" t="s">
        <v>6078</v>
      </c>
      <c r="N1559" s="61" t="s">
        <v>6231</v>
      </c>
      <c r="O1559">
        <v>70062</v>
      </c>
    </row>
    <row r="1560" spans="1:15" x14ac:dyDescent="0.2">
      <c r="A1560" t="s">
        <v>540</v>
      </c>
      <c r="B1560" s="61" t="s">
        <v>10803</v>
      </c>
      <c r="C1560" s="61" t="s">
        <v>34</v>
      </c>
      <c r="F1560" t="s">
        <v>540</v>
      </c>
      <c r="G1560" t="s">
        <v>6073</v>
      </c>
      <c r="I1560" t="s">
        <v>10804</v>
      </c>
      <c r="L1560" t="s">
        <v>10805</v>
      </c>
      <c r="M1560" t="s">
        <v>6078</v>
      </c>
      <c r="N1560" s="61" t="s">
        <v>10806</v>
      </c>
      <c r="O1560">
        <v>58191</v>
      </c>
    </row>
    <row r="1561" spans="1:15" x14ac:dyDescent="0.2">
      <c r="A1561" t="s">
        <v>5209</v>
      </c>
      <c r="B1561" s="61" t="s">
        <v>34</v>
      </c>
      <c r="C1561" s="61" t="s">
        <v>34</v>
      </c>
      <c r="F1561" t="s">
        <v>5209</v>
      </c>
      <c r="G1561" t="s">
        <v>6073</v>
      </c>
      <c r="H1561" t="s">
        <v>34</v>
      </c>
      <c r="I1561" t="s">
        <v>34</v>
      </c>
      <c r="L1561" t="s">
        <v>34</v>
      </c>
      <c r="N1561" s="61" t="s">
        <v>3784</v>
      </c>
      <c r="O1561">
        <v>58396</v>
      </c>
    </row>
    <row r="1562" spans="1:15" x14ac:dyDescent="0.2">
      <c r="A1562" t="s">
        <v>5210</v>
      </c>
      <c r="B1562" s="61" t="s">
        <v>10807</v>
      </c>
      <c r="C1562" s="61" t="s">
        <v>34</v>
      </c>
      <c r="F1562" t="s">
        <v>5210</v>
      </c>
      <c r="G1562" t="s">
        <v>6073</v>
      </c>
      <c r="M1562" t="s">
        <v>6608</v>
      </c>
      <c r="N1562" s="61" t="s">
        <v>10808</v>
      </c>
      <c r="O1562">
        <v>64576</v>
      </c>
    </row>
    <row r="1563" spans="1:15" x14ac:dyDescent="0.2">
      <c r="A1563" t="s">
        <v>5211</v>
      </c>
      <c r="B1563" s="61" t="s">
        <v>10809</v>
      </c>
      <c r="C1563" s="61" t="s">
        <v>34</v>
      </c>
      <c r="F1563" t="s">
        <v>5211</v>
      </c>
      <c r="G1563" t="s">
        <v>6073</v>
      </c>
      <c r="M1563" t="s">
        <v>6078</v>
      </c>
      <c r="N1563" s="61" t="s">
        <v>6211</v>
      </c>
      <c r="O1563">
        <v>58190</v>
      </c>
    </row>
    <row r="1564" spans="1:15" x14ac:dyDescent="0.2">
      <c r="A1564" t="s">
        <v>5212</v>
      </c>
      <c r="B1564" s="61" t="s">
        <v>34</v>
      </c>
      <c r="C1564" s="61" t="s">
        <v>34</v>
      </c>
      <c r="F1564" t="s">
        <v>5212</v>
      </c>
      <c r="G1564" t="s">
        <v>6073</v>
      </c>
      <c r="H1564" t="s">
        <v>34</v>
      </c>
      <c r="I1564" t="s">
        <v>34</v>
      </c>
      <c r="L1564" t="s">
        <v>34</v>
      </c>
      <c r="N1564" s="61" t="s">
        <v>3784</v>
      </c>
      <c r="O1564">
        <v>58189</v>
      </c>
    </row>
    <row r="1565" spans="1:15" x14ac:dyDescent="0.2">
      <c r="A1565" t="s">
        <v>5213</v>
      </c>
      <c r="B1565" s="61" t="s">
        <v>10810</v>
      </c>
      <c r="C1565" s="61" t="s">
        <v>34</v>
      </c>
      <c r="F1565" t="s">
        <v>5213</v>
      </c>
      <c r="G1565" t="s">
        <v>6073</v>
      </c>
      <c r="H1565" t="s">
        <v>34</v>
      </c>
      <c r="I1565" t="s">
        <v>34</v>
      </c>
      <c r="L1565" t="s">
        <v>10811</v>
      </c>
      <c r="M1565" t="s">
        <v>6078</v>
      </c>
      <c r="N1565" s="61" t="s">
        <v>6314</v>
      </c>
      <c r="O1565">
        <v>58188</v>
      </c>
    </row>
    <row r="1566" spans="1:15" x14ac:dyDescent="0.2">
      <c r="A1566" t="s">
        <v>5214</v>
      </c>
      <c r="B1566" s="61" t="s">
        <v>10812</v>
      </c>
      <c r="C1566" s="61" t="s">
        <v>34</v>
      </c>
      <c r="F1566" t="s">
        <v>5214</v>
      </c>
      <c r="G1566" t="s">
        <v>6073</v>
      </c>
      <c r="H1566" t="s">
        <v>34</v>
      </c>
      <c r="I1566" t="s">
        <v>10813</v>
      </c>
      <c r="L1566" t="s">
        <v>10814</v>
      </c>
      <c r="M1566" t="s">
        <v>6078</v>
      </c>
      <c r="N1566" s="61" t="s">
        <v>6128</v>
      </c>
      <c r="O1566">
        <v>58187</v>
      </c>
    </row>
    <row r="1567" spans="1:15" x14ac:dyDescent="0.2">
      <c r="A1567" t="s">
        <v>5215</v>
      </c>
      <c r="B1567" s="61" t="s">
        <v>10815</v>
      </c>
      <c r="C1567" s="61" t="s">
        <v>34</v>
      </c>
      <c r="F1567" t="s">
        <v>5215</v>
      </c>
      <c r="G1567" t="s">
        <v>6073</v>
      </c>
      <c r="I1567" t="s">
        <v>10816</v>
      </c>
      <c r="L1567" t="s">
        <v>10817</v>
      </c>
      <c r="M1567" t="s">
        <v>6078</v>
      </c>
      <c r="N1567" s="61" t="s">
        <v>6215</v>
      </c>
      <c r="O1567">
        <v>58186</v>
      </c>
    </row>
    <row r="1568" spans="1:15" x14ac:dyDescent="0.2">
      <c r="A1568" t="s">
        <v>5216</v>
      </c>
      <c r="B1568" s="61" t="s">
        <v>10818</v>
      </c>
      <c r="C1568" s="61" t="s">
        <v>34</v>
      </c>
      <c r="F1568" t="s">
        <v>5216</v>
      </c>
      <c r="G1568" t="s">
        <v>6073</v>
      </c>
      <c r="H1568" t="s">
        <v>34</v>
      </c>
      <c r="I1568" t="s">
        <v>10819</v>
      </c>
      <c r="L1568" t="s">
        <v>10820</v>
      </c>
      <c r="M1568" t="s">
        <v>6078</v>
      </c>
      <c r="N1568" s="61" t="s">
        <v>6525</v>
      </c>
      <c r="O1568">
        <v>58185</v>
      </c>
    </row>
    <row r="1569" spans="1:15" x14ac:dyDescent="0.2">
      <c r="A1569" t="s">
        <v>5217</v>
      </c>
      <c r="B1569" s="61" t="s">
        <v>10821</v>
      </c>
      <c r="C1569" s="61" t="s">
        <v>34</v>
      </c>
      <c r="F1569" t="s">
        <v>5217</v>
      </c>
      <c r="G1569" t="s">
        <v>6073</v>
      </c>
      <c r="H1569" t="s">
        <v>10822</v>
      </c>
      <c r="I1569" t="s">
        <v>10823</v>
      </c>
      <c r="L1569" t="s">
        <v>10824</v>
      </c>
      <c r="M1569" t="s">
        <v>6078</v>
      </c>
      <c r="N1569" s="61" t="s">
        <v>6223</v>
      </c>
      <c r="O1569">
        <v>57258</v>
      </c>
    </row>
    <row r="1570" spans="1:15" x14ac:dyDescent="0.2">
      <c r="A1570" t="s">
        <v>5218</v>
      </c>
      <c r="B1570" s="61" t="s">
        <v>10825</v>
      </c>
      <c r="C1570" s="61" t="s">
        <v>34</v>
      </c>
      <c r="F1570" t="s">
        <v>5218</v>
      </c>
      <c r="G1570" t="s">
        <v>6073</v>
      </c>
      <c r="I1570" t="s">
        <v>10826</v>
      </c>
      <c r="L1570" t="s">
        <v>10827</v>
      </c>
      <c r="M1570" t="s">
        <v>6078</v>
      </c>
      <c r="N1570" s="61" t="s">
        <v>7653</v>
      </c>
      <c r="O1570">
        <v>58184</v>
      </c>
    </row>
    <row r="1571" spans="1:15" x14ac:dyDescent="0.2">
      <c r="A1571" t="s">
        <v>5219</v>
      </c>
      <c r="B1571" s="61" t="s">
        <v>9796</v>
      </c>
      <c r="C1571" s="61" t="s">
        <v>34</v>
      </c>
      <c r="F1571" t="s">
        <v>5219</v>
      </c>
      <c r="G1571" t="s">
        <v>6073</v>
      </c>
      <c r="I1571" t="s">
        <v>10828</v>
      </c>
      <c r="L1571" t="s">
        <v>10829</v>
      </c>
      <c r="M1571" t="s">
        <v>6078</v>
      </c>
      <c r="N1571" s="61" t="s">
        <v>6551</v>
      </c>
      <c r="O1571">
        <v>57484</v>
      </c>
    </row>
    <row r="1572" spans="1:15" x14ac:dyDescent="0.2">
      <c r="A1572" t="s">
        <v>5220</v>
      </c>
      <c r="B1572" s="61" t="s">
        <v>10830</v>
      </c>
      <c r="C1572" s="61" t="s">
        <v>34</v>
      </c>
      <c r="F1572" t="s">
        <v>5220</v>
      </c>
      <c r="G1572" t="s">
        <v>6073</v>
      </c>
      <c r="I1572" t="s">
        <v>10831</v>
      </c>
      <c r="L1572" t="s">
        <v>10832</v>
      </c>
      <c r="M1572" t="s">
        <v>7287</v>
      </c>
      <c r="N1572" s="61" t="s">
        <v>10833</v>
      </c>
      <c r="O1572">
        <v>58183</v>
      </c>
    </row>
    <row r="1573" spans="1:15" x14ac:dyDescent="0.2">
      <c r="A1573" t="s">
        <v>5221</v>
      </c>
      <c r="B1573" s="61" t="s">
        <v>10834</v>
      </c>
      <c r="C1573" s="61" t="s">
        <v>34</v>
      </c>
      <c r="F1573" t="s">
        <v>5221</v>
      </c>
      <c r="G1573" t="s">
        <v>6073</v>
      </c>
      <c r="H1573" t="s">
        <v>10835</v>
      </c>
      <c r="J1573" t="s">
        <v>10836</v>
      </c>
      <c r="L1573" t="s">
        <v>10837</v>
      </c>
      <c r="M1573" t="s">
        <v>6266</v>
      </c>
      <c r="N1573" s="61" t="s">
        <v>10838</v>
      </c>
      <c r="O1573">
        <v>120206</v>
      </c>
    </row>
    <row r="1574" spans="1:15" x14ac:dyDescent="0.2">
      <c r="A1574" t="s">
        <v>5222</v>
      </c>
      <c r="B1574" s="61" t="s">
        <v>10839</v>
      </c>
      <c r="C1574" s="61" t="s">
        <v>34</v>
      </c>
      <c r="F1574" t="s">
        <v>5222</v>
      </c>
      <c r="G1574" t="s">
        <v>6073</v>
      </c>
      <c r="L1574" t="s">
        <v>10840</v>
      </c>
      <c r="M1574" t="s">
        <v>6266</v>
      </c>
      <c r="N1574" s="61" t="s">
        <v>10838</v>
      </c>
      <c r="O1574">
        <v>121435</v>
      </c>
    </row>
    <row r="1575" spans="1:15" x14ac:dyDescent="0.2">
      <c r="A1575" t="s">
        <v>5952</v>
      </c>
      <c r="B1575" s="61" t="s">
        <v>10841</v>
      </c>
      <c r="C1575" s="61" t="s">
        <v>34</v>
      </c>
      <c r="F1575" t="s">
        <v>10842</v>
      </c>
      <c r="G1575" t="s">
        <v>6073</v>
      </c>
      <c r="H1575" t="s">
        <v>10843</v>
      </c>
      <c r="J1575" t="s">
        <v>10642</v>
      </c>
      <c r="K1575" t="s">
        <v>10844</v>
      </c>
      <c r="L1575" t="s">
        <v>10845</v>
      </c>
      <c r="M1575" t="s">
        <v>6095</v>
      </c>
      <c r="N1575" s="61" t="s">
        <v>8837</v>
      </c>
      <c r="O1575">
        <v>129654</v>
      </c>
    </row>
    <row r="1576" spans="1:15" x14ac:dyDescent="0.2">
      <c r="A1576" t="s">
        <v>5223</v>
      </c>
      <c r="B1576" s="61" t="s">
        <v>10846</v>
      </c>
      <c r="C1576" s="61" t="s">
        <v>34</v>
      </c>
      <c r="F1576" t="s">
        <v>5223</v>
      </c>
      <c r="G1576" t="s">
        <v>6073</v>
      </c>
      <c r="H1576" t="s">
        <v>34</v>
      </c>
      <c r="I1576" t="s">
        <v>34</v>
      </c>
      <c r="L1576" t="s">
        <v>10847</v>
      </c>
      <c r="M1576" t="s">
        <v>6095</v>
      </c>
      <c r="N1576" s="61" t="s">
        <v>6712</v>
      </c>
      <c r="O1576">
        <v>58182</v>
      </c>
    </row>
    <row r="1577" spans="1:15" x14ac:dyDescent="0.2">
      <c r="A1577" t="s">
        <v>5224</v>
      </c>
      <c r="B1577" s="61" t="s">
        <v>9177</v>
      </c>
      <c r="C1577" s="61" t="s">
        <v>34</v>
      </c>
      <c r="F1577" t="s">
        <v>5224</v>
      </c>
      <c r="G1577" t="s">
        <v>6073</v>
      </c>
      <c r="H1577" t="s">
        <v>10848</v>
      </c>
      <c r="I1577" t="s">
        <v>10849</v>
      </c>
      <c r="L1577" t="s">
        <v>9179</v>
      </c>
      <c r="M1577" t="s">
        <v>6608</v>
      </c>
      <c r="N1577" s="61" t="s">
        <v>9180</v>
      </c>
      <c r="O1577">
        <v>58327</v>
      </c>
    </row>
    <row r="1578" spans="1:15" x14ac:dyDescent="0.2">
      <c r="A1578" t="s">
        <v>5225</v>
      </c>
      <c r="B1578" s="61" t="s">
        <v>10850</v>
      </c>
      <c r="C1578" s="61" t="s">
        <v>34</v>
      </c>
      <c r="F1578" t="s">
        <v>5225</v>
      </c>
      <c r="G1578" t="s">
        <v>6073</v>
      </c>
      <c r="H1578" t="s">
        <v>34</v>
      </c>
      <c r="I1578" t="s">
        <v>34</v>
      </c>
      <c r="L1578" t="s">
        <v>10851</v>
      </c>
      <c r="M1578" t="s">
        <v>6095</v>
      </c>
      <c r="N1578" s="61" t="s">
        <v>6096</v>
      </c>
      <c r="O1578">
        <v>58181</v>
      </c>
    </row>
    <row r="1579" spans="1:15" x14ac:dyDescent="0.2">
      <c r="A1579" t="s">
        <v>5226</v>
      </c>
      <c r="B1579" s="61" t="s">
        <v>10852</v>
      </c>
      <c r="C1579" s="61" t="s">
        <v>34</v>
      </c>
      <c r="F1579" t="s">
        <v>5226</v>
      </c>
      <c r="G1579" t="s">
        <v>6073</v>
      </c>
      <c r="H1579" t="s">
        <v>34</v>
      </c>
      <c r="I1579" t="s">
        <v>10853</v>
      </c>
      <c r="L1579" t="s">
        <v>10854</v>
      </c>
      <c r="M1579" t="s">
        <v>6078</v>
      </c>
      <c r="N1579" s="61" t="s">
        <v>6977</v>
      </c>
      <c r="O1579">
        <v>58180</v>
      </c>
    </row>
    <row r="1580" spans="1:15" x14ac:dyDescent="0.2">
      <c r="A1580" t="s">
        <v>5227</v>
      </c>
      <c r="B1580" s="61" t="s">
        <v>10855</v>
      </c>
      <c r="C1580" s="61" t="s">
        <v>34</v>
      </c>
      <c r="F1580" t="s">
        <v>5227</v>
      </c>
      <c r="G1580" t="s">
        <v>6073</v>
      </c>
      <c r="I1580" t="s">
        <v>10856</v>
      </c>
      <c r="L1580" t="s">
        <v>10857</v>
      </c>
      <c r="M1580" t="s">
        <v>6095</v>
      </c>
      <c r="N1580" s="61" t="s">
        <v>8837</v>
      </c>
      <c r="O1580">
        <v>58179</v>
      </c>
    </row>
    <row r="1581" spans="1:15" x14ac:dyDescent="0.2">
      <c r="A1581" t="s">
        <v>5228</v>
      </c>
      <c r="B1581" s="61" t="s">
        <v>10858</v>
      </c>
      <c r="C1581" s="61" t="s">
        <v>34</v>
      </c>
      <c r="F1581" t="s">
        <v>5228</v>
      </c>
      <c r="G1581" t="s">
        <v>6073</v>
      </c>
      <c r="H1581" t="s">
        <v>34</v>
      </c>
      <c r="I1581" t="s">
        <v>34</v>
      </c>
      <c r="L1581" t="s">
        <v>10859</v>
      </c>
      <c r="M1581" t="s">
        <v>6078</v>
      </c>
      <c r="N1581" s="61" t="s">
        <v>6219</v>
      </c>
      <c r="O1581">
        <v>58178</v>
      </c>
    </row>
    <row r="1582" spans="1:15" x14ac:dyDescent="0.2">
      <c r="A1582" t="s">
        <v>5229</v>
      </c>
      <c r="B1582" s="61" t="s">
        <v>10860</v>
      </c>
      <c r="C1582" s="61" t="s">
        <v>10861</v>
      </c>
      <c r="F1582" t="s">
        <v>5229</v>
      </c>
      <c r="G1582" t="s">
        <v>6073</v>
      </c>
      <c r="I1582" t="s">
        <v>10862</v>
      </c>
      <c r="L1582" t="s">
        <v>10863</v>
      </c>
      <c r="M1582" t="s">
        <v>6078</v>
      </c>
      <c r="N1582" s="61" t="s">
        <v>6215</v>
      </c>
      <c r="O1582">
        <v>58177</v>
      </c>
    </row>
    <row r="1583" spans="1:15" x14ac:dyDescent="0.2">
      <c r="A1583" t="s">
        <v>5230</v>
      </c>
      <c r="B1583" s="61" t="s">
        <v>10864</v>
      </c>
      <c r="C1583" s="61" t="s">
        <v>10865</v>
      </c>
      <c r="F1583" t="s">
        <v>5230</v>
      </c>
      <c r="G1583" t="s">
        <v>6073</v>
      </c>
      <c r="H1583" t="s">
        <v>10866</v>
      </c>
      <c r="J1583" t="s">
        <v>10867</v>
      </c>
      <c r="K1583" t="s">
        <v>10868</v>
      </c>
      <c r="L1583" t="s">
        <v>10869</v>
      </c>
      <c r="M1583" t="s">
        <v>6078</v>
      </c>
      <c r="N1583" s="61" t="s">
        <v>6525</v>
      </c>
      <c r="O1583">
        <v>65830</v>
      </c>
    </row>
    <row r="1584" spans="1:15" x14ac:dyDescent="0.2">
      <c r="A1584" t="s">
        <v>5231</v>
      </c>
      <c r="B1584" s="61" t="s">
        <v>10870</v>
      </c>
      <c r="C1584" s="61" t="s">
        <v>34</v>
      </c>
      <c r="F1584" t="s">
        <v>5231</v>
      </c>
      <c r="G1584" t="s">
        <v>6073</v>
      </c>
      <c r="I1584" t="s">
        <v>7671</v>
      </c>
      <c r="L1584" t="s">
        <v>10871</v>
      </c>
      <c r="M1584" t="s">
        <v>6078</v>
      </c>
      <c r="N1584" s="61" t="s">
        <v>6211</v>
      </c>
      <c r="O1584">
        <v>58176</v>
      </c>
    </row>
    <row r="1585" spans="1:15" x14ac:dyDescent="0.2">
      <c r="A1585" t="s">
        <v>5232</v>
      </c>
      <c r="B1585" s="61" t="s">
        <v>10872</v>
      </c>
      <c r="C1585" s="61" t="s">
        <v>34</v>
      </c>
      <c r="F1585" t="s">
        <v>5232</v>
      </c>
      <c r="G1585" t="s">
        <v>6073</v>
      </c>
      <c r="J1585" t="s">
        <v>10873</v>
      </c>
      <c r="K1585" t="s">
        <v>10874</v>
      </c>
      <c r="L1585" t="s">
        <v>10875</v>
      </c>
      <c r="M1585" t="s">
        <v>6078</v>
      </c>
      <c r="N1585" s="61" t="s">
        <v>7225</v>
      </c>
      <c r="O1585">
        <v>74208</v>
      </c>
    </row>
    <row r="1586" spans="1:15" x14ac:dyDescent="0.2">
      <c r="A1586" t="s">
        <v>5991</v>
      </c>
      <c r="B1586" s="61" t="s">
        <v>10876</v>
      </c>
      <c r="C1586" s="61" t="s">
        <v>34</v>
      </c>
      <c r="F1586" t="s">
        <v>5991</v>
      </c>
      <c r="G1586" t="s">
        <v>6073</v>
      </c>
      <c r="L1586" t="s">
        <v>10877</v>
      </c>
      <c r="M1586" t="s">
        <v>6635</v>
      </c>
      <c r="N1586" s="61" t="s">
        <v>10878</v>
      </c>
      <c r="O1586">
        <v>131281</v>
      </c>
    </row>
    <row r="1587" spans="1:15" x14ac:dyDescent="0.2">
      <c r="A1587" t="s">
        <v>5233</v>
      </c>
      <c r="B1587" s="61" t="s">
        <v>34</v>
      </c>
      <c r="C1587" s="61" t="s">
        <v>34</v>
      </c>
      <c r="F1587" t="s">
        <v>5233</v>
      </c>
      <c r="G1587" t="s">
        <v>6073</v>
      </c>
      <c r="H1587" t="s">
        <v>34</v>
      </c>
      <c r="I1587" t="s">
        <v>34</v>
      </c>
      <c r="L1587" t="s">
        <v>10879</v>
      </c>
      <c r="N1587" s="61" t="s">
        <v>3784</v>
      </c>
      <c r="O1587">
        <v>58175</v>
      </c>
    </row>
    <row r="1588" spans="1:15" x14ac:dyDescent="0.2">
      <c r="A1588" t="s">
        <v>5234</v>
      </c>
      <c r="B1588" s="61" t="s">
        <v>10880</v>
      </c>
      <c r="C1588" s="61" t="s">
        <v>34</v>
      </c>
      <c r="F1588" t="s">
        <v>5234</v>
      </c>
      <c r="G1588" t="s">
        <v>6073</v>
      </c>
      <c r="I1588" t="s">
        <v>10881</v>
      </c>
      <c r="L1588" t="s">
        <v>10882</v>
      </c>
      <c r="M1588" t="s">
        <v>6078</v>
      </c>
      <c r="N1588" s="61" t="s">
        <v>10883</v>
      </c>
      <c r="O1588">
        <v>58174</v>
      </c>
    </row>
    <row r="1589" spans="1:15" x14ac:dyDescent="0.2">
      <c r="A1589" t="s">
        <v>5235</v>
      </c>
      <c r="B1589" s="61" t="s">
        <v>10884</v>
      </c>
      <c r="C1589" s="61" t="s">
        <v>34</v>
      </c>
      <c r="F1589" t="s">
        <v>5235</v>
      </c>
      <c r="G1589" t="s">
        <v>6073</v>
      </c>
      <c r="I1589" t="s">
        <v>10885</v>
      </c>
      <c r="L1589" t="s">
        <v>10886</v>
      </c>
      <c r="M1589" t="s">
        <v>6078</v>
      </c>
      <c r="N1589" s="61" t="s">
        <v>6100</v>
      </c>
      <c r="O1589">
        <v>58173</v>
      </c>
    </row>
    <row r="1590" spans="1:15" x14ac:dyDescent="0.2">
      <c r="A1590" t="s">
        <v>5236</v>
      </c>
      <c r="B1590" s="61" t="s">
        <v>34</v>
      </c>
      <c r="C1590" s="61" t="s">
        <v>34</v>
      </c>
      <c r="F1590" t="s">
        <v>5236</v>
      </c>
      <c r="G1590" t="s">
        <v>6073</v>
      </c>
      <c r="H1590" t="s">
        <v>34</v>
      </c>
      <c r="I1590" t="s">
        <v>34</v>
      </c>
      <c r="L1590" t="s">
        <v>34</v>
      </c>
      <c r="N1590" s="61" t="s">
        <v>3784</v>
      </c>
      <c r="O1590">
        <v>58395</v>
      </c>
    </row>
    <row r="1591" spans="1:15" x14ac:dyDescent="0.2">
      <c r="A1591" t="s">
        <v>5237</v>
      </c>
      <c r="B1591" s="61" t="s">
        <v>10887</v>
      </c>
      <c r="C1591" s="61" t="s">
        <v>34</v>
      </c>
      <c r="F1591" t="s">
        <v>5237</v>
      </c>
      <c r="G1591" t="s">
        <v>6073</v>
      </c>
      <c r="H1591" t="s">
        <v>34</v>
      </c>
      <c r="I1591" t="s">
        <v>10888</v>
      </c>
      <c r="L1591" t="s">
        <v>10889</v>
      </c>
      <c r="M1591" t="s">
        <v>6078</v>
      </c>
      <c r="N1591" s="61" t="s">
        <v>10890</v>
      </c>
      <c r="O1591">
        <v>58172</v>
      </c>
    </row>
    <row r="1592" spans="1:15" x14ac:dyDescent="0.2">
      <c r="A1592" t="s">
        <v>5238</v>
      </c>
      <c r="B1592" s="61" t="s">
        <v>10891</v>
      </c>
      <c r="C1592" s="61" t="s">
        <v>34</v>
      </c>
      <c r="F1592" t="s">
        <v>5238</v>
      </c>
      <c r="G1592" t="s">
        <v>6073</v>
      </c>
      <c r="I1592" t="s">
        <v>10892</v>
      </c>
      <c r="L1592" t="s">
        <v>10893</v>
      </c>
      <c r="M1592" t="s">
        <v>6078</v>
      </c>
      <c r="N1592" s="61" t="s">
        <v>6215</v>
      </c>
      <c r="O1592">
        <v>58193</v>
      </c>
    </row>
    <row r="1593" spans="1:15" x14ac:dyDescent="0.2">
      <c r="A1593" t="s">
        <v>5239</v>
      </c>
      <c r="B1593" s="61" t="s">
        <v>10894</v>
      </c>
      <c r="C1593" s="61" t="s">
        <v>34</v>
      </c>
      <c r="F1593" t="s">
        <v>5239</v>
      </c>
      <c r="G1593" t="s">
        <v>6073</v>
      </c>
      <c r="J1593" t="s">
        <v>10895</v>
      </c>
      <c r="K1593" t="s">
        <v>10896</v>
      </c>
      <c r="M1593" t="s">
        <v>6078</v>
      </c>
      <c r="N1593" s="61" t="s">
        <v>8793</v>
      </c>
      <c r="O1593">
        <v>64408</v>
      </c>
    </row>
    <row r="1594" spans="1:15" x14ac:dyDescent="0.2">
      <c r="A1594" t="s">
        <v>5240</v>
      </c>
      <c r="B1594" s="61" t="s">
        <v>10897</v>
      </c>
      <c r="C1594" s="61" t="s">
        <v>34</v>
      </c>
      <c r="F1594" t="s">
        <v>5240</v>
      </c>
      <c r="G1594" t="s">
        <v>6073</v>
      </c>
      <c r="H1594" t="s">
        <v>34</v>
      </c>
      <c r="I1594" t="s">
        <v>10898</v>
      </c>
      <c r="L1594" t="s">
        <v>10899</v>
      </c>
      <c r="M1594" t="s">
        <v>6095</v>
      </c>
      <c r="N1594" s="61" t="s">
        <v>6903</v>
      </c>
      <c r="O1594">
        <v>58195</v>
      </c>
    </row>
    <row r="1595" spans="1:15" x14ac:dyDescent="0.2">
      <c r="A1595" t="s">
        <v>5241</v>
      </c>
      <c r="B1595" s="61" t="s">
        <v>10900</v>
      </c>
      <c r="C1595" s="61" t="s">
        <v>34</v>
      </c>
      <c r="F1595" t="s">
        <v>5241</v>
      </c>
      <c r="G1595" t="s">
        <v>6073</v>
      </c>
      <c r="I1595" t="s">
        <v>10901</v>
      </c>
      <c r="L1595" t="s">
        <v>10902</v>
      </c>
      <c r="M1595" t="s">
        <v>6078</v>
      </c>
      <c r="N1595" s="61" t="s">
        <v>10903</v>
      </c>
      <c r="O1595">
        <v>58218</v>
      </c>
    </row>
    <row r="1596" spans="1:15" x14ac:dyDescent="0.2">
      <c r="A1596" t="s">
        <v>5242</v>
      </c>
      <c r="B1596" s="61" t="s">
        <v>10904</v>
      </c>
      <c r="C1596" s="61" t="s">
        <v>34</v>
      </c>
      <c r="F1596" t="s">
        <v>5242</v>
      </c>
      <c r="G1596" t="s">
        <v>6073</v>
      </c>
      <c r="I1596" t="s">
        <v>10905</v>
      </c>
      <c r="L1596" t="s">
        <v>10906</v>
      </c>
      <c r="M1596" t="s">
        <v>6240</v>
      </c>
      <c r="N1596" s="61" t="s">
        <v>10907</v>
      </c>
      <c r="O1596">
        <v>58196</v>
      </c>
    </row>
    <row r="1597" spans="1:15" x14ac:dyDescent="0.2">
      <c r="A1597" t="s">
        <v>5243</v>
      </c>
      <c r="B1597" s="61" t="s">
        <v>34</v>
      </c>
      <c r="C1597" s="61" t="s">
        <v>34</v>
      </c>
      <c r="F1597" t="s">
        <v>5243</v>
      </c>
      <c r="G1597" t="s">
        <v>6073</v>
      </c>
      <c r="H1597" t="s">
        <v>34</v>
      </c>
      <c r="I1597" t="s">
        <v>34</v>
      </c>
      <c r="L1597" t="s">
        <v>34</v>
      </c>
      <c r="N1597" s="61" t="s">
        <v>3784</v>
      </c>
      <c r="O1597">
        <v>58216</v>
      </c>
    </row>
    <row r="1598" spans="1:15" x14ac:dyDescent="0.2">
      <c r="A1598" t="s">
        <v>5243</v>
      </c>
      <c r="B1598" s="61" t="s">
        <v>10908</v>
      </c>
      <c r="C1598" s="61" t="s">
        <v>34</v>
      </c>
      <c r="F1598" t="s">
        <v>5243</v>
      </c>
      <c r="G1598" t="s">
        <v>6073</v>
      </c>
      <c r="H1598" t="s">
        <v>34</v>
      </c>
      <c r="I1598" t="s">
        <v>34</v>
      </c>
      <c r="L1598" t="s">
        <v>34</v>
      </c>
      <c r="M1598" t="s">
        <v>6635</v>
      </c>
      <c r="N1598" s="61" t="s">
        <v>10500</v>
      </c>
      <c r="O1598">
        <v>58217</v>
      </c>
    </row>
    <row r="1599" spans="1:15" x14ac:dyDescent="0.2">
      <c r="A1599" t="s">
        <v>5244</v>
      </c>
      <c r="B1599" s="61" t="s">
        <v>10909</v>
      </c>
      <c r="C1599" s="61" t="s">
        <v>34</v>
      </c>
      <c r="F1599" t="s">
        <v>5244</v>
      </c>
      <c r="G1599" t="s">
        <v>6073</v>
      </c>
      <c r="I1599" t="s">
        <v>10910</v>
      </c>
      <c r="L1599" t="s">
        <v>10911</v>
      </c>
      <c r="M1599" t="s">
        <v>6078</v>
      </c>
      <c r="N1599" s="61" t="s">
        <v>6977</v>
      </c>
      <c r="O1599">
        <v>58215</v>
      </c>
    </row>
    <row r="1600" spans="1:15" x14ac:dyDescent="0.2">
      <c r="A1600" t="s">
        <v>5245</v>
      </c>
      <c r="B1600" s="61" t="s">
        <v>10912</v>
      </c>
      <c r="C1600" s="61" t="s">
        <v>34</v>
      </c>
      <c r="F1600" t="s">
        <v>5245</v>
      </c>
      <c r="G1600" t="s">
        <v>6073</v>
      </c>
      <c r="I1600" t="s">
        <v>10913</v>
      </c>
      <c r="L1600" t="s">
        <v>10914</v>
      </c>
      <c r="M1600" t="s">
        <v>6078</v>
      </c>
      <c r="N1600" s="61" t="s">
        <v>6977</v>
      </c>
      <c r="O1600">
        <v>58214</v>
      </c>
    </row>
    <row r="1601" spans="1:15" x14ac:dyDescent="0.2">
      <c r="A1601" t="s">
        <v>5246</v>
      </c>
      <c r="B1601" s="61" t="s">
        <v>10915</v>
      </c>
      <c r="C1601" s="61" t="s">
        <v>34</v>
      </c>
      <c r="F1601" t="s">
        <v>5246</v>
      </c>
      <c r="G1601" t="s">
        <v>6073</v>
      </c>
      <c r="L1601" t="s">
        <v>10916</v>
      </c>
      <c r="M1601" t="s">
        <v>6078</v>
      </c>
      <c r="N1601" s="61" t="s">
        <v>6577</v>
      </c>
      <c r="O1601">
        <v>58213</v>
      </c>
    </row>
    <row r="1602" spans="1:15" x14ac:dyDescent="0.2">
      <c r="A1602" t="s">
        <v>5247</v>
      </c>
      <c r="B1602" s="61" t="s">
        <v>10917</v>
      </c>
      <c r="C1602" s="61" t="s">
        <v>10918</v>
      </c>
      <c r="F1602" t="s">
        <v>5247</v>
      </c>
      <c r="G1602" t="s">
        <v>6073</v>
      </c>
      <c r="L1602" t="s">
        <v>10919</v>
      </c>
      <c r="M1602" t="s">
        <v>6078</v>
      </c>
      <c r="N1602" s="61" t="s">
        <v>7882</v>
      </c>
      <c r="O1602">
        <v>126076</v>
      </c>
    </row>
    <row r="1603" spans="1:15" x14ac:dyDescent="0.2">
      <c r="A1603" t="s">
        <v>5248</v>
      </c>
      <c r="B1603" s="61" t="s">
        <v>10920</v>
      </c>
      <c r="C1603" s="61" t="s">
        <v>34</v>
      </c>
      <c r="F1603" t="s">
        <v>5248</v>
      </c>
      <c r="G1603" t="s">
        <v>6073</v>
      </c>
      <c r="H1603" t="s">
        <v>10921</v>
      </c>
      <c r="L1603" t="s">
        <v>10922</v>
      </c>
      <c r="M1603" t="s">
        <v>6686</v>
      </c>
      <c r="N1603" s="61" t="s">
        <v>10923</v>
      </c>
      <c r="O1603">
        <v>88082</v>
      </c>
    </row>
    <row r="1604" spans="1:15" x14ac:dyDescent="0.2">
      <c r="A1604" t="s">
        <v>5249</v>
      </c>
      <c r="B1604" s="61" t="s">
        <v>10924</v>
      </c>
      <c r="C1604" s="61" t="s">
        <v>34</v>
      </c>
      <c r="F1604" t="s">
        <v>5249</v>
      </c>
      <c r="G1604" t="s">
        <v>6073</v>
      </c>
      <c r="H1604" t="s">
        <v>34</v>
      </c>
      <c r="I1604" t="s">
        <v>34</v>
      </c>
      <c r="L1604" t="s">
        <v>34</v>
      </c>
      <c r="M1604" t="s">
        <v>6104</v>
      </c>
      <c r="N1604" s="61" t="s">
        <v>10925</v>
      </c>
      <c r="O1604">
        <v>58212</v>
      </c>
    </row>
    <row r="1605" spans="1:15" x14ac:dyDescent="0.2">
      <c r="A1605" t="s">
        <v>5250</v>
      </c>
      <c r="B1605" s="61" t="s">
        <v>10926</v>
      </c>
      <c r="C1605" s="61" t="s">
        <v>34</v>
      </c>
      <c r="F1605" t="s">
        <v>5250</v>
      </c>
      <c r="G1605" t="s">
        <v>6073</v>
      </c>
      <c r="L1605" t="s">
        <v>10927</v>
      </c>
      <c r="M1605" t="s">
        <v>6078</v>
      </c>
      <c r="N1605" s="61" t="s">
        <v>6215</v>
      </c>
      <c r="O1605">
        <v>57946</v>
      </c>
    </row>
    <row r="1606" spans="1:15" x14ac:dyDescent="0.2">
      <c r="A1606" t="s">
        <v>5251</v>
      </c>
      <c r="B1606" s="61" t="s">
        <v>10127</v>
      </c>
      <c r="C1606" s="61" t="s">
        <v>34</v>
      </c>
      <c r="F1606" t="s">
        <v>5251</v>
      </c>
      <c r="G1606" t="s">
        <v>6073</v>
      </c>
      <c r="H1606" t="s">
        <v>34</v>
      </c>
      <c r="I1606" t="s">
        <v>34</v>
      </c>
      <c r="L1606" t="s">
        <v>34</v>
      </c>
      <c r="M1606" t="s">
        <v>6266</v>
      </c>
      <c r="N1606" s="61" t="s">
        <v>6830</v>
      </c>
      <c r="O1606">
        <v>58394</v>
      </c>
    </row>
    <row r="1607" spans="1:15" x14ac:dyDescent="0.2">
      <c r="A1607" t="s">
        <v>5252</v>
      </c>
      <c r="B1607" s="61" t="s">
        <v>10928</v>
      </c>
      <c r="C1607" s="61" t="s">
        <v>34</v>
      </c>
      <c r="F1607" t="s">
        <v>5252</v>
      </c>
      <c r="G1607" t="s">
        <v>6073</v>
      </c>
      <c r="H1607" t="s">
        <v>34</v>
      </c>
      <c r="I1607" t="s">
        <v>34</v>
      </c>
      <c r="L1607" t="s">
        <v>10929</v>
      </c>
      <c r="M1607" t="s">
        <v>6078</v>
      </c>
      <c r="N1607" s="61" t="s">
        <v>10780</v>
      </c>
      <c r="O1607">
        <v>58210</v>
      </c>
    </row>
    <row r="1608" spans="1:15" x14ac:dyDescent="0.2">
      <c r="A1608" t="s">
        <v>5253</v>
      </c>
      <c r="B1608" s="61" t="s">
        <v>10930</v>
      </c>
      <c r="C1608" s="61" t="s">
        <v>34</v>
      </c>
      <c r="F1608" t="s">
        <v>5253</v>
      </c>
      <c r="G1608" t="s">
        <v>6073</v>
      </c>
      <c r="L1608" t="s">
        <v>10931</v>
      </c>
      <c r="M1608" t="s">
        <v>6078</v>
      </c>
      <c r="N1608" s="61" t="s">
        <v>6231</v>
      </c>
      <c r="O1608">
        <v>119990</v>
      </c>
    </row>
    <row r="1609" spans="1:15" x14ac:dyDescent="0.2">
      <c r="A1609" t="s">
        <v>542</v>
      </c>
      <c r="B1609" s="61" t="s">
        <v>10932</v>
      </c>
      <c r="C1609" s="61" t="s">
        <v>34</v>
      </c>
      <c r="F1609" t="s">
        <v>542</v>
      </c>
      <c r="G1609" t="s">
        <v>6073</v>
      </c>
      <c r="I1609" t="s">
        <v>10933</v>
      </c>
      <c r="L1609" t="s">
        <v>10934</v>
      </c>
      <c r="M1609" t="s">
        <v>6078</v>
      </c>
      <c r="N1609" s="61" t="s">
        <v>9274</v>
      </c>
      <c r="O1609">
        <v>58209</v>
      </c>
    </row>
    <row r="1610" spans="1:15" x14ac:dyDescent="0.2">
      <c r="A1610" t="s">
        <v>5254</v>
      </c>
      <c r="B1610" s="61" t="s">
        <v>10935</v>
      </c>
      <c r="C1610" s="61" t="s">
        <v>34</v>
      </c>
      <c r="F1610" t="s">
        <v>5254</v>
      </c>
      <c r="G1610" t="s">
        <v>6073</v>
      </c>
      <c r="I1610" t="s">
        <v>10936</v>
      </c>
      <c r="L1610" t="s">
        <v>10937</v>
      </c>
      <c r="M1610" t="s">
        <v>6078</v>
      </c>
      <c r="N1610" s="61" t="s">
        <v>6314</v>
      </c>
      <c r="O1610">
        <v>57525</v>
      </c>
    </row>
    <row r="1611" spans="1:15" x14ac:dyDescent="0.2">
      <c r="A1611" t="s">
        <v>5255</v>
      </c>
      <c r="B1611" s="61" t="s">
        <v>10938</v>
      </c>
      <c r="C1611" s="61" t="s">
        <v>34</v>
      </c>
      <c r="F1611" t="s">
        <v>5255</v>
      </c>
      <c r="G1611" t="s">
        <v>6073</v>
      </c>
      <c r="H1611" t="s">
        <v>34</v>
      </c>
      <c r="I1611" t="s">
        <v>10939</v>
      </c>
      <c r="L1611" t="s">
        <v>10940</v>
      </c>
      <c r="M1611" t="s">
        <v>6078</v>
      </c>
      <c r="N1611" s="61" t="s">
        <v>10941</v>
      </c>
      <c r="O1611">
        <v>58208</v>
      </c>
    </row>
    <row r="1612" spans="1:15" x14ac:dyDescent="0.2">
      <c r="A1612" t="s">
        <v>5256</v>
      </c>
      <c r="B1612" s="61" t="s">
        <v>10942</v>
      </c>
      <c r="C1612" s="61" t="s">
        <v>34</v>
      </c>
      <c r="F1612" t="s">
        <v>5256</v>
      </c>
      <c r="G1612" t="s">
        <v>6073</v>
      </c>
      <c r="H1612" t="s">
        <v>34</v>
      </c>
      <c r="I1612" t="s">
        <v>34</v>
      </c>
      <c r="L1612" t="s">
        <v>10943</v>
      </c>
      <c r="M1612" t="s">
        <v>6078</v>
      </c>
      <c r="N1612" s="61" t="s">
        <v>6211</v>
      </c>
      <c r="O1612">
        <v>58207</v>
      </c>
    </row>
    <row r="1613" spans="1:15" x14ac:dyDescent="0.2">
      <c r="A1613" t="s">
        <v>5257</v>
      </c>
      <c r="B1613" s="61" t="s">
        <v>10944</v>
      </c>
      <c r="C1613" s="61" t="s">
        <v>34</v>
      </c>
      <c r="F1613" t="s">
        <v>5257</v>
      </c>
      <c r="G1613" t="s">
        <v>6073</v>
      </c>
      <c r="I1613" t="s">
        <v>10945</v>
      </c>
      <c r="L1613" t="s">
        <v>10946</v>
      </c>
      <c r="M1613" t="s">
        <v>6078</v>
      </c>
      <c r="N1613" s="61" t="s">
        <v>6977</v>
      </c>
      <c r="O1613">
        <v>58206</v>
      </c>
    </row>
    <row r="1614" spans="1:15" x14ac:dyDescent="0.2">
      <c r="A1614" t="s">
        <v>5258</v>
      </c>
      <c r="B1614" s="61" t="s">
        <v>6703</v>
      </c>
      <c r="C1614" s="61" t="s">
        <v>34</v>
      </c>
      <c r="F1614" t="s">
        <v>5258</v>
      </c>
      <c r="G1614" t="s">
        <v>6073</v>
      </c>
      <c r="H1614" t="s">
        <v>34</v>
      </c>
      <c r="I1614" t="s">
        <v>10947</v>
      </c>
      <c r="L1614" t="s">
        <v>10948</v>
      </c>
      <c r="M1614" t="s">
        <v>6078</v>
      </c>
      <c r="N1614" s="61" t="s">
        <v>6314</v>
      </c>
      <c r="O1614">
        <v>58205</v>
      </c>
    </row>
    <row r="1615" spans="1:15" x14ac:dyDescent="0.2">
      <c r="A1615" t="s">
        <v>5259</v>
      </c>
      <c r="B1615" s="61" t="s">
        <v>10949</v>
      </c>
      <c r="C1615" s="61" t="s">
        <v>34</v>
      </c>
      <c r="F1615" t="s">
        <v>5259</v>
      </c>
      <c r="G1615" t="s">
        <v>6073</v>
      </c>
      <c r="H1615" t="s">
        <v>34</v>
      </c>
      <c r="I1615" t="s">
        <v>34</v>
      </c>
      <c r="L1615" t="s">
        <v>10950</v>
      </c>
      <c r="M1615" t="s">
        <v>6078</v>
      </c>
      <c r="N1615" s="61" t="s">
        <v>6083</v>
      </c>
      <c r="O1615">
        <v>58204</v>
      </c>
    </row>
    <row r="1616" spans="1:15" x14ac:dyDescent="0.2">
      <c r="A1616" t="s">
        <v>5260</v>
      </c>
      <c r="B1616" s="61" t="s">
        <v>10951</v>
      </c>
      <c r="C1616" s="61" t="s">
        <v>34</v>
      </c>
      <c r="F1616" t="s">
        <v>5260</v>
      </c>
      <c r="G1616" t="s">
        <v>6073</v>
      </c>
      <c r="H1616" t="s">
        <v>34</v>
      </c>
      <c r="I1616" t="s">
        <v>10952</v>
      </c>
      <c r="L1616" t="s">
        <v>10953</v>
      </c>
      <c r="M1616" t="s">
        <v>6078</v>
      </c>
      <c r="N1616" s="61" t="s">
        <v>6438</v>
      </c>
      <c r="O1616">
        <v>58203</v>
      </c>
    </row>
    <row r="1617" spans="1:15" x14ac:dyDescent="0.2">
      <c r="A1617" t="s">
        <v>5261</v>
      </c>
      <c r="B1617" s="61" t="s">
        <v>10954</v>
      </c>
      <c r="C1617" s="61" t="s">
        <v>34</v>
      </c>
      <c r="F1617" t="s">
        <v>5261</v>
      </c>
      <c r="G1617" t="s">
        <v>6073</v>
      </c>
      <c r="L1617" t="s">
        <v>10955</v>
      </c>
      <c r="M1617" t="s">
        <v>6078</v>
      </c>
      <c r="N1617" s="61" t="s">
        <v>6211</v>
      </c>
      <c r="O1617">
        <v>119285</v>
      </c>
    </row>
    <row r="1618" spans="1:15" x14ac:dyDescent="0.2">
      <c r="A1618" t="s">
        <v>5262</v>
      </c>
      <c r="B1618" s="61" t="s">
        <v>10956</v>
      </c>
      <c r="C1618" s="61" t="s">
        <v>34</v>
      </c>
      <c r="F1618" t="s">
        <v>5262</v>
      </c>
      <c r="G1618" t="s">
        <v>6073</v>
      </c>
      <c r="I1618" t="s">
        <v>10957</v>
      </c>
      <c r="L1618" t="s">
        <v>10958</v>
      </c>
      <c r="M1618" t="s">
        <v>6078</v>
      </c>
      <c r="N1618" s="61" t="s">
        <v>10959</v>
      </c>
      <c r="O1618">
        <v>58202</v>
      </c>
    </row>
    <row r="1619" spans="1:15" x14ac:dyDescent="0.2">
      <c r="A1619" t="s">
        <v>5263</v>
      </c>
      <c r="B1619" s="61" t="s">
        <v>10960</v>
      </c>
      <c r="C1619" s="61" t="s">
        <v>34</v>
      </c>
      <c r="F1619" t="s">
        <v>5263</v>
      </c>
      <c r="G1619" t="s">
        <v>6073</v>
      </c>
      <c r="H1619" t="s">
        <v>34</v>
      </c>
      <c r="I1619" t="s">
        <v>34</v>
      </c>
      <c r="L1619" t="s">
        <v>10961</v>
      </c>
      <c r="M1619" t="s">
        <v>6078</v>
      </c>
      <c r="N1619" s="61" t="s">
        <v>8158</v>
      </c>
      <c r="O1619">
        <v>58201</v>
      </c>
    </row>
    <row r="1620" spans="1:15" x14ac:dyDescent="0.2">
      <c r="A1620" t="s">
        <v>5264</v>
      </c>
      <c r="B1620" s="61" t="s">
        <v>10962</v>
      </c>
      <c r="C1620" s="61" t="s">
        <v>34</v>
      </c>
      <c r="F1620" t="s">
        <v>5264</v>
      </c>
      <c r="G1620" t="s">
        <v>6073</v>
      </c>
      <c r="L1620" t="s">
        <v>10963</v>
      </c>
      <c r="M1620" t="s">
        <v>6078</v>
      </c>
      <c r="N1620" s="61" t="s">
        <v>6438</v>
      </c>
      <c r="O1620">
        <v>58200</v>
      </c>
    </row>
    <row r="1621" spans="1:15" x14ac:dyDescent="0.2">
      <c r="A1621" t="s">
        <v>5265</v>
      </c>
      <c r="B1621" s="61" t="s">
        <v>10964</v>
      </c>
      <c r="C1621" s="61" t="s">
        <v>34</v>
      </c>
      <c r="F1621" t="s">
        <v>5265</v>
      </c>
      <c r="G1621" t="s">
        <v>6073</v>
      </c>
      <c r="H1621" t="s">
        <v>34</v>
      </c>
      <c r="I1621" t="s">
        <v>34</v>
      </c>
      <c r="L1621" t="s">
        <v>10965</v>
      </c>
      <c r="M1621" t="s">
        <v>6095</v>
      </c>
      <c r="N1621" s="61" t="s">
        <v>10966</v>
      </c>
      <c r="O1621">
        <v>58199</v>
      </c>
    </row>
    <row r="1622" spans="1:15" x14ac:dyDescent="0.2">
      <c r="A1622" t="s">
        <v>5266</v>
      </c>
      <c r="B1622" s="61" t="s">
        <v>10967</v>
      </c>
      <c r="C1622" s="61" t="s">
        <v>34</v>
      </c>
      <c r="F1622" t="s">
        <v>5266</v>
      </c>
      <c r="G1622" t="s">
        <v>6073</v>
      </c>
      <c r="H1622" t="s">
        <v>10968</v>
      </c>
      <c r="I1622" t="s">
        <v>10969</v>
      </c>
      <c r="L1622" t="s">
        <v>10970</v>
      </c>
      <c r="M1622" t="s">
        <v>6188</v>
      </c>
      <c r="N1622" s="61" t="s">
        <v>10971</v>
      </c>
      <c r="O1622">
        <v>58198</v>
      </c>
    </row>
    <row r="1623" spans="1:15" x14ac:dyDescent="0.2">
      <c r="A1623" t="s">
        <v>5267</v>
      </c>
      <c r="B1623" s="61" t="s">
        <v>10972</v>
      </c>
      <c r="C1623" s="61" t="s">
        <v>34</v>
      </c>
      <c r="F1623" t="s">
        <v>5267</v>
      </c>
      <c r="G1623" t="s">
        <v>6073</v>
      </c>
      <c r="H1623" t="s">
        <v>34</v>
      </c>
      <c r="I1623" t="s">
        <v>34</v>
      </c>
      <c r="L1623" t="s">
        <v>10973</v>
      </c>
      <c r="M1623" t="s">
        <v>6078</v>
      </c>
      <c r="N1623" s="61" t="s">
        <v>6164</v>
      </c>
      <c r="O1623">
        <v>58197</v>
      </c>
    </row>
    <row r="1624" spans="1:15" x14ac:dyDescent="0.2">
      <c r="A1624" t="s">
        <v>5268</v>
      </c>
      <c r="B1624" s="61" t="s">
        <v>10974</v>
      </c>
      <c r="C1624" s="61" t="s">
        <v>34</v>
      </c>
      <c r="F1624" t="s">
        <v>5268</v>
      </c>
      <c r="G1624" t="s">
        <v>6073</v>
      </c>
      <c r="H1624" t="s">
        <v>34</v>
      </c>
      <c r="I1624" t="s">
        <v>10975</v>
      </c>
      <c r="L1624" t="s">
        <v>10976</v>
      </c>
      <c r="M1624" t="s">
        <v>6346</v>
      </c>
      <c r="N1624" s="61" t="s">
        <v>10977</v>
      </c>
      <c r="O1624">
        <v>58257</v>
      </c>
    </row>
    <row r="1625" spans="1:15" x14ac:dyDescent="0.2">
      <c r="A1625" t="s">
        <v>5269</v>
      </c>
      <c r="B1625" s="61" t="s">
        <v>10978</v>
      </c>
      <c r="C1625" s="61" t="s">
        <v>34</v>
      </c>
      <c r="F1625" t="s">
        <v>5269</v>
      </c>
      <c r="G1625" t="s">
        <v>6073</v>
      </c>
      <c r="H1625" t="s">
        <v>10979</v>
      </c>
      <c r="I1625" t="s">
        <v>10980</v>
      </c>
      <c r="L1625" t="s">
        <v>10981</v>
      </c>
      <c r="M1625" t="s">
        <v>6078</v>
      </c>
      <c r="N1625" s="61" t="s">
        <v>10982</v>
      </c>
      <c r="O1625">
        <v>58270</v>
      </c>
    </row>
    <row r="1626" spans="1:15" x14ac:dyDescent="0.2">
      <c r="A1626" t="s">
        <v>5270</v>
      </c>
      <c r="B1626" s="61" t="s">
        <v>10983</v>
      </c>
      <c r="C1626" s="61" t="s">
        <v>34</v>
      </c>
      <c r="F1626" t="s">
        <v>5270</v>
      </c>
      <c r="G1626" t="s">
        <v>6073</v>
      </c>
      <c r="H1626" t="s">
        <v>34</v>
      </c>
      <c r="I1626" t="s">
        <v>10984</v>
      </c>
      <c r="L1626" t="s">
        <v>10985</v>
      </c>
      <c r="M1626" t="s">
        <v>6078</v>
      </c>
      <c r="N1626" s="61" t="s">
        <v>6231</v>
      </c>
      <c r="O1626">
        <v>58271</v>
      </c>
    </row>
    <row r="1627" spans="1:15" x14ac:dyDescent="0.2">
      <c r="A1627" t="s">
        <v>5271</v>
      </c>
      <c r="B1627" s="61" t="s">
        <v>10986</v>
      </c>
      <c r="C1627" s="61" t="s">
        <v>34</v>
      </c>
      <c r="F1627" t="s">
        <v>5271</v>
      </c>
      <c r="G1627" t="s">
        <v>6073</v>
      </c>
      <c r="H1627" t="s">
        <v>34</v>
      </c>
      <c r="I1627" t="s">
        <v>34</v>
      </c>
      <c r="L1627" t="s">
        <v>34</v>
      </c>
      <c r="M1627" t="s">
        <v>6078</v>
      </c>
      <c r="N1627" s="61" t="s">
        <v>6386</v>
      </c>
      <c r="O1627">
        <v>58393</v>
      </c>
    </row>
    <row r="1628" spans="1:15" x14ac:dyDescent="0.2">
      <c r="A1628" t="s">
        <v>5272</v>
      </c>
      <c r="B1628" s="61" t="s">
        <v>10987</v>
      </c>
      <c r="C1628" s="61" t="s">
        <v>34</v>
      </c>
      <c r="F1628" t="s">
        <v>5272</v>
      </c>
      <c r="G1628" t="s">
        <v>6073</v>
      </c>
      <c r="H1628" t="s">
        <v>34</v>
      </c>
      <c r="I1628" t="s">
        <v>10988</v>
      </c>
      <c r="L1628" t="s">
        <v>10989</v>
      </c>
      <c r="M1628" t="s">
        <v>6078</v>
      </c>
      <c r="N1628" s="61" t="s">
        <v>6211</v>
      </c>
      <c r="O1628">
        <v>58272</v>
      </c>
    </row>
    <row r="1629" spans="1:15" x14ac:dyDescent="0.2">
      <c r="A1629" t="s">
        <v>5273</v>
      </c>
      <c r="B1629" s="61" t="s">
        <v>10990</v>
      </c>
      <c r="C1629" s="61" t="s">
        <v>34</v>
      </c>
      <c r="F1629" t="s">
        <v>5273</v>
      </c>
      <c r="G1629" t="s">
        <v>6073</v>
      </c>
      <c r="H1629" t="s">
        <v>34</v>
      </c>
      <c r="I1629" t="s">
        <v>34</v>
      </c>
      <c r="L1629" t="s">
        <v>10991</v>
      </c>
      <c r="M1629" t="s">
        <v>6078</v>
      </c>
      <c r="N1629" s="61" t="s">
        <v>6438</v>
      </c>
      <c r="O1629">
        <v>58273</v>
      </c>
    </row>
    <row r="1630" spans="1:15" x14ac:dyDescent="0.2">
      <c r="A1630" t="s">
        <v>5274</v>
      </c>
      <c r="B1630" s="61" t="s">
        <v>10992</v>
      </c>
      <c r="C1630" s="61" t="s">
        <v>34</v>
      </c>
      <c r="F1630" t="s">
        <v>5274</v>
      </c>
      <c r="G1630" t="s">
        <v>6073</v>
      </c>
      <c r="H1630" t="s">
        <v>10993</v>
      </c>
      <c r="I1630" t="s">
        <v>10994</v>
      </c>
      <c r="J1630" t="s">
        <v>10995</v>
      </c>
      <c r="K1630" t="s">
        <v>10996</v>
      </c>
      <c r="L1630" t="s">
        <v>10997</v>
      </c>
      <c r="M1630" t="s">
        <v>6095</v>
      </c>
      <c r="N1630" s="61" t="s">
        <v>10998</v>
      </c>
      <c r="O1630">
        <v>58274</v>
      </c>
    </row>
    <row r="1631" spans="1:15" x14ac:dyDescent="0.2">
      <c r="A1631" t="s">
        <v>5275</v>
      </c>
      <c r="B1631" s="61" t="s">
        <v>10999</v>
      </c>
      <c r="C1631" s="61" t="s">
        <v>34</v>
      </c>
      <c r="F1631" t="s">
        <v>5275</v>
      </c>
      <c r="G1631" t="s">
        <v>6073</v>
      </c>
      <c r="I1631" t="s">
        <v>11000</v>
      </c>
      <c r="L1631" t="s">
        <v>11001</v>
      </c>
      <c r="M1631" t="s">
        <v>6078</v>
      </c>
      <c r="N1631" s="61" t="s">
        <v>6159</v>
      </c>
      <c r="O1631">
        <v>58275</v>
      </c>
    </row>
    <row r="1632" spans="1:15" x14ac:dyDescent="0.2">
      <c r="A1632" t="s">
        <v>5276</v>
      </c>
      <c r="B1632" s="61" t="s">
        <v>11002</v>
      </c>
      <c r="C1632" s="61" t="s">
        <v>34</v>
      </c>
      <c r="F1632" t="s">
        <v>5276</v>
      </c>
      <c r="G1632" t="s">
        <v>6073</v>
      </c>
      <c r="H1632" t="s">
        <v>34</v>
      </c>
      <c r="I1632" t="s">
        <v>34</v>
      </c>
      <c r="L1632" t="s">
        <v>11003</v>
      </c>
      <c r="M1632" t="s">
        <v>6148</v>
      </c>
      <c r="N1632" s="61" t="s">
        <v>11004</v>
      </c>
      <c r="O1632">
        <v>58276</v>
      </c>
    </row>
    <row r="1633" spans="1:15" x14ac:dyDescent="0.2">
      <c r="A1633" t="s">
        <v>5277</v>
      </c>
      <c r="B1633" s="61" t="s">
        <v>11005</v>
      </c>
      <c r="C1633" s="61" t="s">
        <v>34</v>
      </c>
      <c r="F1633" t="s">
        <v>5277</v>
      </c>
      <c r="G1633" t="s">
        <v>6073</v>
      </c>
      <c r="H1633" t="s">
        <v>34</v>
      </c>
      <c r="I1633" t="s">
        <v>34</v>
      </c>
      <c r="L1633" t="s">
        <v>11006</v>
      </c>
      <c r="M1633" t="s">
        <v>6078</v>
      </c>
      <c r="N1633" s="61" t="s">
        <v>10271</v>
      </c>
      <c r="O1633">
        <v>58277</v>
      </c>
    </row>
    <row r="1634" spans="1:15" x14ac:dyDescent="0.2">
      <c r="A1634" t="s">
        <v>5278</v>
      </c>
      <c r="B1634" s="61" t="s">
        <v>11007</v>
      </c>
      <c r="C1634" s="61" t="s">
        <v>34</v>
      </c>
      <c r="F1634" t="s">
        <v>5278</v>
      </c>
      <c r="G1634" t="s">
        <v>6073</v>
      </c>
      <c r="H1634" t="s">
        <v>11008</v>
      </c>
      <c r="J1634" t="s">
        <v>7659</v>
      </c>
      <c r="K1634" t="s">
        <v>11009</v>
      </c>
      <c r="L1634" t="s">
        <v>11010</v>
      </c>
      <c r="M1634" t="s">
        <v>6078</v>
      </c>
      <c r="N1634" s="61" t="s">
        <v>9069</v>
      </c>
      <c r="O1634">
        <v>115805</v>
      </c>
    </row>
    <row r="1635" spans="1:15" x14ac:dyDescent="0.2">
      <c r="A1635" t="s">
        <v>5279</v>
      </c>
      <c r="B1635" s="61" t="s">
        <v>11011</v>
      </c>
      <c r="C1635" s="61" t="s">
        <v>34</v>
      </c>
      <c r="F1635" t="s">
        <v>5279</v>
      </c>
      <c r="G1635" t="s">
        <v>6073</v>
      </c>
      <c r="H1635" t="s">
        <v>11012</v>
      </c>
      <c r="J1635" t="s">
        <v>7355</v>
      </c>
      <c r="K1635" t="s">
        <v>7522</v>
      </c>
      <c r="L1635" t="s">
        <v>11013</v>
      </c>
      <c r="M1635" t="s">
        <v>6078</v>
      </c>
      <c r="N1635" s="61" t="s">
        <v>11014</v>
      </c>
      <c r="O1635">
        <v>125350</v>
      </c>
    </row>
    <row r="1636" spans="1:15" x14ac:dyDescent="0.2">
      <c r="A1636" t="s">
        <v>5280</v>
      </c>
      <c r="B1636" s="61" t="s">
        <v>11015</v>
      </c>
      <c r="C1636" s="61" t="s">
        <v>34</v>
      </c>
      <c r="F1636" t="s">
        <v>5280</v>
      </c>
      <c r="G1636" t="s">
        <v>6073</v>
      </c>
      <c r="H1636" t="s">
        <v>11016</v>
      </c>
      <c r="J1636" t="s">
        <v>11017</v>
      </c>
      <c r="K1636" t="s">
        <v>10115</v>
      </c>
      <c r="L1636" t="s">
        <v>11018</v>
      </c>
      <c r="M1636" t="s">
        <v>6078</v>
      </c>
      <c r="N1636" s="61" t="s">
        <v>6231</v>
      </c>
      <c r="O1636">
        <v>119976</v>
      </c>
    </row>
    <row r="1637" spans="1:15" x14ac:dyDescent="0.2">
      <c r="A1637" t="s">
        <v>5281</v>
      </c>
      <c r="B1637" s="61" t="s">
        <v>11019</v>
      </c>
      <c r="C1637" s="61" t="s">
        <v>34</v>
      </c>
      <c r="F1637" t="s">
        <v>5281</v>
      </c>
      <c r="G1637" t="s">
        <v>6073</v>
      </c>
      <c r="H1637" t="s">
        <v>11020</v>
      </c>
      <c r="L1637" t="s">
        <v>11021</v>
      </c>
      <c r="M1637" t="s">
        <v>6078</v>
      </c>
      <c r="N1637" s="61" t="s">
        <v>6114</v>
      </c>
      <c r="O1637">
        <v>117321</v>
      </c>
    </row>
    <row r="1638" spans="1:15" x14ac:dyDescent="0.2">
      <c r="A1638" t="s">
        <v>5282</v>
      </c>
      <c r="B1638" s="61" t="s">
        <v>11022</v>
      </c>
      <c r="C1638" s="61" t="s">
        <v>34</v>
      </c>
      <c r="F1638" t="s">
        <v>5282</v>
      </c>
      <c r="G1638" t="s">
        <v>6073</v>
      </c>
      <c r="H1638" t="s">
        <v>11023</v>
      </c>
      <c r="J1638" t="s">
        <v>11024</v>
      </c>
      <c r="K1638" t="s">
        <v>11025</v>
      </c>
      <c r="L1638" t="s">
        <v>11026</v>
      </c>
      <c r="M1638" t="s">
        <v>6078</v>
      </c>
      <c r="N1638" s="61" t="s">
        <v>6128</v>
      </c>
      <c r="O1638">
        <v>119870</v>
      </c>
    </row>
    <row r="1639" spans="1:15" x14ac:dyDescent="0.2">
      <c r="A1639" t="s">
        <v>5283</v>
      </c>
      <c r="B1639" s="61" t="s">
        <v>11027</v>
      </c>
      <c r="C1639" s="61" t="s">
        <v>34</v>
      </c>
      <c r="F1639" t="s">
        <v>5283</v>
      </c>
      <c r="G1639" t="s">
        <v>6073</v>
      </c>
      <c r="H1639" t="s">
        <v>11028</v>
      </c>
      <c r="L1639" t="s">
        <v>11029</v>
      </c>
      <c r="M1639" t="s">
        <v>6078</v>
      </c>
      <c r="N1639" s="61" t="s">
        <v>6568</v>
      </c>
      <c r="O1639">
        <v>65191</v>
      </c>
    </row>
    <row r="1640" spans="1:15" x14ac:dyDescent="0.2">
      <c r="A1640" t="s">
        <v>5284</v>
      </c>
      <c r="B1640" s="61" t="s">
        <v>11030</v>
      </c>
      <c r="C1640" s="61" t="s">
        <v>34</v>
      </c>
      <c r="F1640" t="s">
        <v>5284</v>
      </c>
      <c r="G1640" t="s">
        <v>6073</v>
      </c>
      <c r="H1640" t="s">
        <v>11031</v>
      </c>
      <c r="J1640" t="s">
        <v>11032</v>
      </c>
      <c r="K1640" t="s">
        <v>11033</v>
      </c>
      <c r="L1640" t="s">
        <v>11034</v>
      </c>
      <c r="M1640" t="s">
        <v>6078</v>
      </c>
      <c r="N1640" s="61" t="s">
        <v>6223</v>
      </c>
      <c r="O1640">
        <v>71166</v>
      </c>
    </row>
    <row r="1641" spans="1:15" x14ac:dyDescent="0.2">
      <c r="A1641" t="s">
        <v>5285</v>
      </c>
      <c r="B1641" s="61" t="s">
        <v>11035</v>
      </c>
      <c r="C1641" s="61" t="s">
        <v>34</v>
      </c>
      <c r="F1641" t="s">
        <v>5285</v>
      </c>
      <c r="G1641" t="s">
        <v>6073</v>
      </c>
      <c r="I1641" t="s">
        <v>11036</v>
      </c>
      <c r="L1641" t="s">
        <v>11037</v>
      </c>
      <c r="M1641" t="s">
        <v>6078</v>
      </c>
      <c r="N1641" s="61" t="s">
        <v>6128</v>
      </c>
      <c r="O1641">
        <v>58278</v>
      </c>
    </row>
    <row r="1642" spans="1:15" x14ac:dyDescent="0.2">
      <c r="A1642" t="s">
        <v>5286</v>
      </c>
      <c r="B1642" s="61" t="s">
        <v>11038</v>
      </c>
      <c r="C1642" s="61" t="s">
        <v>34</v>
      </c>
      <c r="F1642" t="s">
        <v>5286</v>
      </c>
      <c r="G1642" t="s">
        <v>6073</v>
      </c>
      <c r="I1642" t="s">
        <v>11039</v>
      </c>
      <c r="L1642" t="s">
        <v>11040</v>
      </c>
      <c r="M1642" t="s">
        <v>6078</v>
      </c>
      <c r="N1642" s="61" t="s">
        <v>11041</v>
      </c>
      <c r="O1642">
        <v>58279</v>
      </c>
    </row>
    <row r="1643" spans="1:15" x14ac:dyDescent="0.2">
      <c r="A1643" t="s">
        <v>5287</v>
      </c>
      <c r="B1643" s="61" t="s">
        <v>11042</v>
      </c>
      <c r="C1643" s="61" t="s">
        <v>34</v>
      </c>
      <c r="F1643" t="s">
        <v>5287</v>
      </c>
      <c r="G1643" t="s">
        <v>6073</v>
      </c>
      <c r="L1643" t="s">
        <v>11043</v>
      </c>
      <c r="M1643" t="s">
        <v>6078</v>
      </c>
      <c r="N1643" s="61" t="s">
        <v>6128</v>
      </c>
      <c r="O1643">
        <v>58280</v>
      </c>
    </row>
    <row r="1644" spans="1:15" x14ac:dyDescent="0.2">
      <c r="A1644" t="s">
        <v>5288</v>
      </c>
      <c r="B1644" s="61" t="s">
        <v>11044</v>
      </c>
      <c r="C1644" s="61" t="s">
        <v>34</v>
      </c>
      <c r="F1644" t="s">
        <v>5288</v>
      </c>
      <c r="G1644" t="s">
        <v>6073</v>
      </c>
      <c r="H1644" t="s">
        <v>34</v>
      </c>
      <c r="I1644" t="s">
        <v>11045</v>
      </c>
      <c r="L1644" t="s">
        <v>11046</v>
      </c>
      <c r="M1644" t="s">
        <v>6078</v>
      </c>
      <c r="N1644" s="61" t="s">
        <v>6314</v>
      </c>
      <c r="O1644">
        <v>58281</v>
      </c>
    </row>
    <row r="1645" spans="1:15" x14ac:dyDescent="0.2">
      <c r="A1645" t="s">
        <v>5289</v>
      </c>
      <c r="B1645" s="61" t="s">
        <v>11047</v>
      </c>
      <c r="C1645" s="61" t="s">
        <v>34</v>
      </c>
      <c r="F1645" t="s">
        <v>5289</v>
      </c>
      <c r="G1645" t="s">
        <v>6073</v>
      </c>
      <c r="H1645" t="s">
        <v>11048</v>
      </c>
      <c r="I1645" t="s">
        <v>11049</v>
      </c>
      <c r="L1645" t="s">
        <v>11050</v>
      </c>
      <c r="M1645" t="s">
        <v>6078</v>
      </c>
      <c r="N1645" s="61" t="s">
        <v>6255</v>
      </c>
      <c r="O1645">
        <v>58282</v>
      </c>
    </row>
    <row r="1646" spans="1:15" x14ac:dyDescent="0.2">
      <c r="A1646" t="s">
        <v>5290</v>
      </c>
      <c r="B1646" s="61" t="s">
        <v>11051</v>
      </c>
      <c r="C1646" s="61" t="s">
        <v>34</v>
      </c>
      <c r="F1646" t="s">
        <v>5290</v>
      </c>
      <c r="G1646" t="s">
        <v>6073</v>
      </c>
      <c r="I1646" t="s">
        <v>11052</v>
      </c>
      <c r="L1646" t="s">
        <v>11053</v>
      </c>
      <c r="M1646" t="s">
        <v>6078</v>
      </c>
      <c r="N1646" s="61" t="s">
        <v>11054</v>
      </c>
      <c r="O1646">
        <v>58283</v>
      </c>
    </row>
    <row r="1647" spans="1:15" x14ac:dyDescent="0.2">
      <c r="A1647" t="s">
        <v>5291</v>
      </c>
      <c r="B1647" s="61" t="s">
        <v>11055</v>
      </c>
      <c r="C1647" s="61" t="s">
        <v>11056</v>
      </c>
      <c r="F1647" t="s">
        <v>5291</v>
      </c>
      <c r="G1647" t="s">
        <v>6073</v>
      </c>
      <c r="I1647" t="s">
        <v>11057</v>
      </c>
      <c r="L1647" t="s">
        <v>11058</v>
      </c>
      <c r="M1647" t="s">
        <v>6078</v>
      </c>
      <c r="N1647" s="61" t="s">
        <v>8083</v>
      </c>
      <c r="O1647">
        <v>114293</v>
      </c>
    </row>
    <row r="1648" spans="1:15" x14ac:dyDescent="0.2">
      <c r="A1648" t="s">
        <v>5292</v>
      </c>
      <c r="B1648" s="61" t="s">
        <v>11059</v>
      </c>
      <c r="C1648" s="61" t="s">
        <v>34</v>
      </c>
      <c r="F1648" t="s">
        <v>5292</v>
      </c>
      <c r="G1648" t="s">
        <v>6073</v>
      </c>
      <c r="H1648" t="s">
        <v>11060</v>
      </c>
      <c r="I1648" t="s">
        <v>11061</v>
      </c>
      <c r="L1648" t="s">
        <v>11062</v>
      </c>
      <c r="M1648" t="s">
        <v>6188</v>
      </c>
      <c r="N1648" s="61" t="s">
        <v>11063</v>
      </c>
      <c r="O1648">
        <v>58284</v>
      </c>
    </row>
    <row r="1649" spans="1:15" x14ac:dyDescent="0.2">
      <c r="A1649" t="s">
        <v>5293</v>
      </c>
      <c r="B1649" s="61" t="s">
        <v>34</v>
      </c>
      <c r="C1649" s="61" t="s">
        <v>34</v>
      </c>
      <c r="F1649" t="s">
        <v>5293</v>
      </c>
      <c r="G1649" t="s">
        <v>6073</v>
      </c>
      <c r="H1649" t="s">
        <v>34</v>
      </c>
      <c r="I1649" t="s">
        <v>34</v>
      </c>
      <c r="L1649" t="s">
        <v>34</v>
      </c>
      <c r="N1649" s="61" t="s">
        <v>3784</v>
      </c>
      <c r="O1649">
        <v>58326</v>
      </c>
    </row>
    <row r="1650" spans="1:15" x14ac:dyDescent="0.2">
      <c r="A1650" t="s">
        <v>5294</v>
      </c>
      <c r="B1650" s="61" t="s">
        <v>11064</v>
      </c>
      <c r="C1650" s="61" t="s">
        <v>34</v>
      </c>
      <c r="F1650" t="s">
        <v>5294</v>
      </c>
      <c r="G1650" t="s">
        <v>6073</v>
      </c>
      <c r="H1650" t="s">
        <v>34</v>
      </c>
      <c r="I1650" t="s">
        <v>34</v>
      </c>
      <c r="L1650" t="s">
        <v>11065</v>
      </c>
      <c r="M1650" t="s">
        <v>6078</v>
      </c>
      <c r="N1650" s="61" t="s">
        <v>6386</v>
      </c>
      <c r="O1650">
        <v>58285</v>
      </c>
    </row>
    <row r="1651" spans="1:15" x14ac:dyDescent="0.2">
      <c r="A1651" t="s">
        <v>5295</v>
      </c>
      <c r="B1651" s="61" t="s">
        <v>34</v>
      </c>
      <c r="C1651" s="61" t="s">
        <v>34</v>
      </c>
      <c r="F1651" t="s">
        <v>5295</v>
      </c>
      <c r="G1651" t="s">
        <v>6073</v>
      </c>
      <c r="H1651" t="s">
        <v>34</v>
      </c>
      <c r="I1651" t="s">
        <v>34</v>
      </c>
      <c r="L1651" t="s">
        <v>34</v>
      </c>
      <c r="N1651" s="61" t="s">
        <v>3784</v>
      </c>
      <c r="O165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5931</v>
      </c>
      <c r="B1" t="s">
        <v>5867</v>
      </c>
      <c r="C1" t="s">
        <v>5932</v>
      </c>
      <c r="D1" t="s">
        <v>5933</v>
      </c>
      <c r="E1" t="s">
        <v>5869</v>
      </c>
      <c r="F1" t="s">
        <v>5934</v>
      </c>
      <c r="G1" t="s">
        <v>5935</v>
      </c>
      <c r="H1" t="s">
        <v>5936</v>
      </c>
      <c r="I1" t="s">
        <v>5937</v>
      </c>
      <c r="J1" s="61" t="s">
        <v>5938</v>
      </c>
      <c r="K1" t="s">
        <v>5939</v>
      </c>
      <c r="L1" s="61" t="s">
        <v>5940</v>
      </c>
      <c r="M1" t="s">
        <v>5941</v>
      </c>
      <c r="N1" t="s">
        <v>5942</v>
      </c>
      <c r="O1" t="s">
        <v>5943</v>
      </c>
      <c r="P1" t="s">
        <v>5944</v>
      </c>
      <c r="Q1" t="s">
        <v>5868</v>
      </c>
    </row>
    <row r="2" spans="1:17" x14ac:dyDescent="0.2">
      <c r="A2" t="s">
        <v>5301</v>
      </c>
      <c r="B2">
        <v>1235344</v>
      </c>
      <c r="C2" t="s">
        <v>5302</v>
      </c>
      <c r="D2" t="s">
        <v>2306</v>
      </c>
      <c r="E2" t="s">
        <v>2308</v>
      </c>
      <c r="F2" t="s">
        <v>143</v>
      </c>
      <c r="G2" t="s">
        <v>5304</v>
      </c>
      <c r="J2" s="61"/>
      <c r="K2" t="s">
        <v>2307</v>
      </c>
      <c r="L2" s="61" t="s">
        <v>5305</v>
      </c>
      <c r="M2" t="s">
        <v>5306</v>
      </c>
      <c r="N2" t="s">
        <v>5302</v>
      </c>
      <c r="O2" t="s">
        <v>5306</v>
      </c>
      <c r="P2" t="s">
        <v>5303</v>
      </c>
      <c r="Q2" t="s">
        <v>5300</v>
      </c>
    </row>
    <row r="3" spans="1:17" x14ac:dyDescent="0.2">
      <c r="A3" t="s">
        <v>5308</v>
      </c>
      <c r="B3">
        <v>1235345</v>
      </c>
      <c r="C3" t="s">
        <v>5309</v>
      </c>
      <c r="D3" t="s">
        <v>224</v>
      </c>
      <c r="E3" t="s">
        <v>225</v>
      </c>
      <c r="F3" t="s">
        <v>5307</v>
      </c>
      <c r="G3" t="s">
        <v>5311</v>
      </c>
      <c r="J3" s="61"/>
      <c r="K3" t="s">
        <v>5313</v>
      </c>
      <c r="L3" s="61" t="s">
        <v>5312</v>
      </c>
      <c r="M3" t="s">
        <v>34</v>
      </c>
      <c r="N3" t="s">
        <v>5315</v>
      </c>
      <c r="O3" t="s">
        <v>5314</v>
      </c>
      <c r="P3" t="s">
        <v>5310</v>
      </c>
      <c r="Q3" t="s">
        <v>225</v>
      </c>
    </row>
    <row r="4" spans="1:17" x14ac:dyDescent="0.2">
      <c r="A4" t="s">
        <v>5318</v>
      </c>
      <c r="B4">
        <v>1235388</v>
      </c>
      <c r="C4" t="s">
        <v>5319</v>
      </c>
      <c r="D4" t="s">
        <v>275</v>
      </c>
      <c r="E4" t="s">
        <v>276</v>
      </c>
      <c r="F4" t="s">
        <v>5317</v>
      </c>
      <c r="G4" t="s">
        <v>5321</v>
      </c>
      <c r="J4" s="61"/>
      <c r="K4" t="s">
        <v>5323</v>
      </c>
      <c r="L4" s="61" t="s">
        <v>5322</v>
      </c>
      <c r="N4" t="s">
        <v>5325</v>
      </c>
      <c r="O4" t="s">
        <v>5324</v>
      </c>
      <c r="P4" t="s">
        <v>5320</v>
      </c>
      <c r="Q4" t="s">
        <v>5316</v>
      </c>
    </row>
    <row r="5" spans="1:17" x14ac:dyDescent="0.2">
      <c r="A5" t="s">
        <v>5327</v>
      </c>
      <c r="B5">
        <v>1235400</v>
      </c>
      <c r="C5" t="s">
        <v>5328</v>
      </c>
      <c r="D5" t="s">
        <v>566</v>
      </c>
      <c r="E5" t="s">
        <v>5326</v>
      </c>
      <c r="G5" t="s">
        <v>5330</v>
      </c>
      <c r="J5" s="61"/>
      <c r="K5" t="s">
        <v>5332</v>
      </c>
      <c r="L5" s="61" t="s">
        <v>5331</v>
      </c>
      <c r="M5" t="s">
        <v>5334</v>
      </c>
      <c r="N5" t="s">
        <v>5328</v>
      </c>
      <c r="O5" t="s">
        <v>5333</v>
      </c>
      <c r="P5" t="s">
        <v>5329</v>
      </c>
      <c r="Q5" t="s">
        <v>252</v>
      </c>
    </row>
    <row r="6" spans="1:17" x14ac:dyDescent="0.2">
      <c r="A6" t="s">
        <v>5327</v>
      </c>
      <c r="B6">
        <v>1235401</v>
      </c>
      <c r="C6" t="s">
        <v>5328</v>
      </c>
      <c r="D6" t="s">
        <v>572</v>
      </c>
      <c r="E6" t="s">
        <v>5335</v>
      </c>
      <c r="F6" t="s">
        <v>143</v>
      </c>
      <c r="G6" t="s">
        <v>5330</v>
      </c>
      <c r="J6" s="61" t="s">
        <v>5336</v>
      </c>
      <c r="K6" t="s">
        <v>5332</v>
      </c>
      <c r="L6" s="61" t="s">
        <v>5331</v>
      </c>
      <c r="M6" t="s">
        <v>5334</v>
      </c>
      <c r="N6" t="s">
        <v>5328</v>
      </c>
      <c r="O6" t="s">
        <v>5333</v>
      </c>
      <c r="P6" t="s">
        <v>5329</v>
      </c>
      <c r="Q6" t="s">
        <v>258</v>
      </c>
    </row>
    <row r="7" spans="1:17" x14ac:dyDescent="0.2">
      <c r="A7" t="s">
        <v>5327</v>
      </c>
      <c r="B7">
        <v>1235402</v>
      </c>
      <c r="C7" t="s">
        <v>5328</v>
      </c>
      <c r="D7" t="s">
        <v>573</v>
      </c>
      <c r="E7" t="s">
        <v>5337</v>
      </c>
      <c r="F7" t="s">
        <v>143</v>
      </c>
      <c r="G7" t="s">
        <v>5339</v>
      </c>
      <c r="J7" s="61" t="s">
        <v>5336</v>
      </c>
      <c r="K7" t="s">
        <v>5340</v>
      </c>
      <c r="L7" s="61" t="s">
        <v>5331</v>
      </c>
      <c r="M7" t="s">
        <v>5341</v>
      </c>
      <c r="N7" t="s">
        <v>5328</v>
      </c>
      <c r="O7" t="s">
        <v>5339</v>
      </c>
      <c r="P7" t="s">
        <v>5338</v>
      </c>
      <c r="Q7" t="s">
        <v>259</v>
      </c>
    </row>
    <row r="8" spans="1:17" x14ac:dyDescent="0.2">
      <c r="A8" t="s">
        <v>5343</v>
      </c>
      <c r="B8">
        <v>1235403</v>
      </c>
      <c r="C8" t="s">
        <v>5344</v>
      </c>
      <c r="D8" t="s">
        <v>215</v>
      </c>
      <c r="E8" t="s">
        <v>216</v>
      </c>
      <c r="F8" t="s">
        <v>135</v>
      </c>
      <c r="G8" t="s">
        <v>5346</v>
      </c>
      <c r="J8" s="61"/>
      <c r="K8" t="s">
        <v>5348</v>
      </c>
      <c r="L8" s="61" t="s">
        <v>5347</v>
      </c>
      <c r="M8" t="s">
        <v>5349</v>
      </c>
      <c r="N8" t="s">
        <v>5344</v>
      </c>
      <c r="O8" t="s">
        <v>5349</v>
      </c>
      <c r="P8" t="s">
        <v>5345</v>
      </c>
      <c r="Q8" t="s">
        <v>5342</v>
      </c>
    </row>
    <row r="9" spans="1:17" x14ac:dyDescent="0.2">
      <c r="A9" t="s">
        <v>5352</v>
      </c>
      <c r="B9">
        <v>1235416</v>
      </c>
      <c r="C9" t="s">
        <v>5353</v>
      </c>
      <c r="D9" t="s">
        <v>5352</v>
      </c>
      <c r="E9" t="s">
        <v>5350</v>
      </c>
      <c r="F9" t="s">
        <v>5351</v>
      </c>
      <c r="G9" t="s">
        <v>5355</v>
      </c>
      <c r="J9" s="61" t="s">
        <v>5356</v>
      </c>
      <c r="K9" t="s">
        <v>5358</v>
      </c>
      <c r="L9" s="61" t="s">
        <v>5357</v>
      </c>
      <c r="N9" t="s">
        <v>5353</v>
      </c>
      <c r="O9" t="s">
        <v>5359</v>
      </c>
      <c r="P9" t="s">
        <v>5354</v>
      </c>
      <c r="Q9" t="s">
        <v>5350</v>
      </c>
    </row>
    <row r="10" spans="1:17" x14ac:dyDescent="0.2">
      <c r="A10" t="s">
        <v>5362</v>
      </c>
      <c r="B10">
        <v>1235426</v>
      </c>
      <c r="C10" t="s">
        <v>5363</v>
      </c>
      <c r="D10" t="s">
        <v>5361</v>
      </c>
      <c r="E10" t="s">
        <v>71</v>
      </c>
      <c r="G10" t="s">
        <v>223</v>
      </c>
      <c r="J10" s="61" t="s">
        <v>5336</v>
      </c>
      <c r="K10" t="s">
        <v>5366</v>
      </c>
      <c r="L10" s="61" t="s">
        <v>5365</v>
      </c>
      <c r="M10" t="s">
        <v>34</v>
      </c>
      <c r="N10" t="s">
        <v>5363</v>
      </c>
      <c r="O10" t="s">
        <v>5367</v>
      </c>
      <c r="P10" t="s">
        <v>5364</v>
      </c>
      <c r="Q10" t="s">
        <v>5360</v>
      </c>
    </row>
    <row r="11" spans="1:17" x14ac:dyDescent="0.2">
      <c r="A11" t="s">
        <v>5369</v>
      </c>
      <c r="B11">
        <v>1235428</v>
      </c>
      <c r="C11" t="s">
        <v>5370</v>
      </c>
      <c r="D11" t="s">
        <v>5369</v>
      </c>
      <c r="E11" t="s">
        <v>278</v>
      </c>
      <c r="F11" t="s">
        <v>5368</v>
      </c>
      <c r="G11" t="s">
        <v>5372</v>
      </c>
      <c r="J11" s="61" t="s">
        <v>5336</v>
      </c>
      <c r="K11" t="s">
        <v>5374</v>
      </c>
      <c r="L11" s="61" t="s">
        <v>5373</v>
      </c>
      <c r="N11" t="s">
        <v>5370</v>
      </c>
      <c r="O11" t="s">
        <v>5375</v>
      </c>
      <c r="P11" t="s">
        <v>5371</v>
      </c>
      <c r="Q11" t="s">
        <v>278</v>
      </c>
    </row>
    <row r="12" spans="1:17" x14ac:dyDescent="0.2">
      <c r="A12" t="s">
        <v>5377</v>
      </c>
      <c r="B12">
        <v>1235444</v>
      </c>
      <c r="C12" t="s">
        <v>5328</v>
      </c>
      <c r="D12" t="s">
        <v>5376</v>
      </c>
      <c r="E12" t="s">
        <v>229</v>
      </c>
      <c r="F12" t="s">
        <v>143</v>
      </c>
      <c r="G12" t="s">
        <v>228</v>
      </c>
      <c r="J12" s="61"/>
      <c r="K12" t="s">
        <v>5378</v>
      </c>
      <c r="L12" s="61" t="s">
        <v>5331</v>
      </c>
      <c r="N12" t="s">
        <v>5328</v>
      </c>
      <c r="O12" t="s">
        <v>228</v>
      </c>
      <c r="P12" t="s">
        <v>5338</v>
      </c>
      <c r="Q12" t="s">
        <v>230</v>
      </c>
    </row>
    <row r="13" spans="1:17" x14ac:dyDescent="0.2">
      <c r="A13" t="s">
        <v>5382</v>
      </c>
      <c r="B13">
        <v>1235489</v>
      </c>
      <c r="C13" t="s">
        <v>5353</v>
      </c>
      <c r="D13" t="s">
        <v>5382</v>
      </c>
      <c r="E13" t="s">
        <v>5381</v>
      </c>
      <c r="F13" t="s">
        <v>5380</v>
      </c>
      <c r="G13" t="s">
        <v>5355</v>
      </c>
      <c r="J13" s="61" t="s">
        <v>5336</v>
      </c>
      <c r="K13" t="s">
        <v>5383</v>
      </c>
      <c r="L13" s="61" t="s">
        <v>5357</v>
      </c>
      <c r="N13" t="s">
        <v>5353</v>
      </c>
      <c r="O13" t="s">
        <v>5384</v>
      </c>
      <c r="P13" t="s">
        <v>5354</v>
      </c>
      <c r="Q13" t="s">
        <v>5379</v>
      </c>
    </row>
    <row r="14" spans="1:17" x14ac:dyDescent="0.2">
      <c r="A14" t="s">
        <v>5327</v>
      </c>
      <c r="B14">
        <v>1235498</v>
      </c>
      <c r="C14" t="s">
        <v>5328</v>
      </c>
      <c r="D14" t="s">
        <v>571</v>
      </c>
      <c r="E14" t="s">
        <v>5385</v>
      </c>
      <c r="G14" t="s">
        <v>5329</v>
      </c>
      <c r="J14" s="61" t="s">
        <v>5336</v>
      </c>
      <c r="K14" t="s">
        <v>5386</v>
      </c>
      <c r="L14" s="61" t="s">
        <v>5331</v>
      </c>
      <c r="N14" t="s">
        <v>5328</v>
      </c>
      <c r="O14" t="s">
        <v>5329</v>
      </c>
      <c r="Q14" t="s">
        <v>257</v>
      </c>
    </row>
    <row r="15" spans="1:17" x14ac:dyDescent="0.2">
      <c r="A15" t="s">
        <v>5327</v>
      </c>
      <c r="B15">
        <v>1235500</v>
      </c>
      <c r="C15" t="s">
        <v>5328</v>
      </c>
      <c r="D15" t="s">
        <v>569</v>
      </c>
      <c r="E15" t="s">
        <v>5387</v>
      </c>
      <c r="G15" t="s">
        <v>5330</v>
      </c>
      <c r="J15" s="61"/>
      <c r="K15" t="s">
        <v>5332</v>
      </c>
      <c r="L15" s="61" t="s">
        <v>5331</v>
      </c>
      <c r="M15" t="s">
        <v>5334</v>
      </c>
      <c r="N15" t="s">
        <v>5328</v>
      </c>
      <c r="O15" t="s">
        <v>5333</v>
      </c>
      <c r="P15" t="s">
        <v>5329</v>
      </c>
      <c r="Q15" t="s">
        <v>255</v>
      </c>
    </row>
    <row r="16" spans="1:17" x14ac:dyDescent="0.2">
      <c r="A16" t="s">
        <v>5388</v>
      </c>
      <c r="B16">
        <v>1235501</v>
      </c>
      <c r="C16" t="s">
        <v>233</v>
      </c>
      <c r="D16" t="s">
        <v>237</v>
      </c>
      <c r="E16" t="s">
        <v>238</v>
      </c>
      <c r="F16" t="s">
        <v>5336</v>
      </c>
      <c r="G16" t="s">
        <v>228</v>
      </c>
      <c r="J16" s="61"/>
      <c r="K16" t="s">
        <v>5378</v>
      </c>
      <c r="L16" s="61" t="s">
        <v>5331</v>
      </c>
      <c r="N16" t="s">
        <v>5328</v>
      </c>
      <c r="O16" t="s">
        <v>228</v>
      </c>
      <c r="P16" t="s">
        <v>5338</v>
      </c>
      <c r="Q16" t="s">
        <v>239</v>
      </c>
    </row>
    <row r="17" spans="1:17" x14ac:dyDescent="0.2">
      <c r="A17" t="s">
        <v>5390</v>
      </c>
      <c r="B17">
        <v>1235502</v>
      </c>
      <c r="C17" t="s">
        <v>5328</v>
      </c>
      <c r="D17" t="s">
        <v>555</v>
      </c>
      <c r="E17" t="s">
        <v>5389</v>
      </c>
      <c r="G17" t="s">
        <v>5339</v>
      </c>
      <c r="J17" s="61" t="s">
        <v>5336</v>
      </c>
      <c r="K17" t="s">
        <v>5340</v>
      </c>
      <c r="L17" s="61" t="s">
        <v>5331</v>
      </c>
      <c r="M17" t="s">
        <v>5341</v>
      </c>
      <c r="N17" t="s">
        <v>5328</v>
      </c>
      <c r="O17" t="s">
        <v>5339</v>
      </c>
      <c r="P17" t="s">
        <v>5338</v>
      </c>
      <c r="Q17" t="s">
        <v>242</v>
      </c>
    </row>
    <row r="18" spans="1:17" x14ac:dyDescent="0.2">
      <c r="A18" t="s">
        <v>5391</v>
      </c>
      <c r="B18">
        <v>1235503</v>
      </c>
      <c r="C18" t="s">
        <v>5328</v>
      </c>
      <c r="D18" t="s">
        <v>647</v>
      </c>
      <c r="E18" t="s">
        <v>231</v>
      </c>
      <c r="F18" t="s">
        <v>5336</v>
      </c>
      <c r="G18" t="s">
        <v>228</v>
      </c>
      <c r="J18" s="61"/>
      <c r="K18" t="s">
        <v>5378</v>
      </c>
      <c r="L18" s="61" t="s">
        <v>5331</v>
      </c>
      <c r="N18" t="s">
        <v>5328</v>
      </c>
      <c r="O18" t="s">
        <v>228</v>
      </c>
      <c r="P18" t="s">
        <v>5338</v>
      </c>
      <c r="Q18" t="s">
        <v>646</v>
      </c>
    </row>
    <row r="19" spans="1:17" x14ac:dyDescent="0.2">
      <c r="A19" t="s">
        <v>5390</v>
      </c>
      <c r="B19">
        <v>1235504</v>
      </c>
      <c r="C19" t="s">
        <v>5328</v>
      </c>
      <c r="D19" t="s">
        <v>559</v>
      </c>
      <c r="E19" t="s">
        <v>5392</v>
      </c>
      <c r="G19" t="s">
        <v>5339</v>
      </c>
      <c r="J19" s="61" t="s">
        <v>5336</v>
      </c>
      <c r="K19" t="s">
        <v>5340</v>
      </c>
      <c r="L19" s="61" t="s">
        <v>5331</v>
      </c>
      <c r="M19" t="s">
        <v>5341</v>
      </c>
      <c r="N19" t="s">
        <v>5328</v>
      </c>
      <c r="O19" t="s">
        <v>5339</v>
      </c>
      <c r="P19" t="s">
        <v>5338</v>
      </c>
      <c r="Q19" t="s">
        <v>246</v>
      </c>
    </row>
    <row r="20" spans="1:17" x14ac:dyDescent="0.2">
      <c r="A20" t="s">
        <v>5390</v>
      </c>
      <c r="B20">
        <v>1235505</v>
      </c>
      <c r="C20" t="s">
        <v>5328</v>
      </c>
      <c r="D20" t="s">
        <v>556</v>
      </c>
      <c r="E20" t="s">
        <v>5393</v>
      </c>
      <c r="G20" t="s">
        <v>5339</v>
      </c>
      <c r="J20" s="61" t="s">
        <v>5336</v>
      </c>
      <c r="K20" t="s">
        <v>5340</v>
      </c>
      <c r="L20" s="61" t="s">
        <v>5331</v>
      </c>
      <c r="M20" t="s">
        <v>5341</v>
      </c>
      <c r="N20" t="s">
        <v>5328</v>
      </c>
      <c r="O20" t="s">
        <v>5339</v>
      </c>
      <c r="P20" t="s">
        <v>5338</v>
      </c>
      <c r="Q20" t="s">
        <v>243</v>
      </c>
    </row>
    <row r="21" spans="1:17" x14ac:dyDescent="0.2">
      <c r="A21" t="s">
        <v>5390</v>
      </c>
      <c r="B21">
        <v>1235506</v>
      </c>
      <c r="C21" t="s">
        <v>5328</v>
      </c>
      <c r="D21" t="s">
        <v>560</v>
      </c>
      <c r="E21" t="s">
        <v>5394</v>
      </c>
      <c r="G21" t="s">
        <v>5339</v>
      </c>
      <c r="J21" s="61" t="s">
        <v>5336</v>
      </c>
      <c r="K21" t="s">
        <v>5340</v>
      </c>
      <c r="L21" s="61" t="s">
        <v>5395</v>
      </c>
      <c r="M21" t="s">
        <v>5341</v>
      </c>
      <c r="N21" t="s">
        <v>5328</v>
      </c>
      <c r="O21" t="s">
        <v>5339</v>
      </c>
      <c r="P21" t="s">
        <v>5338</v>
      </c>
      <c r="Q21" t="s">
        <v>247</v>
      </c>
    </row>
    <row r="22" spans="1:17" x14ac:dyDescent="0.2">
      <c r="A22" t="s">
        <v>5327</v>
      </c>
      <c r="B22">
        <v>1235507</v>
      </c>
      <c r="C22" t="s">
        <v>5328</v>
      </c>
      <c r="D22" t="s">
        <v>568</v>
      </c>
      <c r="E22" t="s">
        <v>5396</v>
      </c>
      <c r="G22" t="s">
        <v>5339</v>
      </c>
      <c r="J22" s="61" t="s">
        <v>5336</v>
      </c>
      <c r="K22" t="s">
        <v>5340</v>
      </c>
      <c r="L22" s="61" t="s">
        <v>5331</v>
      </c>
      <c r="M22" t="s">
        <v>5341</v>
      </c>
      <c r="N22" t="s">
        <v>5328</v>
      </c>
      <c r="O22" t="s">
        <v>5339</v>
      </c>
      <c r="P22" t="s">
        <v>5338</v>
      </c>
      <c r="Q22" t="s">
        <v>254</v>
      </c>
    </row>
    <row r="23" spans="1:17" x14ac:dyDescent="0.2">
      <c r="A23" t="s">
        <v>5327</v>
      </c>
      <c r="B23">
        <v>1235508</v>
      </c>
      <c r="C23" t="s">
        <v>5328</v>
      </c>
      <c r="D23" t="s">
        <v>3357</v>
      </c>
      <c r="E23" t="s">
        <v>5397</v>
      </c>
      <c r="G23" t="s">
        <v>5339</v>
      </c>
      <c r="J23" s="61" t="s">
        <v>5336</v>
      </c>
      <c r="K23" t="s">
        <v>5340</v>
      </c>
      <c r="L23" s="61" t="s">
        <v>5331</v>
      </c>
      <c r="M23" t="s">
        <v>5341</v>
      </c>
      <c r="N23" t="s">
        <v>5328</v>
      </c>
      <c r="O23" t="s">
        <v>5339</v>
      </c>
      <c r="P23" t="s">
        <v>5338</v>
      </c>
      <c r="Q23" t="s">
        <v>3303</v>
      </c>
    </row>
    <row r="24" spans="1:17" x14ac:dyDescent="0.2">
      <c r="A24" t="s">
        <v>5327</v>
      </c>
      <c r="B24">
        <v>1235509</v>
      </c>
      <c r="C24" t="s">
        <v>5328</v>
      </c>
      <c r="D24" t="s">
        <v>570</v>
      </c>
      <c r="E24" t="s">
        <v>5398</v>
      </c>
      <c r="G24" t="s">
        <v>5330</v>
      </c>
      <c r="J24" s="61"/>
      <c r="K24" t="s">
        <v>5332</v>
      </c>
      <c r="L24" s="61" t="s">
        <v>5331</v>
      </c>
      <c r="M24" t="s">
        <v>5334</v>
      </c>
      <c r="N24" t="s">
        <v>5328</v>
      </c>
      <c r="O24" t="s">
        <v>5333</v>
      </c>
      <c r="P24" t="s">
        <v>5329</v>
      </c>
      <c r="Q24" t="s">
        <v>256</v>
      </c>
    </row>
    <row r="25" spans="1:17" x14ac:dyDescent="0.2">
      <c r="A25" t="s">
        <v>5390</v>
      </c>
      <c r="B25">
        <v>1235510</v>
      </c>
      <c r="C25" t="s">
        <v>5328</v>
      </c>
      <c r="D25" t="s">
        <v>561</v>
      </c>
      <c r="E25" t="s">
        <v>5399</v>
      </c>
      <c r="G25" t="s">
        <v>5339</v>
      </c>
      <c r="J25" s="61" t="s">
        <v>5336</v>
      </c>
      <c r="K25" t="s">
        <v>5340</v>
      </c>
      <c r="L25" s="61" t="s">
        <v>5331</v>
      </c>
      <c r="M25" t="s">
        <v>5341</v>
      </c>
      <c r="N25" t="s">
        <v>5328</v>
      </c>
      <c r="O25" t="s">
        <v>5339</v>
      </c>
      <c r="P25" t="s">
        <v>5338</v>
      </c>
      <c r="Q25" t="s">
        <v>248</v>
      </c>
    </row>
    <row r="26" spans="1:17" x14ac:dyDescent="0.2">
      <c r="A26" t="s">
        <v>5400</v>
      </c>
      <c r="B26">
        <v>1235517</v>
      </c>
      <c r="C26" t="s">
        <v>5401</v>
      </c>
      <c r="D26" t="s">
        <v>5400</v>
      </c>
      <c r="E26" t="s">
        <v>227</v>
      </c>
      <c r="F26" t="s">
        <v>135</v>
      </c>
      <c r="G26" t="s">
        <v>5355</v>
      </c>
      <c r="J26" s="61" t="s">
        <v>5336</v>
      </c>
      <c r="K26" t="s">
        <v>5402</v>
      </c>
      <c r="L26" s="61" t="s">
        <v>5357</v>
      </c>
      <c r="M26" t="s">
        <v>5403</v>
      </c>
      <c r="N26" t="s">
        <v>5328</v>
      </c>
      <c r="O26" t="s">
        <v>5355</v>
      </c>
      <c r="P26" t="s">
        <v>5354</v>
      </c>
      <c r="Q26" t="s">
        <v>227</v>
      </c>
    </row>
    <row r="27" spans="1:17" x14ac:dyDescent="0.2">
      <c r="A27" t="s">
        <v>5343</v>
      </c>
      <c r="B27">
        <v>1235522</v>
      </c>
      <c r="C27" t="s">
        <v>5344</v>
      </c>
      <c r="D27" t="s">
        <v>219</v>
      </c>
      <c r="E27" t="s">
        <v>220</v>
      </c>
      <c r="F27" t="s">
        <v>5405</v>
      </c>
      <c r="G27" t="s">
        <v>5406</v>
      </c>
      <c r="J27" s="61"/>
      <c r="K27" t="s">
        <v>5348</v>
      </c>
      <c r="L27" s="61" t="s">
        <v>5347</v>
      </c>
      <c r="M27" t="s">
        <v>34</v>
      </c>
      <c r="N27" t="s">
        <v>5344</v>
      </c>
      <c r="O27" t="s">
        <v>5407</v>
      </c>
      <c r="P27" t="s">
        <v>5345</v>
      </c>
      <c r="Q27" t="s">
        <v>5404</v>
      </c>
    </row>
    <row r="28" spans="1:17" x14ac:dyDescent="0.2">
      <c r="A28" t="s">
        <v>5409</v>
      </c>
      <c r="B28">
        <v>1235526</v>
      </c>
      <c r="C28" t="s">
        <v>5328</v>
      </c>
      <c r="D28" t="s">
        <v>574</v>
      </c>
      <c r="E28" t="s">
        <v>5408</v>
      </c>
      <c r="G28" t="s">
        <v>5339</v>
      </c>
      <c r="J28" s="61" t="s">
        <v>5336</v>
      </c>
      <c r="K28" t="s">
        <v>5340</v>
      </c>
      <c r="L28" s="61" t="s">
        <v>5331</v>
      </c>
      <c r="M28" t="s">
        <v>5341</v>
      </c>
      <c r="N28" t="s">
        <v>5328</v>
      </c>
      <c r="O28" t="s">
        <v>5339</v>
      </c>
      <c r="P28" t="s">
        <v>5338</v>
      </c>
      <c r="Q28" t="s">
        <v>260</v>
      </c>
    </row>
    <row r="29" spans="1:17" x14ac:dyDescent="0.2">
      <c r="A29" t="s">
        <v>5410</v>
      </c>
      <c r="B29">
        <v>1235540</v>
      </c>
      <c r="C29" t="s">
        <v>5328</v>
      </c>
      <c r="D29" t="s">
        <v>262</v>
      </c>
      <c r="E29" t="s">
        <v>108</v>
      </c>
      <c r="F29" t="s">
        <v>34</v>
      </c>
      <c r="G29" t="s">
        <v>5330</v>
      </c>
      <c r="J29" s="61" t="s">
        <v>5336</v>
      </c>
      <c r="K29" t="s">
        <v>5332</v>
      </c>
      <c r="L29" s="61" t="s">
        <v>5411</v>
      </c>
      <c r="M29" t="s">
        <v>5334</v>
      </c>
      <c r="N29" t="s">
        <v>5328</v>
      </c>
      <c r="O29" t="s">
        <v>5333</v>
      </c>
      <c r="P29" t="s">
        <v>5329</v>
      </c>
      <c r="Q29" t="s">
        <v>34</v>
      </c>
    </row>
    <row r="30" spans="1:17" x14ac:dyDescent="0.2">
      <c r="A30" t="s">
        <v>5413</v>
      </c>
      <c r="B30">
        <v>1235543</v>
      </c>
      <c r="C30" t="s">
        <v>5363</v>
      </c>
      <c r="D30" t="s">
        <v>5361</v>
      </c>
      <c r="E30" t="s">
        <v>140</v>
      </c>
      <c r="G30" t="s">
        <v>223</v>
      </c>
      <c r="J30" s="61" t="s">
        <v>5336</v>
      </c>
      <c r="K30" t="s">
        <v>5366</v>
      </c>
      <c r="L30" s="61" t="s">
        <v>5414</v>
      </c>
      <c r="M30" t="s">
        <v>34</v>
      </c>
      <c r="N30" t="s">
        <v>5363</v>
      </c>
      <c r="O30" t="s">
        <v>5367</v>
      </c>
      <c r="P30" t="s">
        <v>5364</v>
      </c>
      <c r="Q30" t="s">
        <v>5412</v>
      </c>
    </row>
    <row r="31" spans="1:17" x14ac:dyDescent="0.2">
      <c r="A31" t="s">
        <v>5531</v>
      </c>
      <c r="B31">
        <v>1235555</v>
      </c>
      <c r="C31" t="s">
        <v>5416</v>
      </c>
      <c r="D31" t="s">
        <v>5531</v>
      </c>
      <c r="E31" t="s">
        <v>268</v>
      </c>
      <c r="F31" t="s">
        <v>5380</v>
      </c>
      <c r="G31" t="s">
        <v>5372</v>
      </c>
      <c r="J31" s="61" t="s">
        <v>5336</v>
      </c>
      <c r="K31" t="s">
        <v>5417</v>
      </c>
      <c r="L31" s="61" t="s">
        <v>5373</v>
      </c>
      <c r="N31" t="s">
        <v>5419</v>
      </c>
      <c r="O31" t="s">
        <v>5418</v>
      </c>
      <c r="P31" t="s">
        <v>5371</v>
      </c>
      <c r="Q31" t="s">
        <v>5415</v>
      </c>
    </row>
    <row r="32" spans="1:17" x14ac:dyDescent="0.2">
      <c r="A32" t="s">
        <v>5866</v>
      </c>
      <c r="B32">
        <v>1235561</v>
      </c>
      <c r="C32" t="s">
        <v>5363</v>
      </c>
      <c r="D32" t="s">
        <v>5421</v>
      </c>
      <c r="E32" t="s">
        <v>141</v>
      </c>
      <c r="G32" t="s">
        <v>223</v>
      </c>
      <c r="J32" s="61" t="s">
        <v>5336</v>
      </c>
      <c r="K32" t="s">
        <v>5366</v>
      </c>
      <c r="L32" s="61" t="s">
        <v>5423</v>
      </c>
      <c r="M32" t="s">
        <v>34</v>
      </c>
      <c r="N32" t="s">
        <v>5363</v>
      </c>
      <c r="O32" t="s">
        <v>5367</v>
      </c>
      <c r="P32" t="s">
        <v>5364</v>
      </c>
      <c r="Q32" t="s">
        <v>5420</v>
      </c>
    </row>
    <row r="33" spans="1:17" x14ac:dyDescent="0.2">
      <c r="A33" t="s">
        <v>5426</v>
      </c>
      <c r="B33">
        <v>1235563</v>
      </c>
      <c r="C33" t="s">
        <v>5370</v>
      </c>
      <c r="D33" t="s">
        <v>5425</v>
      </c>
      <c r="E33" t="s">
        <v>277</v>
      </c>
      <c r="F33" t="s">
        <v>5424</v>
      </c>
      <c r="G33" t="s">
        <v>5372</v>
      </c>
      <c r="J33" s="61" t="s">
        <v>5336</v>
      </c>
      <c r="K33" t="s">
        <v>5374</v>
      </c>
      <c r="L33" s="61" t="s">
        <v>5373</v>
      </c>
      <c r="N33" t="s">
        <v>5370</v>
      </c>
      <c r="O33" t="s">
        <v>5375</v>
      </c>
      <c r="P33" t="s">
        <v>5371</v>
      </c>
      <c r="Q33" t="s">
        <v>277</v>
      </c>
    </row>
    <row r="34" spans="1:17" x14ac:dyDescent="0.2">
      <c r="A34" t="s">
        <v>5427</v>
      </c>
      <c r="B34">
        <v>1235564</v>
      </c>
      <c r="C34" t="s">
        <v>5328</v>
      </c>
      <c r="D34" t="s">
        <v>234</v>
      </c>
      <c r="E34" t="s">
        <v>235</v>
      </c>
      <c r="G34" t="s">
        <v>228</v>
      </c>
      <c r="J34" s="61"/>
      <c r="K34" t="s">
        <v>5378</v>
      </c>
      <c r="L34" s="61" t="s">
        <v>5331</v>
      </c>
      <c r="N34" t="s">
        <v>5328</v>
      </c>
      <c r="O34" t="s">
        <v>228</v>
      </c>
      <c r="P34" t="s">
        <v>5338</v>
      </c>
      <c r="Q34" t="s">
        <v>236</v>
      </c>
    </row>
    <row r="35" spans="1:17" x14ac:dyDescent="0.2">
      <c r="A35" t="s">
        <v>5428</v>
      </c>
      <c r="B35">
        <v>1235567</v>
      </c>
      <c r="C35" t="s">
        <v>5328</v>
      </c>
      <c r="D35" t="s">
        <v>264</v>
      </c>
      <c r="E35" t="s">
        <v>108</v>
      </c>
      <c r="F35" t="s">
        <v>34</v>
      </c>
      <c r="G35" t="s">
        <v>5330</v>
      </c>
      <c r="J35" s="61" t="s">
        <v>5336</v>
      </c>
      <c r="K35" t="s">
        <v>5332</v>
      </c>
      <c r="L35" s="61" t="s">
        <v>5411</v>
      </c>
      <c r="M35" t="s">
        <v>5334</v>
      </c>
      <c r="N35" t="s">
        <v>5328</v>
      </c>
      <c r="O35" t="s">
        <v>5333</v>
      </c>
      <c r="P35" t="s">
        <v>5329</v>
      </c>
      <c r="Q35" t="s">
        <v>34</v>
      </c>
    </row>
    <row r="36" spans="1:17" x14ac:dyDescent="0.2">
      <c r="A36" t="s">
        <v>5343</v>
      </c>
      <c r="B36">
        <v>1235569</v>
      </c>
      <c r="C36" t="s">
        <v>5344</v>
      </c>
      <c r="D36" t="s">
        <v>217</v>
      </c>
      <c r="E36" t="s">
        <v>218</v>
      </c>
      <c r="F36" t="s">
        <v>5430</v>
      </c>
      <c r="G36" t="s">
        <v>5406</v>
      </c>
      <c r="J36" s="61"/>
      <c r="K36" t="s">
        <v>5348</v>
      </c>
      <c r="L36" s="61" t="s">
        <v>5347</v>
      </c>
      <c r="M36" t="s">
        <v>34</v>
      </c>
      <c r="N36" t="s">
        <v>5344</v>
      </c>
      <c r="O36" t="s">
        <v>5407</v>
      </c>
      <c r="P36" t="s">
        <v>5345</v>
      </c>
      <c r="Q36" t="s">
        <v>5429</v>
      </c>
    </row>
    <row r="37" spans="1:17" x14ac:dyDescent="0.2">
      <c r="A37" t="s">
        <v>5428</v>
      </c>
      <c r="B37">
        <v>1235587</v>
      </c>
      <c r="C37" t="s">
        <v>5328</v>
      </c>
      <c r="D37" t="s">
        <v>263</v>
      </c>
      <c r="E37" t="s">
        <v>108</v>
      </c>
      <c r="F37" t="s">
        <v>34</v>
      </c>
      <c r="G37" t="s">
        <v>5330</v>
      </c>
      <c r="J37" s="61" t="s">
        <v>5336</v>
      </c>
      <c r="K37" t="s">
        <v>5332</v>
      </c>
      <c r="L37" s="61" t="s">
        <v>5411</v>
      </c>
      <c r="M37" t="s">
        <v>5334</v>
      </c>
      <c r="N37" t="s">
        <v>5328</v>
      </c>
      <c r="O37" t="s">
        <v>5333</v>
      </c>
      <c r="P37" t="s">
        <v>5329</v>
      </c>
      <c r="Q37" t="s">
        <v>34</v>
      </c>
    </row>
    <row r="38" spans="1:17" x14ac:dyDescent="0.2">
      <c r="A38" t="s">
        <v>5390</v>
      </c>
      <c r="B38">
        <v>1235590</v>
      </c>
      <c r="C38" t="s">
        <v>5328</v>
      </c>
      <c r="D38" t="s">
        <v>562</v>
      </c>
      <c r="E38" t="s">
        <v>249</v>
      </c>
      <c r="G38" t="s">
        <v>5339</v>
      </c>
      <c r="J38" s="61" t="s">
        <v>5336</v>
      </c>
      <c r="K38" t="s">
        <v>5340</v>
      </c>
      <c r="L38" s="61" t="s">
        <v>5331</v>
      </c>
      <c r="M38" t="s">
        <v>5341</v>
      </c>
      <c r="N38" t="s">
        <v>5328</v>
      </c>
      <c r="O38" t="s">
        <v>5339</v>
      </c>
      <c r="P38" t="s">
        <v>5338</v>
      </c>
      <c r="Q38" t="s">
        <v>250</v>
      </c>
    </row>
    <row r="39" spans="1:17" x14ac:dyDescent="0.2">
      <c r="A39" t="s">
        <v>5431</v>
      </c>
      <c r="B39">
        <v>1235598</v>
      </c>
      <c r="C39" t="s">
        <v>5353</v>
      </c>
      <c r="D39" t="s">
        <v>5431</v>
      </c>
      <c r="E39" t="s">
        <v>226</v>
      </c>
      <c r="F39" t="s">
        <v>5405</v>
      </c>
      <c r="G39" t="s">
        <v>5355</v>
      </c>
      <c r="J39" s="61"/>
      <c r="K39" t="s">
        <v>5383</v>
      </c>
      <c r="L39" s="61" t="s">
        <v>5357</v>
      </c>
      <c r="N39" t="s">
        <v>5353</v>
      </c>
      <c r="O39" t="s">
        <v>5384</v>
      </c>
      <c r="P39" t="s">
        <v>5354</v>
      </c>
      <c r="Q39" t="s">
        <v>226</v>
      </c>
    </row>
    <row r="40" spans="1:17" x14ac:dyDescent="0.2">
      <c r="A40" t="s">
        <v>5433</v>
      </c>
      <c r="B40">
        <v>1235610</v>
      </c>
      <c r="C40" t="s">
        <v>5370</v>
      </c>
      <c r="D40" t="s">
        <v>269</v>
      </c>
      <c r="E40" t="s">
        <v>270</v>
      </c>
      <c r="F40" t="s">
        <v>5432</v>
      </c>
      <c r="G40" t="s">
        <v>5372</v>
      </c>
      <c r="J40" s="61" t="s">
        <v>5336</v>
      </c>
      <c r="K40" t="s">
        <v>5434</v>
      </c>
      <c r="L40" s="61" t="s">
        <v>5373</v>
      </c>
      <c r="N40" t="s">
        <v>5370</v>
      </c>
      <c r="O40" t="s">
        <v>5435</v>
      </c>
      <c r="P40" t="s">
        <v>5371</v>
      </c>
      <c r="Q40" t="s">
        <v>271</v>
      </c>
    </row>
    <row r="41" spans="1:17" x14ac:dyDescent="0.2">
      <c r="A41" t="s">
        <v>5438</v>
      </c>
      <c r="B41">
        <v>1235622</v>
      </c>
      <c r="C41" t="s">
        <v>5363</v>
      </c>
      <c r="D41" t="s">
        <v>5437</v>
      </c>
      <c r="E41" t="s">
        <v>188</v>
      </c>
      <c r="G41" t="s">
        <v>223</v>
      </c>
      <c r="J41" s="61" t="s">
        <v>5336</v>
      </c>
      <c r="K41" t="s">
        <v>5366</v>
      </c>
      <c r="L41" s="61" t="s">
        <v>5414</v>
      </c>
      <c r="M41" t="s">
        <v>34</v>
      </c>
      <c r="N41" t="s">
        <v>5363</v>
      </c>
      <c r="O41" t="s">
        <v>5367</v>
      </c>
      <c r="P41" t="s">
        <v>5364</v>
      </c>
      <c r="Q41" t="s">
        <v>5436</v>
      </c>
    </row>
    <row r="42" spans="1:17" x14ac:dyDescent="0.2">
      <c r="A42" t="s">
        <v>5343</v>
      </c>
      <c r="B42">
        <v>1235626</v>
      </c>
      <c r="C42" t="s">
        <v>5344</v>
      </c>
      <c r="D42" t="s">
        <v>221</v>
      </c>
      <c r="E42" t="s">
        <v>222</v>
      </c>
      <c r="F42" t="s">
        <v>5440</v>
      </c>
      <c r="G42" t="s">
        <v>5406</v>
      </c>
      <c r="J42" s="61"/>
      <c r="K42" t="s">
        <v>5348</v>
      </c>
      <c r="L42" s="61" t="s">
        <v>5441</v>
      </c>
      <c r="M42" t="s">
        <v>34</v>
      </c>
      <c r="N42" t="s">
        <v>5344</v>
      </c>
      <c r="O42" t="s">
        <v>5407</v>
      </c>
      <c r="P42" t="s">
        <v>5345</v>
      </c>
      <c r="Q42" t="s">
        <v>5439</v>
      </c>
    </row>
    <row r="43" spans="1:17" x14ac:dyDescent="0.2">
      <c r="A43" t="s">
        <v>5362</v>
      </c>
      <c r="B43">
        <v>1235630</v>
      </c>
      <c r="C43" t="s">
        <v>5363</v>
      </c>
      <c r="D43" t="s">
        <v>5443</v>
      </c>
      <c r="E43" t="s">
        <v>137</v>
      </c>
      <c r="G43" t="s">
        <v>223</v>
      </c>
      <c r="J43" s="61" t="s">
        <v>5336</v>
      </c>
      <c r="K43" t="s">
        <v>5366</v>
      </c>
      <c r="L43" s="61" t="s">
        <v>5365</v>
      </c>
      <c r="M43" t="s">
        <v>34</v>
      </c>
      <c r="N43" t="s">
        <v>5363</v>
      </c>
      <c r="O43" t="s">
        <v>5367</v>
      </c>
      <c r="P43" t="s">
        <v>5364</v>
      </c>
      <c r="Q43" t="s">
        <v>5442</v>
      </c>
    </row>
    <row r="44" spans="1:17" x14ac:dyDescent="0.2">
      <c r="A44" t="s">
        <v>5343</v>
      </c>
      <c r="B44">
        <v>1235639</v>
      </c>
      <c r="C44" t="s">
        <v>5344</v>
      </c>
      <c r="D44" t="s">
        <v>213</v>
      </c>
      <c r="E44" t="s">
        <v>214</v>
      </c>
      <c r="F44" t="s">
        <v>5445</v>
      </c>
      <c r="G44" t="s">
        <v>5406</v>
      </c>
      <c r="J44" s="61" t="s">
        <v>5336</v>
      </c>
      <c r="K44" t="s">
        <v>5348</v>
      </c>
      <c r="L44" s="61" t="s">
        <v>5446</v>
      </c>
      <c r="M44" t="s">
        <v>34</v>
      </c>
      <c r="N44" t="s">
        <v>5344</v>
      </c>
      <c r="O44" t="s">
        <v>5407</v>
      </c>
      <c r="P44" t="s">
        <v>5345</v>
      </c>
      <c r="Q44" t="s">
        <v>5444</v>
      </c>
    </row>
    <row r="45" spans="1:17" x14ac:dyDescent="0.2">
      <c r="A45" t="s">
        <v>5448</v>
      </c>
      <c r="B45">
        <v>1235646</v>
      </c>
      <c r="C45" t="s">
        <v>5328</v>
      </c>
      <c r="D45" t="s">
        <v>557</v>
      </c>
      <c r="E45" t="s">
        <v>5447</v>
      </c>
      <c r="G45" t="s">
        <v>5330</v>
      </c>
      <c r="J45" s="61"/>
      <c r="K45" t="s">
        <v>5332</v>
      </c>
      <c r="L45" s="61" t="s">
        <v>5331</v>
      </c>
      <c r="M45" t="s">
        <v>5334</v>
      </c>
      <c r="N45" t="s">
        <v>5328</v>
      </c>
      <c r="O45" t="s">
        <v>5333</v>
      </c>
      <c r="P45" t="s">
        <v>5329</v>
      </c>
      <c r="Q45" t="s">
        <v>244</v>
      </c>
    </row>
    <row r="46" spans="1:17" x14ac:dyDescent="0.2">
      <c r="A46" t="s">
        <v>5450</v>
      </c>
      <c r="B46">
        <v>1235659</v>
      </c>
      <c r="C46" t="s">
        <v>5328</v>
      </c>
      <c r="D46" t="s">
        <v>558</v>
      </c>
      <c r="E46" t="s">
        <v>5449</v>
      </c>
      <c r="G46" t="s">
        <v>5339</v>
      </c>
      <c r="J46" s="61" t="s">
        <v>5336</v>
      </c>
      <c r="K46" t="s">
        <v>5340</v>
      </c>
      <c r="L46" s="61" t="s">
        <v>5331</v>
      </c>
      <c r="M46" t="s">
        <v>5341</v>
      </c>
      <c r="N46" t="s">
        <v>5328</v>
      </c>
      <c r="O46" t="s">
        <v>5339</v>
      </c>
      <c r="P46" t="s">
        <v>5338</v>
      </c>
      <c r="Q46" t="s">
        <v>245</v>
      </c>
    </row>
    <row r="47" spans="1:17" x14ac:dyDescent="0.2">
      <c r="A47" t="s">
        <v>5390</v>
      </c>
      <c r="B47">
        <v>1235660</v>
      </c>
      <c r="C47" t="s">
        <v>5328</v>
      </c>
      <c r="D47" t="s">
        <v>554</v>
      </c>
      <c r="E47" t="s">
        <v>5451</v>
      </c>
      <c r="G47" t="s">
        <v>5339</v>
      </c>
      <c r="J47" s="61" t="s">
        <v>5336</v>
      </c>
      <c r="K47" t="s">
        <v>5340</v>
      </c>
      <c r="L47" s="61" t="s">
        <v>5331</v>
      </c>
      <c r="M47" t="s">
        <v>5341</v>
      </c>
      <c r="N47" t="s">
        <v>5328</v>
      </c>
      <c r="O47" t="s">
        <v>5339</v>
      </c>
      <c r="P47" t="s">
        <v>5338</v>
      </c>
      <c r="Q47" t="s">
        <v>241</v>
      </c>
    </row>
    <row r="48" spans="1:17" x14ac:dyDescent="0.2">
      <c r="A48" t="s">
        <v>5327</v>
      </c>
      <c r="B48">
        <v>1235661</v>
      </c>
      <c r="C48" t="s">
        <v>5328</v>
      </c>
      <c r="D48" t="s">
        <v>567</v>
      </c>
      <c r="E48" t="s">
        <v>5452</v>
      </c>
      <c r="G48" t="s">
        <v>5330</v>
      </c>
      <c r="J48" s="61"/>
      <c r="K48" t="s">
        <v>5332</v>
      </c>
      <c r="L48" s="61" t="s">
        <v>5331</v>
      </c>
      <c r="M48" t="s">
        <v>5334</v>
      </c>
      <c r="N48" t="s">
        <v>5328</v>
      </c>
      <c r="O48" t="s">
        <v>5333</v>
      </c>
      <c r="P48" t="s">
        <v>5329</v>
      </c>
      <c r="Q48" t="s">
        <v>253</v>
      </c>
    </row>
    <row r="49" spans="1:17" x14ac:dyDescent="0.2">
      <c r="A49" t="s">
        <v>5453</v>
      </c>
      <c r="B49">
        <v>1235664</v>
      </c>
      <c r="C49" t="s">
        <v>5328</v>
      </c>
      <c r="D49" t="s">
        <v>266</v>
      </c>
      <c r="E49" t="s">
        <v>108</v>
      </c>
      <c r="F49" t="s">
        <v>34</v>
      </c>
      <c r="G49" t="s">
        <v>5330</v>
      </c>
      <c r="J49" s="61" t="s">
        <v>5336</v>
      </c>
      <c r="K49" t="s">
        <v>5332</v>
      </c>
      <c r="L49" s="61" t="s">
        <v>5411</v>
      </c>
      <c r="M49" t="s">
        <v>5334</v>
      </c>
      <c r="N49" t="s">
        <v>5328</v>
      </c>
      <c r="O49" t="s">
        <v>5333</v>
      </c>
      <c r="P49" t="s">
        <v>5329</v>
      </c>
      <c r="Q49" t="s">
        <v>34</v>
      </c>
    </row>
    <row r="50" spans="1:17" x14ac:dyDescent="0.2">
      <c r="A50" t="s">
        <v>5409</v>
      </c>
      <c r="B50">
        <v>1235673</v>
      </c>
      <c r="C50" t="s">
        <v>5328</v>
      </c>
      <c r="D50" t="s">
        <v>2309</v>
      </c>
      <c r="E50" t="s">
        <v>5454</v>
      </c>
      <c r="G50" t="s">
        <v>5330</v>
      </c>
      <c r="J50" s="61" t="s">
        <v>5336</v>
      </c>
      <c r="K50" t="s">
        <v>5332</v>
      </c>
      <c r="L50" s="61" t="s">
        <v>5331</v>
      </c>
      <c r="M50" t="s">
        <v>5334</v>
      </c>
      <c r="N50" t="s">
        <v>5328</v>
      </c>
      <c r="O50" t="s">
        <v>5333</v>
      </c>
      <c r="P50" t="s">
        <v>5329</v>
      </c>
      <c r="Q50" t="s">
        <v>2310</v>
      </c>
    </row>
    <row r="51" spans="1:17" x14ac:dyDescent="0.2">
      <c r="A51" t="s">
        <v>5455</v>
      </c>
      <c r="B51">
        <v>1235677</v>
      </c>
      <c r="C51" t="s">
        <v>5328</v>
      </c>
      <c r="D51" t="s">
        <v>265</v>
      </c>
      <c r="E51" t="s">
        <v>108</v>
      </c>
      <c r="F51" t="s">
        <v>34</v>
      </c>
      <c r="G51" t="s">
        <v>5330</v>
      </c>
      <c r="J51" s="61" t="s">
        <v>5336</v>
      </c>
      <c r="K51" t="s">
        <v>5332</v>
      </c>
      <c r="L51" s="61" t="s">
        <v>5411</v>
      </c>
      <c r="M51" t="s">
        <v>5334</v>
      </c>
      <c r="N51" t="s">
        <v>5328</v>
      </c>
      <c r="O51" t="s">
        <v>5333</v>
      </c>
      <c r="P51" t="s">
        <v>5329</v>
      </c>
      <c r="Q51" t="s">
        <v>34</v>
      </c>
    </row>
    <row r="52" spans="1:17" x14ac:dyDescent="0.2">
      <c r="A52" t="s">
        <v>5362</v>
      </c>
      <c r="B52">
        <v>1235682</v>
      </c>
      <c r="C52" t="s">
        <v>5363</v>
      </c>
      <c r="D52" t="s">
        <v>5457</v>
      </c>
      <c r="E52" t="s">
        <v>59</v>
      </c>
      <c r="G52" t="s">
        <v>223</v>
      </c>
      <c r="J52" s="61" t="s">
        <v>5336</v>
      </c>
      <c r="K52" t="s">
        <v>5366</v>
      </c>
      <c r="L52" s="61" t="s">
        <v>5458</v>
      </c>
      <c r="M52" t="s">
        <v>34</v>
      </c>
      <c r="N52" t="s">
        <v>5363</v>
      </c>
      <c r="O52" t="s">
        <v>5367</v>
      </c>
      <c r="P52" t="s">
        <v>5364</v>
      </c>
      <c r="Q52" t="s">
        <v>5456</v>
      </c>
    </row>
    <row r="53" spans="1:17" x14ac:dyDescent="0.2">
      <c r="A53" t="s">
        <v>5461</v>
      </c>
      <c r="B53">
        <v>1235686</v>
      </c>
      <c r="C53" t="s">
        <v>5363</v>
      </c>
      <c r="D53" t="s">
        <v>5460</v>
      </c>
      <c r="E53" t="s">
        <v>75</v>
      </c>
      <c r="G53" t="s">
        <v>223</v>
      </c>
      <c r="J53" s="61" t="s">
        <v>5336</v>
      </c>
      <c r="K53" t="s">
        <v>5366</v>
      </c>
      <c r="L53" s="61" t="s">
        <v>5458</v>
      </c>
      <c r="M53" t="s">
        <v>34</v>
      </c>
      <c r="N53" t="s">
        <v>5363</v>
      </c>
      <c r="O53" t="s">
        <v>5367</v>
      </c>
      <c r="P53" t="s">
        <v>5364</v>
      </c>
      <c r="Q53" t="s">
        <v>5459</v>
      </c>
    </row>
    <row r="54" spans="1:17" x14ac:dyDescent="0.2">
      <c r="A54" t="s">
        <v>5463</v>
      </c>
      <c r="B54">
        <v>1235688</v>
      </c>
      <c r="C54" t="s">
        <v>5328</v>
      </c>
      <c r="D54" t="s">
        <v>5462</v>
      </c>
      <c r="E54" t="s">
        <v>108</v>
      </c>
      <c r="F54" t="s">
        <v>34</v>
      </c>
      <c r="G54" t="s">
        <v>5330</v>
      </c>
      <c r="J54" s="61"/>
      <c r="K54" t="s">
        <v>5332</v>
      </c>
      <c r="L54" s="61" t="s">
        <v>5411</v>
      </c>
      <c r="M54" t="s">
        <v>5334</v>
      </c>
      <c r="N54" t="s">
        <v>5328</v>
      </c>
      <c r="O54" t="s">
        <v>5333</v>
      </c>
      <c r="P54" t="s">
        <v>5329</v>
      </c>
      <c r="Q54" t="s">
        <v>34</v>
      </c>
    </row>
    <row r="55" spans="1:17" x14ac:dyDescent="0.2">
      <c r="A55" t="s">
        <v>614</v>
      </c>
      <c r="B55">
        <v>1235704</v>
      </c>
      <c r="C55" t="s">
        <v>5328</v>
      </c>
      <c r="D55" t="s">
        <v>614</v>
      </c>
      <c r="E55" t="s">
        <v>5464</v>
      </c>
      <c r="G55" t="s">
        <v>5339</v>
      </c>
      <c r="J55" s="61" t="s">
        <v>5336</v>
      </c>
      <c r="K55" t="s">
        <v>5340</v>
      </c>
      <c r="L55" s="61"/>
      <c r="M55" t="s">
        <v>5341</v>
      </c>
      <c r="N55" t="s">
        <v>5328</v>
      </c>
      <c r="O55" t="s">
        <v>5339</v>
      </c>
      <c r="P55" t="s">
        <v>5338</v>
      </c>
      <c r="Q55" t="s">
        <v>615</v>
      </c>
    </row>
    <row r="56" spans="1:17" x14ac:dyDescent="0.2">
      <c r="A56" t="s">
        <v>5465</v>
      </c>
      <c r="B56">
        <v>1235709</v>
      </c>
      <c r="C56" t="s">
        <v>5328</v>
      </c>
      <c r="D56" t="s">
        <v>267</v>
      </c>
      <c r="E56" t="s">
        <v>34</v>
      </c>
      <c r="F56" t="s">
        <v>34</v>
      </c>
      <c r="G56" t="s">
        <v>5330</v>
      </c>
      <c r="J56" s="61" t="s">
        <v>5336</v>
      </c>
      <c r="K56" t="s">
        <v>5332</v>
      </c>
      <c r="L56" s="61" t="s">
        <v>5331</v>
      </c>
      <c r="M56" t="s">
        <v>5334</v>
      </c>
      <c r="N56" t="s">
        <v>5328</v>
      </c>
      <c r="O56" t="s">
        <v>5333</v>
      </c>
      <c r="P56" t="s">
        <v>5329</v>
      </c>
      <c r="Q56" t="s">
        <v>34</v>
      </c>
    </row>
    <row r="57" spans="1:17" x14ac:dyDescent="0.2">
      <c r="A57" t="s">
        <v>5343</v>
      </c>
      <c r="B57">
        <v>1235743</v>
      </c>
      <c r="C57" t="s">
        <v>5344</v>
      </c>
      <c r="D57" t="s">
        <v>5469</v>
      </c>
      <c r="E57" t="s">
        <v>5468</v>
      </c>
      <c r="F57" t="s">
        <v>5467</v>
      </c>
      <c r="G57" t="s">
        <v>5406</v>
      </c>
      <c r="J57" s="61"/>
      <c r="K57" t="s">
        <v>5348</v>
      </c>
      <c r="L57" s="61" t="s">
        <v>5470</v>
      </c>
      <c r="M57" t="s">
        <v>34</v>
      </c>
      <c r="N57" t="s">
        <v>5344</v>
      </c>
      <c r="O57" t="s">
        <v>5407</v>
      </c>
      <c r="P57" t="s">
        <v>5345</v>
      </c>
      <c r="Q57" t="s">
        <v>5466</v>
      </c>
    </row>
    <row r="58" spans="1:17" x14ac:dyDescent="0.2">
      <c r="A58" t="s">
        <v>34</v>
      </c>
      <c r="B58">
        <v>1235767</v>
      </c>
      <c r="C58" t="s">
        <v>5328</v>
      </c>
      <c r="D58" t="s">
        <v>552</v>
      </c>
      <c r="E58" t="s">
        <v>34</v>
      </c>
      <c r="F58" t="s">
        <v>34</v>
      </c>
      <c r="G58" t="s">
        <v>5330</v>
      </c>
      <c r="J58" s="61"/>
      <c r="K58" t="s">
        <v>5332</v>
      </c>
      <c r="L58" s="61" t="s">
        <v>34</v>
      </c>
      <c r="M58" t="s">
        <v>5334</v>
      </c>
      <c r="N58" t="s">
        <v>5328</v>
      </c>
      <c r="O58" t="s">
        <v>5333</v>
      </c>
      <c r="P58" t="s">
        <v>5329</v>
      </c>
      <c r="Q58" t="s">
        <v>553</v>
      </c>
    </row>
    <row r="59" spans="1:17" x14ac:dyDescent="0.2">
      <c r="A59" t="s">
        <v>34</v>
      </c>
      <c r="B59">
        <v>1235768</v>
      </c>
      <c r="C59" t="s">
        <v>5328</v>
      </c>
      <c r="D59" t="s">
        <v>576</v>
      </c>
      <c r="E59" t="s">
        <v>34</v>
      </c>
      <c r="F59" t="s">
        <v>34</v>
      </c>
      <c r="G59" t="s">
        <v>5330</v>
      </c>
      <c r="J59" s="61" t="s">
        <v>5336</v>
      </c>
      <c r="K59" t="s">
        <v>5332</v>
      </c>
      <c r="L59" s="61" t="s">
        <v>34</v>
      </c>
      <c r="M59" t="s">
        <v>5334</v>
      </c>
      <c r="N59" t="s">
        <v>5328</v>
      </c>
      <c r="O59" t="s">
        <v>5333</v>
      </c>
      <c r="P59" t="s">
        <v>5329</v>
      </c>
      <c r="Q59" t="s">
        <v>577</v>
      </c>
    </row>
    <row r="60" spans="1:17" x14ac:dyDescent="0.2">
      <c r="A60" t="s">
        <v>34</v>
      </c>
      <c r="B60">
        <v>1235769</v>
      </c>
      <c r="C60" t="s">
        <v>5328</v>
      </c>
      <c r="D60" t="s">
        <v>578</v>
      </c>
      <c r="E60" t="s">
        <v>34</v>
      </c>
      <c r="F60" t="s">
        <v>34</v>
      </c>
      <c r="G60" t="s">
        <v>5330</v>
      </c>
      <c r="J60" s="61" t="s">
        <v>5336</v>
      </c>
      <c r="K60" t="s">
        <v>5332</v>
      </c>
      <c r="L60" s="61" t="s">
        <v>34</v>
      </c>
      <c r="M60" t="s">
        <v>5334</v>
      </c>
      <c r="N60" t="s">
        <v>5328</v>
      </c>
      <c r="O60" t="s">
        <v>5333</v>
      </c>
      <c r="P60" t="s">
        <v>5329</v>
      </c>
      <c r="Q60" t="s">
        <v>579</v>
      </c>
    </row>
    <row r="61" spans="1:17" x14ac:dyDescent="0.2">
      <c r="A61" t="s">
        <v>5473</v>
      </c>
      <c r="B61">
        <v>1235770</v>
      </c>
      <c r="C61" t="s">
        <v>5328</v>
      </c>
      <c r="D61" t="s">
        <v>551</v>
      </c>
      <c r="E61" t="s">
        <v>5472</v>
      </c>
      <c r="G61" t="s">
        <v>5339</v>
      </c>
      <c r="J61" s="61" t="s">
        <v>5336</v>
      </c>
      <c r="K61" t="s">
        <v>5340</v>
      </c>
      <c r="L61" s="61" t="s">
        <v>5331</v>
      </c>
      <c r="M61" t="s">
        <v>5341</v>
      </c>
      <c r="N61" t="s">
        <v>5328</v>
      </c>
      <c r="O61" t="s">
        <v>5339</v>
      </c>
      <c r="P61" t="s">
        <v>5338</v>
      </c>
      <c r="Q61" t="s">
        <v>5471</v>
      </c>
    </row>
    <row r="62" spans="1:17" x14ac:dyDescent="0.2">
      <c r="A62" t="s">
        <v>34</v>
      </c>
      <c r="B62">
        <v>1235772</v>
      </c>
      <c r="C62" t="s">
        <v>5328</v>
      </c>
      <c r="D62" t="s">
        <v>563</v>
      </c>
      <c r="E62" t="s">
        <v>34</v>
      </c>
      <c r="F62" t="s">
        <v>34</v>
      </c>
      <c r="G62" t="s">
        <v>5330</v>
      </c>
      <c r="J62" s="61"/>
      <c r="K62" t="s">
        <v>5332</v>
      </c>
      <c r="L62" s="61" t="s">
        <v>34</v>
      </c>
      <c r="M62" t="s">
        <v>5334</v>
      </c>
      <c r="N62" t="s">
        <v>5328</v>
      </c>
      <c r="O62" t="s">
        <v>5333</v>
      </c>
      <c r="P62" t="s">
        <v>5329</v>
      </c>
      <c r="Q62" t="s">
        <v>564</v>
      </c>
    </row>
    <row r="63" spans="1:17" x14ac:dyDescent="0.2">
      <c r="A63" t="s">
        <v>5475</v>
      </c>
      <c r="B63">
        <v>1235777</v>
      </c>
      <c r="C63" t="s">
        <v>5328</v>
      </c>
      <c r="D63" t="s">
        <v>565</v>
      </c>
      <c r="E63" t="s">
        <v>5474</v>
      </c>
      <c r="G63" t="s">
        <v>5339</v>
      </c>
      <c r="J63" s="61" t="s">
        <v>5336</v>
      </c>
      <c r="K63" t="s">
        <v>5340</v>
      </c>
      <c r="L63" s="61" t="s">
        <v>5331</v>
      </c>
      <c r="M63" t="s">
        <v>5341</v>
      </c>
      <c r="N63" t="s">
        <v>5328</v>
      </c>
      <c r="O63" t="s">
        <v>5339</v>
      </c>
      <c r="P63" t="s">
        <v>5338</v>
      </c>
      <c r="Q63" t="s">
        <v>251</v>
      </c>
    </row>
    <row r="64" spans="1:17" x14ac:dyDescent="0.2">
      <c r="A64" t="s">
        <v>5343</v>
      </c>
      <c r="B64">
        <v>1446161</v>
      </c>
      <c r="C64" t="s">
        <v>5344</v>
      </c>
      <c r="D64" t="s">
        <v>5479</v>
      </c>
      <c r="E64" t="s">
        <v>5478</v>
      </c>
      <c r="F64" t="s">
        <v>5477</v>
      </c>
      <c r="G64" t="s">
        <v>5346</v>
      </c>
      <c r="J64" s="61" t="s">
        <v>5336</v>
      </c>
      <c r="K64" t="s">
        <v>5348</v>
      </c>
      <c r="L64" s="61"/>
      <c r="M64" t="s">
        <v>5349</v>
      </c>
      <c r="N64" t="s">
        <v>5344</v>
      </c>
      <c r="O64" t="s">
        <v>5349</v>
      </c>
      <c r="P64" t="s">
        <v>5345</v>
      </c>
      <c r="Q64" t="s">
        <v>5476</v>
      </c>
    </row>
    <row r="65" spans="1:17" x14ac:dyDescent="0.2">
      <c r="A65" t="s">
        <v>5343</v>
      </c>
      <c r="B65">
        <v>2336905</v>
      </c>
      <c r="C65" t="s">
        <v>5344</v>
      </c>
      <c r="D65" t="s">
        <v>5483</v>
      </c>
      <c r="E65" t="s">
        <v>5482</v>
      </c>
      <c r="F65" t="s">
        <v>5481</v>
      </c>
      <c r="G65" t="s">
        <v>5346</v>
      </c>
      <c r="J65" s="61" t="s">
        <v>5336</v>
      </c>
      <c r="K65" t="s">
        <v>5348</v>
      </c>
      <c r="L65" s="61" t="s">
        <v>5470</v>
      </c>
      <c r="M65" t="s">
        <v>5349</v>
      </c>
      <c r="N65" t="s">
        <v>5344</v>
      </c>
      <c r="O65" t="s">
        <v>5349</v>
      </c>
      <c r="P65" t="s">
        <v>5345</v>
      </c>
      <c r="Q65" t="s">
        <v>5480</v>
      </c>
    </row>
    <row r="66" spans="1:17" x14ac:dyDescent="0.2">
      <c r="A66" t="s">
        <v>5487</v>
      </c>
      <c r="B66">
        <v>2550412</v>
      </c>
      <c r="C66" t="s">
        <v>5344</v>
      </c>
      <c r="D66" t="s">
        <v>5486</v>
      </c>
      <c r="E66" t="s">
        <v>5485</v>
      </c>
      <c r="F66" t="s">
        <v>3499</v>
      </c>
      <c r="G66" t="s">
        <v>5406</v>
      </c>
      <c r="J66" s="61" t="s">
        <v>5336</v>
      </c>
      <c r="K66" t="s">
        <v>5348</v>
      </c>
      <c r="L66" s="61" t="s">
        <v>5347</v>
      </c>
      <c r="M66" t="s">
        <v>34</v>
      </c>
      <c r="N66" t="s">
        <v>5344</v>
      </c>
      <c r="O66" t="s">
        <v>5407</v>
      </c>
      <c r="P66" t="s">
        <v>5345</v>
      </c>
      <c r="Q66" t="s">
        <v>5484</v>
      </c>
    </row>
    <row r="67" spans="1:17" x14ac:dyDescent="0.2">
      <c r="A67" t="s">
        <v>5409</v>
      </c>
      <c r="B67">
        <v>2635568</v>
      </c>
      <c r="C67" t="s">
        <v>5328</v>
      </c>
      <c r="D67" t="s">
        <v>575</v>
      </c>
      <c r="E67" t="s">
        <v>5488</v>
      </c>
      <c r="G67" t="s">
        <v>5330</v>
      </c>
      <c r="J67" s="61" t="s">
        <v>5336</v>
      </c>
      <c r="K67" t="s">
        <v>5332</v>
      </c>
      <c r="L67" s="61" t="s">
        <v>5331</v>
      </c>
      <c r="M67" t="s">
        <v>5334</v>
      </c>
      <c r="N67" t="s">
        <v>5328</v>
      </c>
      <c r="O67" t="s">
        <v>5333</v>
      </c>
      <c r="P67" t="s">
        <v>5329</v>
      </c>
      <c r="Q67" t="s">
        <v>261</v>
      </c>
    </row>
    <row r="68" spans="1:17" x14ac:dyDescent="0.2">
      <c r="A68" t="s">
        <v>5343</v>
      </c>
      <c r="B68">
        <v>2701517</v>
      </c>
      <c r="C68" t="s">
        <v>5344</v>
      </c>
      <c r="D68" t="s">
        <v>219</v>
      </c>
      <c r="E68" t="s">
        <v>5491</v>
      </c>
      <c r="F68" t="s">
        <v>5490</v>
      </c>
      <c r="G68" t="s">
        <v>5406</v>
      </c>
      <c r="J68" s="61" t="s">
        <v>5336</v>
      </c>
      <c r="K68" t="s">
        <v>5348</v>
      </c>
      <c r="L68" s="61" t="s">
        <v>5347</v>
      </c>
      <c r="M68" t="s">
        <v>34</v>
      </c>
      <c r="N68" t="s">
        <v>5344</v>
      </c>
      <c r="O68" t="s">
        <v>5407</v>
      </c>
      <c r="P68" t="s">
        <v>5345</v>
      </c>
      <c r="Q68" t="s">
        <v>5489</v>
      </c>
    </row>
    <row r="69" spans="1:17" x14ac:dyDescent="0.2">
      <c r="A69" t="s">
        <v>5494</v>
      </c>
      <c r="B69">
        <v>2822437</v>
      </c>
      <c r="C69" t="s">
        <v>5328</v>
      </c>
      <c r="D69" t="s">
        <v>5493</v>
      </c>
      <c r="E69" t="s">
        <v>5492</v>
      </c>
      <c r="G69" t="s">
        <v>5495</v>
      </c>
      <c r="J69" s="61"/>
      <c r="K69" t="s">
        <v>5496</v>
      </c>
      <c r="L69" s="61"/>
      <c r="N69" t="s">
        <v>5328</v>
      </c>
      <c r="O69" t="s">
        <v>5495</v>
      </c>
      <c r="Q69" t="s">
        <v>5492</v>
      </c>
    </row>
    <row r="70" spans="1:17" x14ac:dyDescent="0.2">
      <c r="A70" t="s">
        <v>5498</v>
      </c>
      <c r="B70">
        <v>2822784</v>
      </c>
      <c r="C70" t="s">
        <v>11066</v>
      </c>
      <c r="D70" t="s">
        <v>5498</v>
      </c>
      <c r="E70" t="s">
        <v>5497</v>
      </c>
      <c r="F70" t="s">
        <v>177</v>
      </c>
      <c r="G70" t="s">
        <v>5354</v>
      </c>
      <c r="J70" s="61" t="s">
        <v>5336</v>
      </c>
      <c r="K70" t="s">
        <v>5500</v>
      </c>
      <c r="L70" s="61" t="s">
        <v>5357</v>
      </c>
      <c r="M70" t="s">
        <v>5501</v>
      </c>
      <c r="N70" t="s">
        <v>5499</v>
      </c>
      <c r="O70" t="s">
        <v>5501</v>
      </c>
      <c r="Q70" t="s">
        <v>5497</v>
      </c>
    </row>
    <row r="71" spans="1:17" x14ac:dyDescent="0.2">
      <c r="A71" t="s">
        <v>6057</v>
      </c>
      <c r="B71">
        <v>2884452</v>
      </c>
      <c r="C71" t="s">
        <v>6058</v>
      </c>
      <c r="D71" t="s">
        <v>6059</v>
      </c>
      <c r="E71" t="s">
        <v>6060</v>
      </c>
      <c r="G71" t="s">
        <v>223</v>
      </c>
      <c r="J71" s="61" t="s">
        <v>5336</v>
      </c>
      <c r="K71" t="s">
        <v>5366</v>
      </c>
      <c r="L71" s="61" t="s">
        <v>5414</v>
      </c>
      <c r="M71" t="s">
        <v>34</v>
      </c>
      <c r="N71" t="s">
        <v>5363</v>
      </c>
      <c r="O71" t="s">
        <v>5367</v>
      </c>
      <c r="P71" t="s">
        <v>5364</v>
      </c>
      <c r="Q71" t="s">
        <v>6061</v>
      </c>
    </row>
  </sheetData>
  <sheetProtection autoFilter="0"/>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5502</v>
      </c>
      <c r="B1" t="s">
        <v>5532</v>
      </c>
    </row>
    <row r="2" spans="1:2" x14ac:dyDescent="0.2">
      <c r="A2" s="683"/>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2" zoomScaleNormal="100" workbookViewId="0">
      <selection activeCell="P21" sqref="P21"/>
    </sheetView>
  </sheetViews>
  <sheetFormatPr defaultRowHeight="12.75" x14ac:dyDescent="0.2"/>
  <cols>
    <col min="1" max="16" width="12.85546875" customWidth="1"/>
    <col min="17" max="17" width="13" customWidth="1"/>
  </cols>
  <sheetData>
    <row r="1" spans="1:16" ht="18" x14ac:dyDescent="0.25">
      <c r="F1" s="38" t="s">
        <v>5551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5552</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str">
        <f>IF(Main!D5="","",Main!D5)</f>
        <v>CHROME PLUS INT'L - WICHITA</v>
      </c>
      <c r="K5" s="44"/>
      <c r="L5" s="44"/>
      <c r="M5" s="44"/>
      <c r="N5" s="44"/>
      <c r="O5" s="44"/>
      <c r="P5" s="44"/>
    </row>
    <row r="6" spans="1:16" x14ac:dyDescent="0.2">
      <c r="A6" s="78" t="s">
        <v>7</v>
      </c>
      <c r="B6" s="81" t="str">
        <f>IF(Main!D6=0,"",Main!D6)</f>
        <v>DESPATCH RS4HD Temperature Uniformity Survey, 10 points</v>
      </c>
      <c r="C6" s="44"/>
      <c r="D6" s="44"/>
      <c r="E6" s="44"/>
      <c r="F6" s="44"/>
      <c r="G6" s="44"/>
      <c r="H6" s="44"/>
      <c r="I6" s="78" t="s">
        <v>5553</v>
      </c>
      <c r="J6" s="77" t="str">
        <f>IF(Temperature="","",Temperature)</f>
        <v/>
      </c>
      <c r="K6" s="44"/>
      <c r="L6" s="44"/>
      <c r="M6" s="44"/>
      <c r="N6" s="44"/>
      <c r="O6" s="44"/>
      <c r="P6" s="44"/>
    </row>
    <row r="7" spans="1:16" x14ac:dyDescent="0.2">
      <c r="A7" s="78" t="s">
        <v>39</v>
      </c>
      <c r="B7" s="81" t="str">
        <f>IF(Main!D7=0,"",Main!D7)</f>
        <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0.2</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0.3</v>
      </c>
      <c r="G11" s="143" cm="1">
        <f t="array" ref="G11">_xlfn.XLOOKUP(
  TEXT(Temperature, "0"),
  DaqbookOffsets[#Headers],
  _xlfn.XLOOKUP(G10, DaqbookOffsets[Point], DaqbookOffsets[]),
  "No match", 1
  )</f>
        <v>0.1</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-0.1</v>
      </c>
      <c r="J11" s="143" cm="1">
        <f t="array" ref="J11">_xlfn.XLOOKUP(
  TEXT(Temperature, "0"),
  DaqbookOffsets[#Headers],
  _xlfn.XLOOKUP(J10, DaqbookOffsets[Point], DaqbookOffsets[]),
  "No match", 1
  )</f>
        <v>0.3</v>
      </c>
      <c r="K11" s="143" cm="1">
        <f t="array" ref="K11">_xlfn.XLOOKUP(
  TEXT(Temperature, "0"),
  DaqbookOffsets[#Headers],
  _xlfn.XLOOKUP(K10, DaqbookOffsets[Point], DaqbookOffsets[]),
  "No match", 1
  )</f>
        <v>0.2</v>
      </c>
      <c r="L11" s="143" cm="1">
        <f t="array" ref="L11">_xlfn.XLOOKUP(
  TEXT(Temperature, "0"),
  DaqbookOffsets[#Headers],
  _xlfn.XLOOKUP(L10, DaqbookOffsets[Point], DaqbookOffsets[]),
  "No match", 1
  )</f>
        <v>0.4</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v>
      </c>
      <c r="O11" s="143" cm="1">
        <f t="array" ref="O11">_xlfn.XLOOKUP(
  TEXT(Temperature, "0"),
  DaqbookOffsets[#Headers],
  _xlfn.XLOOKUP(O10, DaqbookOffsets[Point], DaqbookOffsets[]),
  "No match", 1
  )</f>
        <v>0.1</v>
      </c>
      <c r="P11" s="143" cm="1">
        <f t="array" ref="P11">_xlfn.XLOOKUP(
  TEXT(Temperature, "0"),
  DaqbookOffsets[#Headers],
  _xlfn.XLOOKUP(P10, DaqbookOffsets[Point], DaqbookOffsets[]),
  "No match", 1
  )</f>
        <v>0.1</v>
      </c>
    </row>
    <row r="12" spans="1:16" x14ac:dyDescent="0.2">
      <c r="A12" s="44"/>
      <c r="B12" s="83" t="s">
        <v>42</v>
      </c>
      <c r="C12" s="143">
        <f>IFERROR(VLOOKUP(C10,Query1[],2,FALSE),"")</f>
        <v>1</v>
      </c>
      <c r="D12" s="143">
        <f>IFERROR(VLOOKUP(D10,Query1[],2,FALSE),"")</f>
        <v>1</v>
      </c>
      <c r="E12" s="143">
        <f>IFERROR(VLOOKUP(E10,Query1[],2,FALSE),"")</f>
        <v>1</v>
      </c>
      <c r="F12" s="143">
        <f>IFERROR(VLOOKUP(F10,Query1[],2,FALSE),"")</f>
        <v>1</v>
      </c>
      <c r="G12" s="143">
        <f>IFERROR(VLOOKUP(G10,Query1[],2,FALSE),"")</f>
        <v>1</v>
      </c>
      <c r="H12" s="143">
        <f>IFERROR(VLOOKUP(H10,Query1[],2,FALSE),"")</f>
        <v>1</v>
      </c>
      <c r="I12" s="143">
        <f>IFERROR(VLOOKUP(I10,Query1[],2,FALSE),"")</f>
        <v>1</v>
      </c>
      <c r="J12" s="143">
        <f>IFERROR(VLOOKUP(J10,Query1[],2,FALSE),"")</f>
        <v>1</v>
      </c>
      <c r="K12" s="143">
        <f>IFERROR(VLOOKUP(K10,Query1[],2,FALSE),"")</f>
        <v>1</v>
      </c>
      <c r="L12" s="143">
        <f>IFERROR(VLOOKUP(L10,Query1[],2,FALSE),"")</f>
        <v>1</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f>IF(OR(C11="",C12=""),"",SUM(C11:C12))</f>
        <v>1.2</v>
      </c>
      <c r="D13" s="140">
        <f t="shared" ref="D13:P13" si="0">IF(OR(D11="",D12=""),"",SUM(D11:D12))</f>
        <v>1.2</v>
      </c>
      <c r="E13" s="140">
        <f t="shared" si="0"/>
        <v>1.1000000000000001</v>
      </c>
      <c r="F13" s="140">
        <f t="shared" si="0"/>
        <v>1.3</v>
      </c>
      <c r="G13" s="140">
        <f t="shared" si="0"/>
        <v>1.1000000000000001</v>
      </c>
      <c r="H13" s="140">
        <f t="shared" si="0"/>
        <v>1</v>
      </c>
      <c r="I13" s="140">
        <f t="shared" si="0"/>
        <v>0.9</v>
      </c>
      <c r="J13" s="140">
        <f t="shared" si="0"/>
        <v>1.3</v>
      </c>
      <c r="K13" s="140">
        <f t="shared" si="0"/>
        <v>1.2</v>
      </c>
      <c r="L13" s="140">
        <f t="shared" si="0"/>
        <v>1.4</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-0.1</v>
      </c>
      <c r="E17" s="143" cm="1">
        <f t="array" ref="E17">_xlfn.XLOOKUP(
  TEXT(Temperature, "0"),
  DaqbookOffsets[#Headers],
  _xlfn.XLOOKUP(E16, DaqbookOffsets[Point], DaqbookOffsets[]),
  "No match", 1
)</f>
        <v>-0.1</v>
      </c>
      <c r="F17" s="143" cm="1">
        <f t="array" ref="F17">_xlfn.XLOOKUP(
  TEXT(Temperature, "0"),
  DaqbookOffsets[#Headers],
  _xlfn.XLOOKUP(F16, DaqbookOffsets[Point], DaqbookOffsets[]),
  "No match", 1
)</f>
        <v>0.1</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v>
      </c>
      <c r="I17" s="143" cm="1">
        <f t="array" ref="I17">_xlfn.XLOOKUP(
  TEXT(Temperature, "0"),
  DaqbookOffsets[#Headers],
  _xlfn.XLOOKUP(I16, DaqbookOffsets[Point], DaqbookOffsets[]),
  "No match", 1
)</f>
        <v>0</v>
      </c>
      <c r="J17" s="143" cm="1">
        <f t="array" ref="J17">_xlfn.XLOOKUP(
  TEXT(Temperature, "0"),
  DaqbookOffsets[#Headers],
  _xlfn.XLOOKUP(J16, DaqbookOffsets[Point], DaqbookOffsets[]),
  "No match", 1
)</f>
        <v>0</v>
      </c>
      <c r="K17" s="143" cm="1">
        <f t="array" ref="K17">_xlfn.XLOOKUP(
  TEXT(Temperature, "0"),
  DaqbookOffsets[#Headers],
  _xlfn.XLOOKUP(K16, DaqbookOffsets[Point], DaqbookOffsets[]),
  "No match", 1
)</f>
        <v>0</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-0.5</v>
      </c>
      <c r="N17" s="143" cm="1">
        <f t="array" ref="N17">_xlfn.XLOOKUP(
  TEXT(Temperature, "0"),
  DaqbookOffsets[#Headers],
  _xlfn.XLOOKUP(N16, DaqbookOffsets[Point], DaqbookOffsets[]),
  "No match", 1
)</f>
        <v>0.5</v>
      </c>
      <c r="O17" s="143" cm="1">
        <f t="array" ref="O17">_xlfn.XLOOKUP(
  TEXT(Temperature, "0"),
  DaqbookOffsets[#Headers],
  _xlfn.XLOOKUP(O16, DaqbookOffsets[Point], DaqbookOffsets[]),
  "No match", 1
)</f>
        <v>0.1</v>
      </c>
      <c r="P17" s="143" cm="1">
        <f t="array" ref="P17">_xlfn.XLOOKUP(
  TEXT(Temperature, "0"),
  DaqbookOffsets[#Headers],
  _xlfn.XLOOKUP(P16, DaqbookOffsets[Point], DaqbookOffsets[]),
  "No match", 1
)</f>
        <v>-0.3</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f>IFERROR(VLOOKUP(I16,Query1[],2,FALSE),"")</f>
        <v>1</v>
      </c>
      <c r="J18" s="143">
        <f>IFERROR(VLOOKUP(J16,Query1[],2,FALSE),"")</f>
        <v>1</v>
      </c>
      <c r="K18" s="143">
        <f>IFERROR(VLOOKUP(K16,Query1[],2,FALSE),"")</f>
        <v>1</v>
      </c>
      <c r="L18" s="143">
        <f>IFERROR(VLOOKUP(L16,Query1[],2,FALSE),"")</f>
        <v>1</v>
      </c>
      <c r="M18" s="143">
        <f>IFERROR(VLOOKUP(M16,Query1[],2,FALSE),"")</f>
        <v>1</v>
      </c>
      <c r="N18" s="143">
        <f>IFERROR(VLOOKUP(N16,Query1[],2,FALSE),"")</f>
        <v>1</v>
      </c>
      <c r="O18" s="143">
        <f>IFERROR(VLOOKUP(O16,Query1[],2,FALSE),"")</f>
        <v>1</v>
      </c>
      <c r="P18" s="143">
        <f>IFERROR(VLOOKUP(P16,Query1[],2,FALSE),"")</f>
        <v>1</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f t="shared" si="1"/>
        <v>1</v>
      </c>
      <c r="J19" s="140">
        <f t="shared" si="1"/>
        <v>1</v>
      </c>
      <c r="K19" s="140">
        <f t="shared" si="1"/>
        <v>1</v>
      </c>
      <c r="L19" s="140">
        <f t="shared" si="1"/>
        <v>0.9</v>
      </c>
      <c r="M19" s="140">
        <f t="shared" si="1"/>
        <v>0.5</v>
      </c>
      <c r="N19" s="140">
        <f t="shared" si="1"/>
        <v>1.5</v>
      </c>
      <c r="O19" s="140">
        <f t="shared" si="1"/>
        <v>1.1000000000000001</v>
      </c>
      <c r="P19" s="140">
        <f t="shared" si="1"/>
        <v>0.7</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-0.2</v>
      </c>
      <c r="E23" s="143" cm="1">
        <f t="array" ref="E23">_xlfn.XLOOKUP(
  TEXT(Temperature, "0"),
  DaqbookOffsets[#Headers],
  _xlfn.XLOOKUP(E22, DaqbookOffsets[Point], DaqbookOffsets[]),
  "No match", 1
)</f>
        <v>-0.3</v>
      </c>
      <c r="F23" s="143" cm="1">
        <f t="array" ref="F23">_xlfn.XLOOKUP(
  TEXT(Temperature, "0"),
  DaqbookOffsets[#Headers],
  _xlfn.XLOOKUP(F22, DaqbookOffsets[Point], DaqbookOffsets[]),
  "No match", 1
)</f>
        <v>0.1</v>
      </c>
      <c r="G23" s="143" cm="1">
        <f t="array" ref="G23">_xlfn.XLOOKUP(
  TEXT(Temperature, "0"),
  DaqbookOffsets[#Headers],
  _xlfn.XLOOKUP(G22, DaqbookOffsets[Point], DaqbookOffsets[]),
  "No match", 1
)</f>
        <v>0</v>
      </c>
      <c r="H23" s="143" cm="1">
        <f t="array" ref="H23">_xlfn.XLOOKUP(
  TEXT(Temperature, "0"),
  DaqbookOffsets[#Headers],
  _xlfn.XLOOKUP(H22, DaqbookOffsets[Point], DaqbookOffsets[]),
  "No match", 1
)</f>
        <v>0</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-0.3</v>
      </c>
      <c r="K23" s="143" cm="1">
        <f t="array" ref="K23">_xlfn.XLOOKUP(
  TEXT(Temperature, "0"),
  DaqbookOffsets[#Headers],
  _xlfn.XLOOKUP(K22, DaqbookOffsets[Point], DaqbookOffsets[]),
  "No match", 1
)</f>
        <v>-0.4</v>
      </c>
      <c r="L23" s="143" cm="1">
        <f t="array" ref="L23">_xlfn.XLOOKUP(
  TEXT(Temperature, "0"),
  DaqbookOffsets[#Headers],
  _xlfn.XLOOKUP(L22, DaqbookOffsets[Point], DaqbookOffsets[]),
  "No match", 1
)</f>
        <v>-0.1</v>
      </c>
      <c r="M23" s="143" cm="1">
        <f t="array" ref="M23">_xlfn.XLOOKUP(
  TEXT(Temperature, "0"),
  DaqbookOffsets[#Headers],
  _xlfn.XLOOKUP(M22, DaqbookOffsets[Point], DaqbookOffsets[]),
  "No match", 1
)</f>
        <v>-0.2</v>
      </c>
      <c r="N23" s="143" cm="1">
        <f t="array" ref="N23">_xlfn.XLOOKUP(
  TEXT(Temperature, "0"),
  DaqbookOffsets[#Headers],
  _xlfn.XLOOKUP(N22, DaqbookOffsets[Point], DaqbookOffsets[]),
  "No match", 1
)</f>
        <v>-0.1</v>
      </c>
      <c r="O23" s="44"/>
      <c r="P23" s="44"/>
    </row>
    <row r="24" spans="1:20" x14ac:dyDescent="0.2">
      <c r="A24" s="44"/>
      <c r="B24" s="83" t="s">
        <v>42</v>
      </c>
      <c r="C24" s="143">
        <f>IFERROR(VLOOKUP(C22,Query1[],2,FALSE),"")</f>
        <v>1</v>
      </c>
      <c r="D24" s="143">
        <f>IFERROR(VLOOKUP(D22,Query1[],2,FALSE),"")</f>
        <v>1</v>
      </c>
      <c r="E24" s="143">
        <f>IFERROR(VLOOKUP(E22,Query1[],2,FALSE),"")</f>
        <v>1</v>
      </c>
      <c r="F24" s="143">
        <f>IFERROR(VLOOKUP(F22,Query1[],2,FALSE),"")</f>
        <v>1</v>
      </c>
      <c r="G24" s="143">
        <f>IFERROR(VLOOKUP(G22,Query1[],2,FALSE),"")</f>
        <v>1</v>
      </c>
      <c r="H24" s="143">
        <f>IFERROR(VLOOKUP(H22,Query1[],2,FALSE),"")</f>
        <v>1</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f>IF(OR(C23="",C24=""),"",SUM(C23:C24))</f>
        <v>0.8</v>
      </c>
      <c r="D25" s="140">
        <f t="shared" ref="D25:N25" si="2">IF(OR(D23="",D24=""),"",SUM(D23:D24))</f>
        <v>0.8</v>
      </c>
      <c r="E25" s="140">
        <f t="shared" si="2"/>
        <v>0.7</v>
      </c>
      <c r="F25" s="140">
        <f t="shared" si="2"/>
        <v>1.1000000000000001</v>
      </c>
      <c r="G25" s="140">
        <f t="shared" si="2"/>
        <v>1</v>
      </c>
      <c r="H25" s="140">
        <f t="shared" si="2"/>
        <v>1</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35" t="s">
        <v>2328</v>
      </c>
      <c r="I28" s="635"/>
      <c r="J28" s="635"/>
      <c r="K28" s="635"/>
      <c r="L28" s="635"/>
      <c r="M28" s="635"/>
      <c r="N28" s="635"/>
      <c r="O28" s="635"/>
      <c r="P28" s="635"/>
      <c r="Q28" s="635"/>
      <c r="R28" s="635"/>
    </row>
    <row r="29" spans="1:20" x14ac:dyDescent="0.2">
      <c r="A29" s="624" t="s">
        <v>46</v>
      </c>
      <c r="B29" s="625"/>
      <c r="C29" s="65" t="str">
        <f>IF(Main!D48="","",Main!D48)</f>
        <v/>
      </c>
      <c r="D29" s="65" t="str">
        <f>IF(Main!E48="","",Main!E48)</f>
        <v/>
      </c>
      <c r="E29" s="65" t="str">
        <f>IF(Main!F48="","",Main!F48)</f>
        <v/>
      </c>
      <c r="F29" s="65" t="str">
        <f>IF(Main!G48="","",Main!G48)</f>
        <v/>
      </c>
      <c r="G29" s="459"/>
      <c r="H29" s="454" t="s">
        <v>2329</v>
      </c>
      <c r="I29" s="143" t="str">
        <f>IF(Main!N47="","",Main!N47)</f>
        <v>Periodic</v>
      </c>
      <c r="J29" s="643" t="s">
        <v>2330</v>
      </c>
      <c r="K29" s="644"/>
      <c r="L29" s="143" t="str">
        <f>IF(Main!R47="","",Main!R47)</f>
        <v>Air</v>
      </c>
    </row>
    <row r="30" spans="1:20" x14ac:dyDescent="0.2">
      <c r="A30" s="624" t="s">
        <v>47</v>
      </c>
      <c r="B30" s="625"/>
      <c r="C30" s="66" t="str">
        <f>IF(Main!D49="","",Main!D49)</f>
        <v/>
      </c>
      <c r="D30" s="66" t="str">
        <f>IF(Main!E49="","",Main!E49)</f>
        <v/>
      </c>
      <c r="E30" s="66" t="str">
        <f>IF(Main!F49="","",Main!F49)</f>
        <v/>
      </c>
      <c r="F30" s="66" t="str">
        <f>IF(Main!G49="","",Main!G49)</f>
        <v/>
      </c>
      <c r="G30" s="461"/>
      <c r="H30" s="636" t="s">
        <v>2316</v>
      </c>
      <c r="I30" s="636"/>
      <c r="J30" s="645" t="s">
        <v>3555</v>
      </c>
      <c r="K30" s="646"/>
      <c r="L30" s="647"/>
      <c r="M30" s="451"/>
      <c r="O30" s="637" t="s">
        <v>3558</v>
      </c>
      <c r="P30" s="638"/>
      <c r="Q30" s="639"/>
      <c r="T30" s="44"/>
    </row>
    <row r="31" spans="1:20" x14ac:dyDescent="0.2">
      <c r="A31" s="624" t="s">
        <v>48</v>
      </c>
      <c r="B31" s="625"/>
      <c r="C31" s="66" t="str">
        <f>IF(Main!D50="","",Main!D50)</f>
        <v/>
      </c>
      <c r="D31" s="66" t="str">
        <f>IF(Main!E50="","",Main!E50)</f>
        <v/>
      </c>
      <c r="E31" s="66" t="str">
        <f>IF(Main!F50="","",Main!F50)</f>
        <v/>
      </c>
      <c r="F31" s="66" t="str">
        <f>IF(Main!G50="","",Main!G50)</f>
        <v/>
      </c>
      <c r="G31" s="461"/>
      <c r="H31" s="379" t="s">
        <v>2331</v>
      </c>
      <c r="I31" s="398" t="str">
        <f>IF(Main!N49="","",Main!N49)</f>
        <v>Unavailable</v>
      </c>
      <c r="J31" s="626" t="s">
        <v>3563</v>
      </c>
      <c r="K31" s="627"/>
      <c r="L31" s="628"/>
      <c r="M31" s="452" t="str">
        <f>IF(Main!S49="","",Main!S49)</f>
        <v/>
      </c>
      <c r="O31" s="640" t="s">
        <v>3565</v>
      </c>
      <c r="P31" s="641"/>
      <c r="Q31" s="642"/>
      <c r="R31" s="82" t="str">
        <f>IF(Main!X49="","",Main!X49)</f>
        <v/>
      </c>
      <c r="T31" s="44"/>
    </row>
    <row r="32" spans="1:20" ht="12.75" customHeight="1" x14ac:dyDescent="0.2">
      <c r="A32" s="624" t="s">
        <v>49</v>
      </c>
      <c r="B32" s="625"/>
      <c r="C32" s="65" t="str">
        <f>IF(Main!D51="","",Main!D51)</f>
        <v/>
      </c>
      <c r="D32" s="65" t="str">
        <f>IF(Main!E51="","",Main!E51)</f>
        <v/>
      </c>
      <c r="E32" s="65" t="str">
        <f>IF(Main!F51="","",Main!F51)</f>
        <v/>
      </c>
      <c r="F32" s="65" t="str">
        <f>IF(Main!G51="","",Main!G51)</f>
        <v/>
      </c>
      <c r="G32" s="459"/>
      <c r="H32" s="379" t="s">
        <v>2551</v>
      </c>
      <c r="I32" s="398" t="str">
        <f>IF(Main!N50="","",Main!N50)</f>
        <v/>
      </c>
      <c r="J32" s="629" t="s">
        <v>2319</v>
      </c>
      <c r="K32" s="630"/>
      <c r="L32" s="631"/>
      <c r="M32" s="434"/>
      <c r="O32" s="629" t="s">
        <v>2319</v>
      </c>
      <c r="P32" s="630"/>
      <c r="Q32" s="631"/>
      <c r="T32" s="44"/>
    </row>
    <row r="33" spans="1:20" ht="12.75" customHeight="1" x14ac:dyDescent="0.2">
      <c r="A33" s="624" t="s">
        <v>2332</v>
      </c>
      <c r="B33" s="625"/>
      <c r="C33" s="65" t="str">
        <f>IF(Main!D52="","",Main!D52)</f>
        <v/>
      </c>
      <c r="D33" s="65" t="str">
        <f>IF(Main!E52="","",Main!E52)</f>
        <v/>
      </c>
      <c r="E33" s="65" t="str">
        <f>IF(Main!F52="","",Main!F52)</f>
        <v/>
      </c>
      <c r="F33" s="65" t="str">
        <f>IF(Main!G52="","",Main!G52)</f>
        <v/>
      </c>
      <c r="G33" s="459"/>
      <c r="H33" s="379" t="s">
        <v>2333</v>
      </c>
      <c r="I33" s="398" t="str">
        <f>IF(Main!N51="","",Main!N51)</f>
        <v/>
      </c>
      <c r="J33" s="632" t="s">
        <v>3564</v>
      </c>
      <c r="K33" s="633"/>
      <c r="L33" s="634"/>
      <c r="M33" s="431" t="str">
        <f>IF(Main!S51="","",Main!S51)</f>
        <v/>
      </c>
      <c r="O33" s="632" t="s">
        <v>3566</v>
      </c>
      <c r="P33" s="633"/>
      <c r="Q33" s="634"/>
      <c r="R33" s="82" t="str">
        <f>IF(Main!X51="","",Main!X51)</f>
        <v/>
      </c>
      <c r="T33" s="44"/>
    </row>
    <row r="34" spans="1:20" ht="12.75" customHeight="1" x14ac:dyDescent="0.2">
      <c r="A34" s="624" t="s">
        <v>50</v>
      </c>
      <c r="B34" s="625"/>
      <c r="C34" s="67" t="str">
        <f>IF(Main!D53="","",Main!D53)</f>
        <v/>
      </c>
      <c r="D34" s="67" t="str">
        <f>IF(Main!E53="","",Main!E53)</f>
        <v/>
      </c>
      <c r="E34" s="67" t="str">
        <f>IF(Main!F53="","",Main!F53)</f>
        <v/>
      </c>
      <c r="F34" s="67" t="str">
        <f>IF(Main!G53="","",Main!G53)</f>
        <v/>
      </c>
      <c r="G34" s="462"/>
      <c r="H34" s="379" t="s">
        <v>2334</v>
      </c>
      <c r="I34" s="378" t="str">
        <f>IF(Main!N52="","",Main!N52)</f>
        <v/>
      </c>
      <c r="J34" s="629" t="s">
        <v>2319</v>
      </c>
      <c r="K34" s="630"/>
      <c r="L34" s="631"/>
      <c r="O34" s="629" t="s">
        <v>2319</v>
      </c>
      <c r="P34" s="630"/>
      <c r="Q34" s="631"/>
      <c r="T34" s="44"/>
    </row>
    <row r="35" spans="1:20" ht="12.75" customHeight="1" x14ac:dyDescent="0.2">
      <c r="A35" s="83"/>
      <c r="B35" s="85" t="s">
        <v>113</v>
      </c>
      <c r="C35" s="96" t="str">
        <f>IF(Main!D54="","",Main!D54)</f>
        <v/>
      </c>
      <c r="D35" s="96" t="str">
        <f>IF(Main!E54="","",Main!E54)</f>
        <v/>
      </c>
      <c r="E35" s="96" t="str">
        <f>IF(Main!F54="","",Main!F54)</f>
        <v/>
      </c>
      <c r="F35" s="96" t="str">
        <f>IF(Main!G54="","",Main!G54)</f>
        <v/>
      </c>
      <c r="G35" s="463"/>
      <c r="H35" s="379" t="s">
        <v>2334</v>
      </c>
      <c r="I35" s="378" t="str">
        <f>IF(Main!N53="","",Main!N53)</f>
        <v/>
      </c>
      <c r="J35" s="618" t="s">
        <v>3567</v>
      </c>
      <c r="K35" s="619"/>
      <c r="L35" s="620"/>
      <c r="M35" s="455" t="str">
        <f>IF(Main!S53="","",Main!S53)</f>
        <v/>
      </c>
      <c r="O35" s="618" t="s">
        <v>3568</v>
      </c>
      <c r="P35" s="619"/>
      <c r="Q35" s="620"/>
      <c r="R35" s="456" t="str">
        <f>IF(Main!X53="","",Main!X53)</f>
        <v/>
      </c>
    </row>
    <row r="36" spans="1:20" ht="13.5" thickBot="1" x14ac:dyDescent="0.25">
      <c r="B36" s="85" t="s">
        <v>2335</v>
      </c>
      <c r="C36" s="65" t="str">
        <f>IF(Main!D56="","",Main!D56)</f>
        <v/>
      </c>
      <c r="D36" s="65" t="str">
        <f>IF(Main!E56="","",Main!E56)</f>
        <v/>
      </c>
      <c r="E36" s="65" t="str">
        <f>IF(Main!F56="","",Main!F56)</f>
        <v/>
      </c>
      <c r="F36" s="65" t="str">
        <f>IF(Main!G56="","",Main!G56)</f>
        <v/>
      </c>
      <c r="G36" s="459"/>
      <c r="H36" s="460"/>
      <c r="J36" s="621"/>
      <c r="K36" s="622"/>
      <c r="L36" s="623"/>
      <c r="M36" s="450"/>
      <c r="O36" s="621"/>
      <c r="P36" s="622"/>
      <c r="Q36" s="623"/>
      <c r="T36" s="44"/>
    </row>
    <row r="37" spans="1:20" ht="13.5" thickBot="1" x14ac:dyDescent="0.25">
      <c r="B37" s="83" t="s">
        <v>2336</v>
      </c>
      <c r="C37" s="65" t="str">
        <f>IF(Main!D57="","",Main!D57)</f>
        <v/>
      </c>
      <c r="D37" s="65" t="str">
        <f>IF(Main!E57="","",Main!E57)</f>
        <v/>
      </c>
      <c r="E37" s="65" t="str">
        <f>IF(Main!F57="","",Main!F57)</f>
        <v/>
      </c>
      <c r="F37" s="65" t="str">
        <f>IF(Main!G57="","",Main!G57)</f>
        <v/>
      </c>
      <c r="G37" s="459"/>
      <c r="H37" s="460"/>
      <c r="J37" s="467" t="s">
        <v>2322</v>
      </c>
      <c r="K37" s="468" t="s">
        <v>26</v>
      </c>
      <c r="L37" s="469" t="s">
        <v>2323</v>
      </c>
      <c r="M37" s="450"/>
      <c r="O37" s="467" t="s">
        <v>2324</v>
      </c>
      <c r="P37" s="468" t="s">
        <v>26</v>
      </c>
      <c r="Q37" s="469" t="s">
        <v>2325</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2463</v>
      </c>
      <c r="M39" s="470"/>
    </row>
    <row r="40" spans="1:20" ht="15.75" x14ac:dyDescent="0.25">
      <c r="B40" s="449"/>
      <c r="C40" s="449"/>
      <c r="D40" s="449"/>
      <c r="E40" s="449"/>
      <c r="K40" s="83" t="s">
        <v>3063</v>
      </c>
      <c r="L40" t="str">
        <f>IF(Main!N54="","",Main!N54)</f>
        <v>0°F</v>
      </c>
      <c r="O40" s="83" t="s">
        <v>3065</v>
      </c>
      <c r="P40" t="str">
        <f>IF(Main!N56="","",Main!N56)</f>
        <v>0°F</v>
      </c>
    </row>
    <row r="41" spans="1:20" x14ac:dyDescent="0.2">
      <c r="K41" s="83" t="s">
        <v>3064</v>
      </c>
      <c r="L41" t="str">
        <f>IF(Main!N55="","",Main!N55)</f>
        <v>0°F</v>
      </c>
      <c r="O41" s="83" t="s">
        <v>3066</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JHmmE67whfFyI6lr602IC2igyZHxQrPr5kMBJa1ps//5l2hTwEYisPE+J+TNC3a/w+nYesN0PzjDD0ja9cebCQ==" saltValue="cFo4pa0k/KfC2TPE+ZNd1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2"/>
      <c r="B1" s="503"/>
      <c r="C1" s="503"/>
      <c r="D1" s="503"/>
      <c r="E1" s="503" t="s">
        <v>97</v>
      </c>
      <c r="F1" s="503"/>
      <c r="G1" s="503"/>
      <c r="H1" s="503"/>
      <c r="I1" s="503"/>
      <c r="J1" s="503"/>
      <c r="K1" s="503"/>
      <c r="L1" s="503"/>
      <c r="M1" s="503"/>
      <c r="N1" s="504"/>
      <c r="O1" s="505"/>
      <c r="P1" s="484" t="s">
        <v>100</v>
      </c>
      <c r="Q1" s="72"/>
      <c r="R1" s="73"/>
      <c r="S1" s="73"/>
      <c r="T1" s="73"/>
      <c r="U1" s="73" t="s">
        <v>98</v>
      </c>
      <c r="V1" s="73"/>
      <c r="W1" s="73"/>
      <c r="X1" s="73"/>
      <c r="Y1" s="73"/>
      <c r="Z1" s="73"/>
      <c r="AA1" s="73"/>
      <c r="AB1" s="73"/>
      <c r="AC1" s="73"/>
      <c r="AD1" s="73"/>
      <c r="AE1" s="74"/>
      <c r="AF1" s="484" t="s">
        <v>100</v>
      </c>
      <c r="AG1" s="72"/>
      <c r="AH1" s="73"/>
      <c r="AI1" s="73"/>
      <c r="AJ1" s="73" t="s">
        <v>99</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je/msIG94T4SZ78xhnxs7G7C8ibzNwd5l4a2baqu9XHLnbyB9VK6fvw1J+pq2yGvKaSPLXpk26Bdlw6EljKdow==" saltValue="IGwsYPBl4T4TdHy1VWLyD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5945</v>
      </c>
      <c r="B1" t="s">
        <v>5502</v>
      </c>
    </row>
    <row r="2" spans="1:2" x14ac:dyDescent="0.2">
      <c r="A2">
        <v>78653</v>
      </c>
      <c r="B2" t="s">
        <v>3499</v>
      </c>
    </row>
    <row r="3" spans="1:2" x14ac:dyDescent="0.2">
      <c r="A3">
        <v>150585</v>
      </c>
      <c r="B3" t="s">
        <v>5467</v>
      </c>
    </row>
    <row r="4" spans="1:2" x14ac:dyDescent="0.2">
      <c r="A4">
        <v>154089</v>
      </c>
      <c r="B4" t="s">
        <v>5477</v>
      </c>
    </row>
    <row r="5" spans="1:2" x14ac:dyDescent="0.2">
      <c r="A5">
        <v>78659</v>
      </c>
      <c r="B5" t="s">
        <v>5430</v>
      </c>
    </row>
    <row r="6" spans="1:2" x14ac:dyDescent="0.2">
      <c r="A6">
        <v>194284</v>
      </c>
      <c r="B6" t="s">
        <v>5490</v>
      </c>
    </row>
    <row r="7" spans="1:2" x14ac:dyDescent="0.2">
      <c r="A7">
        <v>78629</v>
      </c>
      <c r="B7" t="s">
        <v>5405</v>
      </c>
    </row>
    <row r="8" spans="1:2" x14ac:dyDescent="0.2">
      <c r="A8">
        <v>78635</v>
      </c>
      <c r="B8" t="s">
        <v>135</v>
      </c>
    </row>
    <row r="9" spans="1:2" x14ac:dyDescent="0.2">
      <c r="A9">
        <v>187567</v>
      </c>
      <c r="B9" t="s">
        <v>5440</v>
      </c>
    </row>
    <row r="10" spans="1:2" x14ac:dyDescent="0.2">
      <c r="A10">
        <v>157740</v>
      </c>
      <c r="B10" t="s">
        <v>5481</v>
      </c>
    </row>
    <row r="11" spans="1:2" x14ac:dyDescent="0.2">
      <c r="A11">
        <v>197393</v>
      </c>
      <c r="B11" t="s">
        <v>5445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R1" workbookViewId="0">
      <selection activeCell="AC8" sqref="AC8"/>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8" t="s">
        <v>76</v>
      </c>
      <c r="B1" s="603"/>
      <c r="C1" s="603"/>
      <c r="D1" s="603"/>
      <c r="E1" s="40" t="s">
        <v>187</v>
      </c>
      <c r="G1" s="603" t="s">
        <v>89</v>
      </c>
      <c r="H1" s="603"/>
      <c r="K1" t="s">
        <v>120</v>
      </c>
      <c r="M1" t="s">
        <v>121</v>
      </c>
      <c r="O1" t="s">
        <v>152</v>
      </c>
      <c r="Q1" t="s">
        <v>161</v>
      </c>
      <c r="S1" t="s">
        <v>167</v>
      </c>
      <c r="U1" s="44" t="s">
        <v>202</v>
      </c>
      <c r="W1" s="44" t="s">
        <v>206</v>
      </c>
      <c r="Y1" s="44" t="s">
        <v>272</v>
      </c>
      <c r="AA1" s="44" t="s">
        <v>273</v>
      </c>
      <c r="AC1" s="44" t="s">
        <v>583</v>
      </c>
      <c r="AE1" s="88" t="s">
        <v>2455</v>
      </c>
      <c r="AG1" s="41" t="s">
        <v>2462</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585</v>
      </c>
      <c r="AE2" s="44" t="s">
        <v>2456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2285</v>
      </c>
      <c r="Y3" t="s">
        <v>242</v>
      </c>
      <c r="AC3" s="44" t="s">
        <v>584</v>
      </c>
      <c r="AE3" s="44" t="s">
        <v>3503</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2313</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3500</v>
      </c>
      <c r="U6" s="44" t="s">
        <v>139</v>
      </c>
      <c r="Y6" t="s">
        <v>245</v>
      </c>
      <c r="AG6" s="44" t="str">
        <v>Joey Knutson</v>
      </c>
    </row>
    <row r="7" spans="1:33" x14ac:dyDescent="0.2">
      <c r="A7" s="40" t="s">
        <v>75</v>
      </c>
      <c r="B7" s="40" t="s">
        <v>72</v>
      </c>
      <c r="C7" s="40">
        <v>807409</v>
      </c>
      <c r="D7" s="40" t="s">
        <v>90</v>
      </c>
      <c r="E7" s="40">
        <v>40</v>
      </c>
      <c r="O7" t="s">
        <v>156</v>
      </c>
      <c r="Q7" s="44" t="s">
        <v>3501</v>
      </c>
      <c r="U7" s="44" t="s">
        <v>205</v>
      </c>
      <c r="Y7" t="s">
        <v>246</v>
      </c>
      <c r="AG7" s="44" t="str">
        <v>Kevin Ferrante</v>
      </c>
    </row>
    <row r="8" spans="1:33" x14ac:dyDescent="0.2">
      <c r="A8" s="40" t="s">
        <v>140</v>
      </c>
      <c r="B8" s="97" t="s">
        <v>72</v>
      </c>
      <c r="C8" s="97">
        <v>808005</v>
      </c>
      <c r="D8" s="40" t="s">
        <v>90</v>
      </c>
      <c r="E8" s="40">
        <v>28</v>
      </c>
      <c r="O8" t="s">
        <v>155</v>
      </c>
      <c r="Q8" s="44" t="s">
        <v>3502</v>
      </c>
      <c r="U8" t="str">
        <f>IF(AND(Main!D17&lt;&gt;"",Main!D17&gt;14),"Data_Sheet_15_28","")</f>
        <v/>
      </c>
      <c r="Y8" t="s">
        <v>247</v>
      </c>
      <c r="AE8" s="88" t="s">
        <v>2457</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2315</v>
      </c>
      <c r="AG9" s="44" t="str">
        <v>Mike Ragonese</v>
      </c>
    </row>
    <row r="10" spans="1:33" x14ac:dyDescent="0.2">
      <c r="A10" s="40" t="s">
        <v>144</v>
      </c>
      <c r="B10" s="40" t="s">
        <v>72</v>
      </c>
      <c r="C10" s="40">
        <v>807702</v>
      </c>
      <c r="D10" s="40" t="s">
        <v>91</v>
      </c>
      <c r="E10" s="40">
        <v>28</v>
      </c>
      <c r="O10" t="s">
        <v>154</v>
      </c>
      <c r="Y10" t="s">
        <v>250</v>
      </c>
      <c r="AE10" s="44" t="s">
        <v>2458</v>
      </c>
      <c r="AG10" s="44" t="str">
        <v>Nick Nolte</v>
      </c>
    </row>
    <row r="11" spans="1:33" x14ac:dyDescent="0.2">
      <c r="A11" s="40" t="s">
        <v>141</v>
      </c>
      <c r="B11" s="40" t="s">
        <v>72</v>
      </c>
      <c r="C11" s="40">
        <v>808004</v>
      </c>
      <c r="D11" s="40" t="s">
        <v>91</v>
      </c>
      <c r="E11" s="40">
        <v>28</v>
      </c>
      <c r="O11" t="s">
        <v>158</v>
      </c>
      <c r="Y11" s="44" t="s">
        <v>553</v>
      </c>
      <c r="AE11" s="44" t="s">
        <v>164</v>
      </c>
      <c r="AG11" t="str">
        <v>Ryan Byars</v>
      </c>
    </row>
    <row r="12" spans="1:33" x14ac:dyDescent="0.2">
      <c r="O12" t="s">
        <v>157</v>
      </c>
      <c r="Y12" s="44" t="s">
        <v>3303</v>
      </c>
      <c r="AE12" s="44" t="s">
        <v>2459</v>
      </c>
    </row>
    <row r="13" spans="1:33" x14ac:dyDescent="0.2">
      <c r="O13" s="44" t="s">
        <v>3497</v>
      </c>
      <c r="Y13" t="s">
        <v>251</v>
      </c>
      <c r="AE13" s="44" t="s">
        <v>2460</v>
      </c>
    </row>
    <row r="14" spans="1:33" x14ac:dyDescent="0.2">
      <c r="Y14" t="s">
        <v>252</v>
      </c>
      <c r="AE14" s="44" t="s">
        <v>2461</v>
      </c>
    </row>
    <row r="15" spans="1:33" x14ac:dyDescent="0.2">
      <c r="Y15" t="s">
        <v>253</v>
      </c>
      <c r="AE15" s="44" t="s">
        <v>3464</v>
      </c>
    </row>
    <row r="16" spans="1:33" x14ac:dyDescent="0.2">
      <c r="B16" s="47"/>
      <c r="C16" s="47"/>
      <c r="D16" s="47"/>
      <c r="E16" s="47"/>
      <c r="F16" s="47"/>
      <c r="G16" s="47"/>
      <c r="H16" s="47"/>
      <c r="I16" s="47"/>
      <c r="J16" s="47"/>
      <c r="K16" s="47"/>
      <c r="L16" s="47"/>
      <c r="M16" s="47"/>
      <c r="O16" s="47"/>
      <c r="Y16" t="s">
        <v>254</v>
      </c>
    </row>
    <row r="17" spans="25:25" x14ac:dyDescent="0.2">
      <c r="Y17" s="44" t="s">
        <v>616</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564</v>
      </c>
    </row>
    <row r="24" spans="25:25" x14ac:dyDescent="0.2">
      <c r="Y24" s="44" t="s">
        <v>577</v>
      </c>
    </row>
    <row r="25" spans="25:25" x14ac:dyDescent="0.2">
      <c r="Y25" s="44" t="s">
        <v>2310</v>
      </c>
    </row>
    <row r="26" spans="25:25" x14ac:dyDescent="0.2">
      <c r="Y26" t="s">
        <v>260</v>
      </c>
    </row>
    <row r="27" spans="25:25" x14ac:dyDescent="0.2">
      <c r="Y27" t="s">
        <v>261</v>
      </c>
    </row>
    <row r="28" spans="25:25" x14ac:dyDescent="0.2">
      <c r="Y28" s="44" t="s">
        <v>579</v>
      </c>
    </row>
    <row r="29" spans="25:25" x14ac:dyDescent="0.2">
      <c r="Y29" t="s">
        <v>230</v>
      </c>
    </row>
    <row r="30" spans="25:25" x14ac:dyDescent="0.2">
      <c r="Y30" s="44" t="s">
        <v>646</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586</v>
      </c>
    </row>
  </sheetData>
  <sheetProtection algorithmName="SHA-512" hashValue="Ybn90DIrg9/xlyRKrDp9vPiAwdt0xx/AT3W5I4hqmSxX2nmzuHX4d1Fs5v4QX3jnDuwe+qK8qKoHQ1WhI8qf5A==" saltValue="IsCFwtVsEfNKfBy9aW7/k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26" x14ac:dyDescent="0.2">
      <c r="C1" t="e" cm="1" vm="3">
        <f t="array" ref="C1">TRANSPOSE(_xlfn._xlws.FILTER(WireOffsets[nominal_temp], WireOffsets[traceability_no]=A3))</f>
        <v>#VALUE!</v>
      </c>
      <c r="O1" t="s">
        <v>5548</v>
      </c>
      <c r="P1" t="s">
        <v>5560</v>
      </c>
      <c r="Q1" t="s">
        <v>5561</v>
      </c>
      <c r="R1" t="s">
        <v>5562</v>
      </c>
      <c r="S1" t="s">
        <v>5563</v>
      </c>
      <c r="T1" t="s">
        <v>5564</v>
      </c>
      <c r="U1" t="s">
        <v>5565</v>
      </c>
      <c r="V1" t="s">
        <v>5566</v>
      </c>
      <c r="W1" t="s">
        <v>5567</v>
      </c>
      <c r="X1" t="s">
        <v>5549</v>
      </c>
      <c r="Y1" t="s">
        <v>5554</v>
      </c>
      <c r="Z1" t="s">
        <v>5550</v>
      </c>
    </row>
    <row r="2" spans="1:26" x14ac:dyDescent="0.2">
      <c r="I2" s="6"/>
      <c r="J2" s="6"/>
      <c r="K2" s="6"/>
      <c r="L2" s="6"/>
      <c r="M2" s="6"/>
      <c r="N2" s="6"/>
      <c r="O2">
        <v>1</v>
      </c>
      <c r="P2">
        <v>0.2</v>
      </c>
      <c r="Q2">
        <v>0.2</v>
      </c>
      <c r="R2">
        <v>0.2</v>
      </c>
      <c r="S2">
        <v>0.2</v>
      </c>
      <c r="T2">
        <v>0.2</v>
      </c>
      <c r="U2">
        <v>0.2</v>
      </c>
      <c r="V2">
        <v>0.2</v>
      </c>
      <c r="W2">
        <v>0.2</v>
      </c>
      <c r="X2">
        <v>0.2</v>
      </c>
      <c r="Y2">
        <v>0.2</v>
      </c>
      <c r="Z2">
        <v>0.1</v>
      </c>
    </row>
    <row r="3" spans="1:26" x14ac:dyDescent="0.2">
      <c r="A3" s="430" t="str">
        <f>Main!D55</f>
        <v/>
      </c>
      <c r="C3" t="e" cm="1" vm="3">
        <f t="array" ref="C3">TRANSPOSE(_xlfn._xlws.FILTER(WireOffsets[correction_factor], WireOffsets[traceability_no]=A3))</f>
        <v>#VALUE!</v>
      </c>
      <c r="I3" s="6"/>
      <c r="J3" s="6"/>
      <c r="K3" s="6"/>
      <c r="L3" s="6"/>
      <c r="M3" s="6"/>
      <c r="N3" s="6"/>
      <c r="O3">
        <v>2</v>
      </c>
      <c r="P3">
        <v>0.1</v>
      </c>
      <c r="Q3">
        <v>0.1</v>
      </c>
      <c r="R3">
        <v>0.1</v>
      </c>
      <c r="S3">
        <v>0.2</v>
      </c>
      <c r="T3">
        <v>0.2</v>
      </c>
      <c r="U3">
        <v>0.2</v>
      </c>
      <c r="V3">
        <v>0.2</v>
      </c>
      <c r="W3">
        <v>0.2</v>
      </c>
      <c r="X3">
        <v>0.2</v>
      </c>
      <c r="Y3">
        <v>0.2</v>
      </c>
      <c r="Z3">
        <v>0.3</v>
      </c>
    </row>
    <row r="4" spans="1:26" x14ac:dyDescent="0.2">
      <c r="I4" s="6"/>
      <c r="J4" s="6"/>
      <c r="K4" s="6"/>
      <c r="L4" s="6"/>
      <c r="M4" s="6"/>
      <c r="N4" s="6"/>
      <c r="O4">
        <v>3</v>
      </c>
      <c r="P4">
        <v>0.2</v>
      </c>
      <c r="Q4">
        <v>0.2</v>
      </c>
      <c r="R4">
        <v>0.2</v>
      </c>
      <c r="S4">
        <v>0.2</v>
      </c>
      <c r="T4">
        <v>0.1</v>
      </c>
      <c r="U4">
        <v>0.2</v>
      </c>
      <c r="V4">
        <v>0.2</v>
      </c>
      <c r="W4">
        <v>0.2</v>
      </c>
      <c r="X4">
        <v>0.2</v>
      </c>
      <c r="Y4">
        <v>0.2</v>
      </c>
      <c r="Z4">
        <v>0.2</v>
      </c>
    </row>
    <row r="5" spans="1:26" x14ac:dyDescent="0.2">
      <c r="I5" s="6"/>
      <c r="J5" s="6"/>
      <c r="K5" s="6"/>
      <c r="L5" s="6"/>
      <c r="M5" s="6"/>
      <c r="N5" s="6"/>
      <c r="O5">
        <v>4</v>
      </c>
      <c r="P5">
        <v>0.1</v>
      </c>
      <c r="Q5">
        <v>0.1</v>
      </c>
      <c r="R5">
        <v>0.1</v>
      </c>
      <c r="S5">
        <v>0.2</v>
      </c>
      <c r="T5">
        <v>0.3</v>
      </c>
      <c r="U5">
        <v>0.3</v>
      </c>
      <c r="V5">
        <v>0.3</v>
      </c>
      <c r="W5">
        <v>0.3</v>
      </c>
      <c r="X5">
        <v>0.3</v>
      </c>
      <c r="Y5">
        <v>0.3</v>
      </c>
      <c r="Z5">
        <v>0.3</v>
      </c>
    </row>
    <row r="6" spans="1:26" x14ac:dyDescent="0.2">
      <c r="I6" s="6"/>
      <c r="J6" s="6"/>
      <c r="K6" s="6"/>
      <c r="L6" s="6"/>
      <c r="M6" s="6"/>
      <c r="N6" s="6"/>
      <c r="O6">
        <v>5</v>
      </c>
      <c r="P6">
        <v>0.2</v>
      </c>
      <c r="Q6">
        <v>0.2</v>
      </c>
      <c r="R6">
        <v>0.2</v>
      </c>
      <c r="S6">
        <v>0.2</v>
      </c>
      <c r="T6">
        <v>0.1</v>
      </c>
      <c r="U6">
        <v>0.1</v>
      </c>
      <c r="V6">
        <v>0.1</v>
      </c>
      <c r="W6">
        <v>0.1</v>
      </c>
      <c r="X6">
        <v>0.1</v>
      </c>
      <c r="Y6">
        <v>0</v>
      </c>
      <c r="Z6">
        <v>0</v>
      </c>
    </row>
    <row r="7" spans="1:26" x14ac:dyDescent="0.2">
      <c r="I7" s="6"/>
      <c r="J7" s="6"/>
      <c r="K7" s="6"/>
      <c r="L7" s="6"/>
      <c r="M7" s="6"/>
      <c r="N7" s="6"/>
      <c r="O7">
        <v>6</v>
      </c>
      <c r="P7">
        <v>-0.1</v>
      </c>
      <c r="Q7">
        <v>-0.1</v>
      </c>
      <c r="R7">
        <v>-0.1</v>
      </c>
      <c r="S7">
        <v>0</v>
      </c>
      <c r="T7">
        <v>0</v>
      </c>
      <c r="U7">
        <v>0</v>
      </c>
      <c r="V7">
        <v>0</v>
      </c>
      <c r="W7">
        <v>0</v>
      </c>
      <c r="X7">
        <v>0</v>
      </c>
      <c r="Y7">
        <v>0</v>
      </c>
      <c r="Z7">
        <v>0</v>
      </c>
    </row>
    <row r="8" spans="1:26" x14ac:dyDescent="0.2">
      <c r="I8" s="6"/>
      <c r="J8" s="6"/>
      <c r="K8" s="6"/>
      <c r="L8" s="6"/>
      <c r="M8" s="6"/>
      <c r="N8" s="6"/>
      <c r="O8">
        <v>7</v>
      </c>
      <c r="P8">
        <v>-0.1</v>
      </c>
      <c r="Q8">
        <v>-0.1</v>
      </c>
      <c r="R8">
        <v>-0.1</v>
      </c>
      <c r="S8">
        <v>-0.1</v>
      </c>
      <c r="T8">
        <v>-0.1</v>
      </c>
      <c r="U8">
        <v>-0.1</v>
      </c>
      <c r="V8">
        <v>-0.1</v>
      </c>
      <c r="W8">
        <v>-0.1</v>
      </c>
      <c r="X8">
        <v>-0.1</v>
      </c>
      <c r="Y8">
        <v>-0.2</v>
      </c>
      <c r="Z8">
        <v>-0.2</v>
      </c>
    </row>
    <row r="9" spans="1:26" x14ac:dyDescent="0.2">
      <c r="I9" s="6"/>
      <c r="J9" s="6"/>
      <c r="K9" s="6"/>
      <c r="L9" s="6"/>
      <c r="M9" s="6"/>
      <c r="N9" s="6"/>
      <c r="O9">
        <v>8</v>
      </c>
      <c r="P9">
        <v>0.1</v>
      </c>
      <c r="Q9">
        <v>0.2</v>
      </c>
      <c r="R9">
        <v>0.3</v>
      </c>
      <c r="S9">
        <v>0.3</v>
      </c>
      <c r="T9">
        <v>0.3</v>
      </c>
      <c r="U9">
        <v>0.4</v>
      </c>
      <c r="V9">
        <v>0.4</v>
      </c>
      <c r="W9">
        <v>0.4</v>
      </c>
      <c r="X9">
        <v>0.3</v>
      </c>
      <c r="Y9">
        <v>0.3</v>
      </c>
      <c r="Z9">
        <v>0.3</v>
      </c>
    </row>
    <row r="10" spans="1:26" x14ac:dyDescent="0.2">
      <c r="I10" s="6"/>
      <c r="J10" s="6"/>
      <c r="K10" s="6"/>
      <c r="L10" s="6"/>
      <c r="M10" s="6"/>
      <c r="N10" s="6"/>
      <c r="O10">
        <v>9</v>
      </c>
      <c r="P10">
        <v>-0.1</v>
      </c>
      <c r="Q10">
        <v>0</v>
      </c>
      <c r="R10">
        <v>0.2</v>
      </c>
      <c r="S10">
        <v>0.2</v>
      </c>
      <c r="T10">
        <v>0.2</v>
      </c>
      <c r="U10">
        <v>0.2</v>
      </c>
      <c r="V10">
        <v>0.1</v>
      </c>
      <c r="W10">
        <v>0.1</v>
      </c>
      <c r="X10">
        <v>0.1</v>
      </c>
      <c r="Y10">
        <v>0</v>
      </c>
      <c r="Z10">
        <v>0</v>
      </c>
    </row>
    <row r="11" spans="1:26" x14ac:dyDescent="0.2">
      <c r="I11" s="6"/>
      <c r="J11" s="6"/>
      <c r="K11" s="6"/>
      <c r="L11" s="6"/>
      <c r="M11" s="6"/>
      <c r="N11" s="6"/>
      <c r="O11">
        <v>10</v>
      </c>
      <c r="P11">
        <v>0.3</v>
      </c>
      <c r="Q11">
        <v>0.3</v>
      </c>
      <c r="R11">
        <v>0.3</v>
      </c>
      <c r="S11">
        <v>0.4</v>
      </c>
      <c r="T11">
        <v>0.4</v>
      </c>
      <c r="U11">
        <v>0.4</v>
      </c>
      <c r="V11">
        <v>0.4</v>
      </c>
      <c r="W11">
        <v>0.4</v>
      </c>
      <c r="X11">
        <v>0.4</v>
      </c>
      <c r="Y11">
        <v>0.4</v>
      </c>
      <c r="Z11">
        <v>0.4</v>
      </c>
    </row>
    <row r="12" spans="1:26" x14ac:dyDescent="0.2">
      <c r="I12" s="6"/>
      <c r="J12" s="6"/>
      <c r="K12" s="6"/>
      <c r="L12" s="6"/>
      <c r="M12" s="6"/>
      <c r="N12" s="6"/>
      <c r="O12">
        <v>11</v>
      </c>
      <c r="P12">
        <v>0.1</v>
      </c>
      <c r="Q12">
        <v>0.1</v>
      </c>
      <c r="R12">
        <v>0.1</v>
      </c>
      <c r="S12">
        <v>0.1</v>
      </c>
      <c r="T12">
        <v>0.1</v>
      </c>
      <c r="U12">
        <v>0.1</v>
      </c>
      <c r="V12">
        <v>0.1</v>
      </c>
      <c r="W12">
        <v>0.1</v>
      </c>
      <c r="X12">
        <v>0.1</v>
      </c>
      <c r="Y12">
        <v>0.1</v>
      </c>
      <c r="Z12">
        <v>0.1</v>
      </c>
    </row>
    <row r="13" spans="1:26" x14ac:dyDescent="0.2">
      <c r="I13" s="6"/>
      <c r="J13" s="6"/>
      <c r="K13" s="6"/>
      <c r="L13" s="6"/>
      <c r="M13" s="6"/>
      <c r="N13" s="6"/>
      <c r="O13">
        <v>12</v>
      </c>
      <c r="P13">
        <v>-0.2</v>
      </c>
      <c r="Q13">
        <v>-0.1</v>
      </c>
      <c r="R13">
        <v>0</v>
      </c>
      <c r="S13">
        <v>0</v>
      </c>
      <c r="T13">
        <v>0</v>
      </c>
      <c r="U13">
        <v>0</v>
      </c>
      <c r="V13">
        <v>0</v>
      </c>
      <c r="W13">
        <v>0</v>
      </c>
      <c r="X13">
        <v>0</v>
      </c>
      <c r="Y13">
        <v>0</v>
      </c>
      <c r="Z13">
        <v>0</v>
      </c>
    </row>
    <row r="14" spans="1:26" x14ac:dyDescent="0.2">
      <c r="I14" s="6"/>
      <c r="J14" s="6"/>
      <c r="K14" s="6"/>
      <c r="L14" s="6"/>
      <c r="M14" s="6"/>
      <c r="N14" s="6"/>
      <c r="O14">
        <v>13</v>
      </c>
      <c r="P14">
        <v>0.1</v>
      </c>
      <c r="Q14">
        <v>0.1</v>
      </c>
      <c r="R14">
        <v>0.1</v>
      </c>
      <c r="S14">
        <v>0.1</v>
      </c>
      <c r="T14">
        <v>0.1</v>
      </c>
      <c r="U14">
        <v>0.1</v>
      </c>
      <c r="V14">
        <v>0.1</v>
      </c>
      <c r="W14">
        <v>0</v>
      </c>
      <c r="X14">
        <v>0</v>
      </c>
      <c r="Y14">
        <v>0</v>
      </c>
      <c r="Z14">
        <v>0</v>
      </c>
    </row>
    <row r="15" spans="1:26" x14ac:dyDescent="0.2">
      <c r="I15" s="6"/>
      <c r="J15" s="6"/>
      <c r="K15" s="6"/>
      <c r="L15" s="6"/>
      <c r="M15" s="6"/>
      <c r="N15" s="6"/>
      <c r="O15">
        <v>14</v>
      </c>
      <c r="P15">
        <v>0.3</v>
      </c>
      <c r="Q15">
        <v>0.4</v>
      </c>
      <c r="R15">
        <v>0.6</v>
      </c>
      <c r="S15">
        <v>0.4</v>
      </c>
      <c r="T15">
        <v>0.1</v>
      </c>
      <c r="U15">
        <v>0.1</v>
      </c>
      <c r="V15">
        <v>0.1</v>
      </c>
      <c r="W15">
        <v>0</v>
      </c>
      <c r="X15">
        <v>0</v>
      </c>
      <c r="Y15">
        <v>0</v>
      </c>
      <c r="Z15">
        <v>0</v>
      </c>
    </row>
    <row r="16" spans="1:26" x14ac:dyDescent="0.2">
      <c r="I16" s="6"/>
      <c r="J16" s="6"/>
      <c r="K16" s="6"/>
      <c r="L16" s="6"/>
      <c r="M16" s="6"/>
      <c r="N16" s="6"/>
      <c r="O16">
        <v>15</v>
      </c>
      <c r="P16">
        <v>0.2</v>
      </c>
      <c r="Q16">
        <v>0.2</v>
      </c>
      <c r="R16">
        <v>0.2</v>
      </c>
      <c r="S16">
        <v>0.2</v>
      </c>
      <c r="T16">
        <v>0.1</v>
      </c>
      <c r="U16">
        <v>0</v>
      </c>
      <c r="V16">
        <v>0</v>
      </c>
      <c r="W16">
        <v>0</v>
      </c>
      <c r="X16">
        <v>0.1</v>
      </c>
      <c r="Y16">
        <v>0.1</v>
      </c>
      <c r="Z16">
        <v>0.1</v>
      </c>
    </row>
    <row r="17" spans="9:26" x14ac:dyDescent="0.2">
      <c r="I17" s="6"/>
      <c r="J17" s="6"/>
      <c r="K17" s="6"/>
      <c r="L17" s="6"/>
      <c r="M17" s="6"/>
      <c r="N17" s="6"/>
      <c r="O17">
        <v>16</v>
      </c>
      <c r="P17">
        <v>0</v>
      </c>
      <c r="Q17">
        <v>0</v>
      </c>
      <c r="R17">
        <v>-0.1</v>
      </c>
      <c r="S17">
        <v>-0.1</v>
      </c>
      <c r="T17">
        <v>-0.1</v>
      </c>
      <c r="U17">
        <v>0</v>
      </c>
      <c r="V17">
        <v>0</v>
      </c>
      <c r="W17">
        <v>0</v>
      </c>
      <c r="X17">
        <v>0</v>
      </c>
      <c r="Y17">
        <v>0</v>
      </c>
      <c r="Z17">
        <v>0</v>
      </c>
    </row>
    <row r="18" spans="9:26" x14ac:dyDescent="0.2">
      <c r="I18" s="6"/>
      <c r="J18" s="6"/>
      <c r="K18" s="6"/>
      <c r="L18" s="6"/>
      <c r="M18" s="6"/>
      <c r="N18" s="6"/>
      <c r="O18">
        <v>17</v>
      </c>
      <c r="P18">
        <v>0</v>
      </c>
      <c r="Q18">
        <v>0</v>
      </c>
      <c r="R18">
        <v>-0.1</v>
      </c>
      <c r="S18">
        <v>-0.1</v>
      </c>
      <c r="T18">
        <v>-0.1</v>
      </c>
      <c r="U18">
        <v>-0.1</v>
      </c>
      <c r="V18">
        <v>-0.1</v>
      </c>
      <c r="W18">
        <v>-0.1</v>
      </c>
      <c r="X18">
        <v>-0.1</v>
      </c>
      <c r="Y18">
        <v>-0.2</v>
      </c>
      <c r="Z18">
        <v>-0.2</v>
      </c>
    </row>
    <row r="19" spans="9:26" x14ac:dyDescent="0.2">
      <c r="I19" s="6"/>
      <c r="J19" s="6"/>
      <c r="K19" s="6"/>
      <c r="L19" s="6"/>
      <c r="M19" s="6"/>
      <c r="N19" s="6"/>
      <c r="O19">
        <v>18</v>
      </c>
      <c r="P19">
        <v>0.1</v>
      </c>
      <c r="Q19">
        <v>0.1</v>
      </c>
      <c r="R19">
        <v>0.1</v>
      </c>
      <c r="S19">
        <v>0.1</v>
      </c>
      <c r="T19">
        <v>0.1</v>
      </c>
      <c r="U19">
        <v>0.1</v>
      </c>
      <c r="V19">
        <v>0.1</v>
      </c>
      <c r="W19">
        <v>0.1</v>
      </c>
      <c r="X19">
        <v>0.1</v>
      </c>
      <c r="Y19">
        <v>0.2</v>
      </c>
      <c r="Z19">
        <v>0.2</v>
      </c>
    </row>
    <row r="20" spans="9:26" x14ac:dyDescent="0.2">
      <c r="I20" s="6"/>
      <c r="J20" s="6"/>
      <c r="K20" s="6"/>
      <c r="L20" s="6"/>
      <c r="M20" s="6"/>
      <c r="N20" s="6"/>
      <c r="O20">
        <v>19</v>
      </c>
      <c r="P20">
        <v>-0.1</v>
      </c>
      <c r="Q20">
        <v>-0.1</v>
      </c>
      <c r="R20">
        <v>-0.1</v>
      </c>
      <c r="S20">
        <v>-0.1</v>
      </c>
      <c r="T20">
        <v>-0.1</v>
      </c>
      <c r="U20">
        <v>0</v>
      </c>
      <c r="V20">
        <v>0</v>
      </c>
      <c r="W20">
        <v>0</v>
      </c>
      <c r="X20">
        <v>0</v>
      </c>
      <c r="Y20">
        <v>0</v>
      </c>
      <c r="Z20">
        <v>0</v>
      </c>
    </row>
    <row r="21" spans="9:26" x14ac:dyDescent="0.2">
      <c r="I21" s="6"/>
      <c r="J21" s="6"/>
      <c r="K21" s="6"/>
      <c r="L21" s="6"/>
      <c r="M21" s="6"/>
      <c r="N21" s="6"/>
      <c r="O21">
        <v>20</v>
      </c>
      <c r="P21">
        <v>0.1</v>
      </c>
      <c r="Q21">
        <v>0.1</v>
      </c>
      <c r="R21">
        <v>0.1</v>
      </c>
      <c r="S21">
        <v>0</v>
      </c>
      <c r="T21">
        <v>0</v>
      </c>
      <c r="U21">
        <v>0</v>
      </c>
      <c r="V21">
        <v>0</v>
      </c>
      <c r="W21">
        <v>0</v>
      </c>
      <c r="X21">
        <v>0</v>
      </c>
      <c r="Y21">
        <v>0</v>
      </c>
      <c r="Z21">
        <v>0</v>
      </c>
    </row>
    <row r="22" spans="9:26" x14ac:dyDescent="0.2">
      <c r="I22" s="6"/>
      <c r="J22" s="6"/>
      <c r="K22" s="6"/>
      <c r="L22" s="6"/>
      <c r="M22" s="6"/>
      <c r="N22" s="6"/>
      <c r="O22">
        <v>21</v>
      </c>
      <c r="P22">
        <v>0.1</v>
      </c>
      <c r="Q22">
        <v>0</v>
      </c>
      <c r="R22">
        <v>0</v>
      </c>
      <c r="S22">
        <v>0</v>
      </c>
      <c r="T22">
        <v>0</v>
      </c>
      <c r="U22">
        <v>0</v>
      </c>
      <c r="V22">
        <v>0</v>
      </c>
      <c r="W22">
        <v>0</v>
      </c>
      <c r="X22">
        <v>0</v>
      </c>
      <c r="Y22">
        <v>0</v>
      </c>
      <c r="Z22">
        <v>-0.1</v>
      </c>
    </row>
    <row r="23" spans="9:26" x14ac:dyDescent="0.2">
      <c r="I23" s="6"/>
      <c r="J23" s="6"/>
      <c r="K23" s="6"/>
      <c r="L23" s="6"/>
      <c r="M23" s="6"/>
      <c r="N23" s="6"/>
      <c r="O23">
        <v>22</v>
      </c>
      <c r="P23">
        <v>0.1</v>
      </c>
      <c r="Q23">
        <v>0.1</v>
      </c>
      <c r="R23">
        <v>0.1</v>
      </c>
      <c r="S23">
        <v>0</v>
      </c>
      <c r="T23">
        <v>0</v>
      </c>
      <c r="U23">
        <v>0</v>
      </c>
      <c r="V23">
        <v>0</v>
      </c>
      <c r="W23">
        <v>0</v>
      </c>
      <c r="X23">
        <v>0</v>
      </c>
      <c r="Y23">
        <v>0</v>
      </c>
      <c r="Z23">
        <v>0</v>
      </c>
    </row>
    <row r="24" spans="9:26" x14ac:dyDescent="0.2">
      <c r="I24" s="6"/>
      <c r="J24" s="6"/>
      <c r="K24" s="6"/>
      <c r="L24" s="6"/>
      <c r="M24" s="6"/>
      <c r="N24" s="6"/>
      <c r="O24">
        <v>23</v>
      </c>
      <c r="P24">
        <v>0.1</v>
      </c>
      <c r="Q24">
        <v>0</v>
      </c>
      <c r="R24">
        <v>0</v>
      </c>
      <c r="S24">
        <v>0</v>
      </c>
      <c r="T24">
        <v>0</v>
      </c>
      <c r="U24">
        <v>0</v>
      </c>
      <c r="V24">
        <v>0</v>
      </c>
      <c r="W24">
        <v>0</v>
      </c>
      <c r="X24">
        <v>0</v>
      </c>
      <c r="Y24">
        <v>0</v>
      </c>
      <c r="Z24">
        <v>0</v>
      </c>
    </row>
    <row r="25" spans="9:26" x14ac:dyDescent="0.2">
      <c r="I25" s="6"/>
      <c r="J25" s="6"/>
      <c r="K25" s="6"/>
      <c r="L25" s="6"/>
      <c r="M25" s="6"/>
      <c r="N25" s="6"/>
      <c r="O25">
        <v>24</v>
      </c>
      <c r="P25">
        <v>0.1</v>
      </c>
      <c r="Q25">
        <v>0</v>
      </c>
      <c r="R25">
        <v>0</v>
      </c>
      <c r="S25">
        <v>0</v>
      </c>
      <c r="T25">
        <v>-0.1</v>
      </c>
      <c r="U25">
        <v>-0.1</v>
      </c>
      <c r="V25">
        <v>-0.1</v>
      </c>
      <c r="W25">
        <v>-0.1</v>
      </c>
      <c r="X25">
        <v>-0.1</v>
      </c>
      <c r="Y25">
        <v>0</v>
      </c>
      <c r="Z25">
        <v>0</v>
      </c>
    </row>
    <row r="26" spans="9:26" x14ac:dyDescent="0.2">
      <c r="I26" s="6"/>
      <c r="J26" s="6"/>
      <c r="K26" s="6"/>
      <c r="L26" s="6"/>
      <c r="M26" s="6"/>
      <c r="N26" s="6"/>
      <c r="O26">
        <v>25</v>
      </c>
      <c r="P26">
        <v>-0.5</v>
      </c>
      <c r="Q26">
        <v>-0.5</v>
      </c>
      <c r="R26">
        <v>-0.5</v>
      </c>
      <c r="S26">
        <v>-0.5</v>
      </c>
      <c r="T26">
        <v>-0.5</v>
      </c>
      <c r="U26">
        <v>-0.5</v>
      </c>
      <c r="V26">
        <v>-0.5</v>
      </c>
      <c r="W26">
        <v>-0.5</v>
      </c>
      <c r="X26">
        <v>-0.5</v>
      </c>
      <c r="Y26">
        <v>-0.5</v>
      </c>
      <c r="Z26">
        <v>-0.5</v>
      </c>
    </row>
    <row r="27" spans="9:26" x14ac:dyDescent="0.2">
      <c r="I27" s="6"/>
      <c r="J27" s="6"/>
      <c r="K27" s="6"/>
      <c r="L27" s="6"/>
      <c r="M27" s="6"/>
      <c r="N27" s="6"/>
      <c r="O27">
        <v>26</v>
      </c>
      <c r="P27">
        <v>0.5</v>
      </c>
      <c r="Q27">
        <v>0.5</v>
      </c>
      <c r="R27">
        <v>0.5</v>
      </c>
      <c r="S27">
        <v>0.5</v>
      </c>
      <c r="T27">
        <v>0.5</v>
      </c>
      <c r="U27">
        <v>0.5</v>
      </c>
      <c r="V27">
        <v>0.5</v>
      </c>
      <c r="W27">
        <v>0.5</v>
      </c>
      <c r="X27">
        <v>0.5</v>
      </c>
      <c r="Y27">
        <v>0.4</v>
      </c>
      <c r="Z27">
        <v>0.4</v>
      </c>
    </row>
    <row r="28" spans="9:26" x14ac:dyDescent="0.2">
      <c r="I28" s="6"/>
      <c r="J28" s="6"/>
      <c r="K28" s="6"/>
      <c r="L28" s="6"/>
      <c r="M28" s="6"/>
      <c r="N28" s="6"/>
      <c r="O28">
        <v>27</v>
      </c>
      <c r="P28">
        <v>0.4</v>
      </c>
      <c r="Q28">
        <v>0.3</v>
      </c>
      <c r="R28">
        <v>0.2</v>
      </c>
      <c r="S28">
        <v>0.2</v>
      </c>
      <c r="T28">
        <v>0.1</v>
      </c>
      <c r="U28">
        <v>0.1</v>
      </c>
      <c r="V28">
        <v>0.1</v>
      </c>
      <c r="W28">
        <v>0</v>
      </c>
      <c r="X28">
        <v>0</v>
      </c>
      <c r="Y28">
        <v>0</v>
      </c>
      <c r="Z28">
        <v>-0.1</v>
      </c>
    </row>
    <row r="29" spans="9:26" x14ac:dyDescent="0.2">
      <c r="I29" s="6"/>
      <c r="J29" s="6"/>
      <c r="K29" s="6"/>
      <c r="L29" s="6"/>
      <c r="M29" s="6"/>
      <c r="N29" s="6"/>
      <c r="O29">
        <v>28</v>
      </c>
      <c r="P29">
        <v>-0.2</v>
      </c>
      <c r="Q29">
        <v>-0.2</v>
      </c>
      <c r="R29">
        <v>-0.2</v>
      </c>
      <c r="S29">
        <v>-0.2</v>
      </c>
      <c r="T29">
        <v>-0.3</v>
      </c>
      <c r="U29">
        <v>-0.3</v>
      </c>
      <c r="V29">
        <v>-0.3</v>
      </c>
      <c r="W29">
        <v>-0.3</v>
      </c>
      <c r="X29">
        <v>-0.3</v>
      </c>
      <c r="Y29">
        <v>-0.3</v>
      </c>
      <c r="Z29">
        <v>-0.3</v>
      </c>
    </row>
    <row r="30" spans="9:26" x14ac:dyDescent="0.2">
      <c r="I30" s="6"/>
      <c r="J30" s="6"/>
      <c r="K30" s="6"/>
      <c r="L30" s="6"/>
      <c r="M30" s="6"/>
      <c r="N30" s="6"/>
      <c r="O30">
        <v>29</v>
      </c>
      <c r="P30">
        <v>-0.1</v>
      </c>
      <c r="Q30">
        <v>-0.1</v>
      </c>
      <c r="R30">
        <v>-0.1</v>
      </c>
      <c r="S30">
        <v>-0.2</v>
      </c>
      <c r="T30">
        <v>-0.2</v>
      </c>
      <c r="U30">
        <v>-0.2</v>
      </c>
      <c r="V30">
        <v>-0.2</v>
      </c>
      <c r="W30">
        <v>-0.2</v>
      </c>
      <c r="X30">
        <v>-0.3</v>
      </c>
      <c r="Y30">
        <v>-0.4</v>
      </c>
      <c r="Z30">
        <v>-0.4</v>
      </c>
    </row>
    <row r="31" spans="9:26" x14ac:dyDescent="0.2">
      <c r="I31" s="6"/>
      <c r="J31" s="6"/>
      <c r="K31" s="6"/>
      <c r="L31" s="6"/>
      <c r="M31" s="6"/>
      <c r="N31" s="6"/>
      <c r="O31">
        <v>30</v>
      </c>
      <c r="P31">
        <v>-0.2</v>
      </c>
      <c r="Q31">
        <v>-0.2</v>
      </c>
      <c r="R31">
        <v>-0.2</v>
      </c>
      <c r="S31">
        <v>-0.2</v>
      </c>
      <c r="T31">
        <v>-0.2</v>
      </c>
      <c r="U31">
        <v>-0.2</v>
      </c>
      <c r="V31">
        <v>-0.2</v>
      </c>
      <c r="W31">
        <v>-0.2</v>
      </c>
      <c r="X31">
        <v>-0.2</v>
      </c>
      <c r="Y31">
        <v>-0.2</v>
      </c>
      <c r="Z31">
        <v>-0.3</v>
      </c>
    </row>
    <row r="32" spans="9:26" x14ac:dyDescent="0.2">
      <c r="I32" s="6"/>
      <c r="J32" s="6"/>
      <c r="K32" s="6"/>
      <c r="L32" s="6"/>
      <c r="M32" s="6"/>
      <c r="N32" s="6"/>
      <c r="O32">
        <v>31</v>
      </c>
      <c r="P32">
        <v>-0.2</v>
      </c>
      <c r="Q32">
        <v>-0.2</v>
      </c>
      <c r="R32">
        <v>-0.2</v>
      </c>
      <c r="S32">
        <v>-0.2</v>
      </c>
      <c r="T32">
        <v>-0.3</v>
      </c>
      <c r="U32">
        <v>-0.2</v>
      </c>
      <c r="V32">
        <v>-0.2</v>
      </c>
      <c r="W32">
        <v>-0.2</v>
      </c>
      <c r="X32">
        <v>-0.3</v>
      </c>
      <c r="Y32">
        <v>-0.2</v>
      </c>
      <c r="Z32">
        <v>-0.2</v>
      </c>
    </row>
    <row r="33" spans="9:26" x14ac:dyDescent="0.2">
      <c r="I33" s="6"/>
      <c r="J33" s="6"/>
      <c r="K33" s="6"/>
      <c r="L33" s="6"/>
      <c r="M33" s="6"/>
      <c r="N33" s="6"/>
      <c r="O33">
        <v>32</v>
      </c>
      <c r="P33">
        <v>0.1</v>
      </c>
      <c r="Q33">
        <v>0.2</v>
      </c>
      <c r="R33">
        <v>0.2</v>
      </c>
      <c r="S33">
        <v>0.2</v>
      </c>
      <c r="T33">
        <v>0.1</v>
      </c>
      <c r="U33">
        <v>0.2</v>
      </c>
      <c r="V33">
        <v>0.2</v>
      </c>
      <c r="W33">
        <v>0.2</v>
      </c>
      <c r="X33">
        <v>0.1</v>
      </c>
      <c r="Y33">
        <v>0</v>
      </c>
      <c r="Z33">
        <v>0</v>
      </c>
    </row>
    <row r="34" spans="9:26" x14ac:dyDescent="0.2">
      <c r="I34" s="6"/>
      <c r="J34" s="6"/>
      <c r="K34" s="6"/>
      <c r="L34" s="6"/>
      <c r="M34" s="6"/>
      <c r="N34" s="6"/>
      <c r="O34">
        <v>33</v>
      </c>
      <c r="P34">
        <v>0</v>
      </c>
      <c r="Q34">
        <v>0</v>
      </c>
      <c r="R34">
        <v>0</v>
      </c>
      <c r="S34">
        <v>0</v>
      </c>
      <c r="T34">
        <v>0</v>
      </c>
      <c r="U34">
        <v>0</v>
      </c>
      <c r="V34">
        <v>0</v>
      </c>
      <c r="W34">
        <v>0</v>
      </c>
      <c r="X34">
        <v>0</v>
      </c>
      <c r="Y34">
        <v>0</v>
      </c>
      <c r="Z34">
        <v>-0.1</v>
      </c>
    </row>
    <row r="35" spans="9:26" x14ac:dyDescent="0.2">
      <c r="I35" s="6"/>
      <c r="J35" s="6"/>
      <c r="K35" s="6"/>
      <c r="L35" s="6"/>
      <c r="M35" s="6"/>
      <c r="N35" s="6"/>
      <c r="O35">
        <v>34</v>
      </c>
      <c r="P35">
        <v>0</v>
      </c>
      <c r="Q35">
        <v>0</v>
      </c>
      <c r="R35">
        <v>0</v>
      </c>
      <c r="S35">
        <v>0</v>
      </c>
      <c r="T35">
        <v>0</v>
      </c>
      <c r="U35">
        <v>0</v>
      </c>
      <c r="V35">
        <v>0.1</v>
      </c>
      <c r="W35">
        <v>0</v>
      </c>
      <c r="X35">
        <v>0</v>
      </c>
      <c r="Y35">
        <v>0</v>
      </c>
      <c r="Z35">
        <v>-0.1</v>
      </c>
    </row>
    <row r="36" spans="9:26" x14ac:dyDescent="0.2">
      <c r="I36" s="6"/>
      <c r="J36" s="6"/>
      <c r="K36" s="6"/>
      <c r="L36" s="6"/>
      <c r="M36" s="6"/>
      <c r="N36" s="6"/>
      <c r="O36">
        <v>35</v>
      </c>
      <c r="P36">
        <v>-0.2</v>
      </c>
      <c r="Q36">
        <v>-0.2</v>
      </c>
      <c r="R36">
        <v>-0.1</v>
      </c>
      <c r="S36">
        <v>-0.2</v>
      </c>
      <c r="T36">
        <v>-0.2</v>
      </c>
      <c r="U36">
        <v>-0.2</v>
      </c>
      <c r="V36">
        <v>-0.1</v>
      </c>
      <c r="W36">
        <v>-0.2</v>
      </c>
      <c r="X36">
        <v>-0.2</v>
      </c>
      <c r="Y36">
        <v>-0.2</v>
      </c>
      <c r="Z36">
        <v>-0.2</v>
      </c>
    </row>
    <row r="37" spans="9:26" x14ac:dyDescent="0.2">
      <c r="I37" s="6"/>
      <c r="J37" s="6"/>
      <c r="K37" s="6"/>
      <c r="L37" s="6"/>
      <c r="M37" s="6"/>
      <c r="N37" s="6"/>
      <c r="O37">
        <v>36</v>
      </c>
      <c r="P37">
        <v>-0.3</v>
      </c>
      <c r="Q37">
        <v>-0.2</v>
      </c>
      <c r="R37">
        <v>-0.2</v>
      </c>
      <c r="S37">
        <v>-0.2</v>
      </c>
      <c r="T37">
        <v>-0.3</v>
      </c>
      <c r="U37">
        <v>-0.2</v>
      </c>
      <c r="V37">
        <v>-0.2</v>
      </c>
      <c r="W37">
        <v>-0.2</v>
      </c>
      <c r="X37">
        <v>-0.3</v>
      </c>
      <c r="Y37">
        <v>-0.4</v>
      </c>
      <c r="Z37">
        <v>-0.4</v>
      </c>
    </row>
    <row r="38" spans="9:26" x14ac:dyDescent="0.2">
      <c r="I38" s="6"/>
      <c r="J38" s="6"/>
      <c r="K38" s="6"/>
      <c r="L38" s="6"/>
      <c r="M38" s="6"/>
      <c r="N38" s="6"/>
      <c r="O38">
        <v>37</v>
      </c>
      <c r="P38">
        <v>-0.4</v>
      </c>
      <c r="Q38">
        <v>-0.4</v>
      </c>
      <c r="R38">
        <v>-0.4</v>
      </c>
      <c r="S38">
        <v>-0.4</v>
      </c>
      <c r="T38">
        <v>-0.4</v>
      </c>
      <c r="U38">
        <v>-0.4</v>
      </c>
      <c r="V38">
        <v>-0.3</v>
      </c>
      <c r="W38">
        <v>-0.3</v>
      </c>
      <c r="X38">
        <v>-0.3</v>
      </c>
      <c r="Y38">
        <v>-0.4</v>
      </c>
      <c r="Z38">
        <v>-0.4</v>
      </c>
    </row>
    <row r="39" spans="9:26" x14ac:dyDescent="0.2">
      <c r="I39" s="6"/>
      <c r="J39" s="6"/>
      <c r="K39" s="6"/>
      <c r="L39" s="6"/>
      <c r="M39" s="6"/>
      <c r="N39" s="6"/>
      <c r="O39">
        <v>38</v>
      </c>
      <c r="P39">
        <v>0</v>
      </c>
      <c r="Q39">
        <v>0</v>
      </c>
      <c r="R39">
        <v>-0.1</v>
      </c>
      <c r="S39">
        <v>-0.1</v>
      </c>
      <c r="T39">
        <v>-0.1</v>
      </c>
      <c r="U39">
        <v>0</v>
      </c>
      <c r="V39">
        <v>0</v>
      </c>
      <c r="W39">
        <v>0</v>
      </c>
      <c r="X39">
        <v>-0.1</v>
      </c>
      <c r="Y39">
        <v>-0.2</v>
      </c>
      <c r="Z39">
        <v>-0.2</v>
      </c>
    </row>
    <row r="40" spans="9:26" x14ac:dyDescent="0.2">
      <c r="I40" s="6"/>
      <c r="J40" s="6"/>
      <c r="K40" s="6"/>
      <c r="L40" s="6"/>
      <c r="M40" s="6"/>
      <c r="N40" s="6"/>
      <c r="O40">
        <v>39</v>
      </c>
      <c r="P40">
        <v>-0.1</v>
      </c>
      <c r="Q40">
        <v>-0.1</v>
      </c>
      <c r="R40">
        <v>-0.1</v>
      </c>
      <c r="S40">
        <v>-0.2</v>
      </c>
      <c r="T40">
        <v>-0.2</v>
      </c>
      <c r="U40">
        <v>-0.2</v>
      </c>
      <c r="V40">
        <v>-0.1</v>
      </c>
      <c r="W40">
        <v>-0.2</v>
      </c>
      <c r="X40">
        <v>-0.3</v>
      </c>
      <c r="Y40">
        <v>-0.3</v>
      </c>
      <c r="Z40">
        <v>-0.3</v>
      </c>
    </row>
    <row r="41" spans="9:26" x14ac:dyDescent="0.2">
      <c r="I41" s="6"/>
      <c r="J41" s="6"/>
      <c r="K41" s="6"/>
      <c r="L41" s="6"/>
      <c r="M41" s="6"/>
      <c r="N41" s="6"/>
      <c r="O41">
        <v>40</v>
      </c>
      <c r="P41">
        <v>0</v>
      </c>
      <c r="Q41">
        <v>0</v>
      </c>
      <c r="R41">
        <v>0</v>
      </c>
      <c r="S41">
        <v>0</v>
      </c>
      <c r="T41">
        <v>-0.1</v>
      </c>
      <c r="U41">
        <v>-0.1</v>
      </c>
      <c r="V41">
        <v>-0.1</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681" t="str">
        <f>IF(Main!$E$30="","A10",ADDRESS(13+(MATCH(Main!$E$30,Data_Sheet!$A$14:$A$903,0)),1,4))</f>
        <v>A10</v>
      </c>
      <c r="Q1" s="681">
        <f>VALUE(MID(P1, 2, LEN(P1)-1))</f>
        <v>10</v>
      </c>
    </row>
    <row r="2" spans="1:18" x14ac:dyDescent="0.2">
      <c r="B2" s="148">
        <f>Main!$D$19</f>
        <v>0</v>
      </c>
      <c r="C2" s="142">
        <f>$B$1+$B$2</f>
        <v>0</v>
      </c>
      <c r="D2" s="142">
        <f>(Main!$D$19)/2</f>
        <v>0</v>
      </c>
      <c r="E2" s="142">
        <f>B1+D2</f>
        <v>0</v>
      </c>
      <c r="F2" s="149"/>
      <c r="G2" s="149"/>
      <c r="H2" s="149"/>
      <c r="I2" s="174" t="s">
        <v>274</v>
      </c>
      <c r="J2" s="149"/>
      <c r="K2" s="149"/>
      <c r="L2" s="149"/>
      <c r="M2" s="652" t="s">
        <v>131</v>
      </c>
      <c r="N2" s="652"/>
      <c r="O2" s="652"/>
      <c r="P2" s="682" t="str">
        <f>IF(Main!$E$30="","A10",ADDRESS(13+Standards_Info!W2+(MATCH(Main!$E$30,Data_Sheet!$A$14:$A$903,0)),1,4))</f>
        <v>A10</v>
      </c>
      <c r="Q2" s="681">
        <f>VALUE(MID(P2, 2, LEN(P2)-1))</f>
        <v>10</v>
      </c>
    </row>
    <row r="3" spans="1:18" ht="14.25" x14ac:dyDescent="0.2">
      <c r="B3" s="152" t="s">
        <v>0</v>
      </c>
      <c r="C3" s="147"/>
      <c r="D3" s="134"/>
      <c r="E3" s="134"/>
      <c r="F3" s="134"/>
      <c r="G3" s="134"/>
      <c r="H3" s="134"/>
      <c r="I3" s="134"/>
      <c r="J3" s="134"/>
      <c r="K3" s="134"/>
      <c r="L3" s="134"/>
      <c r="M3" s="653" t="s">
        <v>132</v>
      </c>
      <c r="N3" s="654"/>
      <c r="O3" s="655"/>
      <c r="P3" s="134"/>
      <c r="Q3" s="134"/>
    </row>
    <row r="4" spans="1:18" ht="15" x14ac:dyDescent="0.25">
      <c r="B4" s="144" t="s">
        <v>37</v>
      </c>
      <c r="C4" s="86"/>
      <c r="D4" s="44"/>
      <c r="E4" s="44"/>
      <c r="F4" s="44"/>
      <c r="G4" s="44"/>
      <c r="H4" s="44"/>
      <c r="I4" s="44"/>
      <c r="J4" s="44"/>
      <c r="K4" s="44"/>
      <c r="L4" s="44"/>
      <c r="M4" s="656" t="s">
        <v>174</v>
      </c>
      <c r="N4" s="657"/>
      <c r="O4" s="658"/>
      <c r="P4" s="116"/>
    </row>
    <row r="5" spans="1:18" x14ac:dyDescent="0.2">
      <c r="B5" s="145" t="s">
        <v>38</v>
      </c>
      <c r="C5" s="80">
        <f>Main!D3</f>
        <v>0</v>
      </c>
      <c r="D5" s="44"/>
      <c r="E5" s="44"/>
      <c r="F5" s="44"/>
      <c r="G5" s="44"/>
      <c r="H5" s="44"/>
      <c r="I5" s="78" t="s">
        <v>9</v>
      </c>
      <c r="J5" s="44" t="str">
        <f>Main!D5</f>
        <v>CHROME PLUS INT'L - WICHITA</v>
      </c>
      <c r="L5" s="44"/>
      <c r="M5" s="659" t="s">
        <v>173</v>
      </c>
      <c r="N5" s="660"/>
      <c r="O5" s="661"/>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62" t="s">
        <v>172</v>
      </c>
      <c r="N6" s="663"/>
      <c r="O6" s="664"/>
      <c r="P6" s="117"/>
    </row>
    <row r="7" spans="1:18" ht="13.5" thickBot="1" x14ac:dyDescent="0.25">
      <c r="B7" s="145" t="s">
        <v>39</v>
      </c>
      <c r="C7" s="81">
        <f>Main!D7</f>
        <v>0</v>
      </c>
      <c r="D7" s="44"/>
      <c r="E7" s="44"/>
      <c r="F7" s="44"/>
      <c r="G7" s="44"/>
      <c r="H7" s="44"/>
      <c r="I7" s="83" t="s">
        <v>200</v>
      </c>
      <c r="J7" s="650">
        <f>Main!$D$30</f>
        <v>0</v>
      </c>
      <c r="K7" s="651"/>
      <c r="L7" s="131"/>
      <c r="M7" s="649" t="s">
        <v>171</v>
      </c>
      <c r="N7" s="649"/>
      <c r="O7" s="64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eFcWrDB6g9woiLaY7+Fr8WT4xoXeooWYyjD3drvjzvpiDsdE1tmx6Pia/1aMqp7jA7eaxlVeyRzPJYLTX4Yijg==" saltValue="FrU8A8g0/NlHgdMlRBoYf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681" t="str">
        <f>IF(Main!$E$30="","A10",ADDRESS(13+(MATCH(Main!$E$30,Data_Sheet!$A$14:$A$903,0)),1,4))</f>
        <v>A10</v>
      </c>
      <c r="Q1" s="681">
        <f>VALUE(MID(P1, 2, LEN(P1)-1))</f>
        <v>10</v>
      </c>
    </row>
    <row r="2" spans="1:17" x14ac:dyDescent="0.2">
      <c r="B2" s="148">
        <f>Main!$D$19</f>
        <v>0</v>
      </c>
      <c r="C2" s="142">
        <f>$B$1+$B$2</f>
        <v>0</v>
      </c>
      <c r="D2" s="142">
        <f>(Main!$D$19)/2</f>
        <v>0</v>
      </c>
      <c r="E2" s="148">
        <f>B1+D2</f>
        <v>0</v>
      </c>
      <c r="I2" s="99" t="s">
        <v>274</v>
      </c>
      <c r="M2" s="665" t="s">
        <v>131</v>
      </c>
      <c r="N2" s="665"/>
      <c r="O2" s="665"/>
      <c r="P2" s="681" t="str">
        <f>IF(Main!$E$30="","A10",ADDRESS(13+Standards_Info!W2+(MATCH(Main!$E$30,Data_Sheet!$A$14:$A$903,0)),1,4))</f>
        <v>A10</v>
      </c>
      <c r="Q2" s="681">
        <f>VALUE(MID(P2, 2, LEN(P2)-1))</f>
        <v>10</v>
      </c>
    </row>
    <row r="3" spans="1:17" ht="15" x14ac:dyDescent="0.25">
      <c r="B3" s="157" t="s">
        <v>0</v>
      </c>
      <c r="C3" s="4"/>
      <c r="M3" s="653" t="s">
        <v>132</v>
      </c>
      <c r="N3" s="654"/>
      <c r="O3" s="655"/>
      <c r="P3" s="47"/>
    </row>
    <row r="4" spans="1:17" ht="15" x14ac:dyDescent="0.25">
      <c r="B4" s="144" t="s">
        <v>37</v>
      </c>
      <c r="C4" s="5"/>
      <c r="M4" s="656" t="s">
        <v>174</v>
      </c>
      <c r="N4" s="657"/>
      <c r="O4" s="658"/>
    </row>
    <row r="5" spans="1:17" x14ac:dyDescent="0.2">
      <c r="B5" s="145" t="s">
        <v>38</v>
      </c>
      <c r="C5" s="80">
        <f>Main!D3</f>
        <v>0</v>
      </c>
      <c r="D5" s="44"/>
      <c r="E5" s="44"/>
      <c r="F5" s="44"/>
      <c r="G5" s="44"/>
      <c r="H5" s="44"/>
      <c r="I5" s="78" t="s">
        <v>9</v>
      </c>
      <c r="J5" t="str">
        <f>Main!D5</f>
        <v>CHROME PLUS INT'L - WICHITA</v>
      </c>
      <c r="M5" s="666" t="s">
        <v>173</v>
      </c>
      <c r="N5" s="667"/>
      <c r="O5" s="668"/>
    </row>
    <row r="6" spans="1:17" ht="13.5" thickBot="1" x14ac:dyDescent="0.25">
      <c r="B6" s="145" t="s">
        <v>7</v>
      </c>
      <c r="C6" s="81" t="str">
        <f>Main!D6</f>
        <v>DESPATCH RS4HD Temperature Uniformity Survey, 10 points</v>
      </c>
      <c r="D6" s="44"/>
      <c r="E6" s="44"/>
      <c r="F6" s="44"/>
      <c r="G6" s="44"/>
      <c r="H6" s="44"/>
      <c r="I6" s="78" t="s">
        <v>10</v>
      </c>
      <c r="J6" s="46">
        <f>Main!D16</f>
        <v>0</v>
      </c>
      <c r="M6" s="662" t="s">
        <v>172</v>
      </c>
      <c r="N6" s="663"/>
      <c r="O6" s="664"/>
    </row>
    <row r="7" spans="1:17" ht="13.5" thickBot="1" x14ac:dyDescent="0.25">
      <c r="B7" s="145" t="s">
        <v>39</v>
      </c>
      <c r="C7" s="81">
        <f>Main!D7</f>
        <v>0</v>
      </c>
      <c r="D7" s="44"/>
      <c r="E7" s="44"/>
      <c r="F7" s="44"/>
      <c r="G7" s="44"/>
      <c r="H7" s="44"/>
      <c r="I7" s="83" t="s">
        <v>200</v>
      </c>
      <c r="J7" s="650">
        <f>Main!$D$30</f>
        <v>0</v>
      </c>
      <c r="K7" s="651"/>
      <c r="L7" s="131"/>
      <c r="M7" s="649" t="s">
        <v>171</v>
      </c>
      <c r="N7" s="649"/>
      <c r="O7" s="64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EBF4Q5bbRi1qsdBw9CKNFUd7Vx7fHNH7jPx3/M/h5wgHEIjOvCB5rghMaPlWzwyLcxbl75fMzHUI34QFdde1Cw==" saltValue="9kZ5sV7yIOeBKPVUSYH/y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681" t="str">
        <f>IF(Main!$E$30="","A10",ADDRESS(13+(MATCH(Main!$E$30,Data_Sheet!$A$14:$A$903,0)),1,4))</f>
        <v>A10</v>
      </c>
      <c r="Q1" s="681">
        <f>VALUE(MID(P1, 2, LEN(P1)-1))</f>
        <v>10</v>
      </c>
    </row>
    <row r="2" spans="1:17" x14ac:dyDescent="0.2">
      <c r="A2" s="141"/>
      <c r="B2" s="148">
        <f>Main!$D$19</f>
        <v>0</v>
      </c>
      <c r="C2" s="142">
        <f>$B$1+$B$2</f>
        <v>0</v>
      </c>
      <c r="D2" s="142">
        <f>(Main!$D$19)/2</f>
        <v>0</v>
      </c>
      <c r="E2" s="148">
        <f>B1+D2</f>
        <v>0</v>
      </c>
      <c r="F2" s="134"/>
      <c r="I2" s="99" t="s">
        <v>274</v>
      </c>
      <c r="M2" s="665" t="s">
        <v>131</v>
      </c>
      <c r="N2" s="665"/>
      <c r="O2" s="665"/>
      <c r="P2" s="681" t="str">
        <f>IF(Main!$E$30="","A10",ADDRESS(13+Standards_Info!W2+(MATCH(Main!$E$30,Data_Sheet!$A$14:$A$903,0)),1,4))</f>
        <v>A10</v>
      </c>
      <c r="Q2" s="681">
        <f>VALUE(MID(P2, 2, LEN(P2)-1))</f>
        <v>10</v>
      </c>
    </row>
    <row r="3" spans="1:17" ht="15" x14ac:dyDescent="0.25">
      <c r="B3" s="157" t="s">
        <v>0</v>
      </c>
      <c r="C3" s="4"/>
      <c r="M3" s="653" t="s">
        <v>132</v>
      </c>
      <c r="N3" s="654"/>
      <c r="O3" s="655"/>
      <c r="P3" s="47"/>
    </row>
    <row r="4" spans="1:17" ht="15" x14ac:dyDescent="0.25">
      <c r="B4" s="144" t="s">
        <v>37</v>
      </c>
      <c r="C4" s="5"/>
      <c r="M4" s="656" t="s">
        <v>174</v>
      </c>
      <c r="N4" s="657"/>
      <c r="O4" s="658"/>
    </row>
    <row r="5" spans="1:17" x14ac:dyDescent="0.2">
      <c r="B5" s="145" t="s">
        <v>38</v>
      </c>
      <c r="C5" s="80">
        <f>Main!D3</f>
        <v>0</v>
      </c>
      <c r="D5" s="44"/>
      <c r="E5" s="44"/>
      <c r="F5" s="44"/>
      <c r="G5" s="44"/>
      <c r="H5" s="44"/>
      <c r="I5" s="78" t="s">
        <v>9</v>
      </c>
      <c r="J5" s="44" t="str">
        <f>Main!D5</f>
        <v>CHROME PLUS INT'L - WICHITA</v>
      </c>
      <c r="L5" s="44"/>
      <c r="M5" s="659" t="s">
        <v>173</v>
      </c>
      <c r="N5" s="660"/>
      <c r="O5" s="661"/>
    </row>
    <row r="6" spans="1:17" ht="13.5" thickBot="1" x14ac:dyDescent="0.25">
      <c r="B6" s="145" t="s">
        <v>7</v>
      </c>
      <c r="C6" s="81" t="str">
        <f>Main!D6</f>
        <v>DESPATCH RS4HD Temperature Uniformity Survey, 10 points</v>
      </c>
      <c r="D6" s="44"/>
      <c r="E6" s="44"/>
      <c r="F6" s="44"/>
      <c r="G6" s="44"/>
      <c r="H6" s="44"/>
      <c r="I6" s="78" t="s">
        <v>10</v>
      </c>
      <c r="J6" s="77">
        <f>Main!D16</f>
        <v>0</v>
      </c>
      <c r="L6" s="44"/>
      <c r="M6" s="662" t="s">
        <v>172</v>
      </c>
      <c r="N6" s="663"/>
      <c r="O6" s="664"/>
    </row>
    <row r="7" spans="1:17" ht="13.5" thickBot="1" x14ac:dyDescent="0.25">
      <c r="B7" s="145" t="s">
        <v>39</v>
      </c>
      <c r="C7" s="81">
        <f>Main!D7</f>
        <v>0</v>
      </c>
      <c r="D7" s="44"/>
      <c r="E7" s="44"/>
      <c r="F7" s="44"/>
      <c r="G7" s="44"/>
      <c r="H7" s="44"/>
      <c r="I7" s="83" t="s">
        <v>200</v>
      </c>
      <c r="J7" s="650">
        <f>Main!$D$30</f>
        <v>0</v>
      </c>
      <c r="K7" s="651"/>
      <c r="L7" s="131"/>
      <c r="M7" s="649" t="s">
        <v>171</v>
      </c>
      <c r="N7" s="649"/>
      <c r="O7" s="64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uK9cqhD8sgahc+wVH8yAr2OQNiFP9mpamaaJd7+TsJHFAT/yiUYC+HJGv/qap+6gOLmkTkJpfaJksBVi/HUOUw==" saltValue="M0NvURYbeT/CVO0QcAdQb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71">
        <f>Main!D3</f>
        <v>0</v>
      </c>
      <c r="E10" s="671"/>
      <c r="F10" s="671"/>
    </row>
    <row r="11" spans="3:8" ht="15.75" x14ac:dyDescent="0.25">
      <c r="C11" s="103" t="s">
        <v>550</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70" t="s">
        <v>3497</v>
      </c>
      <c r="F15" s="670"/>
      <c r="G15" s="670"/>
      <c r="H15" s="670"/>
    </row>
    <row r="16" spans="3:8" ht="15" x14ac:dyDescent="0.2">
      <c r="C16" s="164"/>
      <c r="D16" s="100"/>
      <c r="E16" s="506" t="s">
        <v>153</v>
      </c>
      <c r="F16" s="506"/>
      <c r="G16" s="506"/>
      <c r="H16" s="506"/>
    </row>
    <row r="17" spans="3:8" ht="15" x14ac:dyDescent="0.2">
      <c r="C17" s="164"/>
      <c r="D17" s="100"/>
      <c r="E17" s="669" t="s">
        <v>154</v>
      </c>
      <c r="F17" s="669"/>
      <c r="G17" s="669"/>
      <c r="H17" s="669"/>
    </row>
    <row r="18" spans="3:8" ht="15" x14ac:dyDescent="0.2">
      <c r="C18" s="164"/>
      <c r="D18" s="100"/>
      <c r="E18" s="669" t="s">
        <v>18</v>
      </c>
      <c r="F18" s="669"/>
      <c r="G18" s="669"/>
      <c r="H18" s="669"/>
    </row>
    <row r="19" spans="3:8" ht="15" x14ac:dyDescent="0.2">
      <c r="C19" s="164"/>
      <c r="D19" s="100"/>
      <c r="E19" s="669" t="s">
        <v>159</v>
      </c>
      <c r="F19" s="669"/>
      <c r="G19" s="669"/>
      <c r="H19" s="669"/>
    </row>
    <row r="20" spans="3:8" ht="15" x14ac:dyDescent="0.2">
      <c r="C20" s="164"/>
      <c r="D20" s="100"/>
      <c r="E20" s="669" t="s">
        <v>156</v>
      </c>
      <c r="F20" s="669"/>
      <c r="G20" s="669"/>
      <c r="H20" s="669"/>
    </row>
    <row r="21" spans="3:8" ht="15" x14ac:dyDescent="0.2">
      <c r="C21" s="164"/>
      <c r="D21" s="100"/>
      <c r="E21" s="669" t="s">
        <v>157</v>
      </c>
      <c r="F21" s="669"/>
      <c r="G21" s="669"/>
      <c r="H21" s="669"/>
    </row>
    <row r="22" spans="3:8" ht="15" x14ac:dyDescent="0.2">
      <c r="C22" s="164"/>
      <c r="D22" s="100"/>
      <c r="E22" s="669" t="s">
        <v>134</v>
      </c>
      <c r="F22" s="669"/>
      <c r="G22" s="669"/>
      <c r="H22" s="669"/>
    </row>
    <row r="23" spans="3:8" ht="15" x14ac:dyDescent="0.2">
      <c r="C23" s="164"/>
      <c r="D23" s="100"/>
      <c r="E23" s="669" t="s">
        <v>158</v>
      </c>
      <c r="F23" s="669"/>
      <c r="G23" s="669"/>
      <c r="H23" s="669"/>
    </row>
    <row r="24" spans="3:8" ht="15" x14ac:dyDescent="0.2">
      <c r="C24" s="109"/>
      <c r="D24" s="100"/>
      <c r="E24" s="669" t="s">
        <v>178</v>
      </c>
      <c r="F24" s="669"/>
      <c r="G24" s="669"/>
      <c r="H24" s="669"/>
    </row>
    <row r="25" spans="3:8" ht="15" x14ac:dyDescent="0.2">
      <c r="C25" s="109"/>
      <c r="D25" s="100"/>
      <c r="E25" s="669"/>
      <c r="F25" s="669"/>
      <c r="G25" s="669"/>
      <c r="H25" s="669"/>
    </row>
    <row r="26" spans="3:8" ht="15" x14ac:dyDescent="0.2">
      <c r="C26" s="109"/>
      <c r="D26" s="100"/>
      <c r="E26" s="669"/>
      <c r="F26" s="669"/>
      <c r="G26" s="669"/>
      <c r="H26" s="669"/>
    </row>
    <row r="27" spans="3:8" ht="15" x14ac:dyDescent="0.2">
      <c r="C27" s="109"/>
      <c r="D27" s="100"/>
      <c r="E27" s="669"/>
      <c r="F27" s="669"/>
      <c r="G27" s="669"/>
      <c r="H27" s="669"/>
    </row>
    <row r="28" spans="3:8" ht="15" x14ac:dyDescent="0.2">
      <c r="C28" s="109"/>
      <c r="D28" s="100"/>
      <c r="E28" s="669"/>
      <c r="F28" s="669"/>
      <c r="G28" s="669"/>
      <c r="H28" s="669"/>
    </row>
    <row r="29" spans="3:8" ht="15" x14ac:dyDescent="0.2">
      <c r="C29" s="109"/>
      <c r="D29" s="100"/>
      <c r="E29" s="669"/>
      <c r="F29" s="669"/>
      <c r="G29" s="669"/>
      <c r="H29" s="669"/>
    </row>
    <row r="30" spans="3:8" ht="15" x14ac:dyDescent="0.2">
      <c r="C30" s="109"/>
      <c r="D30" s="100"/>
      <c r="E30" s="669"/>
      <c r="F30" s="669"/>
      <c r="G30" s="669"/>
      <c r="H30" s="669"/>
    </row>
    <row r="31" spans="3:8" ht="15" x14ac:dyDescent="0.2">
      <c r="C31" s="430" t="s">
        <v>3498</v>
      </c>
      <c r="E31" s="669"/>
      <c r="F31" s="669"/>
      <c r="G31" s="669"/>
      <c r="H31" s="669"/>
    </row>
    <row r="32" spans="3:8" ht="15" x14ac:dyDescent="0.2">
      <c r="C32" s="109"/>
      <c r="D32" s="100"/>
      <c r="E32" s="669"/>
      <c r="F32" s="669"/>
      <c r="G32" s="669"/>
      <c r="H32" s="669"/>
    </row>
    <row r="33" spans="3:8" ht="15" x14ac:dyDescent="0.2">
      <c r="C33" s="109"/>
      <c r="D33" s="100"/>
      <c r="E33" s="669"/>
      <c r="F33" s="669"/>
      <c r="G33" s="669"/>
      <c r="H33" s="669"/>
    </row>
    <row r="34" spans="3:8" ht="15" x14ac:dyDescent="0.2">
      <c r="C34" s="109"/>
      <c r="D34" s="100"/>
      <c r="E34" s="669"/>
      <c r="F34" s="669"/>
      <c r="G34" s="669"/>
      <c r="H34" s="669"/>
    </row>
    <row r="35" spans="3:8" ht="15" x14ac:dyDescent="0.2">
      <c r="C35" s="109"/>
      <c r="D35" s="100"/>
      <c r="E35" s="669"/>
      <c r="F35" s="669"/>
      <c r="G35" s="669"/>
      <c r="H35" s="669"/>
    </row>
    <row r="36" spans="3:8" ht="15" x14ac:dyDescent="0.2">
      <c r="C36" s="100"/>
      <c r="D36" s="100"/>
      <c r="E36" s="669"/>
      <c r="F36" s="669"/>
      <c r="G36" s="669"/>
      <c r="H36" s="66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1wde2x7M6ziiQv1Yp6R5J7G5ucQRb0fkDZ71cE35Q+vuOoIOhL0OPebrKb8kKZptAkhRAkkdQDKsXSZfxyIbvA==" saltValue="cz6vG3psjsCTPrbRQF6E9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5557</v>
      </c>
    </row>
    <row r="2" spans="3:5" x14ac:dyDescent="0.2">
      <c r="C2">
        <f>D2</f>
        <v>1</v>
      </c>
      <c r="D2">
        <v>1</v>
      </c>
      <c r="E2" t="s">
        <v>3497</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RHrFB6JjpJRpMmyrgzw5mUQMpSmsO3F/VtBXSqUu3D/869wzpIC1mkgEUUBGpNpz+9mIqt/O/QS9p64AIRLESw==" saltValue="laiN66aMtvmyUAvoM/Tiyg==" spinCount="100000" sheet="1" objects="1" scenario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f>Main!D7</f>
        <v>0</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3725</v>
      </c>
      <c r="U11" s="477" t="s">
        <v>3726</v>
      </c>
      <c r="V11" s="477" t="s">
        <v>3727</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2" t="s">
        <v>29</v>
      </c>
      <c r="E32" s="672"/>
      <c r="F32" s="672"/>
      <c r="G32" s="672"/>
      <c r="H32" s="672"/>
      <c r="I32" s="672"/>
      <c r="J32" s="672"/>
      <c r="K32" s="672"/>
      <c r="L32" s="672"/>
      <c r="M32" s="672"/>
    </row>
    <row r="33" spans="1:14" ht="15" customHeight="1" x14ac:dyDescent="0.25">
      <c r="D33" s="673"/>
      <c r="E33" s="673"/>
      <c r="F33" s="673"/>
      <c r="G33" s="673"/>
      <c r="H33" s="673"/>
      <c r="I33" s="673"/>
      <c r="J33" s="673"/>
      <c r="K33" s="673"/>
      <c r="L33" s="673"/>
      <c r="M33" s="673"/>
      <c r="N33" s="26"/>
    </row>
    <row r="34" spans="1:14" x14ac:dyDescent="0.25">
      <c r="A34" s="21"/>
      <c r="B34" s="21"/>
      <c r="D34" s="673"/>
      <c r="E34" s="673"/>
      <c r="F34" s="673"/>
      <c r="G34" s="673"/>
      <c r="H34" s="673"/>
      <c r="I34" s="673"/>
      <c r="J34" s="673"/>
      <c r="K34" s="673"/>
      <c r="L34" s="673"/>
      <c r="M34" s="67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74" t="s">
        <v>32</v>
      </c>
      <c r="D37" s="674"/>
      <c r="E37" s="674"/>
      <c r="F37" s="674"/>
      <c r="G37" s="674"/>
      <c r="H37" s="674"/>
      <c r="I37" s="674"/>
      <c r="J37" s="674"/>
      <c r="K37" s="674"/>
      <c r="L37" s="674"/>
      <c r="M37" s="674"/>
    </row>
    <row r="38" spans="1:14" x14ac:dyDescent="0.25">
      <c r="A38" s="21"/>
      <c r="B38" s="21"/>
      <c r="C38" s="674"/>
      <c r="D38" s="674"/>
      <c r="E38" s="674"/>
      <c r="F38" s="674"/>
      <c r="G38" s="674"/>
      <c r="H38" s="674"/>
      <c r="I38" s="674"/>
      <c r="J38" s="674"/>
      <c r="K38" s="674"/>
      <c r="L38" s="674"/>
      <c r="M38" s="674"/>
    </row>
    <row r="39" spans="1:14" x14ac:dyDescent="0.25">
      <c r="A39" s="21"/>
      <c r="B39" s="21"/>
      <c r="C39" s="674"/>
      <c r="D39" s="674"/>
      <c r="E39" s="674"/>
      <c r="F39" s="674"/>
      <c r="G39" s="674"/>
      <c r="H39" s="674"/>
      <c r="I39" s="674"/>
      <c r="J39" s="674"/>
      <c r="K39" s="674"/>
      <c r="L39" s="674"/>
      <c r="M39" s="674"/>
    </row>
    <row r="40" spans="1:14" x14ac:dyDescent="0.25">
      <c r="A40" s="21"/>
      <c r="B40" s="21"/>
      <c r="C40" s="674"/>
      <c r="D40" s="674"/>
      <c r="E40" s="674"/>
      <c r="F40" s="674"/>
      <c r="G40" s="674"/>
      <c r="H40" s="674"/>
      <c r="I40" s="674"/>
      <c r="J40" s="674"/>
      <c r="K40" s="674"/>
      <c r="L40" s="674"/>
      <c r="M40" s="67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ChMxWRgKNOkJ18raDlvizvOcoTQyefGWKjnNs7inuR6dUxT0u+h5V12VvWdsmH3H9gYfVf8wHxOShso0ZFIfmA==" saltValue="/A3c8OqSiZqeqPE2SiCiag=="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vjyB9yN1ZQMST8CUea3EVBH2QcsEWfh7iolKqlttrdlvZ2CzTp48WJ0u5eO+geHVWRw7xPS3bnzt/12BjqJMXA==" saltValue="GSgyFM1xtrXdhXXbTNips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678">
        <f>Main!D16</f>
        <v>0</v>
      </c>
      <c r="B1" s="679">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680">
        <f>Main!D19</f>
        <v>0</v>
      </c>
      <c r="B2" s="679">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3016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XzUisREZULVxtmiz4nAWRgevNfW+uCyKRKFi8Q4CFpz6rQj21jFVfFL6Ng9+c6Pqnw/ZR5+aER0ardToAFDuDQ==" saltValue="J7dRMpPhI6So4jidYtMzi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5953</v>
      </c>
      <c r="B1" t="s">
        <v>5954</v>
      </c>
      <c r="C1" t="s">
        <v>5955</v>
      </c>
      <c r="D1" t="s">
        <v>5956</v>
      </c>
    </row>
    <row r="2" spans="1:4" x14ac:dyDescent="0.2">
      <c r="A2">
        <v>1</v>
      </c>
      <c r="B2">
        <v>10.199999999999999</v>
      </c>
      <c r="C2">
        <v>10</v>
      </c>
      <c r="D2" t="s">
        <v>5957</v>
      </c>
    </row>
    <row r="3" spans="1:4" x14ac:dyDescent="0.2">
      <c r="A3">
        <v>2</v>
      </c>
      <c r="B3">
        <v>9.8000000000000007</v>
      </c>
      <c r="C3">
        <v>10</v>
      </c>
      <c r="D3" t="s">
        <v>5957</v>
      </c>
    </row>
    <row r="4" spans="1:4" x14ac:dyDescent="0.2">
      <c r="A4">
        <v>3</v>
      </c>
      <c r="B4">
        <v>10.199999999999999</v>
      </c>
      <c r="C4">
        <v>10</v>
      </c>
      <c r="D4" t="s">
        <v>5957</v>
      </c>
    </row>
    <row r="5" spans="1:4" x14ac:dyDescent="0.2">
      <c r="A5">
        <v>4</v>
      </c>
      <c r="B5">
        <v>10.3</v>
      </c>
      <c r="C5">
        <v>10</v>
      </c>
      <c r="D5" t="s">
        <v>5957</v>
      </c>
    </row>
    <row r="6" spans="1:4" x14ac:dyDescent="0.2">
      <c r="A6">
        <v>5</v>
      </c>
      <c r="B6">
        <v>10.3</v>
      </c>
      <c r="C6">
        <v>10</v>
      </c>
      <c r="D6" t="s">
        <v>5957</v>
      </c>
    </row>
    <row r="7" spans="1:4" x14ac:dyDescent="0.2">
      <c r="A7">
        <v>6</v>
      </c>
      <c r="B7">
        <v>10.199999999999999</v>
      </c>
      <c r="C7">
        <v>10</v>
      </c>
      <c r="D7" t="s">
        <v>5957</v>
      </c>
    </row>
    <row r="8" spans="1:4" x14ac:dyDescent="0.2">
      <c r="A8">
        <v>1</v>
      </c>
      <c r="B8">
        <v>500.1</v>
      </c>
      <c r="C8">
        <v>500</v>
      </c>
      <c r="D8" t="s">
        <v>5957</v>
      </c>
    </row>
    <row r="9" spans="1:4" x14ac:dyDescent="0.2">
      <c r="A9">
        <v>2</v>
      </c>
      <c r="B9">
        <v>499.9</v>
      </c>
      <c r="C9">
        <v>500</v>
      </c>
      <c r="D9" t="s">
        <v>5957</v>
      </c>
    </row>
    <row r="10" spans="1:4" x14ac:dyDescent="0.2">
      <c r="A10">
        <v>3</v>
      </c>
      <c r="B10">
        <v>500.1</v>
      </c>
      <c r="C10">
        <v>500</v>
      </c>
      <c r="D10" t="s">
        <v>5957</v>
      </c>
    </row>
    <row r="11" spans="1:4" x14ac:dyDescent="0.2">
      <c r="A11">
        <v>4</v>
      </c>
      <c r="B11">
        <v>500.3</v>
      </c>
      <c r="C11">
        <v>500</v>
      </c>
      <c r="D11" t="s">
        <v>5957</v>
      </c>
    </row>
    <row r="12" spans="1:4" x14ac:dyDescent="0.2">
      <c r="A12">
        <v>5</v>
      </c>
      <c r="B12">
        <v>500.3</v>
      </c>
      <c r="C12">
        <v>500</v>
      </c>
      <c r="D12" t="s">
        <v>5957</v>
      </c>
    </row>
    <row r="13" spans="1:4" x14ac:dyDescent="0.2">
      <c r="A13">
        <v>6</v>
      </c>
      <c r="B13">
        <v>500.1</v>
      </c>
      <c r="C13">
        <v>500</v>
      </c>
      <c r="D13" t="s">
        <v>5957</v>
      </c>
    </row>
    <row r="14" spans="1:4" x14ac:dyDescent="0.2">
      <c r="A14">
        <v>1</v>
      </c>
      <c r="B14">
        <v>999.8</v>
      </c>
      <c r="C14">
        <v>1000</v>
      </c>
      <c r="D14" t="s">
        <v>5957</v>
      </c>
    </row>
    <row r="15" spans="1:4" x14ac:dyDescent="0.2">
      <c r="A15">
        <v>2</v>
      </c>
      <c r="B15">
        <v>999.8</v>
      </c>
      <c r="C15">
        <v>1000</v>
      </c>
      <c r="D15" t="s">
        <v>5957</v>
      </c>
    </row>
    <row r="16" spans="1:4" x14ac:dyDescent="0.2">
      <c r="A16">
        <v>3</v>
      </c>
      <c r="B16">
        <v>999.9</v>
      </c>
      <c r="C16">
        <v>1000</v>
      </c>
      <c r="D16" t="s">
        <v>5957</v>
      </c>
    </row>
    <row r="17" spans="1:4" x14ac:dyDescent="0.2">
      <c r="A17">
        <v>4</v>
      </c>
      <c r="B17">
        <v>1000.1</v>
      </c>
      <c r="C17">
        <v>1000</v>
      </c>
      <c r="D17" t="s">
        <v>5957</v>
      </c>
    </row>
    <row r="18" spans="1:4" x14ac:dyDescent="0.2">
      <c r="A18">
        <v>5</v>
      </c>
      <c r="B18">
        <v>1000.1</v>
      </c>
      <c r="C18">
        <v>1000</v>
      </c>
      <c r="D18" t="s">
        <v>5957</v>
      </c>
    </row>
    <row r="19" spans="1:4" x14ac:dyDescent="0.2">
      <c r="A19">
        <v>6</v>
      </c>
      <c r="B19">
        <v>999.9</v>
      </c>
      <c r="C19">
        <v>1000</v>
      </c>
      <c r="D19" t="s">
        <v>5957</v>
      </c>
    </row>
    <row r="20" spans="1:4" x14ac:dyDescent="0.2">
      <c r="A20">
        <v>1</v>
      </c>
      <c r="B20">
        <v>1499.7</v>
      </c>
      <c r="C20">
        <v>1500</v>
      </c>
      <c r="D20" t="s">
        <v>5957</v>
      </c>
    </row>
    <row r="21" spans="1:4" x14ac:dyDescent="0.2">
      <c r="A21">
        <v>2</v>
      </c>
      <c r="B21">
        <v>1499.8</v>
      </c>
      <c r="C21">
        <v>1500</v>
      </c>
      <c r="D21" t="s">
        <v>5957</v>
      </c>
    </row>
    <row r="22" spans="1:4" x14ac:dyDescent="0.2">
      <c r="A22">
        <v>3</v>
      </c>
      <c r="B22">
        <v>1499.7</v>
      </c>
      <c r="C22">
        <v>1500</v>
      </c>
      <c r="D22" t="s">
        <v>5957</v>
      </c>
    </row>
    <row r="23" spans="1:4" x14ac:dyDescent="0.2">
      <c r="A23">
        <v>4</v>
      </c>
      <c r="B23">
        <v>1500</v>
      </c>
      <c r="C23">
        <v>1500</v>
      </c>
      <c r="D23" t="s">
        <v>5957</v>
      </c>
    </row>
    <row r="24" spans="1:4" x14ac:dyDescent="0.2">
      <c r="A24">
        <v>5</v>
      </c>
      <c r="B24">
        <v>1500</v>
      </c>
      <c r="C24">
        <v>1500</v>
      </c>
      <c r="D24" t="s">
        <v>5957</v>
      </c>
    </row>
    <row r="25" spans="1:4" x14ac:dyDescent="0.2">
      <c r="A25">
        <v>6</v>
      </c>
      <c r="B25">
        <v>1499.9</v>
      </c>
      <c r="C25">
        <v>1500</v>
      </c>
      <c r="D25" t="s">
        <v>5957</v>
      </c>
    </row>
    <row r="26" spans="1:4" x14ac:dyDescent="0.2">
      <c r="A26">
        <v>1</v>
      </c>
      <c r="B26">
        <v>1999.9</v>
      </c>
      <c r="C26">
        <v>2000</v>
      </c>
      <c r="D26" t="s">
        <v>5957</v>
      </c>
    </row>
    <row r="27" spans="1:4" x14ac:dyDescent="0.2">
      <c r="A27">
        <v>2</v>
      </c>
      <c r="B27">
        <v>2000.1</v>
      </c>
      <c r="C27">
        <v>2000</v>
      </c>
      <c r="D27" t="s">
        <v>5957</v>
      </c>
    </row>
    <row r="28" spans="1:4" x14ac:dyDescent="0.2">
      <c r="A28">
        <v>3</v>
      </c>
      <c r="B28">
        <v>1999.9</v>
      </c>
      <c r="C28">
        <v>2000</v>
      </c>
      <c r="D28" t="s">
        <v>5957</v>
      </c>
    </row>
    <row r="29" spans="1:4" x14ac:dyDescent="0.2">
      <c r="A29">
        <v>4</v>
      </c>
      <c r="B29">
        <v>2000.3</v>
      </c>
      <c r="C29">
        <v>2000</v>
      </c>
      <c r="D29" t="s">
        <v>5957</v>
      </c>
    </row>
    <row r="30" spans="1:4" x14ac:dyDescent="0.2">
      <c r="A30">
        <v>5</v>
      </c>
      <c r="B30">
        <v>2000.4</v>
      </c>
      <c r="C30">
        <v>2000</v>
      </c>
      <c r="D30" t="s">
        <v>5957</v>
      </c>
    </row>
    <row r="31" spans="1:4" x14ac:dyDescent="0.2">
      <c r="A31">
        <v>6</v>
      </c>
      <c r="B31">
        <v>2000.2</v>
      </c>
      <c r="C31">
        <v>2000</v>
      </c>
      <c r="D31" t="s">
        <v>5957</v>
      </c>
    </row>
    <row r="32" spans="1:4" x14ac:dyDescent="0.2">
      <c r="A32">
        <v>1</v>
      </c>
      <c r="B32">
        <v>2289.8000000000002</v>
      </c>
      <c r="C32">
        <v>2290</v>
      </c>
      <c r="D32" t="s">
        <v>5957</v>
      </c>
    </row>
    <row r="33" spans="1:4" x14ac:dyDescent="0.2">
      <c r="A33">
        <v>2</v>
      </c>
      <c r="B33">
        <v>2290</v>
      </c>
      <c r="C33">
        <v>2290</v>
      </c>
      <c r="D33" t="s">
        <v>5957</v>
      </c>
    </row>
    <row r="34" spans="1:4" x14ac:dyDescent="0.2">
      <c r="A34">
        <v>3</v>
      </c>
      <c r="B34">
        <v>2289.6999999999998</v>
      </c>
      <c r="C34">
        <v>2290</v>
      </c>
      <c r="D34" t="s">
        <v>5957</v>
      </c>
    </row>
    <row r="35" spans="1:4" x14ac:dyDescent="0.2">
      <c r="A35">
        <v>4</v>
      </c>
      <c r="B35">
        <v>2290.3000000000002</v>
      </c>
      <c r="C35">
        <v>2290</v>
      </c>
      <c r="D35" t="s">
        <v>5957</v>
      </c>
    </row>
    <row r="36" spans="1:4" x14ac:dyDescent="0.2">
      <c r="A36">
        <v>5</v>
      </c>
      <c r="B36">
        <v>2290.4</v>
      </c>
      <c r="C36">
        <v>2290</v>
      </c>
      <c r="D36" t="s">
        <v>5957</v>
      </c>
    </row>
    <row r="37" spans="1:4" x14ac:dyDescent="0.2">
      <c r="A37">
        <v>6</v>
      </c>
      <c r="B37">
        <v>2290.1</v>
      </c>
      <c r="C37">
        <v>2290</v>
      </c>
      <c r="D37" t="s">
        <v>5957</v>
      </c>
    </row>
    <row r="38" spans="1:4" x14ac:dyDescent="0.2">
      <c r="A38">
        <v>7</v>
      </c>
      <c r="B38">
        <v>10.199999999999999</v>
      </c>
      <c r="C38">
        <v>10</v>
      </c>
      <c r="D38" t="s">
        <v>5957</v>
      </c>
    </row>
    <row r="39" spans="1:4" x14ac:dyDescent="0.2">
      <c r="A39">
        <v>8</v>
      </c>
      <c r="B39">
        <v>10.199999999999999</v>
      </c>
      <c r="C39">
        <v>10</v>
      </c>
      <c r="D39" t="s">
        <v>5957</v>
      </c>
    </row>
    <row r="40" spans="1:4" x14ac:dyDescent="0.2">
      <c r="A40">
        <v>9</v>
      </c>
      <c r="B40">
        <v>10.5</v>
      </c>
      <c r="C40">
        <v>10</v>
      </c>
      <c r="D40" t="s">
        <v>5957</v>
      </c>
    </row>
    <row r="41" spans="1:4" x14ac:dyDescent="0.2">
      <c r="A41">
        <v>10</v>
      </c>
      <c r="B41">
        <v>10.199999999999999</v>
      </c>
      <c r="C41">
        <v>10</v>
      </c>
      <c r="D41" t="s">
        <v>5957</v>
      </c>
    </row>
    <row r="42" spans="1:4" x14ac:dyDescent="0.2">
      <c r="A42">
        <v>11</v>
      </c>
      <c r="B42">
        <v>10.3</v>
      </c>
      <c r="C42">
        <v>10</v>
      </c>
      <c r="D42" t="s">
        <v>5957</v>
      </c>
    </row>
    <row r="43" spans="1:4" x14ac:dyDescent="0.2">
      <c r="A43">
        <v>12</v>
      </c>
      <c r="B43">
        <v>10.199999999999999</v>
      </c>
      <c r="C43">
        <v>10</v>
      </c>
      <c r="D43" t="s">
        <v>5957</v>
      </c>
    </row>
    <row r="44" spans="1:4" x14ac:dyDescent="0.2">
      <c r="A44">
        <v>7</v>
      </c>
      <c r="B44">
        <v>500</v>
      </c>
      <c r="C44">
        <v>500</v>
      </c>
      <c r="D44" t="s">
        <v>5957</v>
      </c>
    </row>
    <row r="45" spans="1:4" x14ac:dyDescent="0.2">
      <c r="A45">
        <v>8</v>
      </c>
      <c r="B45">
        <v>500.2</v>
      </c>
      <c r="C45">
        <v>500</v>
      </c>
      <c r="D45" t="s">
        <v>5957</v>
      </c>
    </row>
    <row r="46" spans="1:4" x14ac:dyDescent="0.2">
      <c r="A46">
        <v>9</v>
      </c>
      <c r="B46">
        <v>500.5</v>
      </c>
      <c r="C46">
        <v>500</v>
      </c>
      <c r="D46" t="s">
        <v>5957</v>
      </c>
    </row>
    <row r="47" spans="1:4" x14ac:dyDescent="0.2">
      <c r="A47">
        <v>10</v>
      </c>
      <c r="B47">
        <v>500.1</v>
      </c>
      <c r="C47">
        <v>500</v>
      </c>
      <c r="D47" t="s">
        <v>5957</v>
      </c>
    </row>
    <row r="48" spans="1:4" x14ac:dyDescent="0.2">
      <c r="A48">
        <v>11</v>
      </c>
      <c r="B48">
        <v>500.3</v>
      </c>
      <c r="C48">
        <v>500</v>
      </c>
      <c r="D48" t="s">
        <v>5957</v>
      </c>
    </row>
    <row r="49" spans="1:4" x14ac:dyDescent="0.2">
      <c r="A49">
        <v>12</v>
      </c>
      <c r="B49">
        <v>500.2</v>
      </c>
      <c r="C49">
        <v>500</v>
      </c>
      <c r="D49" t="s">
        <v>5957</v>
      </c>
    </row>
    <row r="50" spans="1:4" x14ac:dyDescent="0.2">
      <c r="A50">
        <v>7</v>
      </c>
      <c r="B50">
        <v>999.8</v>
      </c>
      <c r="C50">
        <v>1000</v>
      </c>
      <c r="D50" t="s">
        <v>5957</v>
      </c>
    </row>
    <row r="51" spans="1:4" x14ac:dyDescent="0.2">
      <c r="A51">
        <v>8</v>
      </c>
      <c r="B51">
        <v>999.9</v>
      </c>
      <c r="C51">
        <v>1000</v>
      </c>
      <c r="D51" t="s">
        <v>5957</v>
      </c>
    </row>
    <row r="52" spans="1:4" x14ac:dyDescent="0.2">
      <c r="A52">
        <v>9</v>
      </c>
      <c r="B52">
        <v>1000.3</v>
      </c>
      <c r="C52">
        <v>1000</v>
      </c>
      <c r="D52" t="s">
        <v>5957</v>
      </c>
    </row>
    <row r="53" spans="1:4" x14ac:dyDescent="0.2">
      <c r="A53">
        <v>10</v>
      </c>
      <c r="B53">
        <v>999.9</v>
      </c>
      <c r="C53">
        <v>1000</v>
      </c>
      <c r="D53" t="s">
        <v>5957</v>
      </c>
    </row>
    <row r="54" spans="1:4" x14ac:dyDescent="0.2">
      <c r="A54">
        <v>11</v>
      </c>
      <c r="B54">
        <v>1000.3</v>
      </c>
      <c r="C54">
        <v>1000</v>
      </c>
      <c r="D54" t="s">
        <v>5957</v>
      </c>
    </row>
    <row r="55" spans="1:4" x14ac:dyDescent="0.2">
      <c r="A55">
        <v>12</v>
      </c>
      <c r="B55">
        <v>1000.1</v>
      </c>
      <c r="C55">
        <v>1000</v>
      </c>
      <c r="D55" t="s">
        <v>5957</v>
      </c>
    </row>
    <row r="56" spans="1:4" x14ac:dyDescent="0.2">
      <c r="A56">
        <v>7</v>
      </c>
      <c r="B56">
        <v>1499.5</v>
      </c>
      <c r="C56">
        <v>1500</v>
      </c>
      <c r="D56" t="s">
        <v>5957</v>
      </c>
    </row>
    <row r="57" spans="1:4" x14ac:dyDescent="0.2">
      <c r="A57">
        <v>8</v>
      </c>
      <c r="B57">
        <v>1499.8</v>
      </c>
      <c r="C57">
        <v>1500</v>
      </c>
      <c r="D57" t="s">
        <v>5957</v>
      </c>
    </row>
    <row r="58" spans="1:4" x14ac:dyDescent="0.2">
      <c r="A58">
        <v>9</v>
      </c>
      <c r="B58">
        <v>1500.1</v>
      </c>
      <c r="C58">
        <v>1500</v>
      </c>
      <c r="D58" t="s">
        <v>5957</v>
      </c>
    </row>
    <row r="59" spans="1:4" x14ac:dyDescent="0.2">
      <c r="A59">
        <v>10</v>
      </c>
      <c r="B59">
        <v>1499.8</v>
      </c>
      <c r="C59">
        <v>1500</v>
      </c>
      <c r="D59" t="s">
        <v>5957</v>
      </c>
    </row>
    <row r="60" spans="1:4" x14ac:dyDescent="0.2">
      <c r="A60">
        <v>11</v>
      </c>
      <c r="B60">
        <v>1500.2</v>
      </c>
      <c r="C60">
        <v>1500</v>
      </c>
      <c r="D60" t="s">
        <v>5957</v>
      </c>
    </row>
    <row r="61" spans="1:4" x14ac:dyDescent="0.2">
      <c r="A61">
        <v>12</v>
      </c>
      <c r="B61">
        <v>1499.9</v>
      </c>
      <c r="C61">
        <v>1500</v>
      </c>
      <c r="D61" t="s">
        <v>5957</v>
      </c>
    </row>
    <row r="62" spans="1:4" x14ac:dyDescent="0.2">
      <c r="A62">
        <v>7</v>
      </c>
      <c r="B62">
        <v>1999.7</v>
      </c>
      <c r="C62">
        <v>2000</v>
      </c>
      <c r="D62" t="s">
        <v>5957</v>
      </c>
    </row>
    <row r="63" spans="1:4" x14ac:dyDescent="0.2">
      <c r="A63">
        <v>8</v>
      </c>
      <c r="B63">
        <v>2000</v>
      </c>
      <c r="C63">
        <v>2000</v>
      </c>
      <c r="D63" t="s">
        <v>5957</v>
      </c>
    </row>
    <row r="64" spans="1:4" x14ac:dyDescent="0.2">
      <c r="A64">
        <v>9</v>
      </c>
      <c r="B64">
        <v>2000.4</v>
      </c>
      <c r="C64">
        <v>2000</v>
      </c>
      <c r="D64" t="s">
        <v>5957</v>
      </c>
    </row>
    <row r="65" spans="1:4" x14ac:dyDescent="0.2">
      <c r="A65">
        <v>10</v>
      </c>
      <c r="B65">
        <v>2000.1</v>
      </c>
      <c r="C65">
        <v>2000</v>
      </c>
      <c r="D65" t="s">
        <v>5957</v>
      </c>
    </row>
    <row r="66" spans="1:4" x14ac:dyDescent="0.2">
      <c r="A66">
        <v>11</v>
      </c>
      <c r="B66">
        <v>2000.7</v>
      </c>
      <c r="C66">
        <v>2000</v>
      </c>
      <c r="D66" t="s">
        <v>5957</v>
      </c>
    </row>
    <row r="67" spans="1:4" x14ac:dyDescent="0.2">
      <c r="A67">
        <v>12</v>
      </c>
      <c r="B67">
        <v>2000.3</v>
      </c>
      <c r="C67">
        <v>2000</v>
      </c>
      <c r="D67" t="s">
        <v>5957</v>
      </c>
    </row>
    <row r="68" spans="1:4" x14ac:dyDescent="0.2">
      <c r="A68">
        <v>7</v>
      </c>
      <c r="B68">
        <v>2289.5</v>
      </c>
      <c r="C68">
        <v>2290</v>
      </c>
      <c r="D68" t="s">
        <v>5957</v>
      </c>
    </row>
    <row r="69" spans="1:4" x14ac:dyDescent="0.2">
      <c r="A69">
        <v>8</v>
      </c>
      <c r="B69">
        <v>2289.9</v>
      </c>
      <c r="C69">
        <v>2290</v>
      </c>
      <c r="D69" t="s">
        <v>5957</v>
      </c>
    </row>
    <row r="70" spans="1:4" x14ac:dyDescent="0.2">
      <c r="A70">
        <v>9</v>
      </c>
      <c r="B70">
        <v>2290.3000000000002</v>
      </c>
      <c r="C70">
        <v>2290</v>
      </c>
      <c r="D70" t="s">
        <v>5957</v>
      </c>
    </row>
    <row r="71" spans="1:4" x14ac:dyDescent="0.2">
      <c r="A71">
        <v>10</v>
      </c>
      <c r="B71">
        <v>2290.1</v>
      </c>
      <c r="C71">
        <v>2290</v>
      </c>
      <c r="D71" t="s">
        <v>5957</v>
      </c>
    </row>
    <row r="72" spans="1:4" x14ac:dyDescent="0.2">
      <c r="A72">
        <v>11</v>
      </c>
      <c r="B72">
        <v>2290.6999999999998</v>
      </c>
      <c r="C72">
        <v>2290</v>
      </c>
      <c r="D72" t="s">
        <v>5957</v>
      </c>
    </row>
    <row r="73" spans="1:4" x14ac:dyDescent="0.2">
      <c r="A73">
        <v>12</v>
      </c>
      <c r="B73">
        <v>2290.1999999999998</v>
      </c>
      <c r="C73">
        <v>2290</v>
      </c>
      <c r="D73" t="s">
        <v>5957</v>
      </c>
    </row>
    <row r="74" spans="1:4" x14ac:dyDescent="0.2">
      <c r="A74">
        <v>13</v>
      </c>
      <c r="B74">
        <v>10.199999999999999</v>
      </c>
      <c r="C74">
        <v>10</v>
      </c>
      <c r="D74" t="s">
        <v>5957</v>
      </c>
    </row>
    <row r="75" spans="1:4" x14ac:dyDescent="0.2">
      <c r="A75">
        <v>14</v>
      </c>
      <c r="B75">
        <v>10.199999999999999</v>
      </c>
      <c r="C75">
        <v>10</v>
      </c>
      <c r="D75" t="s">
        <v>5957</v>
      </c>
    </row>
    <row r="76" spans="1:4" x14ac:dyDescent="0.2">
      <c r="A76">
        <v>15</v>
      </c>
      <c r="B76">
        <v>10.3</v>
      </c>
      <c r="C76">
        <v>10</v>
      </c>
      <c r="D76" t="s">
        <v>5957</v>
      </c>
    </row>
    <row r="77" spans="1:4" x14ac:dyDescent="0.2">
      <c r="A77">
        <v>16</v>
      </c>
      <c r="B77">
        <v>10.199999999999999</v>
      </c>
      <c r="C77">
        <v>10</v>
      </c>
      <c r="D77" t="s">
        <v>5957</v>
      </c>
    </row>
    <row r="78" spans="1:4" x14ac:dyDescent="0.2">
      <c r="A78">
        <v>17</v>
      </c>
      <c r="B78">
        <v>10.1</v>
      </c>
      <c r="C78">
        <v>10</v>
      </c>
      <c r="D78" t="s">
        <v>5957</v>
      </c>
    </row>
    <row r="79" spans="1:4" x14ac:dyDescent="0.2">
      <c r="A79">
        <v>18</v>
      </c>
      <c r="B79">
        <v>10.199999999999999</v>
      </c>
      <c r="C79">
        <v>10</v>
      </c>
      <c r="D79" t="s">
        <v>5957</v>
      </c>
    </row>
    <row r="80" spans="1:4" x14ac:dyDescent="0.2">
      <c r="A80">
        <v>13</v>
      </c>
      <c r="B80">
        <v>500.1</v>
      </c>
      <c r="C80">
        <v>500</v>
      </c>
      <c r="D80" t="s">
        <v>5957</v>
      </c>
    </row>
    <row r="81" spans="1:4" x14ac:dyDescent="0.2">
      <c r="A81">
        <v>14</v>
      </c>
      <c r="B81">
        <v>500.4</v>
      </c>
      <c r="C81">
        <v>500</v>
      </c>
      <c r="D81" t="s">
        <v>5957</v>
      </c>
    </row>
    <row r="82" spans="1:4" x14ac:dyDescent="0.2">
      <c r="A82">
        <v>15</v>
      </c>
      <c r="B82">
        <v>500.3</v>
      </c>
      <c r="C82">
        <v>500</v>
      </c>
      <c r="D82" t="s">
        <v>5957</v>
      </c>
    </row>
    <row r="83" spans="1:4" x14ac:dyDescent="0.2">
      <c r="A83">
        <v>16</v>
      </c>
      <c r="B83">
        <v>500.1</v>
      </c>
      <c r="C83">
        <v>500</v>
      </c>
      <c r="D83" t="s">
        <v>5957</v>
      </c>
    </row>
    <row r="84" spans="1:4" x14ac:dyDescent="0.2">
      <c r="A84">
        <v>17</v>
      </c>
      <c r="B84">
        <v>500.1</v>
      </c>
      <c r="C84">
        <v>500</v>
      </c>
      <c r="D84" t="s">
        <v>5957</v>
      </c>
    </row>
    <row r="85" spans="1:4" x14ac:dyDescent="0.2">
      <c r="A85">
        <v>18</v>
      </c>
      <c r="B85">
        <v>500.2</v>
      </c>
      <c r="C85">
        <v>500</v>
      </c>
      <c r="D85" t="s">
        <v>5957</v>
      </c>
    </row>
    <row r="86" spans="1:4" x14ac:dyDescent="0.2">
      <c r="A86">
        <v>13</v>
      </c>
      <c r="B86">
        <v>999.9</v>
      </c>
      <c r="C86">
        <v>1000</v>
      </c>
      <c r="D86" t="s">
        <v>5957</v>
      </c>
    </row>
    <row r="87" spans="1:4" x14ac:dyDescent="0.2">
      <c r="A87">
        <v>14</v>
      </c>
      <c r="B87">
        <v>1000.4</v>
      </c>
      <c r="C87">
        <v>1000</v>
      </c>
      <c r="D87" t="s">
        <v>5957</v>
      </c>
    </row>
    <row r="88" spans="1:4" x14ac:dyDescent="0.2">
      <c r="A88">
        <v>15</v>
      </c>
      <c r="B88">
        <v>1000.3</v>
      </c>
      <c r="C88">
        <v>1000</v>
      </c>
      <c r="D88" t="s">
        <v>5957</v>
      </c>
    </row>
    <row r="89" spans="1:4" x14ac:dyDescent="0.2">
      <c r="A89">
        <v>16</v>
      </c>
      <c r="B89">
        <v>1000</v>
      </c>
      <c r="C89">
        <v>1000</v>
      </c>
      <c r="D89" t="s">
        <v>5957</v>
      </c>
    </row>
    <row r="90" spans="1:4" x14ac:dyDescent="0.2">
      <c r="A90">
        <v>17</v>
      </c>
      <c r="B90">
        <v>1000.1</v>
      </c>
      <c r="C90">
        <v>1000</v>
      </c>
      <c r="D90" t="s">
        <v>5957</v>
      </c>
    </row>
    <row r="91" spans="1:4" x14ac:dyDescent="0.2">
      <c r="A91">
        <v>18</v>
      </c>
      <c r="B91">
        <v>1000.2</v>
      </c>
      <c r="C91">
        <v>1000</v>
      </c>
      <c r="D91" t="s">
        <v>5957</v>
      </c>
    </row>
    <row r="92" spans="1:4" x14ac:dyDescent="0.2">
      <c r="A92">
        <v>13</v>
      </c>
      <c r="B92">
        <v>1499.7</v>
      </c>
      <c r="C92">
        <v>1500</v>
      </c>
      <c r="D92" t="s">
        <v>5957</v>
      </c>
    </row>
    <row r="93" spans="1:4" x14ac:dyDescent="0.2">
      <c r="A93">
        <v>14</v>
      </c>
      <c r="B93">
        <v>1500.5</v>
      </c>
      <c r="C93">
        <v>1500</v>
      </c>
      <c r="D93" t="s">
        <v>5957</v>
      </c>
    </row>
    <row r="94" spans="1:4" x14ac:dyDescent="0.2">
      <c r="A94">
        <v>15</v>
      </c>
      <c r="B94">
        <v>1500.3</v>
      </c>
      <c r="C94">
        <v>1500</v>
      </c>
      <c r="D94" t="s">
        <v>5957</v>
      </c>
    </row>
    <row r="95" spans="1:4" x14ac:dyDescent="0.2">
      <c r="A95">
        <v>16</v>
      </c>
      <c r="B95">
        <v>1499.9</v>
      </c>
      <c r="C95">
        <v>1500</v>
      </c>
      <c r="D95" t="s">
        <v>5957</v>
      </c>
    </row>
    <row r="96" spans="1:4" x14ac:dyDescent="0.2">
      <c r="A96">
        <v>17</v>
      </c>
      <c r="B96">
        <v>1500</v>
      </c>
      <c r="C96">
        <v>1500</v>
      </c>
      <c r="D96" t="s">
        <v>5957</v>
      </c>
    </row>
    <row r="97" spans="1:4" x14ac:dyDescent="0.2">
      <c r="A97">
        <v>18</v>
      </c>
      <c r="B97">
        <v>1500.1</v>
      </c>
      <c r="C97">
        <v>1500</v>
      </c>
      <c r="D97" t="s">
        <v>5957</v>
      </c>
    </row>
    <row r="98" spans="1:4" x14ac:dyDescent="0.2">
      <c r="A98">
        <v>13</v>
      </c>
      <c r="B98">
        <v>1999.8</v>
      </c>
      <c r="C98">
        <v>2000</v>
      </c>
      <c r="D98" t="s">
        <v>5957</v>
      </c>
    </row>
    <row r="99" spans="1:4" x14ac:dyDescent="0.2">
      <c r="A99">
        <v>14</v>
      </c>
      <c r="B99">
        <v>2001</v>
      </c>
      <c r="C99">
        <v>2000</v>
      </c>
      <c r="D99" t="s">
        <v>5957</v>
      </c>
    </row>
    <row r="100" spans="1:4" x14ac:dyDescent="0.2">
      <c r="A100">
        <v>15</v>
      </c>
      <c r="B100">
        <v>2000.3</v>
      </c>
      <c r="C100">
        <v>2000</v>
      </c>
      <c r="D100" t="s">
        <v>5957</v>
      </c>
    </row>
    <row r="101" spans="1:4" x14ac:dyDescent="0.2">
      <c r="A101">
        <v>16</v>
      </c>
      <c r="B101">
        <v>1999.7</v>
      </c>
      <c r="C101">
        <v>2000</v>
      </c>
      <c r="D101" t="s">
        <v>5957</v>
      </c>
    </row>
    <row r="102" spans="1:4" x14ac:dyDescent="0.2">
      <c r="A102">
        <v>17</v>
      </c>
      <c r="B102">
        <v>1999.9</v>
      </c>
      <c r="C102">
        <v>2000</v>
      </c>
      <c r="D102" t="s">
        <v>5957</v>
      </c>
    </row>
    <row r="103" spans="1:4" x14ac:dyDescent="0.2">
      <c r="A103">
        <v>18</v>
      </c>
      <c r="B103">
        <v>1999.9</v>
      </c>
      <c r="C103">
        <v>2000</v>
      </c>
      <c r="D103" t="s">
        <v>5957</v>
      </c>
    </row>
    <row r="104" spans="1:4" x14ac:dyDescent="0.2">
      <c r="A104">
        <v>13</v>
      </c>
      <c r="B104">
        <v>2289.6999999999998</v>
      </c>
      <c r="C104">
        <v>2290</v>
      </c>
      <c r="D104" t="s">
        <v>5957</v>
      </c>
    </row>
    <row r="105" spans="1:4" x14ac:dyDescent="0.2">
      <c r="A105">
        <v>14</v>
      </c>
      <c r="B105">
        <v>2291</v>
      </c>
      <c r="C105">
        <v>2290</v>
      </c>
      <c r="D105" t="s">
        <v>5957</v>
      </c>
    </row>
    <row r="106" spans="1:4" x14ac:dyDescent="0.2">
      <c r="A106">
        <v>15</v>
      </c>
      <c r="B106">
        <v>2290.4</v>
      </c>
      <c r="C106">
        <v>2290</v>
      </c>
      <c r="D106" t="s">
        <v>5957</v>
      </c>
    </row>
    <row r="107" spans="1:4" x14ac:dyDescent="0.2">
      <c r="A107">
        <v>16</v>
      </c>
      <c r="B107">
        <v>2289.6999999999998</v>
      </c>
      <c r="C107">
        <v>2290</v>
      </c>
      <c r="D107" t="s">
        <v>5957</v>
      </c>
    </row>
    <row r="108" spans="1:4" x14ac:dyDescent="0.2">
      <c r="A108">
        <v>17</v>
      </c>
      <c r="B108">
        <v>2289.9</v>
      </c>
      <c r="C108">
        <v>2290</v>
      </c>
      <c r="D108" t="s">
        <v>5957</v>
      </c>
    </row>
    <row r="109" spans="1:4" x14ac:dyDescent="0.2">
      <c r="A109">
        <v>18</v>
      </c>
      <c r="B109">
        <v>2289.9</v>
      </c>
      <c r="C109">
        <v>2290</v>
      </c>
      <c r="D109" t="s">
        <v>5957</v>
      </c>
    </row>
    <row r="110" spans="1:4" x14ac:dyDescent="0.2">
      <c r="A110">
        <v>19</v>
      </c>
      <c r="B110">
        <v>10.199999999999999</v>
      </c>
      <c r="C110">
        <v>10</v>
      </c>
      <c r="D110" t="s">
        <v>5957</v>
      </c>
    </row>
    <row r="111" spans="1:4" x14ac:dyDescent="0.2">
      <c r="A111">
        <v>20</v>
      </c>
      <c r="B111">
        <v>10.1</v>
      </c>
      <c r="C111">
        <v>10</v>
      </c>
      <c r="D111" t="s">
        <v>5957</v>
      </c>
    </row>
    <row r="112" spans="1:4" x14ac:dyDescent="0.2">
      <c r="A112">
        <v>21</v>
      </c>
      <c r="B112">
        <v>10.199999999999999</v>
      </c>
      <c r="C112">
        <v>10</v>
      </c>
      <c r="D112" t="s">
        <v>5957</v>
      </c>
    </row>
    <row r="113" spans="1:4" x14ac:dyDescent="0.2">
      <c r="A113">
        <v>22</v>
      </c>
      <c r="B113">
        <v>10.1</v>
      </c>
      <c r="C113">
        <v>10</v>
      </c>
      <c r="D113" t="s">
        <v>5957</v>
      </c>
    </row>
    <row r="114" spans="1:4" x14ac:dyDescent="0.2">
      <c r="A114">
        <v>23</v>
      </c>
      <c r="B114">
        <v>10.199999999999999</v>
      </c>
      <c r="C114">
        <v>10</v>
      </c>
      <c r="D114" t="s">
        <v>5957</v>
      </c>
    </row>
    <row r="115" spans="1:4" x14ac:dyDescent="0.2">
      <c r="A115">
        <v>24</v>
      </c>
      <c r="B115">
        <v>10.1</v>
      </c>
      <c r="C115">
        <v>10</v>
      </c>
      <c r="D115" t="s">
        <v>5957</v>
      </c>
    </row>
    <row r="116" spans="1:4" x14ac:dyDescent="0.2">
      <c r="A116">
        <v>19</v>
      </c>
      <c r="B116">
        <v>500.1</v>
      </c>
      <c r="C116">
        <v>500</v>
      </c>
      <c r="D116" t="s">
        <v>5957</v>
      </c>
    </row>
    <row r="117" spans="1:4" x14ac:dyDescent="0.2">
      <c r="A117">
        <v>20</v>
      </c>
      <c r="B117">
        <v>500.1</v>
      </c>
      <c r="C117">
        <v>500</v>
      </c>
      <c r="D117" t="s">
        <v>5957</v>
      </c>
    </row>
    <row r="118" spans="1:4" x14ac:dyDescent="0.2">
      <c r="A118">
        <v>21</v>
      </c>
      <c r="B118">
        <v>500.1</v>
      </c>
      <c r="C118">
        <v>500</v>
      </c>
      <c r="D118" t="s">
        <v>5957</v>
      </c>
    </row>
    <row r="119" spans="1:4" x14ac:dyDescent="0.2">
      <c r="A119">
        <v>22</v>
      </c>
      <c r="B119">
        <v>500.1</v>
      </c>
      <c r="C119">
        <v>500</v>
      </c>
      <c r="D119" t="s">
        <v>5957</v>
      </c>
    </row>
    <row r="120" spans="1:4" x14ac:dyDescent="0.2">
      <c r="A120">
        <v>23</v>
      </c>
      <c r="B120">
        <v>500.2</v>
      </c>
      <c r="C120">
        <v>500</v>
      </c>
      <c r="D120" t="s">
        <v>5957</v>
      </c>
    </row>
    <row r="121" spans="1:4" x14ac:dyDescent="0.2">
      <c r="A121">
        <v>24</v>
      </c>
      <c r="B121">
        <v>500.1</v>
      </c>
      <c r="C121">
        <v>500</v>
      </c>
      <c r="D121" t="s">
        <v>5957</v>
      </c>
    </row>
    <row r="122" spans="1:4" x14ac:dyDescent="0.2">
      <c r="A122">
        <v>19</v>
      </c>
      <c r="B122">
        <v>1000.1</v>
      </c>
      <c r="C122">
        <v>1000</v>
      </c>
      <c r="D122" t="s">
        <v>5957</v>
      </c>
    </row>
    <row r="123" spans="1:4" x14ac:dyDescent="0.2">
      <c r="A123">
        <v>20</v>
      </c>
      <c r="B123">
        <v>1000.2</v>
      </c>
      <c r="C123">
        <v>1000</v>
      </c>
      <c r="D123" t="s">
        <v>5957</v>
      </c>
    </row>
    <row r="124" spans="1:4" x14ac:dyDescent="0.2">
      <c r="A124">
        <v>21</v>
      </c>
      <c r="B124">
        <v>1000.1</v>
      </c>
      <c r="C124">
        <v>1000</v>
      </c>
      <c r="D124" t="s">
        <v>5957</v>
      </c>
    </row>
    <row r="125" spans="1:4" x14ac:dyDescent="0.2">
      <c r="A125">
        <v>22</v>
      </c>
      <c r="B125">
        <v>1000.2</v>
      </c>
      <c r="C125">
        <v>1000</v>
      </c>
      <c r="D125" t="s">
        <v>5957</v>
      </c>
    </row>
    <row r="126" spans="1:4" x14ac:dyDescent="0.2">
      <c r="A126">
        <v>23</v>
      </c>
      <c r="B126">
        <v>1000.1</v>
      </c>
      <c r="C126">
        <v>1000</v>
      </c>
      <c r="D126" t="s">
        <v>5957</v>
      </c>
    </row>
    <row r="127" spans="1:4" x14ac:dyDescent="0.2">
      <c r="A127">
        <v>24</v>
      </c>
      <c r="B127">
        <v>1000.1</v>
      </c>
      <c r="C127">
        <v>1000</v>
      </c>
      <c r="D127" t="s">
        <v>5957</v>
      </c>
    </row>
    <row r="128" spans="1:4" x14ac:dyDescent="0.2">
      <c r="A128">
        <v>19</v>
      </c>
      <c r="B128">
        <v>1500</v>
      </c>
      <c r="C128">
        <v>1500</v>
      </c>
      <c r="D128" t="s">
        <v>5957</v>
      </c>
    </row>
    <row r="129" spans="1:4" x14ac:dyDescent="0.2">
      <c r="A129">
        <v>20</v>
      </c>
      <c r="B129">
        <v>1500.1</v>
      </c>
      <c r="C129">
        <v>1500</v>
      </c>
      <c r="D129" t="s">
        <v>5957</v>
      </c>
    </row>
    <row r="130" spans="1:4" x14ac:dyDescent="0.2">
      <c r="A130">
        <v>21</v>
      </c>
      <c r="B130">
        <v>1500</v>
      </c>
      <c r="C130">
        <v>1500</v>
      </c>
      <c r="D130" t="s">
        <v>5957</v>
      </c>
    </row>
    <row r="131" spans="1:4" x14ac:dyDescent="0.2">
      <c r="A131">
        <v>22</v>
      </c>
      <c r="B131">
        <v>1500.1</v>
      </c>
      <c r="C131">
        <v>1500</v>
      </c>
      <c r="D131" t="s">
        <v>5957</v>
      </c>
    </row>
    <row r="132" spans="1:4" x14ac:dyDescent="0.2">
      <c r="A132">
        <v>23</v>
      </c>
      <c r="B132">
        <v>1500</v>
      </c>
      <c r="C132">
        <v>1500</v>
      </c>
      <c r="D132" t="s">
        <v>5957</v>
      </c>
    </row>
    <row r="133" spans="1:4" x14ac:dyDescent="0.2">
      <c r="A133">
        <v>24</v>
      </c>
      <c r="B133">
        <v>1500.1</v>
      </c>
      <c r="C133">
        <v>1500</v>
      </c>
      <c r="D133" t="s">
        <v>5957</v>
      </c>
    </row>
    <row r="134" spans="1:4" x14ac:dyDescent="0.2">
      <c r="A134">
        <v>19</v>
      </c>
      <c r="B134">
        <v>1999.7</v>
      </c>
      <c r="C134">
        <v>2000</v>
      </c>
      <c r="D134" t="s">
        <v>5957</v>
      </c>
    </row>
    <row r="135" spans="1:4" x14ac:dyDescent="0.2">
      <c r="A135">
        <v>20</v>
      </c>
      <c r="B135">
        <v>2000</v>
      </c>
      <c r="C135">
        <v>2000</v>
      </c>
      <c r="D135" t="s">
        <v>5957</v>
      </c>
    </row>
    <row r="136" spans="1:4" x14ac:dyDescent="0.2">
      <c r="A136">
        <v>21</v>
      </c>
      <c r="B136">
        <v>1999.8</v>
      </c>
      <c r="C136">
        <v>2000</v>
      </c>
      <c r="D136" t="s">
        <v>5957</v>
      </c>
    </row>
    <row r="137" spans="1:4" x14ac:dyDescent="0.2">
      <c r="A137">
        <v>22</v>
      </c>
      <c r="B137">
        <v>2000</v>
      </c>
      <c r="C137">
        <v>2000</v>
      </c>
      <c r="D137" t="s">
        <v>5957</v>
      </c>
    </row>
    <row r="138" spans="1:4" x14ac:dyDescent="0.2">
      <c r="A138">
        <v>23</v>
      </c>
      <c r="B138">
        <v>1999.9</v>
      </c>
      <c r="C138">
        <v>2000</v>
      </c>
      <c r="D138" t="s">
        <v>5957</v>
      </c>
    </row>
    <row r="139" spans="1:4" x14ac:dyDescent="0.2">
      <c r="A139">
        <v>24</v>
      </c>
      <c r="B139">
        <v>2000</v>
      </c>
      <c r="C139">
        <v>2000</v>
      </c>
      <c r="D139" t="s">
        <v>5957</v>
      </c>
    </row>
    <row r="140" spans="1:4" x14ac:dyDescent="0.2">
      <c r="A140">
        <v>19</v>
      </c>
      <c r="B140">
        <v>2289.6999999999998</v>
      </c>
      <c r="C140">
        <v>2290</v>
      </c>
      <c r="D140" t="s">
        <v>5957</v>
      </c>
    </row>
    <row r="141" spans="1:4" x14ac:dyDescent="0.2">
      <c r="A141">
        <v>20</v>
      </c>
      <c r="B141">
        <v>2290</v>
      </c>
      <c r="C141">
        <v>2290</v>
      </c>
      <c r="D141" t="s">
        <v>5957</v>
      </c>
    </row>
    <row r="142" spans="1:4" x14ac:dyDescent="0.2">
      <c r="A142">
        <v>21</v>
      </c>
      <c r="B142">
        <v>2289.8000000000002</v>
      </c>
      <c r="C142">
        <v>2290</v>
      </c>
      <c r="D142" t="s">
        <v>5957</v>
      </c>
    </row>
    <row r="143" spans="1:4" x14ac:dyDescent="0.2">
      <c r="A143">
        <v>22</v>
      </c>
      <c r="B143">
        <v>2290</v>
      </c>
      <c r="C143">
        <v>2290</v>
      </c>
      <c r="D143" t="s">
        <v>5957</v>
      </c>
    </row>
    <row r="144" spans="1:4" x14ac:dyDescent="0.2">
      <c r="A144">
        <v>23</v>
      </c>
      <c r="B144">
        <v>2289.9</v>
      </c>
      <c r="C144">
        <v>2290</v>
      </c>
      <c r="D144" t="s">
        <v>5957</v>
      </c>
    </row>
    <row r="145" spans="1:4" x14ac:dyDescent="0.2">
      <c r="A145">
        <v>24</v>
      </c>
      <c r="B145">
        <v>2290</v>
      </c>
      <c r="C145">
        <v>2290</v>
      </c>
      <c r="D145" t="s">
        <v>5957</v>
      </c>
    </row>
    <row r="146" spans="1:4" x14ac:dyDescent="0.2">
      <c r="A146">
        <v>25</v>
      </c>
      <c r="B146">
        <v>10.1</v>
      </c>
      <c r="C146">
        <v>10</v>
      </c>
      <c r="D146" t="s">
        <v>5957</v>
      </c>
    </row>
    <row r="147" spans="1:4" x14ac:dyDescent="0.2">
      <c r="A147">
        <v>26</v>
      </c>
      <c r="B147">
        <v>10.1</v>
      </c>
      <c r="C147">
        <v>10</v>
      </c>
      <c r="D147" t="s">
        <v>5957</v>
      </c>
    </row>
    <row r="148" spans="1:4" x14ac:dyDescent="0.2">
      <c r="A148">
        <v>27</v>
      </c>
      <c r="B148">
        <v>10.1</v>
      </c>
      <c r="C148">
        <v>10</v>
      </c>
      <c r="D148" t="s">
        <v>5957</v>
      </c>
    </row>
    <row r="149" spans="1:4" x14ac:dyDescent="0.2">
      <c r="A149">
        <v>28</v>
      </c>
      <c r="B149">
        <v>10.1</v>
      </c>
      <c r="C149">
        <v>10</v>
      </c>
      <c r="D149" t="s">
        <v>5957</v>
      </c>
    </row>
    <row r="150" spans="1:4" x14ac:dyDescent="0.2">
      <c r="A150">
        <v>29</v>
      </c>
      <c r="B150">
        <v>10</v>
      </c>
      <c r="C150">
        <v>10</v>
      </c>
      <c r="D150" t="s">
        <v>5957</v>
      </c>
    </row>
    <row r="151" spans="1:4" x14ac:dyDescent="0.2">
      <c r="A151">
        <v>30</v>
      </c>
      <c r="B151">
        <v>9.8000000000000007</v>
      </c>
      <c r="C151">
        <v>10</v>
      </c>
      <c r="D151" t="s">
        <v>5957</v>
      </c>
    </row>
    <row r="152" spans="1:4" x14ac:dyDescent="0.2">
      <c r="A152">
        <v>25</v>
      </c>
      <c r="B152">
        <v>500.1</v>
      </c>
      <c r="C152">
        <v>500</v>
      </c>
      <c r="D152" t="s">
        <v>5957</v>
      </c>
    </row>
    <row r="153" spans="1:4" x14ac:dyDescent="0.2">
      <c r="A153">
        <v>26</v>
      </c>
      <c r="B153">
        <v>500.1</v>
      </c>
      <c r="C153">
        <v>500</v>
      </c>
      <c r="D153" t="s">
        <v>5957</v>
      </c>
    </row>
    <row r="154" spans="1:4" x14ac:dyDescent="0.2">
      <c r="A154">
        <v>27</v>
      </c>
      <c r="B154">
        <v>499.9</v>
      </c>
      <c r="C154">
        <v>500</v>
      </c>
      <c r="D154" t="s">
        <v>5957</v>
      </c>
    </row>
    <row r="155" spans="1:4" x14ac:dyDescent="0.2">
      <c r="A155">
        <v>28</v>
      </c>
      <c r="B155">
        <v>500.1</v>
      </c>
      <c r="C155">
        <v>500</v>
      </c>
      <c r="D155" t="s">
        <v>5957</v>
      </c>
    </row>
    <row r="156" spans="1:4" x14ac:dyDescent="0.2">
      <c r="A156">
        <v>29</v>
      </c>
      <c r="B156">
        <v>500</v>
      </c>
      <c r="C156">
        <v>500</v>
      </c>
      <c r="D156" t="s">
        <v>5957</v>
      </c>
    </row>
    <row r="157" spans="1:4" x14ac:dyDescent="0.2">
      <c r="A157">
        <v>30</v>
      </c>
      <c r="B157">
        <v>499.9</v>
      </c>
      <c r="C157">
        <v>500</v>
      </c>
      <c r="D157" t="s">
        <v>5957</v>
      </c>
    </row>
    <row r="158" spans="1:4" x14ac:dyDescent="0.2">
      <c r="A158">
        <v>25</v>
      </c>
      <c r="B158">
        <v>1000.1</v>
      </c>
      <c r="C158">
        <v>1000</v>
      </c>
      <c r="D158" t="s">
        <v>5957</v>
      </c>
    </row>
    <row r="159" spans="1:4" x14ac:dyDescent="0.2">
      <c r="A159">
        <v>26</v>
      </c>
      <c r="B159">
        <v>1000.1</v>
      </c>
      <c r="C159">
        <v>1000</v>
      </c>
      <c r="D159" t="s">
        <v>5957</v>
      </c>
    </row>
    <row r="160" spans="1:4" x14ac:dyDescent="0.2">
      <c r="A160">
        <v>27</v>
      </c>
      <c r="B160">
        <v>999.9</v>
      </c>
      <c r="C160">
        <v>1000</v>
      </c>
      <c r="D160" t="s">
        <v>5957</v>
      </c>
    </row>
    <row r="161" spans="1:4" x14ac:dyDescent="0.2">
      <c r="A161">
        <v>28</v>
      </c>
      <c r="B161">
        <v>1000</v>
      </c>
      <c r="C161">
        <v>1000</v>
      </c>
      <c r="D161" t="s">
        <v>5957</v>
      </c>
    </row>
    <row r="162" spans="1:4" x14ac:dyDescent="0.2">
      <c r="A162">
        <v>29</v>
      </c>
      <c r="B162">
        <v>999.9</v>
      </c>
      <c r="C162">
        <v>1000</v>
      </c>
      <c r="D162" t="s">
        <v>5957</v>
      </c>
    </row>
    <row r="163" spans="1:4" x14ac:dyDescent="0.2">
      <c r="A163">
        <v>30</v>
      </c>
      <c r="B163">
        <v>1000</v>
      </c>
      <c r="C163">
        <v>1000</v>
      </c>
      <c r="D163" t="s">
        <v>5957</v>
      </c>
    </row>
    <row r="164" spans="1:4" x14ac:dyDescent="0.2">
      <c r="A164">
        <v>25</v>
      </c>
      <c r="B164">
        <v>1500</v>
      </c>
      <c r="C164">
        <v>1500</v>
      </c>
      <c r="D164" t="s">
        <v>5957</v>
      </c>
    </row>
    <row r="165" spans="1:4" x14ac:dyDescent="0.2">
      <c r="A165">
        <v>26</v>
      </c>
      <c r="B165">
        <v>1500.1</v>
      </c>
      <c r="C165">
        <v>1500</v>
      </c>
      <c r="D165" t="s">
        <v>5957</v>
      </c>
    </row>
    <row r="166" spans="1:4" x14ac:dyDescent="0.2">
      <c r="A166">
        <v>27</v>
      </c>
      <c r="B166">
        <v>1499.8</v>
      </c>
      <c r="C166">
        <v>1500</v>
      </c>
      <c r="D166" t="s">
        <v>5957</v>
      </c>
    </row>
    <row r="167" spans="1:4" x14ac:dyDescent="0.2">
      <c r="A167">
        <v>28</v>
      </c>
      <c r="B167">
        <v>1500</v>
      </c>
      <c r="C167">
        <v>1500</v>
      </c>
      <c r="D167" t="s">
        <v>5957</v>
      </c>
    </row>
    <row r="168" spans="1:4" x14ac:dyDescent="0.2">
      <c r="A168">
        <v>29</v>
      </c>
      <c r="B168">
        <v>1500</v>
      </c>
      <c r="C168">
        <v>1500</v>
      </c>
      <c r="D168" t="s">
        <v>5957</v>
      </c>
    </row>
    <row r="169" spans="1:4" x14ac:dyDescent="0.2">
      <c r="A169">
        <v>30</v>
      </c>
      <c r="B169">
        <v>1500.1</v>
      </c>
      <c r="C169">
        <v>1500</v>
      </c>
      <c r="D169" t="s">
        <v>5957</v>
      </c>
    </row>
    <row r="170" spans="1:4" x14ac:dyDescent="0.2">
      <c r="A170">
        <v>25</v>
      </c>
      <c r="B170">
        <v>1999.9</v>
      </c>
      <c r="C170">
        <v>2000</v>
      </c>
      <c r="D170" t="s">
        <v>5957</v>
      </c>
    </row>
    <row r="171" spans="1:4" x14ac:dyDescent="0.2">
      <c r="A171">
        <v>26</v>
      </c>
      <c r="B171">
        <v>1999.8</v>
      </c>
      <c r="C171">
        <v>2000</v>
      </c>
      <c r="D171" t="s">
        <v>5957</v>
      </c>
    </row>
    <row r="172" spans="1:4" x14ac:dyDescent="0.2">
      <c r="A172">
        <v>27</v>
      </c>
      <c r="B172">
        <v>1999.5</v>
      </c>
      <c r="C172">
        <v>2000</v>
      </c>
      <c r="D172" t="s">
        <v>5957</v>
      </c>
    </row>
    <row r="173" spans="1:4" x14ac:dyDescent="0.2">
      <c r="A173">
        <v>28</v>
      </c>
      <c r="B173">
        <v>1999.8</v>
      </c>
      <c r="C173">
        <v>2000</v>
      </c>
      <c r="D173" t="s">
        <v>5957</v>
      </c>
    </row>
    <row r="174" spans="1:4" x14ac:dyDescent="0.2">
      <c r="A174">
        <v>29</v>
      </c>
      <c r="B174">
        <v>2000</v>
      </c>
      <c r="C174">
        <v>2000</v>
      </c>
      <c r="D174" t="s">
        <v>5957</v>
      </c>
    </row>
    <row r="175" spans="1:4" x14ac:dyDescent="0.2">
      <c r="A175">
        <v>30</v>
      </c>
      <c r="B175">
        <v>2000.1</v>
      </c>
      <c r="C175">
        <v>2000</v>
      </c>
      <c r="D175" t="s">
        <v>5957</v>
      </c>
    </row>
    <row r="176" spans="1:4" x14ac:dyDescent="0.2">
      <c r="A176">
        <v>25</v>
      </c>
      <c r="B176">
        <v>2289.9</v>
      </c>
      <c r="C176">
        <v>2290</v>
      </c>
      <c r="D176" t="s">
        <v>5957</v>
      </c>
    </row>
    <row r="177" spans="1:4" x14ac:dyDescent="0.2">
      <c r="A177">
        <v>26</v>
      </c>
      <c r="B177">
        <v>2289.8000000000002</v>
      </c>
      <c r="C177">
        <v>2290</v>
      </c>
      <c r="D177" t="s">
        <v>5957</v>
      </c>
    </row>
    <row r="178" spans="1:4" x14ac:dyDescent="0.2">
      <c r="A178">
        <v>27</v>
      </c>
      <c r="B178">
        <v>2289.5</v>
      </c>
      <c r="C178">
        <v>2290</v>
      </c>
      <c r="D178" t="s">
        <v>5957</v>
      </c>
    </row>
    <row r="179" spans="1:4" x14ac:dyDescent="0.2">
      <c r="A179">
        <v>28</v>
      </c>
      <c r="B179">
        <v>2289.8000000000002</v>
      </c>
      <c r="C179">
        <v>2290</v>
      </c>
      <c r="D179" t="s">
        <v>5957</v>
      </c>
    </row>
    <row r="180" spans="1:4" x14ac:dyDescent="0.2">
      <c r="A180">
        <v>29</v>
      </c>
      <c r="B180">
        <v>2289.9</v>
      </c>
      <c r="C180">
        <v>2290</v>
      </c>
      <c r="D180" t="s">
        <v>5957</v>
      </c>
    </row>
    <row r="181" spans="1:4" x14ac:dyDescent="0.2">
      <c r="A181">
        <v>30</v>
      </c>
      <c r="B181">
        <v>2290.1</v>
      </c>
      <c r="C181">
        <v>2290</v>
      </c>
      <c r="D181" t="s">
        <v>5957</v>
      </c>
    </row>
    <row r="182" spans="1:4" x14ac:dyDescent="0.2">
      <c r="A182">
        <v>31</v>
      </c>
      <c r="B182">
        <v>9.9</v>
      </c>
      <c r="C182">
        <v>10</v>
      </c>
      <c r="D182" t="s">
        <v>5957</v>
      </c>
    </row>
    <row r="183" spans="1:4" x14ac:dyDescent="0.2">
      <c r="A183">
        <v>32</v>
      </c>
      <c r="B183">
        <v>9.9</v>
      </c>
      <c r="C183">
        <v>10</v>
      </c>
      <c r="D183" t="s">
        <v>5957</v>
      </c>
    </row>
    <row r="184" spans="1:4" x14ac:dyDescent="0.2">
      <c r="A184">
        <v>33</v>
      </c>
      <c r="B184">
        <v>10</v>
      </c>
      <c r="C184">
        <v>10</v>
      </c>
      <c r="D184" t="s">
        <v>5957</v>
      </c>
    </row>
    <row r="185" spans="1:4" x14ac:dyDescent="0.2">
      <c r="A185">
        <v>34</v>
      </c>
      <c r="B185">
        <v>10.1</v>
      </c>
      <c r="C185">
        <v>10</v>
      </c>
      <c r="D185" t="s">
        <v>5957</v>
      </c>
    </row>
    <row r="186" spans="1:4" x14ac:dyDescent="0.2">
      <c r="A186">
        <v>35</v>
      </c>
      <c r="B186">
        <v>9.9</v>
      </c>
      <c r="C186">
        <v>10</v>
      </c>
      <c r="D186" t="s">
        <v>5957</v>
      </c>
    </row>
    <row r="187" spans="1:4" x14ac:dyDescent="0.2">
      <c r="A187">
        <v>36</v>
      </c>
      <c r="B187">
        <v>9.9</v>
      </c>
      <c r="C187">
        <v>10</v>
      </c>
      <c r="D187" t="s">
        <v>5957</v>
      </c>
    </row>
    <row r="188" spans="1:4" x14ac:dyDescent="0.2">
      <c r="A188">
        <v>31</v>
      </c>
      <c r="B188">
        <v>499.9</v>
      </c>
      <c r="C188">
        <v>500</v>
      </c>
      <c r="D188" t="s">
        <v>5957</v>
      </c>
    </row>
    <row r="189" spans="1:4" x14ac:dyDescent="0.2">
      <c r="A189">
        <v>32</v>
      </c>
      <c r="B189">
        <v>499.9</v>
      </c>
      <c r="C189">
        <v>500</v>
      </c>
      <c r="D189" t="s">
        <v>5957</v>
      </c>
    </row>
    <row r="190" spans="1:4" x14ac:dyDescent="0.2">
      <c r="A190">
        <v>33</v>
      </c>
      <c r="B190">
        <v>500</v>
      </c>
      <c r="C190">
        <v>500</v>
      </c>
      <c r="D190" t="s">
        <v>5957</v>
      </c>
    </row>
    <row r="191" spans="1:4" x14ac:dyDescent="0.2">
      <c r="A191">
        <v>34</v>
      </c>
      <c r="B191">
        <v>500</v>
      </c>
      <c r="C191">
        <v>500</v>
      </c>
      <c r="D191" t="s">
        <v>5957</v>
      </c>
    </row>
    <row r="192" spans="1:4" x14ac:dyDescent="0.2">
      <c r="A192">
        <v>35</v>
      </c>
      <c r="B192">
        <v>500</v>
      </c>
      <c r="C192">
        <v>500</v>
      </c>
      <c r="D192" t="s">
        <v>5957</v>
      </c>
    </row>
    <row r="193" spans="1:4" x14ac:dyDescent="0.2">
      <c r="A193">
        <v>36</v>
      </c>
      <c r="B193">
        <v>500</v>
      </c>
      <c r="C193">
        <v>500</v>
      </c>
      <c r="D193" t="s">
        <v>5957</v>
      </c>
    </row>
    <row r="194" spans="1:4" x14ac:dyDescent="0.2">
      <c r="A194">
        <v>31</v>
      </c>
      <c r="B194">
        <v>999.9</v>
      </c>
      <c r="C194">
        <v>1000</v>
      </c>
      <c r="D194" t="s">
        <v>5957</v>
      </c>
    </row>
    <row r="195" spans="1:4" x14ac:dyDescent="0.2">
      <c r="A195">
        <v>32</v>
      </c>
      <c r="B195">
        <v>999.9</v>
      </c>
      <c r="C195">
        <v>1000</v>
      </c>
      <c r="D195" t="s">
        <v>5957</v>
      </c>
    </row>
    <row r="196" spans="1:4" x14ac:dyDescent="0.2">
      <c r="A196">
        <v>33</v>
      </c>
      <c r="B196">
        <v>1000</v>
      </c>
      <c r="C196">
        <v>1000</v>
      </c>
      <c r="D196" t="s">
        <v>5957</v>
      </c>
    </row>
    <row r="197" spans="1:4" x14ac:dyDescent="0.2">
      <c r="A197">
        <v>34</v>
      </c>
      <c r="B197">
        <v>999.9</v>
      </c>
      <c r="C197">
        <v>1000</v>
      </c>
      <c r="D197" t="s">
        <v>5957</v>
      </c>
    </row>
    <row r="198" spans="1:4" x14ac:dyDescent="0.2">
      <c r="A198">
        <v>35</v>
      </c>
      <c r="B198">
        <v>1000</v>
      </c>
      <c r="C198">
        <v>1000</v>
      </c>
      <c r="D198" t="s">
        <v>5957</v>
      </c>
    </row>
    <row r="199" spans="1:4" x14ac:dyDescent="0.2">
      <c r="A199">
        <v>36</v>
      </c>
      <c r="B199">
        <v>1000.1</v>
      </c>
      <c r="C199">
        <v>1000</v>
      </c>
      <c r="D199" t="s">
        <v>5957</v>
      </c>
    </row>
    <row r="200" spans="1:4" x14ac:dyDescent="0.2">
      <c r="A200">
        <v>31</v>
      </c>
      <c r="B200">
        <v>1499.9</v>
      </c>
      <c r="C200">
        <v>1500</v>
      </c>
      <c r="D200" t="s">
        <v>5957</v>
      </c>
    </row>
    <row r="201" spans="1:4" x14ac:dyDescent="0.2">
      <c r="A201">
        <v>32</v>
      </c>
      <c r="B201">
        <v>1500</v>
      </c>
      <c r="C201">
        <v>1500</v>
      </c>
      <c r="D201" t="s">
        <v>5957</v>
      </c>
    </row>
    <row r="202" spans="1:4" x14ac:dyDescent="0.2">
      <c r="A202">
        <v>33</v>
      </c>
      <c r="B202">
        <v>1500</v>
      </c>
      <c r="C202">
        <v>1500</v>
      </c>
      <c r="D202" t="s">
        <v>5957</v>
      </c>
    </row>
    <row r="203" spans="1:4" x14ac:dyDescent="0.2">
      <c r="A203">
        <v>34</v>
      </c>
      <c r="B203">
        <v>1499.9</v>
      </c>
      <c r="C203">
        <v>1500</v>
      </c>
      <c r="D203" t="s">
        <v>5957</v>
      </c>
    </row>
    <row r="204" spans="1:4" x14ac:dyDescent="0.2">
      <c r="A204">
        <v>35</v>
      </c>
      <c r="B204">
        <v>1500</v>
      </c>
      <c r="C204">
        <v>1500</v>
      </c>
      <c r="D204" t="s">
        <v>5957</v>
      </c>
    </row>
    <row r="205" spans="1:4" x14ac:dyDescent="0.2">
      <c r="A205">
        <v>36</v>
      </c>
      <c r="B205">
        <v>1500.2</v>
      </c>
      <c r="C205">
        <v>1500</v>
      </c>
      <c r="D205" t="s">
        <v>5957</v>
      </c>
    </row>
    <row r="206" spans="1:4" x14ac:dyDescent="0.2">
      <c r="A206">
        <v>31</v>
      </c>
      <c r="B206">
        <v>1999.9</v>
      </c>
      <c r="C206">
        <v>2000</v>
      </c>
      <c r="D206" t="s">
        <v>5957</v>
      </c>
    </row>
    <row r="207" spans="1:4" x14ac:dyDescent="0.2">
      <c r="A207">
        <v>32</v>
      </c>
      <c r="B207">
        <v>2000</v>
      </c>
      <c r="C207">
        <v>2000</v>
      </c>
      <c r="D207" t="s">
        <v>5957</v>
      </c>
    </row>
    <row r="208" spans="1:4" x14ac:dyDescent="0.2">
      <c r="A208">
        <v>33</v>
      </c>
      <c r="B208">
        <v>2000</v>
      </c>
      <c r="C208">
        <v>2000</v>
      </c>
      <c r="D208" t="s">
        <v>5957</v>
      </c>
    </row>
    <row r="209" spans="1:4" x14ac:dyDescent="0.2">
      <c r="A209">
        <v>34</v>
      </c>
      <c r="B209">
        <v>1999.9</v>
      </c>
      <c r="C209">
        <v>2000</v>
      </c>
      <c r="D209" t="s">
        <v>5957</v>
      </c>
    </row>
    <row r="210" spans="1:4" x14ac:dyDescent="0.2">
      <c r="A210">
        <v>35</v>
      </c>
      <c r="B210">
        <v>2000</v>
      </c>
      <c r="C210">
        <v>2000</v>
      </c>
      <c r="D210" t="s">
        <v>5957</v>
      </c>
    </row>
    <row r="211" spans="1:4" x14ac:dyDescent="0.2">
      <c r="A211">
        <v>36</v>
      </c>
      <c r="B211">
        <v>2000.2</v>
      </c>
      <c r="C211">
        <v>2000</v>
      </c>
      <c r="D211" t="s">
        <v>5957</v>
      </c>
    </row>
    <row r="212" spans="1:4" x14ac:dyDescent="0.2">
      <c r="A212">
        <v>31</v>
      </c>
      <c r="B212">
        <v>2289.8000000000002</v>
      </c>
      <c r="C212">
        <v>2290</v>
      </c>
      <c r="D212" t="s">
        <v>5957</v>
      </c>
    </row>
    <row r="213" spans="1:4" x14ac:dyDescent="0.2">
      <c r="A213">
        <v>32</v>
      </c>
      <c r="B213">
        <v>2290</v>
      </c>
      <c r="C213">
        <v>2290</v>
      </c>
      <c r="D213" t="s">
        <v>5957</v>
      </c>
    </row>
    <row r="214" spans="1:4" x14ac:dyDescent="0.2">
      <c r="A214">
        <v>33</v>
      </c>
      <c r="B214">
        <v>2290</v>
      </c>
      <c r="C214">
        <v>2290</v>
      </c>
      <c r="D214" t="s">
        <v>5957</v>
      </c>
    </row>
    <row r="215" spans="1:4" x14ac:dyDescent="0.2">
      <c r="A215">
        <v>34</v>
      </c>
      <c r="B215">
        <v>2289.8000000000002</v>
      </c>
      <c r="C215">
        <v>2290</v>
      </c>
      <c r="D215" t="s">
        <v>5957</v>
      </c>
    </row>
    <row r="216" spans="1:4" x14ac:dyDescent="0.2">
      <c r="A216">
        <v>35</v>
      </c>
      <c r="B216">
        <v>2290</v>
      </c>
      <c r="C216">
        <v>2290</v>
      </c>
      <c r="D216" t="s">
        <v>5957</v>
      </c>
    </row>
    <row r="217" spans="1:4" x14ac:dyDescent="0.2">
      <c r="A217">
        <v>36</v>
      </c>
      <c r="B217">
        <v>2290.1999999999998</v>
      </c>
      <c r="C217">
        <v>2290</v>
      </c>
      <c r="D217" t="s">
        <v>5957</v>
      </c>
    </row>
    <row r="218" spans="1:4" x14ac:dyDescent="0.2">
      <c r="A218">
        <v>37</v>
      </c>
      <c r="B218">
        <v>10</v>
      </c>
      <c r="C218">
        <v>10</v>
      </c>
      <c r="D218" t="s">
        <v>5957</v>
      </c>
    </row>
    <row r="219" spans="1:4" x14ac:dyDescent="0.2">
      <c r="A219">
        <v>38</v>
      </c>
      <c r="B219">
        <v>9.9</v>
      </c>
      <c r="C219">
        <v>10</v>
      </c>
      <c r="D219" t="s">
        <v>5957</v>
      </c>
    </row>
    <row r="220" spans="1:4" x14ac:dyDescent="0.2">
      <c r="A220">
        <v>39</v>
      </c>
      <c r="B220">
        <v>9.9</v>
      </c>
      <c r="C220">
        <v>10</v>
      </c>
      <c r="D220" t="s">
        <v>5957</v>
      </c>
    </row>
    <row r="221" spans="1:4" x14ac:dyDescent="0.2">
      <c r="A221">
        <v>40</v>
      </c>
      <c r="B221">
        <v>10</v>
      </c>
      <c r="C221">
        <v>10</v>
      </c>
      <c r="D221" t="s">
        <v>5957</v>
      </c>
    </row>
    <row r="222" spans="1:4" x14ac:dyDescent="0.2">
      <c r="A222">
        <v>37</v>
      </c>
      <c r="B222">
        <v>500</v>
      </c>
      <c r="C222">
        <v>500</v>
      </c>
      <c r="D222" t="s">
        <v>5957</v>
      </c>
    </row>
    <row r="223" spans="1:4" x14ac:dyDescent="0.2">
      <c r="A223">
        <v>38</v>
      </c>
      <c r="B223">
        <v>500</v>
      </c>
      <c r="C223">
        <v>500</v>
      </c>
      <c r="D223" t="s">
        <v>5957</v>
      </c>
    </row>
    <row r="224" spans="1:4" x14ac:dyDescent="0.2">
      <c r="A224">
        <v>39</v>
      </c>
      <c r="B224">
        <v>499.9</v>
      </c>
      <c r="C224">
        <v>500</v>
      </c>
      <c r="D224" t="s">
        <v>5957</v>
      </c>
    </row>
    <row r="225" spans="1:4" x14ac:dyDescent="0.2">
      <c r="A225">
        <v>40</v>
      </c>
      <c r="B225">
        <v>499.9</v>
      </c>
      <c r="C225">
        <v>500</v>
      </c>
      <c r="D225" t="s">
        <v>5957</v>
      </c>
    </row>
    <row r="226" spans="1:4" x14ac:dyDescent="0.2">
      <c r="A226">
        <v>37</v>
      </c>
      <c r="B226">
        <v>1000</v>
      </c>
      <c r="C226">
        <v>1000</v>
      </c>
      <c r="D226" t="s">
        <v>5957</v>
      </c>
    </row>
    <row r="227" spans="1:4" x14ac:dyDescent="0.2">
      <c r="A227">
        <v>38</v>
      </c>
      <c r="B227">
        <v>1000.1</v>
      </c>
      <c r="C227">
        <v>1000</v>
      </c>
      <c r="D227" t="s">
        <v>5957</v>
      </c>
    </row>
    <row r="228" spans="1:4" x14ac:dyDescent="0.2">
      <c r="A228">
        <v>39</v>
      </c>
      <c r="B228">
        <v>999.9</v>
      </c>
      <c r="C228">
        <v>1000</v>
      </c>
      <c r="D228" t="s">
        <v>5957</v>
      </c>
    </row>
    <row r="229" spans="1:4" x14ac:dyDescent="0.2">
      <c r="A229">
        <v>40</v>
      </c>
      <c r="B229">
        <v>1000</v>
      </c>
      <c r="C229">
        <v>1000</v>
      </c>
      <c r="D229" t="s">
        <v>5957</v>
      </c>
    </row>
    <row r="230" spans="1:4" x14ac:dyDescent="0.2">
      <c r="A230">
        <v>37</v>
      </c>
      <c r="B230">
        <v>1500</v>
      </c>
      <c r="C230">
        <v>1500</v>
      </c>
      <c r="D230" t="s">
        <v>5957</v>
      </c>
    </row>
    <row r="231" spans="1:4" x14ac:dyDescent="0.2">
      <c r="A231">
        <v>38</v>
      </c>
      <c r="B231">
        <v>1500.1</v>
      </c>
      <c r="C231">
        <v>1500</v>
      </c>
      <c r="D231" t="s">
        <v>5957</v>
      </c>
    </row>
    <row r="232" spans="1:4" x14ac:dyDescent="0.2">
      <c r="A232">
        <v>39</v>
      </c>
      <c r="B232">
        <v>1499.9</v>
      </c>
      <c r="C232">
        <v>1500</v>
      </c>
      <c r="D232" t="s">
        <v>5957</v>
      </c>
    </row>
    <row r="233" spans="1:4" x14ac:dyDescent="0.2">
      <c r="A233">
        <v>40</v>
      </c>
      <c r="B233">
        <v>1500</v>
      </c>
      <c r="C233">
        <v>1500</v>
      </c>
      <c r="D233" t="s">
        <v>5957</v>
      </c>
    </row>
    <row r="234" spans="1:4" x14ac:dyDescent="0.2">
      <c r="A234">
        <v>37</v>
      </c>
      <c r="B234">
        <v>2000</v>
      </c>
      <c r="C234">
        <v>2000</v>
      </c>
      <c r="D234" t="s">
        <v>5957</v>
      </c>
    </row>
    <row r="235" spans="1:4" x14ac:dyDescent="0.2">
      <c r="A235">
        <v>38</v>
      </c>
      <c r="B235">
        <v>2000.2</v>
      </c>
      <c r="C235">
        <v>2000</v>
      </c>
      <c r="D235" t="s">
        <v>5957</v>
      </c>
    </row>
    <row r="236" spans="1:4" x14ac:dyDescent="0.2">
      <c r="A236">
        <v>39</v>
      </c>
      <c r="B236">
        <v>1999.9</v>
      </c>
      <c r="C236">
        <v>2000</v>
      </c>
      <c r="D236" t="s">
        <v>5957</v>
      </c>
    </row>
    <row r="237" spans="1:4" x14ac:dyDescent="0.2">
      <c r="A237">
        <v>40</v>
      </c>
      <c r="B237">
        <v>2000</v>
      </c>
      <c r="C237">
        <v>2000</v>
      </c>
      <c r="D237" t="s">
        <v>5957</v>
      </c>
    </row>
    <row r="238" spans="1:4" x14ac:dyDescent="0.2">
      <c r="A238">
        <v>37</v>
      </c>
      <c r="B238">
        <v>2290</v>
      </c>
      <c r="C238">
        <v>2290</v>
      </c>
      <c r="D238" t="s">
        <v>5957</v>
      </c>
    </row>
    <row r="239" spans="1:4" x14ac:dyDescent="0.2">
      <c r="A239">
        <v>38</v>
      </c>
      <c r="B239">
        <v>2290.1999999999998</v>
      </c>
      <c r="C239">
        <v>2290</v>
      </c>
      <c r="D239" t="s">
        <v>5957</v>
      </c>
    </row>
    <row r="240" spans="1:4" x14ac:dyDescent="0.2">
      <c r="A240">
        <v>39</v>
      </c>
      <c r="B240">
        <v>2289.9</v>
      </c>
      <c r="C240">
        <v>2290</v>
      </c>
      <c r="D240" t="s">
        <v>5957</v>
      </c>
    </row>
    <row r="241" spans="1:4" x14ac:dyDescent="0.2">
      <c r="A241">
        <v>40</v>
      </c>
      <c r="B241">
        <v>2290</v>
      </c>
      <c r="C241">
        <v>2290</v>
      </c>
      <c r="D241" t="s">
        <v>5957</v>
      </c>
    </row>
    <row r="242" spans="1:4" x14ac:dyDescent="0.2">
      <c r="A242">
        <v>1</v>
      </c>
      <c r="B242">
        <v>10</v>
      </c>
      <c r="C242">
        <v>10</v>
      </c>
      <c r="D242" t="s">
        <v>5958</v>
      </c>
    </row>
    <row r="243" spans="1:4" x14ac:dyDescent="0.2">
      <c r="A243">
        <v>2</v>
      </c>
      <c r="B243">
        <v>10</v>
      </c>
      <c r="C243">
        <v>10</v>
      </c>
      <c r="D243" t="s">
        <v>5958</v>
      </c>
    </row>
    <row r="244" spans="1:4" x14ac:dyDescent="0.2">
      <c r="A244">
        <v>3</v>
      </c>
      <c r="B244">
        <v>10</v>
      </c>
      <c r="C244">
        <v>10</v>
      </c>
      <c r="D244" t="s">
        <v>5958</v>
      </c>
    </row>
    <row r="245" spans="1:4" x14ac:dyDescent="0.2">
      <c r="A245">
        <v>4</v>
      </c>
      <c r="B245">
        <v>10</v>
      </c>
      <c r="C245">
        <v>10</v>
      </c>
      <c r="D245" t="s">
        <v>5958</v>
      </c>
    </row>
    <row r="246" spans="1:4" x14ac:dyDescent="0.2">
      <c r="A246">
        <v>5</v>
      </c>
      <c r="B246">
        <v>10</v>
      </c>
      <c r="C246">
        <v>10</v>
      </c>
      <c r="D246" t="s">
        <v>5958</v>
      </c>
    </row>
    <row r="247" spans="1:4" x14ac:dyDescent="0.2">
      <c r="A247">
        <v>6</v>
      </c>
      <c r="B247">
        <v>9.9</v>
      </c>
      <c r="C247">
        <v>10</v>
      </c>
      <c r="D247" t="s">
        <v>5958</v>
      </c>
    </row>
    <row r="248" spans="1:4" x14ac:dyDescent="0.2">
      <c r="A248">
        <v>1</v>
      </c>
      <c r="B248">
        <v>499.9</v>
      </c>
      <c r="C248">
        <v>500</v>
      </c>
      <c r="D248" t="s">
        <v>5958</v>
      </c>
    </row>
    <row r="249" spans="1:4" x14ac:dyDescent="0.2">
      <c r="A249">
        <v>2</v>
      </c>
      <c r="B249">
        <v>499.5</v>
      </c>
      <c r="C249">
        <v>500</v>
      </c>
      <c r="D249" t="s">
        <v>5958</v>
      </c>
    </row>
    <row r="250" spans="1:4" x14ac:dyDescent="0.2">
      <c r="A250">
        <v>3</v>
      </c>
      <c r="B250">
        <v>499.9</v>
      </c>
      <c r="C250">
        <v>500</v>
      </c>
      <c r="D250" t="s">
        <v>5958</v>
      </c>
    </row>
    <row r="251" spans="1:4" x14ac:dyDescent="0.2">
      <c r="A251">
        <v>4</v>
      </c>
      <c r="B251">
        <v>500</v>
      </c>
      <c r="C251">
        <v>500</v>
      </c>
      <c r="D251" t="s">
        <v>5958</v>
      </c>
    </row>
    <row r="252" spans="1:4" x14ac:dyDescent="0.2">
      <c r="A252">
        <v>5</v>
      </c>
      <c r="B252">
        <v>500</v>
      </c>
      <c r="C252">
        <v>500</v>
      </c>
      <c r="D252" t="s">
        <v>5958</v>
      </c>
    </row>
    <row r="253" spans="1:4" x14ac:dyDescent="0.2">
      <c r="A253">
        <v>6</v>
      </c>
      <c r="B253">
        <v>499.9</v>
      </c>
      <c r="C253">
        <v>500</v>
      </c>
      <c r="D253" t="s">
        <v>5958</v>
      </c>
    </row>
    <row r="254" spans="1:4" x14ac:dyDescent="0.2">
      <c r="A254">
        <v>1</v>
      </c>
      <c r="B254">
        <v>999.9</v>
      </c>
      <c r="C254">
        <v>1000</v>
      </c>
      <c r="D254" t="s">
        <v>5958</v>
      </c>
    </row>
    <row r="255" spans="1:4" x14ac:dyDescent="0.2">
      <c r="A255">
        <v>2</v>
      </c>
      <c r="B255">
        <v>999.4</v>
      </c>
      <c r="C255">
        <v>1000</v>
      </c>
      <c r="D255" t="s">
        <v>5958</v>
      </c>
    </row>
    <row r="256" spans="1:4" x14ac:dyDescent="0.2">
      <c r="A256">
        <v>3</v>
      </c>
      <c r="B256">
        <v>999.9</v>
      </c>
      <c r="C256">
        <v>1000</v>
      </c>
      <c r="D256" t="s">
        <v>5958</v>
      </c>
    </row>
    <row r="257" spans="1:4" x14ac:dyDescent="0.2">
      <c r="A257">
        <v>4</v>
      </c>
      <c r="B257">
        <v>1000</v>
      </c>
      <c r="C257">
        <v>1000</v>
      </c>
      <c r="D257" t="s">
        <v>5958</v>
      </c>
    </row>
    <row r="258" spans="1:4" x14ac:dyDescent="0.2">
      <c r="A258">
        <v>5</v>
      </c>
      <c r="B258">
        <v>1000</v>
      </c>
      <c r="C258">
        <v>1000</v>
      </c>
      <c r="D258" t="s">
        <v>5958</v>
      </c>
    </row>
    <row r="259" spans="1:4" x14ac:dyDescent="0.2">
      <c r="A259">
        <v>6</v>
      </c>
      <c r="B259">
        <v>999.9</v>
      </c>
      <c r="C259">
        <v>1000</v>
      </c>
      <c r="D259" t="s">
        <v>5958</v>
      </c>
    </row>
    <row r="260" spans="1:4" x14ac:dyDescent="0.2">
      <c r="A260">
        <v>1</v>
      </c>
      <c r="B260">
        <v>1499.8</v>
      </c>
      <c r="C260">
        <v>1500</v>
      </c>
      <c r="D260" t="s">
        <v>5958</v>
      </c>
    </row>
    <row r="261" spans="1:4" x14ac:dyDescent="0.2">
      <c r="A261">
        <v>2</v>
      </c>
      <c r="B261">
        <v>1499.3</v>
      </c>
      <c r="C261">
        <v>1500</v>
      </c>
      <c r="D261" t="s">
        <v>5958</v>
      </c>
    </row>
    <row r="262" spans="1:4" x14ac:dyDescent="0.2">
      <c r="A262">
        <v>3</v>
      </c>
      <c r="B262">
        <v>1499.8</v>
      </c>
      <c r="C262">
        <v>1500</v>
      </c>
      <c r="D262" t="s">
        <v>5958</v>
      </c>
    </row>
    <row r="263" spans="1:4" x14ac:dyDescent="0.2">
      <c r="A263">
        <v>4</v>
      </c>
      <c r="B263">
        <v>1500</v>
      </c>
      <c r="C263">
        <v>1500</v>
      </c>
      <c r="D263" t="s">
        <v>5958</v>
      </c>
    </row>
    <row r="264" spans="1:4" x14ac:dyDescent="0.2">
      <c r="A264">
        <v>5</v>
      </c>
      <c r="B264">
        <v>1500</v>
      </c>
      <c r="C264">
        <v>1500</v>
      </c>
      <c r="D264" t="s">
        <v>5958</v>
      </c>
    </row>
    <row r="265" spans="1:4" x14ac:dyDescent="0.2">
      <c r="A265">
        <v>6</v>
      </c>
      <c r="B265">
        <v>1499.9</v>
      </c>
      <c r="C265">
        <v>1500</v>
      </c>
      <c r="D265" t="s">
        <v>5958</v>
      </c>
    </row>
    <row r="266" spans="1:4" x14ac:dyDescent="0.2">
      <c r="A266">
        <v>1</v>
      </c>
      <c r="B266">
        <v>1999.7</v>
      </c>
      <c r="C266">
        <v>2000</v>
      </c>
      <c r="D266" t="s">
        <v>5958</v>
      </c>
    </row>
    <row r="267" spans="1:4" x14ac:dyDescent="0.2">
      <c r="A267">
        <v>2</v>
      </c>
      <c r="B267">
        <v>1999.3</v>
      </c>
      <c r="C267">
        <v>2000</v>
      </c>
      <c r="D267" t="s">
        <v>5958</v>
      </c>
    </row>
    <row r="268" spans="1:4" x14ac:dyDescent="0.2">
      <c r="A268">
        <v>3</v>
      </c>
      <c r="B268">
        <v>1999.6</v>
      </c>
      <c r="C268">
        <v>2000</v>
      </c>
      <c r="D268" t="s">
        <v>5958</v>
      </c>
    </row>
    <row r="269" spans="1:4" x14ac:dyDescent="0.2">
      <c r="A269">
        <v>4</v>
      </c>
      <c r="B269">
        <v>2000</v>
      </c>
      <c r="C269">
        <v>2000</v>
      </c>
      <c r="D269" t="s">
        <v>5958</v>
      </c>
    </row>
    <row r="270" spans="1:4" x14ac:dyDescent="0.2">
      <c r="A270">
        <v>5</v>
      </c>
      <c r="B270">
        <v>2000</v>
      </c>
      <c r="C270">
        <v>2000</v>
      </c>
      <c r="D270" t="s">
        <v>5958</v>
      </c>
    </row>
    <row r="271" spans="1:4" x14ac:dyDescent="0.2">
      <c r="A271">
        <v>6</v>
      </c>
      <c r="B271">
        <v>1999.8</v>
      </c>
      <c r="C271">
        <v>2000</v>
      </c>
      <c r="D271" t="s">
        <v>5958</v>
      </c>
    </row>
    <row r="272" spans="1:4" x14ac:dyDescent="0.2">
      <c r="A272">
        <v>1</v>
      </c>
      <c r="B272">
        <v>2289.6999999999998</v>
      </c>
      <c r="C272">
        <v>2290</v>
      </c>
      <c r="D272" t="s">
        <v>5958</v>
      </c>
    </row>
    <row r="273" spans="1:4" x14ac:dyDescent="0.2">
      <c r="A273">
        <v>2</v>
      </c>
      <c r="B273">
        <v>2290</v>
      </c>
      <c r="C273">
        <v>2290</v>
      </c>
      <c r="D273" t="s">
        <v>5958</v>
      </c>
    </row>
    <row r="274" spans="1:4" x14ac:dyDescent="0.2">
      <c r="A274">
        <v>3</v>
      </c>
      <c r="B274">
        <v>2289.6999999999998</v>
      </c>
      <c r="C274">
        <v>2290</v>
      </c>
      <c r="D274" t="s">
        <v>5958</v>
      </c>
    </row>
    <row r="275" spans="1:4" x14ac:dyDescent="0.2">
      <c r="A275">
        <v>4</v>
      </c>
      <c r="B275">
        <v>2290.1</v>
      </c>
      <c r="C275">
        <v>2290</v>
      </c>
      <c r="D275" t="s">
        <v>5958</v>
      </c>
    </row>
    <row r="276" spans="1:4" x14ac:dyDescent="0.2">
      <c r="A276">
        <v>5</v>
      </c>
      <c r="B276">
        <v>2290.1</v>
      </c>
      <c r="C276">
        <v>2290</v>
      </c>
      <c r="D276" t="s">
        <v>5958</v>
      </c>
    </row>
    <row r="277" spans="1:4" x14ac:dyDescent="0.2">
      <c r="A277">
        <v>6</v>
      </c>
      <c r="B277">
        <v>2290</v>
      </c>
      <c r="C277">
        <v>2290</v>
      </c>
      <c r="D277" t="s">
        <v>5958</v>
      </c>
    </row>
    <row r="278" spans="1:4" x14ac:dyDescent="0.2">
      <c r="A278">
        <v>7</v>
      </c>
      <c r="B278">
        <v>10</v>
      </c>
      <c r="C278">
        <v>10</v>
      </c>
      <c r="D278" t="s">
        <v>5958</v>
      </c>
    </row>
    <row r="279" spans="1:4" x14ac:dyDescent="0.2">
      <c r="A279">
        <v>8</v>
      </c>
      <c r="B279">
        <v>10</v>
      </c>
      <c r="C279">
        <v>10</v>
      </c>
      <c r="D279" t="s">
        <v>5958</v>
      </c>
    </row>
    <row r="280" spans="1:4" x14ac:dyDescent="0.2">
      <c r="A280">
        <v>9</v>
      </c>
      <c r="B280">
        <v>9.9</v>
      </c>
      <c r="C280">
        <v>10</v>
      </c>
      <c r="D280" t="s">
        <v>5958</v>
      </c>
    </row>
    <row r="281" spans="1:4" x14ac:dyDescent="0.2">
      <c r="A281">
        <v>10</v>
      </c>
      <c r="B281">
        <v>10</v>
      </c>
      <c r="C281">
        <v>10</v>
      </c>
      <c r="D281" t="s">
        <v>5958</v>
      </c>
    </row>
    <row r="282" spans="1:4" x14ac:dyDescent="0.2">
      <c r="A282">
        <v>11</v>
      </c>
      <c r="B282">
        <v>10</v>
      </c>
      <c r="C282">
        <v>10</v>
      </c>
      <c r="D282" t="s">
        <v>5958</v>
      </c>
    </row>
    <row r="283" spans="1:4" x14ac:dyDescent="0.2">
      <c r="A283">
        <v>12</v>
      </c>
      <c r="B283">
        <v>10</v>
      </c>
      <c r="C283">
        <v>10</v>
      </c>
      <c r="D283" t="s">
        <v>5958</v>
      </c>
    </row>
    <row r="284" spans="1:4" x14ac:dyDescent="0.2">
      <c r="A284">
        <v>7</v>
      </c>
      <c r="B284">
        <v>499.8</v>
      </c>
      <c r="C284">
        <v>500</v>
      </c>
      <c r="D284" t="s">
        <v>5958</v>
      </c>
    </row>
    <row r="285" spans="1:4" x14ac:dyDescent="0.2">
      <c r="A285">
        <v>8</v>
      </c>
      <c r="B285">
        <v>499.9</v>
      </c>
      <c r="C285">
        <v>500</v>
      </c>
      <c r="D285" t="s">
        <v>5958</v>
      </c>
    </row>
    <row r="286" spans="1:4" x14ac:dyDescent="0.2">
      <c r="A286">
        <v>9</v>
      </c>
      <c r="B286">
        <v>499.9</v>
      </c>
      <c r="C286">
        <v>500</v>
      </c>
      <c r="D286" t="s">
        <v>5958</v>
      </c>
    </row>
    <row r="287" spans="1:4" x14ac:dyDescent="0.2">
      <c r="A287">
        <v>10</v>
      </c>
      <c r="B287">
        <v>499.9</v>
      </c>
      <c r="C287">
        <v>500</v>
      </c>
      <c r="D287" t="s">
        <v>5958</v>
      </c>
    </row>
    <row r="288" spans="1:4" x14ac:dyDescent="0.2">
      <c r="A288">
        <v>11</v>
      </c>
      <c r="B288">
        <v>500.1</v>
      </c>
      <c r="C288">
        <v>500</v>
      </c>
      <c r="D288" t="s">
        <v>5958</v>
      </c>
    </row>
    <row r="289" spans="1:4" x14ac:dyDescent="0.2">
      <c r="A289">
        <v>12</v>
      </c>
      <c r="B289">
        <v>500.1</v>
      </c>
      <c r="C289">
        <v>500</v>
      </c>
      <c r="D289" t="s">
        <v>5958</v>
      </c>
    </row>
    <row r="290" spans="1:4" x14ac:dyDescent="0.2">
      <c r="A290">
        <v>7</v>
      </c>
      <c r="B290">
        <v>999.7</v>
      </c>
      <c r="C290">
        <v>1000</v>
      </c>
      <c r="D290" t="s">
        <v>5958</v>
      </c>
    </row>
    <row r="291" spans="1:4" x14ac:dyDescent="0.2">
      <c r="A291">
        <v>8</v>
      </c>
      <c r="B291">
        <v>999.9</v>
      </c>
      <c r="C291">
        <v>1000</v>
      </c>
      <c r="D291" t="s">
        <v>5958</v>
      </c>
    </row>
    <row r="292" spans="1:4" x14ac:dyDescent="0.2">
      <c r="A292">
        <v>9</v>
      </c>
      <c r="B292">
        <v>999.8</v>
      </c>
      <c r="C292">
        <v>1000</v>
      </c>
      <c r="D292" t="s">
        <v>5958</v>
      </c>
    </row>
    <row r="293" spans="1:4" x14ac:dyDescent="0.2">
      <c r="A293">
        <v>10</v>
      </c>
      <c r="B293">
        <v>999.9</v>
      </c>
      <c r="C293">
        <v>1000</v>
      </c>
      <c r="D293" t="s">
        <v>5958</v>
      </c>
    </row>
    <row r="294" spans="1:4" x14ac:dyDescent="0.2">
      <c r="A294">
        <v>11</v>
      </c>
      <c r="B294">
        <v>1000.3</v>
      </c>
      <c r="C294">
        <v>1000</v>
      </c>
      <c r="D294" t="s">
        <v>5958</v>
      </c>
    </row>
    <row r="295" spans="1:4" x14ac:dyDescent="0.2">
      <c r="A295">
        <v>12</v>
      </c>
      <c r="B295">
        <v>1000.1</v>
      </c>
      <c r="C295">
        <v>1000</v>
      </c>
      <c r="D295" t="s">
        <v>5958</v>
      </c>
    </row>
    <row r="296" spans="1:4" x14ac:dyDescent="0.2">
      <c r="A296">
        <v>7</v>
      </c>
      <c r="B296">
        <v>1499.6</v>
      </c>
      <c r="C296">
        <v>1500</v>
      </c>
      <c r="D296" t="s">
        <v>5958</v>
      </c>
    </row>
    <row r="297" spans="1:4" x14ac:dyDescent="0.2">
      <c r="A297">
        <v>8</v>
      </c>
      <c r="B297">
        <v>1499.8</v>
      </c>
      <c r="C297">
        <v>1500</v>
      </c>
      <c r="D297" t="s">
        <v>5958</v>
      </c>
    </row>
    <row r="298" spans="1:4" x14ac:dyDescent="0.2">
      <c r="A298">
        <v>9</v>
      </c>
      <c r="B298">
        <v>1499.8</v>
      </c>
      <c r="C298">
        <v>1500</v>
      </c>
      <c r="D298" t="s">
        <v>5958</v>
      </c>
    </row>
    <row r="299" spans="1:4" x14ac:dyDescent="0.2">
      <c r="A299">
        <v>10</v>
      </c>
      <c r="B299">
        <v>1499.9</v>
      </c>
      <c r="C299">
        <v>1500</v>
      </c>
      <c r="D299" t="s">
        <v>5958</v>
      </c>
    </row>
    <row r="300" spans="1:4" x14ac:dyDescent="0.2">
      <c r="A300">
        <v>11</v>
      </c>
      <c r="B300">
        <v>1500.3</v>
      </c>
      <c r="C300">
        <v>1500</v>
      </c>
      <c r="D300" t="s">
        <v>5958</v>
      </c>
    </row>
    <row r="301" spans="1:4" x14ac:dyDescent="0.2">
      <c r="A301">
        <v>12</v>
      </c>
      <c r="B301">
        <v>1500</v>
      </c>
      <c r="C301">
        <v>1500</v>
      </c>
      <c r="D301" t="s">
        <v>5958</v>
      </c>
    </row>
    <row r="302" spans="1:4" x14ac:dyDescent="0.2">
      <c r="A302">
        <v>7</v>
      </c>
      <c r="B302">
        <v>1999.5</v>
      </c>
      <c r="C302">
        <v>2000</v>
      </c>
      <c r="D302" t="s">
        <v>5958</v>
      </c>
    </row>
    <row r="303" spans="1:4" x14ac:dyDescent="0.2">
      <c r="A303">
        <v>8</v>
      </c>
      <c r="B303">
        <v>1999.7</v>
      </c>
      <c r="C303">
        <v>2000</v>
      </c>
      <c r="D303" t="s">
        <v>5958</v>
      </c>
    </row>
    <row r="304" spans="1:4" x14ac:dyDescent="0.2">
      <c r="A304">
        <v>9</v>
      </c>
      <c r="B304">
        <v>1999.6</v>
      </c>
      <c r="C304">
        <v>2000</v>
      </c>
      <c r="D304" t="s">
        <v>5958</v>
      </c>
    </row>
    <row r="305" spans="1:4" x14ac:dyDescent="0.2">
      <c r="A305">
        <v>10</v>
      </c>
      <c r="B305">
        <v>1999.8</v>
      </c>
      <c r="C305">
        <v>2000</v>
      </c>
      <c r="D305" t="s">
        <v>5958</v>
      </c>
    </row>
    <row r="306" spans="1:4" x14ac:dyDescent="0.2">
      <c r="A306">
        <v>11</v>
      </c>
      <c r="B306">
        <v>2000.4</v>
      </c>
      <c r="C306">
        <v>2000</v>
      </c>
      <c r="D306" t="s">
        <v>5958</v>
      </c>
    </row>
    <row r="307" spans="1:4" x14ac:dyDescent="0.2">
      <c r="A307">
        <v>12</v>
      </c>
      <c r="B307">
        <v>2000</v>
      </c>
      <c r="C307">
        <v>2000</v>
      </c>
      <c r="D307" t="s">
        <v>5958</v>
      </c>
    </row>
    <row r="308" spans="1:4" x14ac:dyDescent="0.2">
      <c r="A308">
        <v>7</v>
      </c>
      <c r="B308">
        <v>2289.5</v>
      </c>
      <c r="C308">
        <v>2290</v>
      </c>
      <c r="D308" t="s">
        <v>5958</v>
      </c>
    </row>
    <row r="309" spans="1:4" x14ac:dyDescent="0.2">
      <c r="A309">
        <v>8</v>
      </c>
      <c r="B309">
        <v>2289.8000000000002</v>
      </c>
      <c r="C309">
        <v>2290</v>
      </c>
      <c r="D309" t="s">
        <v>5958</v>
      </c>
    </row>
    <row r="310" spans="1:4" x14ac:dyDescent="0.2">
      <c r="A310">
        <v>9</v>
      </c>
      <c r="B310">
        <v>2289.6999999999998</v>
      </c>
      <c r="C310">
        <v>2290</v>
      </c>
      <c r="D310" t="s">
        <v>5958</v>
      </c>
    </row>
    <row r="311" spans="1:4" x14ac:dyDescent="0.2">
      <c r="A311">
        <v>10</v>
      </c>
      <c r="B311">
        <v>2289.9</v>
      </c>
      <c r="C311">
        <v>2290</v>
      </c>
      <c r="D311" t="s">
        <v>5958</v>
      </c>
    </row>
    <row r="312" spans="1:4" x14ac:dyDescent="0.2">
      <c r="A312">
        <v>11</v>
      </c>
      <c r="B312">
        <v>2290.5</v>
      </c>
      <c r="C312">
        <v>2290</v>
      </c>
      <c r="D312" t="s">
        <v>5958</v>
      </c>
    </row>
    <row r="313" spans="1:4" x14ac:dyDescent="0.2">
      <c r="A313">
        <v>12</v>
      </c>
      <c r="B313">
        <v>2290.1</v>
      </c>
      <c r="C313">
        <v>2290</v>
      </c>
      <c r="D313" t="s">
        <v>5958</v>
      </c>
    </row>
    <row r="314" spans="1:4" x14ac:dyDescent="0.2">
      <c r="A314">
        <v>13</v>
      </c>
      <c r="B314">
        <v>10</v>
      </c>
      <c r="C314">
        <v>10</v>
      </c>
      <c r="D314" t="s">
        <v>5958</v>
      </c>
    </row>
    <row r="315" spans="1:4" x14ac:dyDescent="0.2">
      <c r="A315">
        <v>14</v>
      </c>
      <c r="B315">
        <v>10</v>
      </c>
      <c r="C315">
        <v>10</v>
      </c>
      <c r="D315" t="s">
        <v>5958</v>
      </c>
    </row>
    <row r="316" spans="1:4" x14ac:dyDescent="0.2">
      <c r="A316">
        <v>15</v>
      </c>
      <c r="B316">
        <v>10</v>
      </c>
      <c r="C316">
        <v>10</v>
      </c>
      <c r="D316" t="s">
        <v>5958</v>
      </c>
    </row>
    <row r="317" spans="1:4" x14ac:dyDescent="0.2">
      <c r="A317">
        <v>16</v>
      </c>
      <c r="B317">
        <v>10</v>
      </c>
      <c r="C317">
        <v>10</v>
      </c>
      <c r="D317" t="s">
        <v>5958</v>
      </c>
    </row>
    <row r="318" spans="1:4" x14ac:dyDescent="0.2">
      <c r="A318">
        <v>17</v>
      </c>
      <c r="B318">
        <v>10</v>
      </c>
      <c r="C318">
        <v>10</v>
      </c>
      <c r="D318" t="s">
        <v>5958</v>
      </c>
    </row>
    <row r="319" spans="1:4" x14ac:dyDescent="0.2">
      <c r="A319">
        <v>18</v>
      </c>
      <c r="B319">
        <v>10</v>
      </c>
      <c r="C319">
        <v>10</v>
      </c>
      <c r="D319" t="s">
        <v>5958</v>
      </c>
    </row>
    <row r="320" spans="1:4" x14ac:dyDescent="0.2">
      <c r="A320">
        <v>13</v>
      </c>
      <c r="B320">
        <v>499.8</v>
      </c>
      <c r="C320">
        <v>500</v>
      </c>
      <c r="D320" t="s">
        <v>5958</v>
      </c>
    </row>
    <row r="321" spans="1:4" x14ac:dyDescent="0.2">
      <c r="A321">
        <v>14</v>
      </c>
      <c r="B321">
        <v>500.2</v>
      </c>
      <c r="C321">
        <v>500</v>
      </c>
      <c r="D321" t="s">
        <v>5958</v>
      </c>
    </row>
    <row r="322" spans="1:4" x14ac:dyDescent="0.2">
      <c r="A322">
        <v>15</v>
      </c>
      <c r="B322">
        <v>500.1</v>
      </c>
      <c r="C322">
        <v>500</v>
      </c>
      <c r="D322" t="s">
        <v>5958</v>
      </c>
    </row>
    <row r="323" spans="1:4" x14ac:dyDescent="0.2">
      <c r="A323">
        <v>16</v>
      </c>
      <c r="B323">
        <v>500</v>
      </c>
      <c r="C323">
        <v>500</v>
      </c>
      <c r="D323" t="s">
        <v>5958</v>
      </c>
    </row>
    <row r="324" spans="1:4" x14ac:dyDescent="0.2">
      <c r="A324">
        <v>17</v>
      </c>
      <c r="B324">
        <v>500.1</v>
      </c>
      <c r="C324">
        <v>500</v>
      </c>
      <c r="D324" t="s">
        <v>5958</v>
      </c>
    </row>
    <row r="325" spans="1:4" x14ac:dyDescent="0.2">
      <c r="A325">
        <v>18</v>
      </c>
      <c r="B325">
        <v>500.1</v>
      </c>
      <c r="C325">
        <v>500</v>
      </c>
      <c r="D325" t="s">
        <v>5958</v>
      </c>
    </row>
    <row r="326" spans="1:4" x14ac:dyDescent="0.2">
      <c r="A326">
        <v>13</v>
      </c>
      <c r="B326">
        <v>999.7</v>
      </c>
      <c r="C326">
        <v>1000</v>
      </c>
      <c r="D326" t="s">
        <v>5958</v>
      </c>
    </row>
    <row r="327" spans="1:4" x14ac:dyDescent="0.2">
      <c r="A327">
        <v>14</v>
      </c>
      <c r="B327">
        <v>1000.4</v>
      </c>
      <c r="C327">
        <v>1000</v>
      </c>
      <c r="D327" t="s">
        <v>5958</v>
      </c>
    </row>
    <row r="328" spans="1:4" x14ac:dyDescent="0.2">
      <c r="A328">
        <v>15</v>
      </c>
      <c r="B328">
        <v>1000.1</v>
      </c>
      <c r="C328">
        <v>1000</v>
      </c>
      <c r="D328" t="s">
        <v>5958</v>
      </c>
    </row>
    <row r="329" spans="1:4" x14ac:dyDescent="0.2">
      <c r="A329">
        <v>16</v>
      </c>
      <c r="B329">
        <v>1000</v>
      </c>
      <c r="C329">
        <v>1000</v>
      </c>
      <c r="D329" t="s">
        <v>5958</v>
      </c>
    </row>
    <row r="330" spans="1:4" x14ac:dyDescent="0.2">
      <c r="A330">
        <v>17</v>
      </c>
      <c r="B330">
        <v>1000.1</v>
      </c>
      <c r="C330">
        <v>1000</v>
      </c>
      <c r="D330" t="s">
        <v>5958</v>
      </c>
    </row>
    <row r="331" spans="1:4" x14ac:dyDescent="0.2">
      <c r="A331">
        <v>18</v>
      </c>
      <c r="B331">
        <v>1000.1</v>
      </c>
      <c r="C331">
        <v>1000</v>
      </c>
      <c r="D331" t="s">
        <v>5958</v>
      </c>
    </row>
    <row r="332" spans="1:4" x14ac:dyDescent="0.2">
      <c r="A332">
        <v>13</v>
      </c>
      <c r="B332">
        <v>1499.5</v>
      </c>
      <c r="C332">
        <v>1500</v>
      </c>
      <c r="D332" t="s">
        <v>5958</v>
      </c>
    </row>
    <row r="333" spans="1:4" x14ac:dyDescent="0.2">
      <c r="A333">
        <v>14</v>
      </c>
      <c r="B333">
        <v>1500.5</v>
      </c>
      <c r="C333">
        <v>1500</v>
      </c>
      <c r="D333" t="s">
        <v>5958</v>
      </c>
    </row>
    <row r="334" spans="1:4" x14ac:dyDescent="0.2">
      <c r="A334">
        <v>15</v>
      </c>
      <c r="B334">
        <v>1500.1</v>
      </c>
      <c r="C334">
        <v>1500</v>
      </c>
      <c r="D334" t="s">
        <v>5958</v>
      </c>
    </row>
    <row r="335" spans="1:4" x14ac:dyDescent="0.2">
      <c r="A335">
        <v>16</v>
      </c>
      <c r="B335">
        <v>1499.8</v>
      </c>
      <c r="C335">
        <v>1500</v>
      </c>
      <c r="D335" t="s">
        <v>5958</v>
      </c>
    </row>
    <row r="336" spans="1:4" x14ac:dyDescent="0.2">
      <c r="A336">
        <v>17</v>
      </c>
      <c r="B336">
        <v>1500</v>
      </c>
      <c r="C336">
        <v>1500</v>
      </c>
      <c r="D336" t="s">
        <v>5958</v>
      </c>
    </row>
    <row r="337" spans="1:4" x14ac:dyDescent="0.2">
      <c r="A337">
        <v>18</v>
      </c>
      <c r="B337">
        <v>1500</v>
      </c>
      <c r="C337">
        <v>1500</v>
      </c>
      <c r="D337" t="s">
        <v>5958</v>
      </c>
    </row>
    <row r="338" spans="1:4" x14ac:dyDescent="0.2">
      <c r="A338">
        <v>13</v>
      </c>
      <c r="B338">
        <v>1999.5</v>
      </c>
      <c r="C338">
        <v>2000</v>
      </c>
      <c r="D338" t="s">
        <v>5958</v>
      </c>
    </row>
    <row r="339" spans="1:4" x14ac:dyDescent="0.2">
      <c r="A339">
        <v>14</v>
      </c>
      <c r="B339">
        <v>2000.5</v>
      </c>
      <c r="C339">
        <v>2000</v>
      </c>
      <c r="D339" t="s">
        <v>5958</v>
      </c>
    </row>
    <row r="340" spans="1:4" x14ac:dyDescent="0.2">
      <c r="A340">
        <v>15</v>
      </c>
      <c r="B340">
        <v>2000.2</v>
      </c>
      <c r="C340">
        <v>2000</v>
      </c>
      <c r="D340" t="s">
        <v>5958</v>
      </c>
    </row>
    <row r="341" spans="1:4" x14ac:dyDescent="0.2">
      <c r="A341">
        <v>16</v>
      </c>
      <c r="B341">
        <v>1999.7</v>
      </c>
      <c r="C341">
        <v>2000</v>
      </c>
      <c r="D341" t="s">
        <v>5958</v>
      </c>
    </row>
    <row r="342" spans="1:4" x14ac:dyDescent="0.2">
      <c r="A342">
        <v>17</v>
      </c>
      <c r="B342">
        <v>1999.9</v>
      </c>
      <c r="C342">
        <v>2000</v>
      </c>
      <c r="D342" t="s">
        <v>5958</v>
      </c>
    </row>
    <row r="343" spans="1:4" x14ac:dyDescent="0.2">
      <c r="A343">
        <v>18</v>
      </c>
      <c r="B343">
        <v>2000</v>
      </c>
      <c r="C343">
        <v>2000</v>
      </c>
      <c r="D343" t="s">
        <v>5958</v>
      </c>
    </row>
    <row r="344" spans="1:4" x14ac:dyDescent="0.2">
      <c r="A344">
        <v>13</v>
      </c>
      <c r="B344">
        <v>2289.6</v>
      </c>
      <c r="C344">
        <v>2290</v>
      </c>
      <c r="D344" t="s">
        <v>5958</v>
      </c>
    </row>
    <row r="345" spans="1:4" x14ac:dyDescent="0.2">
      <c r="A345">
        <v>14</v>
      </c>
      <c r="B345">
        <v>2290.5</v>
      </c>
      <c r="C345">
        <v>2290</v>
      </c>
      <c r="D345" t="s">
        <v>5958</v>
      </c>
    </row>
    <row r="346" spans="1:4" x14ac:dyDescent="0.2">
      <c r="A346">
        <v>15</v>
      </c>
      <c r="B346">
        <v>2290.1999999999998</v>
      </c>
      <c r="C346">
        <v>2290</v>
      </c>
      <c r="D346" t="s">
        <v>5958</v>
      </c>
    </row>
    <row r="347" spans="1:4" x14ac:dyDescent="0.2">
      <c r="A347">
        <v>16</v>
      </c>
      <c r="B347">
        <v>2289.6</v>
      </c>
      <c r="C347">
        <v>2290</v>
      </c>
      <c r="D347" t="s">
        <v>5958</v>
      </c>
    </row>
    <row r="348" spans="1:4" x14ac:dyDescent="0.2">
      <c r="A348">
        <v>17</v>
      </c>
      <c r="B348">
        <v>2289.8000000000002</v>
      </c>
      <c r="C348">
        <v>2290</v>
      </c>
      <c r="D348" t="s">
        <v>5958</v>
      </c>
    </row>
    <row r="349" spans="1:4" x14ac:dyDescent="0.2">
      <c r="A349">
        <v>18</v>
      </c>
      <c r="B349">
        <v>2289.9</v>
      </c>
      <c r="C349">
        <v>2290</v>
      </c>
      <c r="D349" t="s">
        <v>5958</v>
      </c>
    </row>
    <row r="350" spans="1:4" x14ac:dyDescent="0.2">
      <c r="A350">
        <v>19</v>
      </c>
      <c r="B350">
        <v>10</v>
      </c>
      <c r="C350">
        <v>10</v>
      </c>
      <c r="D350" t="s">
        <v>5958</v>
      </c>
    </row>
    <row r="351" spans="1:4" x14ac:dyDescent="0.2">
      <c r="A351">
        <v>20</v>
      </c>
      <c r="B351">
        <v>9.9</v>
      </c>
      <c r="C351">
        <v>10</v>
      </c>
      <c r="D351" t="s">
        <v>5958</v>
      </c>
    </row>
    <row r="352" spans="1:4" x14ac:dyDescent="0.2">
      <c r="A352">
        <v>21</v>
      </c>
      <c r="B352">
        <v>10</v>
      </c>
      <c r="C352">
        <v>10</v>
      </c>
      <c r="D352" t="s">
        <v>5958</v>
      </c>
    </row>
    <row r="353" spans="1:4" x14ac:dyDescent="0.2">
      <c r="A353">
        <v>22</v>
      </c>
      <c r="B353">
        <v>9.9</v>
      </c>
      <c r="C353">
        <v>10</v>
      </c>
      <c r="D353" t="s">
        <v>5958</v>
      </c>
    </row>
    <row r="354" spans="1:4" x14ac:dyDescent="0.2">
      <c r="A354">
        <v>23</v>
      </c>
      <c r="B354">
        <v>10</v>
      </c>
      <c r="C354">
        <v>10</v>
      </c>
      <c r="D354" t="s">
        <v>5958</v>
      </c>
    </row>
    <row r="355" spans="1:4" x14ac:dyDescent="0.2">
      <c r="A355">
        <v>24</v>
      </c>
      <c r="B355">
        <v>9.9</v>
      </c>
      <c r="C355">
        <v>10</v>
      </c>
      <c r="D355" t="s">
        <v>5958</v>
      </c>
    </row>
    <row r="356" spans="1:4" x14ac:dyDescent="0.2">
      <c r="A356">
        <v>19</v>
      </c>
      <c r="B356">
        <v>500</v>
      </c>
      <c r="C356">
        <v>500</v>
      </c>
      <c r="D356" t="s">
        <v>5958</v>
      </c>
    </row>
    <row r="357" spans="1:4" x14ac:dyDescent="0.2">
      <c r="A357">
        <v>20</v>
      </c>
      <c r="B357">
        <v>500.1</v>
      </c>
      <c r="C357">
        <v>500</v>
      </c>
      <c r="D357" t="s">
        <v>5958</v>
      </c>
    </row>
    <row r="358" spans="1:4" x14ac:dyDescent="0.2">
      <c r="A358">
        <v>21</v>
      </c>
      <c r="B358">
        <v>500</v>
      </c>
      <c r="C358">
        <v>500</v>
      </c>
      <c r="D358" t="s">
        <v>5958</v>
      </c>
    </row>
    <row r="359" spans="1:4" x14ac:dyDescent="0.2">
      <c r="A359">
        <v>22</v>
      </c>
      <c r="B359">
        <v>500.1</v>
      </c>
      <c r="C359">
        <v>500</v>
      </c>
      <c r="D359" t="s">
        <v>5958</v>
      </c>
    </row>
    <row r="360" spans="1:4" x14ac:dyDescent="0.2">
      <c r="A360">
        <v>23</v>
      </c>
      <c r="B360">
        <v>500.1</v>
      </c>
      <c r="C360">
        <v>500</v>
      </c>
      <c r="D360" t="s">
        <v>5958</v>
      </c>
    </row>
    <row r="361" spans="1:4" x14ac:dyDescent="0.2">
      <c r="A361">
        <v>24</v>
      </c>
      <c r="B361">
        <v>500</v>
      </c>
      <c r="C361">
        <v>500</v>
      </c>
      <c r="D361" t="s">
        <v>5958</v>
      </c>
    </row>
    <row r="362" spans="1:4" x14ac:dyDescent="0.2">
      <c r="A362">
        <v>19</v>
      </c>
      <c r="B362">
        <v>1000</v>
      </c>
      <c r="C362">
        <v>1000</v>
      </c>
      <c r="D362" t="s">
        <v>5958</v>
      </c>
    </row>
    <row r="363" spans="1:4" x14ac:dyDescent="0.2">
      <c r="A363">
        <v>20</v>
      </c>
      <c r="B363">
        <v>1000.1</v>
      </c>
      <c r="C363">
        <v>1000</v>
      </c>
      <c r="D363" t="s">
        <v>5958</v>
      </c>
    </row>
    <row r="364" spans="1:4" x14ac:dyDescent="0.2">
      <c r="A364">
        <v>21</v>
      </c>
      <c r="B364">
        <v>1000</v>
      </c>
      <c r="C364">
        <v>1000</v>
      </c>
      <c r="D364" t="s">
        <v>5958</v>
      </c>
    </row>
    <row r="365" spans="1:4" x14ac:dyDescent="0.2">
      <c r="A365">
        <v>22</v>
      </c>
      <c r="B365">
        <v>1000.1</v>
      </c>
      <c r="C365">
        <v>1000</v>
      </c>
      <c r="D365" t="s">
        <v>5958</v>
      </c>
    </row>
    <row r="366" spans="1:4" x14ac:dyDescent="0.2">
      <c r="A366">
        <v>23</v>
      </c>
      <c r="B366">
        <v>1000.1</v>
      </c>
      <c r="C366">
        <v>1000</v>
      </c>
      <c r="D366" t="s">
        <v>5958</v>
      </c>
    </row>
    <row r="367" spans="1:4" x14ac:dyDescent="0.2">
      <c r="A367">
        <v>24</v>
      </c>
      <c r="B367">
        <v>1000</v>
      </c>
      <c r="C367">
        <v>1000</v>
      </c>
      <c r="D367" t="s">
        <v>5958</v>
      </c>
    </row>
    <row r="368" spans="1:4" x14ac:dyDescent="0.2">
      <c r="A368">
        <v>19</v>
      </c>
      <c r="B368">
        <v>1499.9</v>
      </c>
      <c r="C368">
        <v>1500</v>
      </c>
      <c r="D368" t="s">
        <v>5958</v>
      </c>
    </row>
    <row r="369" spans="1:4" x14ac:dyDescent="0.2">
      <c r="A369">
        <v>20</v>
      </c>
      <c r="B369">
        <v>1500.1</v>
      </c>
      <c r="C369">
        <v>1500</v>
      </c>
      <c r="D369" t="s">
        <v>5958</v>
      </c>
    </row>
    <row r="370" spans="1:4" x14ac:dyDescent="0.2">
      <c r="A370">
        <v>21</v>
      </c>
      <c r="B370">
        <v>1499.9</v>
      </c>
      <c r="C370">
        <v>1500</v>
      </c>
      <c r="D370" t="s">
        <v>5958</v>
      </c>
    </row>
    <row r="371" spans="1:4" x14ac:dyDescent="0.2">
      <c r="A371">
        <v>22</v>
      </c>
      <c r="B371">
        <v>1500</v>
      </c>
      <c r="C371">
        <v>1500</v>
      </c>
      <c r="D371" t="s">
        <v>5958</v>
      </c>
    </row>
    <row r="372" spans="1:4" x14ac:dyDescent="0.2">
      <c r="A372">
        <v>23</v>
      </c>
      <c r="B372">
        <v>1500</v>
      </c>
      <c r="C372">
        <v>1500</v>
      </c>
      <c r="D372" t="s">
        <v>5958</v>
      </c>
    </row>
    <row r="373" spans="1:4" x14ac:dyDescent="0.2">
      <c r="A373">
        <v>24</v>
      </c>
      <c r="B373">
        <v>1500</v>
      </c>
      <c r="C373">
        <v>1500</v>
      </c>
      <c r="D373" t="s">
        <v>5958</v>
      </c>
    </row>
    <row r="374" spans="1:4" x14ac:dyDescent="0.2">
      <c r="A374">
        <v>19</v>
      </c>
      <c r="B374">
        <v>1999.8</v>
      </c>
      <c r="C374">
        <v>2000</v>
      </c>
      <c r="D374" t="s">
        <v>5958</v>
      </c>
    </row>
    <row r="375" spans="1:4" x14ac:dyDescent="0.2">
      <c r="A375">
        <v>20</v>
      </c>
      <c r="B375">
        <v>2000</v>
      </c>
      <c r="C375">
        <v>2000</v>
      </c>
      <c r="D375" t="s">
        <v>5958</v>
      </c>
    </row>
    <row r="376" spans="1:4" x14ac:dyDescent="0.2">
      <c r="A376">
        <v>21</v>
      </c>
      <c r="B376">
        <v>1999.8</v>
      </c>
      <c r="C376">
        <v>2000</v>
      </c>
      <c r="D376" t="s">
        <v>5958</v>
      </c>
    </row>
    <row r="377" spans="1:4" x14ac:dyDescent="0.2">
      <c r="A377">
        <v>22</v>
      </c>
      <c r="B377">
        <v>2000</v>
      </c>
      <c r="C377">
        <v>2000</v>
      </c>
      <c r="D377" t="s">
        <v>5958</v>
      </c>
    </row>
    <row r="378" spans="1:4" x14ac:dyDescent="0.2">
      <c r="A378">
        <v>23</v>
      </c>
      <c r="B378">
        <v>1999.9</v>
      </c>
      <c r="C378">
        <v>2000</v>
      </c>
      <c r="D378" t="s">
        <v>5958</v>
      </c>
    </row>
    <row r="379" spans="1:4" x14ac:dyDescent="0.2">
      <c r="A379">
        <v>24</v>
      </c>
      <c r="B379">
        <v>2000</v>
      </c>
      <c r="C379">
        <v>2000</v>
      </c>
      <c r="D379" t="s">
        <v>5958</v>
      </c>
    </row>
    <row r="380" spans="1:4" x14ac:dyDescent="0.2">
      <c r="A380">
        <v>19</v>
      </c>
      <c r="B380">
        <v>2289.6999999999998</v>
      </c>
      <c r="C380">
        <v>2290</v>
      </c>
      <c r="D380" t="s">
        <v>5958</v>
      </c>
    </row>
    <row r="381" spans="1:4" x14ac:dyDescent="0.2">
      <c r="A381">
        <v>20</v>
      </c>
      <c r="B381">
        <v>2289.9</v>
      </c>
      <c r="C381">
        <v>2290</v>
      </c>
      <c r="D381" t="s">
        <v>5958</v>
      </c>
    </row>
    <row r="382" spans="1:4" x14ac:dyDescent="0.2">
      <c r="A382">
        <v>21</v>
      </c>
      <c r="B382">
        <v>2289.8000000000002</v>
      </c>
      <c r="C382">
        <v>2290</v>
      </c>
      <c r="D382" t="s">
        <v>5958</v>
      </c>
    </row>
    <row r="383" spans="1:4" x14ac:dyDescent="0.2">
      <c r="A383">
        <v>22</v>
      </c>
      <c r="B383">
        <v>2289.9</v>
      </c>
      <c r="C383">
        <v>2290</v>
      </c>
      <c r="D383" t="s">
        <v>5958</v>
      </c>
    </row>
    <row r="384" spans="1:4" x14ac:dyDescent="0.2">
      <c r="A384">
        <v>23</v>
      </c>
      <c r="B384">
        <v>2289.9</v>
      </c>
      <c r="C384">
        <v>2290</v>
      </c>
      <c r="D384" t="s">
        <v>5958</v>
      </c>
    </row>
    <row r="385" spans="1:4" x14ac:dyDescent="0.2">
      <c r="A385">
        <v>24</v>
      </c>
      <c r="B385">
        <v>2290</v>
      </c>
      <c r="C385">
        <v>2290</v>
      </c>
      <c r="D385" t="s">
        <v>5958</v>
      </c>
    </row>
    <row r="386" spans="1:4" x14ac:dyDescent="0.2">
      <c r="A386">
        <v>25</v>
      </c>
      <c r="B386">
        <v>10</v>
      </c>
      <c r="C386">
        <v>10</v>
      </c>
      <c r="D386" t="s">
        <v>5958</v>
      </c>
    </row>
    <row r="387" spans="1:4" x14ac:dyDescent="0.2">
      <c r="A387">
        <v>26</v>
      </c>
      <c r="B387">
        <v>10</v>
      </c>
      <c r="C387">
        <v>10</v>
      </c>
      <c r="D387" t="s">
        <v>5958</v>
      </c>
    </row>
    <row r="388" spans="1:4" x14ac:dyDescent="0.2">
      <c r="A388">
        <v>27</v>
      </c>
      <c r="B388">
        <v>10</v>
      </c>
      <c r="C388">
        <v>10</v>
      </c>
      <c r="D388" t="s">
        <v>5958</v>
      </c>
    </row>
    <row r="389" spans="1:4" x14ac:dyDescent="0.2">
      <c r="A389">
        <v>28</v>
      </c>
      <c r="B389">
        <v>10</v>
      </c>
      <c r="C389">
        <v>10</v>
      </c>
      <c r="D389" t="s">
        <v>5958</v>
      </c>
    </row>
    <row r="390" spans="1:4" x14ac:dyDescent="0.2">
      <c r="A390">
        <v>29</v>
      </c>
      <c r="B390">
        <v>10</v>
      </c>
      <c r="C390">
        <v>10</v>
      </c>
      <c r="D390" t="s">
        <v>5958</v>
      </c>
    </row>
    <row r="391" spans="1:4" x14ac:dyDescent="0.2">
      <c r="A391">
        <v>30</v>
      </c>
      <c r="B391">
        <v>9.8000000000000007</v>
      </c>
      <c r="C391">
        <v>10</v>
      </c>
      <c r="D391" t="s">
        <v>5958</v>
      </c>
    </row>
    <row r="392" spans="1:4" x14ac:dyDescent="0.2">
      <c r="A392">
        <v>25</v>
      </c>
      <c r="B392">
        <v>500.1</v>
      </c>
      <c r="C392">
        <v>500</v>
      </c>
      <c r="D392" t="s">
        <v>5958</v>
      </c>
    </row>
    <row r="393" spans="1:4" x14ac:dyDescent="0.2">
      <c r="A393">
        <v>26</v>
      </c>
      <c r="B393">
        <v>500</v>
      </c>
      <c r="C393">
        <v>500</v>
      </c>
      <c r="D393" t="s">
        <v>5958</v>
      </c>
    </row>
    <row r="394" spans="1:4" x14ac:dyDescent="0.2">
      <c r="A394">
        <v>27</v>
      </c>
      <c r="B394">
        <v>500</v>
      </c>
      <c r="C394">
        <v>500</v>
      </c>
      <c r="D394" t="s">
        <v>5958</v>
      </c>
    </row>
    <row r="395" spans="1:4" x14ac:dyDescent="0.2">
      <c r="A395">
        <v>28</v>
      </c>
      <c r="B395">
        <v>500</v>
      </c>
      <c r="C395">
        <v>500</v>
      </c>
      <c r="D395" t="s">
        <v>5958</v>
      </c>
    </row>
    <row r="396" spans="1:4" x14ac:dyDescent="0.2">
      <c r="A396">
        <v>29</v>
      </c>
      <c r="B396">
        <v>499.9</v>
      </c>
      <c r="C396">
        <v>500</v>
      </c>
      <c r="D396" t="s">
        <v>5958</v>
      </c>
    </row>
    <row r="397" spans="1:4" x14ac:dyDescent="0.2">
      <c r="A397">
        <v>30</v>
      </c>
      <c r="B397">
        <v>499.9</v>
      </c>
      <c r="C397">
        <v>500</v>
      </c>
      <c r="D397" t="s">
        <v>5958</v>
      </c>
    </row>
    <row r="398" spans="1:4" x14ac:dyDescent="0.2">
      <c r="A398">
        <v>25</v>
      </c>
      <c r="B398">
        <v>1000.1</v>
      </c>
      <c r="C398">
        <v>1000</v>
      </c>
      <c r="D398" t="s">
        <v>5958</v>
      </c>
    </row>
    <row r="399" spans="1:4" x14ac:dyDescent="0.2">
      <c r="A399">
        <v>26</v>
      </c>
      <c r="B399">
        <v>1000</v>
      </c>
      <c r="C399">
        <v>1000</v>
      </c>
      <c r="D399" t="s">
        <v>5958</v>
      </c>
    </row>
    <row r="400" spans="1:4" x14ac:dyDescent="0.2">
      <c r="A400">
        <v>27</v>
      </c>
      <c r="B400">
        <v>999.9</v>
      </c>
      <c r="C400">
        <v>1000</v>
      </c>
      <c r="D400" t="s">
        <v>5958</v>
      </c>
    </row>
    <row r="401" spans="1:4" x14ac:dyDescent="0.2">
      <c r="A401">
        <v>28</v>
      </c>
      <c r="B401">
        <v>1000</v>
      </c>
      <c r="C401">
        <v>1000</v>
      </c>
      <c r="D401" t="s">
        <v>5958</v>
      </c>
    </row>
    <row r="402" spans="1:4" x14ac:dyDescent="0.2">
      <c r="A402">
        <v>29</v>
      </c>
      <c r="B402">
        <v>999.9</v>
      </c>
      <c r="C402">
        <v>1000</v>
      </c>
      <c r="D402" t="s">
        <v>5958</v>
      </c>
    </row>
    <row r="403" spans="1:4" x14ac:dyDescent="0.2">
      <c r="A403">
        <v>30</v>
      </c>
      <c r="B403">
        <v>1000</v>
      </c>
      <c r="C403">
        <v>1000</v>
      </c>
      <c r="D403" t="s">
        <v>5958</v>
      </c>
    </row>
    <row r="404" spans="1:4" x14ac:dyDescent="0.2">
      <c r="A404">
        <v>25</v>
      </c>
      <c r="B404">
        <v>1500</v>
      </c>
      <c r="C404">
        <v>1500</v>
      </c>
      <c r="D404" t="s">
        <v>5958</v>
      </c>
    </row>
    <row r="405" spans="1:4" x14ac:dyDescent="0.2">
      <c r="A405">
        <v>26</v>
      </c>
      <c r="B405">
        <v>1499.9</v>
      </c>
      <c r="C405">
        <v>1500</v>
      </c>
      <c r="D405" t="s">
        <v>5958</v>
      </c>
    </row>
    <row r="406" spans="1:4" x14ac:dyDescent="0.2">
      <c r="A406">
        <v>27</v>
      </c>
      <c r="B406">
        <v>1499.7</v>
      </c>
      <c r="C406">
        <v>1500</v>
      </c>
      <c r="D406" t="s">
        <v>5958</v>
      </c>
    </row>
    <row r="407" spans="1:4" x14ac:dyDescent="0.2">
      <c r="A407">
        <v>28</v>
      </c>
      <c r="B407">
        <v>1499.9</v>
      </c>
      <c r="C407">
        <v>1500</v>
      </c>
      <c r="D407" t="s">
        <v>5958</v>
      </c>
    </row>
    <row r="408" spans="1:4" x14ac:dyDescent="0.2">
      <c r="A408">
        <v>29</v>
      </c>
      <c r="B408">
        <v>1499.9</v>
      </c>
      <c r="C408">
        <v>1500</v>
      </c>
      <c r="D408" t="s">
        <v>5958</v>
      </c>
    </row>
    <row r="409" spans="1:4" x14ac:dyDescent="0.2">
      <c r="A409">
        <v>30</v>
      </c>
      <c r="B409">
        <v>1500</v>
      </c>
      <c r="C409">
        <v>1500</v>
      </c>
      <c r="D409" t="s">
        <v>5958</v>
      </c>
    </row>
    <row r="410" spans="1:4" x14ac:dyDescent="0.2">
      <c r="A410">
        <v>25</v>
      </c>
      <c r="B410">
        <v>1999.9</v>
      </c>
      <c r="C410">
        <v>2000</v>
      </c>
      <c r="D410" t="s">
        <v>5958</v>
      </c>
    </row>
    <row r="411" spans="1:4" x14ac:dyDescent="0.2">
      <c r="A411">
        <v>26</v>
      </c>
      <c r="B411">
        <v>1999.8</v>
      </c>
      <c r="C411">
        <v>2000</v>
      </c>
      <c r="D411" t="s">
        <v>5958</v>
      </c>
    </row>
    <row r="412" spans="1:4" x14ac:dyDescent="0.2">
      <c r="A412">
        <v>27</v>
      </c>
      <c r="B412">
        <v>1999.6</v>
      </c>
      <c r="C412">
        <v>2000</v>
      </c>
      <c r="D412" t="s">
        <v>5958</v>
      </c>
    </row>
    <row r="413" spans="1:4" x14ac:dyDescent="0.2">
      <c r="A413">
        <v>28</v>
      </c>
      <c r="B413">
        <v>1999.8</v>
      </c>
      <c r="C413">
        <v>2000</v>
      </c>
      <c r="D413" t="s">
        <v>5958</v>
      </c>
    </row>
    <row r="414" spans="1:4" x14ac:dyDescent="0.2">
      <c r="A414">
        <v>29</v>
      </c>
      <c r="B414">
        <v>1999.9</v>
      </c>
      <c r="C414">
        <v>2000</v>
      </c>
      <c r="D414" t="s">
        <v>5958</v>
      </c>
    </row>
    <row r="415" spans="1:4" x14ac:dyDescent="0.2">
      <c r="A415">
        <v>30</v>
      </c>
      <c r="B415">
        <v>2000.1</v>
      </c>
      <c r="C415">
        <v>2000</v>
      </c>
      <c r="D415" t="s">
        <v>5958</v>
      </c>
    </row>
    <row r="416" spans="1:4" x14ac:dyDescent="0.2">
      <c r="A416">
        <v>25</v>
      </c>
      <c r="B416">
        <v>2289.8000000000002</v>
      </c>
      <c r="C416">
        <v>2290</v>
      </c>
      <c r="D416" t="s">
        <v>5958</v>
      </c>
    </row>
    <row r="417" spans="1:4" x14ac:dyDescent="0.2">
      <c r="A417">
        <v>26</v>
      </c>
      <c r="B417">
        <v>2289.6999999999998</v>
      </c>
      <c r="C417">
        <v>2290</v>
      </c>
      <c r="D417" t="s">
        <v>5958</v>
      </c>
    </row>
    <row r="418" spans="1:4" x14ac:dyDescent="0.2">
      <c r="A418">
        <v>27</v>
      </c>
      <c r="B418">
        <v>2289.5</v>
      </c>
      <c r="C418">
        <v>2290</v>
      </c>
      <c r="D418" t="s">
        <v>5958</v>
      </c>
    </row>
    <row r="419" spans="1:4" x14ac:dyDescent="0.2">
      <c r="A419">
        <v>28</v>
      </c>
      <c r="B419">
        <v>2289.8000000000002</v>
      </c>
      <c r="C419">
        <v>2290</v>
      </c>
      <c r="D419" t="s">
        <v>5958</v>
      </c>
    </row>
    <row r="420" spans="1:4" x14ac:dyDescent="0.2">
      <c r="A420">
        <v>29</v>
      </c>
      <c r="B420">
        <v>2289.9</v>
      </c>
      <c r="C420">
        <v>2290</v>
      </c>
      <c r="D420" t="s">
        <v>5958</v>
      </c>
    </row>
    <row r="421" spans="1:4" x14ac:dyDescent="0.2">
      <c r="A421">
        <v>30</v>
      </c>
      <c r="B421">
        <v>2290.1</v>
      </c>
      <c r="C421">
        <v>2290</v>
      </c>
      <c r="D421" t="s">
        <v>5958</v>
      </c>
    </row>
    <row r="422" spans="1:4" x14ac:dyDescent="0.2">
      <c r="A422">
        <v>31</v>
      </c>
      <c r="B422">
        <v>9.8000000000000007</v>
      </c>
      <c r="C422">
        <v>10</v>
      </c>
      <c r="D422" t="s">
        <v>5958</v>
      </c>
    </row>
    <row r="423" spans="1:4" x14ac:dyDescent="0.2">
      <c r="A423">
        <v>32</v>
      </c>
      <c r="B423">
        <v>9.8000000000000007</v>
      </c>
      <c r="C423">
        <v>10</v>
      </c>
      <c r="D423" t="s">
        <v>5958</v>
      </c>
    </row>
    <row r="424" spans="1:4" x14ac:dyDescent="0.2">
      <c r="A424">
        <v>33</v>
      </c>
      <c r="B424">
        <v>10</v>
      </c>
      <c r="C424">
        <v>10</v>
      </c>
      <c r="D424" t="s">
        <v>5958</v>
      </c>
    </row>
    <row r="425" spans="1:4" x14ac:dyDescent="0.2">
      <c r="A425">
        <v>34</v>
      </c>
      <c r="B425">
        <v>9.9</v>
      </c>
      <c r="C425">
        <v>10</v>
      </c>
      <c r="D425" t="s">
        <v>5958</v>
      </c>
    </row>
    <row r="426" spans="1:4" x14ac:dyDescent="0.2">
      <c r="A426">
        <v>35</v>
      </c>
      <c r="B426">
        <v>9.9</v>
      </c>
      <c r="C426">
        <v>10</v>
      </c>
      <c r="D426" t="s">
        <v>5958</v>
      </c>
    </row>
    <row r="427" spans="1:4" x14ac:dyDescent="0.2">
      <c r="A427">
        <v>36</v>
      </c>
      <c r="B427">
        <v>9.9</v>
      </c>
      <c r="C427">
        <v>10</v>
      </c>
      <c r="D427" t="s">
        <v>5958</v>
      </c>
    </row>
    <row r="428" spans="1:4" x14ac:dyDescent="0.2">
      <c r="A428">
        <v>31</v>
      </c>
      <c r="B428">
        <v>499.8</v>
      </c>
      <c r="C428">
        <v>500</v>
      </c>
      <c r="D428" t="s">
        <v>5958</v>
      </c>
    </row>
    <row r="429" spans="1:4" x14ac:dyDescent="0.2">
      <c r="A429">
        <v>32</v>
      </c>
      <c r="B429">
        <v>499.9</v>
      </c>
      <c r="C429">
        <v>500</v>
      </c>
      <c r="D429" t="s">
        <v>5958</v>
      </c>
    </row>
    <row r="430" spans="1:4" x14ac:dyDescent="0.2">
      <c r="A430">
        <v>33</v>
      </c>
      <c r="B430">
        <v>500</v>
      </c>
      <c r="C430">
        <v>500</v>
      </c>
      <c r="D430" t="s">
        <v>5958</v>
      </c>
    </row>
    <row r="431" spans="1:4" x14ac:dyDescent="0.2">
      <c r="A431">
        <v>34</v>
      </c>
      <c r="B431">
        <v>499.9</v>
      </c>
      <c r="C431">
        <v>500</v>
      </c>
      <c r="D431" t="s">
        <v>5958</v>
      </c>
    </row>
    <row r="432" spans="1:4" x14ac:dyDescent="0.2">
      <c r="A432">
        <v>35</v>
      </c>
      <c r="B432">
        <v>500</v>
      </c>
      <c r="C432">
        <v>500</v>
      </c>
      <c r="D432" t="s">
        <v>5958</v>
      </c>
    </row>
    <row r="433" spans="1:4" x14ac:dyDescent="0.2">
      <c r="A433">
        <v>36</v>
      </c>
      <c r="B433">
        <v>500</v>
      </c>
      <c r="C433">
        <v>500</v>
      </c>
      <c r="D433" t="s">
        <v>5958</v>
      </c>
    </row>
    <row r="434" spans="1:4" x14ac:dyDescent="0.2">
      <c r="A434">
        <v>31</v>
      </c>
      <c r="B434">
        <v>999.8</v>
      </c>
      <c r="C434">
        <v>1000</v>
      </c>
      <c r="D434" t="s">
        <v>5958</v>
      </c>
    </row>
    <row r="435" spans="1:4" x14ac:dyDescent="0.2">
      <c r="A435">
        <v>32</v>
      </c>
      <c r="B435">
        <v>999.9</v>
      </c>
      <c r="C435">
        <v>1000</v>
      </c>
      <c r="D435" t="s">
        <v>5958</v>
      </c>
    </row>
    <row r="436" spans="1:4" x14ac:dyDescent="0.2">
      <c r="A436">
        <v>33</v>
      </c>
      <c r="B436">
        <v>1000.1</v>
      </c>
      <c r="C436">
        <v>1000</v>
      </c>
      <c r="D436" t="s">
        <v>5958</v>
      </c>
    </row>
    <row r="437" spans="1:4" x14ac:dyDescent="0.2">
      <c r="A437">
        <v>34</v>
      </c>
      <c r="B437">
        <v>1000</v>
      </c>
      <c r="C437">
        <v>1000</v>
      </c>
      <c r="D437" t="s">
        <v>5958</v>
      </c>
    </row>
    <row r="438" spans="1:4" x14ac:dyDescent="0.2">
      <c r="A438">
        <v>35</v>
      </c>
      <c r="B438">
        <v>1000.1</v>
      </c>
      <c r="C438">
        <v>1000</v>
      </c>
      <c r="D438" t="s">
        <v>5958</v>
      </c>
    </row>
    <row r="439" spans="1:4" x14ac:dyDescent="0.2">
      <c r="A439">
        <v>36</v>
      </c>
      <c r="B439">
        <v>1000.1</v>
      </c>
      <c r="C439">
        <v>1000</v>
      </c>
      <c r="D439" t="s">
        <v>5958</v>
      </c>
    </row>
    <row r="440" spans="1:4" x14ac:dyDescent="0.2">
      <c r="A440">
        <v>31</v>
      </c>
      <c r="B440">
        <v>1499.8</v>
      </c>
      <c r="C440">
        <v>1500</v>
      </c>
      <c r="D440" t="s">
        <v>5958</v>
      </c>
    </row>
    <row r="441" spans="1:4" x14ac:dyDescent="0.2">
      <c r="A441">
        <v>32</v>
      </c>
      <c r="B441">
        <v>1499.9</v>
      </c>
      <c r="C441">
        <v>1500</v>
      </c>
      <c r="D441" t="s">
        <v>5958</v>
      </c>
    </row>
    <row r="442" spans="1:4" x14ac:dyDescent="0.2">
      <c r="A442">
        <v>33</v>
      </c>
      <c r="B442">
        <v>1500</v>
      </c>
      <c r="C442">
        <v>1500</v>
      </c>
      <c r="D442" t="s">
        <v>5958</v>
      </c>
    </row>
    <row r="443" spans="1:4" x14ac:dyDescent="0.2">
      <c r="A443">
        <v>34</v>
      </c>
      <c r="B443">
        <v>1499.9</v>
      </c>
      <c r="C443">
        <v>1500</v>
      </c>
      <c r="D443" t="s">
        <v>5958</v>
      </c>
    </row>
    <row r="444" spans="1:4" x14ac:dyDescent="0.2">
      <c r="A444">
        <v>35</v>
      </c>
      <c r="B444">
        <v>1500.1</v>
      </c>
      <c r="C444">
        <v>1500</v>
      </c>
      <c r="D444" t="s">
        <v>5958</v>
      </c>
    </row>
    <row r="445" spans="1:4" x14ac:dyDescent="0.2">
      <c r="A445">
        <v>36</v>
      </c>
      <c r="B445">
        <v>1500.2</v>
      </c>
      <c r="C445">
        <v>1500</v>
      </c>
      <c r="D445" t="s">
        <v>5958</v>
      </c>
    </row>
    <row r="446" spans="1:4" x14ac:dyDescent="0.2">
      <c r="A446">
        <v>31</v>
      </c>
      <c r="B446">
        <v>1999.8</v>
      </c>
      <c r="C446">
        <v>2000</v>
      </c>
      <c r="D446" t="s">
        <v>5958</v>
      </c>
    </row>
    <row r="447" spans="1:4" x14ac:dyDescent="0.2">
      <c r="A447">
        <v>32</v>
      </c>
      <c r="B447">
        <v>2000</v>
      </c>
      <c r="C447">
        <v>2000</v>
      </c>
      <c r="D447" t="s">
        <v>5958</v>
      </c>
    </row>
    <row r="448" spans="1:4" x14ac:dyDescent="0.2">
      <c r="A448">
        <v>33</v>
      </c>
      <c r="B448">
        <v>2000</v>
      </c>
      <c r="C448">
        <v>2000</v>
      </c>
      <c r="D448" t="s">
        <v>5958</v>
      </c>
    </row>
    <row r="449" spans="1:4" x14ac:dyDescent="0.2">
      <c r="A449">
        <v>34</v>
      </c>
      <c r="B449">
        <v>1999.9</v>
      </c>
      <c r="C449">
        <v>2000</v>
      </c>
      <c r="D449" t="s">
        <v>5958</v>
      </c>
    </row>
    <row r="450" spans="1:4" x14ac:dyDescent="0.2">
      <c r="A450">
        <v>35</v>
      </c>
      <c r="B450">
        <v>2000.1</v>
      </c>
      <c r="C450">
        <v>2000</v>
      </c>
      <c r="D450" t="s">
        <v>5958</v>
      </c>
    </row>
    <row r="451" spans="1:4" x14ac:dyDescent="0.2">
      <c r="A451">
        <v>36</v>
      </c>
      <c r="B451">
        <v>2000.2</v>
      </c>
      <c r="C451">
        <v>2000</v>
      </c>
      <c r="D451" t="s">
        <v>5958</v>
      </c>
    </row>
    <row r="452" spans="1:4" x14ac:dyDescent="0.2">
      <c r="A452">
        <v>31</v>
      </c>
      <c r="B452">
        <v>2289.8000000000002</v>
      </c>
      <c r="C452">
        <v>2290</v>
      </c>
      <c r="D452" t="s">
        <v>5958</v>
      </c>
    </row>
    <row r="453" spans="1:4" x14ac:dyDescent="0.2">
      <c r="A453">
        <v>32</v>
      </c>
      <c r="B453">
        <v>2290</v>
      </c>
      <c r="C453">
        <v>2290</v>
      </c>
      <c r="D453" t="s">
        <v>5958</v>
      </c>
    </row>
    <row r="454" spans="1:4" x14ac:dyDescent="0.2">
      <c r="A454">
        <v>33</v>
      </c>
      <c r="B454">
        <v>2290</v>
      </c>
      <c r="C454">
        <v>2290</v>
      </c>
      <c r="D454" t="s">
        <v>5958</v>
      </c>
    </row>
    <row r="455" spans="1:4" x14ac:dyDescent="0.2">
      <c r="A455">
        <v>34</v>
      </c>
      <c r="B455">
        <v>2289.8000000000002</v>
      </c>
      <c r="C455">
        <v>2290</v>
      </c>
      <c r="D455" t="s">
        <v>5958</v>
      </c>
    </row>
    <row r="456" spans="1:4" x14ac:dyDescent="0.2">
      <c r="A456">
        <v>35</v>
      </c>
      <c r="B456">
        <v>2290.1</v>
      </c>
      <c r="C456">
        <v>2290</v>
      </c>
      <c r="D456" t="s">
        <v>5958</v>
      </c>
    </row>
    <row r="457" spans="1:4" x14ac:dyDescent="0.2">
      <c r="A457">
        <v>36</v>
      </c>
      <c r="B457">
        <v>2290.1</v>
      </c>
      <c r="C457">
        <v>2290</v>
      </c>
      <c r="D457" t="s">
        <v>5958</v>
      </c>
    </row>
    <row r="458" spans="1:4" x14ac:dyDescent="0.2">
      <c r="A458">
        <v>37</v>
      </c>
      <c r="B458">
        <v>9.9</v>
      </c>
      <c r="C458">
        <v>10</v>
      </c>
      <c r="D458" t="s">
        <v>5958</v>
      </c>
    </row>
    <row r="459" spans="1:4" x14ac:dyDescent="0.2">
      <c r="A459">
        <v>38</v>
      </c>
      <c r="B459">
        <v>9.9</v>
      </c>
      <c r="C459">
        <v>10</v>
      </c>
      <c r="D459" t="s">
        <v>5958</v>
      </c>
    </row>
    <row r="460" spans="1:4" x14ac:dyDescent="0.2">
      <c r="A460">
        <v>39</v>
      </c>
      <c r="B460">
        <v>9.9</v>
      </c>
      <c r="C460">
        <v>10</v>
      </c>
      <c r="D460" t="s">
        <v>5958</v>
      </c>
    </row>
    <row r="461" spans="1:4" x14ac:dyDescent="0.2">
      <c r="A461">
        <v>40</v>
      </c>
      <c r="B461">
        <v>9.9</v>
      </c>
      <c r="C461">
        <v>10</v>
      </c>
      <c r="D461" t="s">
        <v>5958</v>
      </c>
    </row>
    <row r="462" spans="1:4" x14ac:dyDescent="0.2">
      <c r="A462">
        <v>37</v>
      </c>
      <c r="B462">
        <v>499.9</v>
      </c>
      <c r="C462">
        <v>500</v>
      </c>
      <c r="D462" t="s">
        <v>5958</v>
      </c>
    </row>
    <row r="463" spans="1:4" x14ac:dyDescent="0.2">
      <c r="A463">
        <v>38</v>
      </c>
      <c r="B463">
        <v>500</v>
      </c>
      <c r="C463">
        <v>500</v>
      </c>
      <c r="D463" t="s">
        <v>5958</v>
      </c>
    </row>
    <row r="464" spans="1:4" x14ac:dyDescent="0.2">
      <c r="A464">
        <v>39</v>
      </c>
      <c r="B464">
        <v>499.9</v>
      </c>
      <c r="C464">
        <v>500</v>
      </c>
      <c r="D464" t="s">
        <v>5958</v>
      </c>
    </row>
    <row r="465" spans="1:4" x14ac:dyDescent="0.2">
      <c r="A465">
        <v>40</v>
      </c>
      <c r="B465">
        <v>500</v>
      </c>
      <c r="C465">
        <v>500</v>
      </c>
      <c r="D465" t="s">
        <v>5958</v>
      </c>
    </row>
    <row r="466" spans="1:4" x14ac:dyDescent="0.2">
      <c r="A466">
        <v>37</v>
      </c>
      <c r="B466">
        <v>1000</v>
      </c>
      <c r="C466">
        <v>1000</v>
      </c>
      <c r="D466" t="s">
        <v>5958</v>
      </c>
    </row>
    <row r="467" spans="1:4" x14ac:dyDescent="0.2">
      <c r="A467">
        <v>38</v>
      </c>
      <c r="B467">
        <v>1000.1</v>
      </c>
      <c r="C467">
        <v>1000</v>
      </c>
      <c r="D467" t="s">
        <v>5958</v>
      </c>
    </row>
    <row r="468" spans="1:4" x14ac:dyDescent="0.2">
      <c r="A468">
        <v>39</v>
      </c>
      <c r="B468">
        <v>1000</v>
      </c>
      <c r="C468">
        <v>1000</v>
      </c>
      <c r="D468" t="s">
        <v>5958</v>
      </c>
    </row>
    <row r="469" spans="1:4" x14ac:dyDescent="0.2">
      <c r="A469">
        <v>40</v>
      </c>
      <c r="B469">
        <v>1000</v>
      </c>
      <c r="C469">
        <v>1000</v>
      </c>
      <c r="D469" t="s">
        <v>5958</v>
      </c>
    </row>
    <row r="470" spans="1:4" x14ac:dyDescent="0.2">
      <c r="A470">
        <v>37</v>
      </c>
      <c r="B470">
        <v>1500</v>
      </c>
      <c r="C470">
        <v>1500</v>
      </c>
      <c r="D470" t="s">
        <v>5958</v>
      </c>
    </row>
    <row r="471" spans="1:4" x14ac:dyDescent="0.2">
      <c r="A471">
        <v>38</v>
      </c>
      <c r="B471">
        <v>1500.2</v>
      </c>
      <c r="C471">
        <v>1500</v>
      </c>
      <c r="D471" t="s">
        <v>5958</v>
      </c>
    </row>
    <row r="472" spans="1:4" x14ac:dyDescent="0.2">
      <c r="A472">
        <v>39</v>
      </c>
      <c r="B472">
        <v>1500</v>
      </c>
      <c r="C472">
        <v>1500</v>
      </c>
      <c r="D472" t="s">
        <v>5958</v>
      </c>
    </row>
    <row r="473" spans="1:4" x14ac:dyDescent="0.2">
      <c r="A473">
        <v>40</v>
      </c>
      <c r="B473">
        <v>1500</v>
      </c>
      <c r="C473">
        <v>1500</v>
      </c>
      <c r="D473" t="s">
        <v>5958</v>
      </c>
    </row>
    <row r="474" spans="1:4" x14ac:dyDescent="0.2">
      <c r="A474">
        <v>37</v>
      </c>
      <c r="B474">
        <v>2000</v>
      </c>
      <c r="C474">
        <v>2000</v>
      </c>
      <c r="D474" t="s">
        <v>5958</v>
      </c>
    </row>
    <row r="475" spans="1:4" x14ac:dyDescent="0.2">
      <c r="A475">
        <v>38</v>
      </c>
      <c r="B475">
        <v>2000.2</v>
      </c>
      <c r="C475">
        <v>2000</v>
      </c>
      <c r="D475" t="s">
        <v>5958</v>
      </c>
    </row>
    <row r="476" spans="1:4" x14ac:dyDescent="0.2">
      <c r="A476">
        <v>39</v>
      </c>
      <c r="B476">
        <v>2000</v>
      </c>
      <c r="C476">
        <v>2000</v>
      </c>
      <c r="D476" t="s">
        <v>5958</v>
      </c>
    </row>
    <row r="477" spans="1:4" x14ac:dyDescent="0.2">
      <c r="A477">
        <v>40</v>
      </c>
      <c r="B477">
        <v>2000</v>
      </c>
      <c r="C477">
        <v>2000</v>
      </c>
      <c r="D477" t="s">
        <v>5958</v>
      </c>
    </row>
    <row r="478" spans="1:4" x14ac:dyDescent="0.2">
      <c r="A478">
        <v>37</v>
      </c>
      <c r="B478">
        <v>2289.9</v>
      </c>
      <c r="C478">
        <v>2290</v>
      </c>
      <c r="D478" t="s">
        <v>5958</v>
      </c>
    </row>
    <row r="479" spans="1:4" x14ac:dyDescent="0.2">
      <c r="A479">
        <v>38</v>
      </c>
      <c r="B479">
        <v>2290.1999999999998</v>
      </c>
      <c r="C479">
        <v>2290</v>
      </c>
      <c r="D479" t="s">
        <v>5958</v>
      </c>
    </row>
    <row r="480" spans="1:4" x14ac:dyDescent="0.2">
      <c r="A480">
        <v>39</v>
      </c>
      <c r="B480">
        <v>2290</v>
      </c>
      <c r="C480">
        <v>2290</v>
      </c>
      <c r="D480" t="s">
        <v>5958</v>
      </c>
    </row>
    <row r="481" spans="1:4" x14ac:dyDescent="0.2">
      <c r="A481">
        <v>40</v>
      </c>
      <c r="B481">
        <v>2290</v>
      </c>
      <c r="C481">
        <v>2290</v>
      </c>
      <c r="D481" t="s">
        <v>5958</v>
      </c>
    </row>
    <row r="482" spans="1:4" x14ac:dyDescent="0.2">
      <c r="A482">
        <v>1</v>
      </c>
      <c r="B482">
        <v>9.9</v>
      </c>
      <c r="C482">
        <v>10</v>
      </c>
      <c r="D482" t="s">
        <v>5959</v>
      </c>
    </row>
    <row r="483" spans="1:4" x14ac:dyDescent="0.2">
      <c r="A483">
        <v>2</v>
      </c>
      <c r="B483">
        <v>10</v>
      </c>
      <c r="C483">
        <v>10</v>
      </c>
      <c r="D483" t="s">
        <v>5959</v>
      </c>
    </row>
    <row r="484" spans="1:4" x14ac:dyDescent="0.2">
      <c r="A484">
        <v>3</v>
      </c>
      <c r="B484">
        <v>10</v>
      </c>
      <c r="C484">
        <v>10</v>
      </c>
      <c r="D484" t="s">
        <v>5959</v>
      </c>
    </row>
    <row r="485" spans="1:4" x14ac:dyDescent="0.2">
      <c r="A485">
        <v>4</v>
      </c>
      <c r="B485">
        <v>10</v>
      </c>
      <c r="C485">
        <v>10</v>
      </c>
      <c r="D485" t="s">
        <v>5959</v>
      </c>
    </row>
    <row r="486" spans="1:4" x14ac:dyDescent="0.2">
      <c r="A486">
        <v>5</v>
      </c>
      <c r="B486">
        <v>10</v>
      </c>
      <c r="C486">
        <v>10</v>
      </c>
      <c r="D486" t="s">
        <v>5959</v>
      </c>
    </row>
    <row r="487" spans="1:4" x14ac:dyDescent="0.2">
      <c r="A487">
        <v>6</v>
      </c>
      <c r="B487">
        <v>9.9</v>
      </c>
      <c r="C487">
        <v>10</v>
      </c>
      <c r="D487" t="s">
        <v>5959</v>
      </c>
    </row>
    <row r="488" spans="1:4" x14ac:dyDescent="0.2">
      <c r="A488">
        <v>1</v>
      </c>
      <c r="B488">
        <v>499.9</v>
      </c>
      <c r="C488">
        <v>500</v>
      </c>
      <c r="D488" t="s">
        <v>5959</v>
      </c>
    </row>
    <row r="489" spans="1:4" x14ac:dyDescent="0.2">
      <c r="A489">
        <v>2</v>
      </c>
      <c r="B489">
        <v>499.5</v>
      </c>
      <c r="C489">
        <v>500</v>
      </c>
      <c r="D489" t="s">
        <v>5959</v>
      </c>
    </row>
    <row r="490" spans="1:4" x14ac:dyDescent="0.2">
      <c r="A490">
        <v>3</v>
      </c>
      <c r="B490">
        <v>499.9</v>
      </c>
      <c r="C490">
        <v>500</v>
      </c>
      <c r="D490" t="s">
        <v>5959</v>
      </c>
    </row>
    <row r="491" spans="1:4" x14ac:dyDescent="0.2">
      <c r="A491">
        <v>4</v>
      </c>
      <c r="B491">
        <v>500</v>
      </c>
      <c r="C491">
        <v>500</v>
      </c>
      <c r="D491" t="s">
        <v>5959</v>
      </c>
    </row>
    <row r="492" spans="1:4" x14ac:dyDescent="0.2">
      <c r="A492">
        <v>5</v>
      </c>
      <c r="B492">
        <v>500</v>
      </c>
      <c r="C492">
        <v>500</v>
      </c>
      <c r="D492" t="s">
        <v>5959</v>
      </c>
    </row>
    <row r="493" spans="1:4" x14ac:dyDescent="0.2">
      <c r="A493">
        <v>6</v>
      </c>
      <c r="B493">
        <v>499.9</v>
      </c>
      <c r="C493">
        <v>500</v>
      </c>
      <c r="D493" t="s">
        <v>5959</v>
      </c>
    </row>
    <row r="494" spans="1:4" x14ac:dyDescent="0.2">
      <c r="A494">
        <v>1</v>
      </c>
      <c r="B494">
        <v>999.9</v>
      </c>
      <c r="C494">
        <v>1000</v>
      </c>
      <c r="D494" t="s">
        <v>5959</v>
      </c>
    </row>
    <row r="495" spans="1:4" x14ac:dyDescent="0.2">
      <c r="A495">
        <v>2</v>
      </c>
      <c r="B495">
        <v>999.4</v>
      </c>
      <c r="C495">
        <v>1000</v>
      </c>
      <c r="D495" t="s">
        <v>5959</v>
      </c>
    </row>
    <row r="496" spans="1:4" x14ac:dyDescent="0.2">
      <c r="A496">
        <v>3</v>
      </c>
      <c r="B496">
        <v>999.9</v>
      </c>
      <c r="C496">
        <v>1000</v>
      </c>
      <c r="D496" t="s">
        <v>5959</v>
      </c>
    </row>
    <row r="497" spans="1:4" x14ac:dyDescent="0.2">
      <c r="A497">
        <v>4</v>
      </c>
      <c r="B497">
        <v>1000</v>
      </c>
      <c r="C497">
        <v>1000</v>
      </c>
      <c r="D497" t="s">
        <v>5959</v>
      </c>
    </row>
    <row r="498" spans="1:4" x14ac:dyDescent="0.2">
      <c r="A498">
        <v>5</v>
      </c>
      <c r="B498">
        <v>1000</v>
      </c>
      <c r="C498">
        <v>1000</v>
      </c>
      <c r="D498" t="s">
        <v>5959</v>
      </c>
    </row>
    <row r="499" spans="1:4" x14ac:dyDescent="0.2">
      <c r="A499">
        <v>6</v>
      </c>
      <c r="B499">
        <v>999.9</v>
      </c>
      <c r="C499">
        <v>1000</v>
      </c>
      <c r="D499" t="s">
        <v>5959</v>
      </c>
    </row>
    <row r="500" spans="1:4" x14ac:dyDescent="0.2">
      <c r="A500">
        <v>1</v>
      </c>
      <c r="B500">
        <v>1499.8</v>
      </c>
      <c r="C500">
        <v>1500</v>
      </c>
      <c r="D500" t="s">
        <v>5959</v>
      </c>
    </row>
    <row r="501" spans="1:4" x14ac:dyDescent="0.2">
      <c r="A501">
        <v>2</v>
      </c>
      <c r="B501">
        <v>1499.3</v>
      </c>
      <c r="C501">
        <v>1500</v>
      </c>
      <c r="D501" t="s">
        <v>5959</v>
      </c>
    </row>
    <row r="502" spans="1:4" x14ac:dyDescent="0.2">
      <c r="A502">
        <v>3</v>
      </c>
      <c r="B502">
        <v>1499.8</v>
      </c>
      <c r="C502">
        <v>1500</v>
      </c>
      <c r="D502" t="s">
        <v>5959</v>
      </c>
    </row>
    <row r="503" spans="1:4" x14ac:dyDescent="0.2">
      <c r="A503">
        <v>4</v>
      </c>
      <c r="B503">
        <v>1500</v>
      </c>
      <c r="C503">
        <v>1500</v>
      </c>
      <c r="D503" t="s">
        <v>5959</v>
      </c>
    </row>
    <row r="504" spans="1:4" x14ac:dyDescent="0.2">
      <c r="A504">
        <v>5</v>
      </c>
      <c r="B504">
        <v>1500</v>
      </c>
      <c r="C504">
        <v>1500</v>
      </c>
      <c r="D504" t="s">
        <v>5959</v>
      </c>
    </row>
    <row r="505" spans="1:4" x14ac:dyDescent="0.2">
      <c r="A505">
        <v>6</v>
      </c>
      <c r="B505">
        <v>1499.9</v>
      </c>
      <c r="C505">
        <v>1500</v>
      </c>
      <c r="D505" t="s">
        <v>5959</v>
      </c>
    </row>
    <row r="506" spans="1:4" x14ac:dyDescent="0.2">
      <c r="A506">
        <v>1</v>
      </c>
      <c r="B506">
        <v>1999.7</v>
      </c>
      <c r="C506">
        <v>2000</v>
      </c>
      <c r="D506" t="s">
        <v>5959</v>
      </c>
    </row>
    <row r="507" spans="1:4" x14ac:dyDescent="0.2">
      <c r="A507">
        <v>2</v>
      </c>
      <c r="B507">
        <v>1999.3</v>
      </c>
      <c r="C507">
        <v>2000</v>
      </c>
      <c r="D507" t="s">
        <v>5959</v>
      </c>
    </row>
    <row r="508" spans="1:4" x14ac:dyDescent="0.2">
      <c r="A508">
        <v>3</v>
      </c>
      <c r="B508">
        <v>1999.6</v>
      </c>
      <c r="C508">
        <v>2000</v>
      </c>
      <c r="D508" t="s">
        <v>5959</v>
      </c>
    </row>
    <row r="509" spans="1:4" x14ac:dyDescent="0.2">
      <c r="A509">
        <v>4</v>
      </c>
      <c r="B509">
        <v>2000</v>
      </c>
      <c r="C509">
        <v>2000</v>
      </c>
      <c r="D509" t="s">
        <v>5959</v>
      </c>
    </row>
    <row r="510" spans="1:4" x14ac:dyDescent="0.2">
      <c r="A510">
        <v>5</v>
      </c>
      <c r="B510">
        <v>2000</v>
      </c>
      <c r="C510">
        <v>2000</v>
      </c>
      <c r="D510" t="s">
        <v>5959</v>
      </c>
    </row>
    <row r="511" spans="1:4" x14ac:dyDescent="0.2">
      <c r="A511">
        <v>6</v>
      </c>
      <c r="B511">
        <v>1999.8</v>
      </c>
      <c r="C511">
        <v>2000</v>
      </c>
      <c r="D511" t="s">
        <v>5959</v>
      </c>
    </row>
    <row r="512" spans="1:4" x14ac:dyDescent="0.2">
      <c r="A512">
        <v>1</v>
      </c>
      <c r="B512">
        <v>2289.6999999999998</v>
      </c>
      <c r="C512">
        <v>2290</v>
      </c>
      <c r="D512" t="s">
        <v>5959</v>
      </c>
    </row>
    <row r="513" spans="1:4" x14ac:dyDescent="0.2">
      <c r="A513">
        <v>2</v>
      </c>
      <c r="B513">
        <v>2290</v>
      </c>
      <c r="C513">
        <v>2290</v>
      </c>
      <c r="D513" t="s">
        <v>5959</v>
      </c>
    </row>
    <row r="514" spans="1:4" x14ac:dyDescent="0.2">
      <c r="A514">
        <v>3</v>
      </c>
      <c r="B514">
        <v>2289.6999999999998</v>
      </c>
      <c r="C514">
        <v>2290</v>
      </c>
      <c r="D514" t="s">
        <v>5959</v>
      </c>
    </row>
    <row r="515" spans="1:4" x14ac:dyDescent="0.2">
      <c r="A515">
        <v>4</v>
      </c>
      <c r="B515">
        <v>2290.1</v>
      </c>
      <c r="C515">
        <v>2290</v>
      </c>
      <c r="D515" t="s">
        <v>5959</v>
      </c>
    </row>
    <row r="516" spans="1:4" x14ac:dyDescent="0.2">
      <c r="A516">
        <v>5</v>
      </c>
      <c r="B516">
        <v>2290.1</v>
      </c>
      <c r="C516">
        <v>2290</v>
      </c>
      <c r="D516" t="s">
        <v>5959</v>
      </c>
    </row>
    <row r="517" spans="1:4" x14ac:dyDescent="0.2">
      <c r="A517">
        <v>6</v>
      </c>
      <c r="B517">
        <v>2290</v>
      </c>
      <c r="C517">
        <v>2290</v>
      </c>
      <c r="D517" t="s">
        <v>5959</v>
      </c>
    </row>
    <row r="518" spans="1:4" x14ac:dyDescent="0.2">
      <c r="A518">
        <v>7</v>
      </c>
      <c r="B518">
        <v>10</v>
      </c>
      <c r="C518">
        <v>10</v>
      </c>
      <c r="D518" t="s">
        <v>5959</v>
      </c>
    </row>
    <row r="519" spans="1:4" x14ac:dyDescent="0.2">
      <c r="A519">
        <v>8</v>
      </c>
      <c r="B519">
        <v>10</v>
      </c>
      <c r="C519">
        <v>10</v>
      </c>
      <c r="D519" t="s">
        <v>5959</v>
      </c>
    </row>
    <row r="520" spans="1:4" x14ac:dyDescent="0.2">
      <c r="A520">
        <v>9</v>
      </c>
      <c r="B520">
        <v>9.9</v>
      </c>
      <c r="C520">
        <v>10</v>
      </c>
      <c r="D520" t="s">
        <v>5959</v>
      </c>
    </row>
    <row r="521" spans="1:4" x14ac:dyDescent="0.2">
      <c r="A521">
        <v>10</v>
      </c>
      <c r="B521">
        <v>10</v>
      </c>
      <c r="C521">
        <v>10</v>
      </c>
      <c r="D521" t="s">
        <v>5959</v>
      </c>
    </row>
    <row r="522" spans="1:4" x14ac:dyDescent="0.2">
      <c r="A522">
        <v>11</v>
      </c>
      <c r="B522">
        <v>10</v>
      </c>
      <c r="C522">
        <v>10</v>
      </c>
      <c r="D522" t="s">
        <v>5959</v>
      </c>
    </row>
    <row r="523" spans="1:4" x14ac:dyDescent="0.2">
      <c r="A523">
        <v>12</v>
      </c>
      <c r="B523">
        <v>10</v>
      </c>
      <c r="C523">
        <v>10</v>
      </c>
      <c r="D523" t="s">
        <v>5959</v>
      </c>
    </row>
    <row r="524" spans="1:4" x14ac:dyDescent="0.2">
      <c r="A524">
        <v>7</v>
      </c>
      <c r="B524">
        <v>499.8</v>
      </c>
      <c r="C524">
        <v>500</v>
      </c>
      <c r="D524" t="s">
        <v>5959</v>
      </c>
    </row>
    <row r="525" spans="1:4" x14ac:dyDescent="0.2">
      <c r="A525">
        <v>8</v>
      </c>
      <c r="B525">
        <v>499.9</v>
      </c>
      <c r="C525">
        <v>500</v>
      </c>
      <c r="D525" t="s">
        <v>5959</v>
      </c>
    </row>
    <row r="526" spans="1:4" x14ac:dyDescent="0.2">
      <c r="A526">
        <v>9</v>
      </c>
      <c r="B526">
        <v>499.9</v>
      </c>
      <c r="C526">
        <v>500</v>
      </c>
      <c r="D526" t="s">
        <v>5959</v>
      </c>
    </row>
    <row r="527" spans="1:4" x14ac:dyDescent="0.2">
      <c r="A527">
        <v>10</v>
      </c>
      <c r="B527">
        <v>499.9</v>
      </c>
      <c r="C527">
        <v>500</v>
      </c>
      <c r="D527" t="s">
        <v>5959</v>
      </c>
    </row>
    <row r="528" spans="1:4" x14ac:dyDescent="0.2">
      <c r="A528">
        <v>11</v>
      </c>
      <c r="B528">
        <v>500.1</v>
      </c>
      <c r="C528">
        <v>500</v>
      </c>
      <c r="D528" t="s">
        <v>5959</v>
      </c>
    </row>
    <row r="529" spans="1:4" x14ac:dyDescent="0.2">
      <c r="A529">
        <v>12</v>
      </c>
      <c r="B529">
        <v>500.1</v>
      </c>
      <c r="C529">
        <v>500</v>
      </c>
      <c r="D529" t="s">
        <v>5959</v>
      </c>
    </row>
    <row r="530" spans="1:4" x14ac:dyDescent="0.2">
      <c r="A530">
        <v>7</v>
      </c>
      <c r="B530">
        <v>999.7</v>
      </c>
      <c r="C530">
        <v>1000</v>
      </c>
      <c r="D530" t="s">
        <v>5959</v>
      </c>
    </row>
    <row r="531" spans="1:4" x14ac:dyDescent="0.2">
      <c r="A531">
        <v>8</v>
      </c>
      <c r="B531">
        <v>999.9</v>
      </c>
      <c r="C531">
        <v>1000</v>
      </c>
      <c r="D531" t="s">
        <v>5959</v>
      </c>
    </row>
    <row r="532" spans="1:4" x14ac:dyDescent="0.2">
      <c r="A532">
        <v>9</v>
      </c>
      <c r="B532">
        <v>999.8</v>
      </c>
      <c r="C532">
        <v>1000</v>
      </c>
      <c r="D532" t="s">
        <v>5959</v>
      </c>
    </row>
    <row r="533" spans="1:4" x14ac:dyDescent="0.2">
      <c r="A533">
        <v>10</v>
      </c>
      <c r="B533">
        <v>999.9</v>
      </c>
      <c r="C533">
        <v>1000</v>
      </c>
      <c r="D533" t="s">
        <v>5959</v>
      </c>
    </row>
    <row r="534" spans="1:4" x14ac:dyDescent="0.2">
      <c r="A534">
        <v>11</v>
      </c>
      <c r="B534">
        <v>1000.3</v>
      </c>
      <c r="C534">
        <v>1000</v>
      </c>
      <c r="D534" t="s">
        <v>5959</v>
      </c>
    </row>
    <row r="535" spans="1:4" x14ac:dyDescent="0.2">
      <c r="A535">
        <v>12</v>
      </c>
      <c r="B535">
        <v>1000.1</v>
      </c>
      <c r="C535">
        <v>1000</v>
      </c>
      <c r="D535" t="s">
        <v>5959</v>
      </c>
    </row>
    <row r="536" spans="1:4" x14ac:dyDescent="0.2">
      <c r="A536">
        <v>7</v>
      </c>
      <c r="B536">
        <v>1499.6</v>
      </c>
      <c r="C536">
        <v>1500</v>
      </c>
      <c r="D536" t="s">
        <v>5959</v>
      </c>
    </row>
    <row r="537" spans="1:4" x14ac:dyDescent="0.2">
      <c r="A537">
        <v>8</v>
      </c>
      <c r="B537">
        <v>1499.8</v>
      </c>
      <c r="C537">
        <v>1500</v>
      </c>
      <c r="D537" t="s">
        <v>5959</v>
      </c>
    </row>
    <row r="538" spans="1:4" x14ac:dyDescent="0.2">
      <c r="A538">
        <v>9</v>
      </c>
      <c r="B538">
        <v>1499.8</v>
      </c>
      <c r="C538">
        <v>1500</v>
      </c>
      <c r="D538" t="s">
        <v>5959</v>
      </c>
    </row>
    <row r="539" spans="1:4" x14ac:dyDescent="0.2">
      <c r="A539">
        <v>10</v>
      </c>
      <c r="B539">
        <v>1499.9</v>
      </c>
      <c r="C539">
        <v>1500</v>
      </c>
      <c r="D539" t="s">
        <v>5959</v>
      </c>
    </row>
    <row r="540" spans="1:4" x14ac:dyDescent="0.2">
      <c r="A540">
        <v>11</v>
      </c>
      <c r="B540">
        <v>1500.3</v>
      </c>
      <c r="C540">
        <v>1500</v>
      </c>
      <c r="D540" t="s">
        <v>5959</v>
      </c>
    </row>
    <row r="541" spans="1:4" x14ac:dyDescent="0.2">
      <c r="A541">
        <v>12</v>
      </c>
      <c r="B541">
        <v>1500</v>
      </c>
      <c r="C541">
        <v>1500</v>
      </c>
      <c r="D541" t="s">
        <v>5959</v>
      </c>
    </row>
    <row r="542" spans="1:4" x14ac:dyDescent="0.2">
      <c r="A542">
        <v>7</v>
      </c>
      <c r="B542">
        <v>1999.5</v>
      </c>
      <c r="C542">
        <v>2000</v>
      </c>
      <c r="D542" t="s">
        <v>5959</v>
      </c>
    </row>
    <row r="543" spans="1:4" x14ac:dyDescent="0.2">
      <c r="A543">
        <v>8</v>
      </c>
      <c r="B543">
        <v>1999.7</v>
      </c>
      <c r="C543">
        <v>2000</v>
      </c>
      <c r="D543" t="s">
        <v>5959</v>
      </c>
    </row>
    <row r="544" spans="1:4" x14ac:dyDescent="0.2">
      <c r="A544">
        <v>9</v>
      </c>
      <c r="B544">
        <v>1999.6</v>
      </c>
      <c r="C544">
        <v>2000</v>
      </c>
      <c r="D544" t="s">
        <v>5959</v>
      </c>
    </row>
    <row r="545" spans="1:4" x14ac:dyDescent="0.2">
      <c r="A545">
        <v>10</v>
      </c>
      <c r="B545">
        <v>1999.8</v>
      </c>
      <c r="C545">
        <v>2000</v>
      </c>
      <c r="D545" t="s">
        <v>5959</v>
      </c>
    </row>
    <row r="546" spans="1:4" x14ac:dyDescent="0.2">
      <c r="A546">
        <v>11</v>
      </c>
      <c r="B546">
        <v>2000.4</v>
      </c>
      <c r="C546">
        <v>2000</v>
      </c>
      <c r="D546" t="s">
        <v>5959</v>
      </c>
    </row>
    <row r="547" spans="1:4" x14ac:dyDescent="0.2">
      <c r="A547">
        <v>12</v>
      </c>
      <c r="B547">
        <v>2000</v>
      </c>
      <c r="C547">
        <v>2000</v>
      </c>
      <c r="D547" t="s">
        <v>5959</v>
      </c>
    </row>
    <row r="548" spans="1:4" x14ac:dyDescent="0.2">
      <c r="A548">
        <v>7</v>
      </c>
      <c r="B548">
        <v>2289.5</v>
      </c>
      <c r="C548">
        <v>2290</v>
      </c>
      <c r="D548" t="s">
        <v>5959</v>
      </c>
    </row>
    <row r="549" spans="1:4" x14ac:dyDescent="0.2">
      <c r="A549">
        <v>8</v>
      </c>
      <c r="B549">
        <v>2289.8000000000002</v>
      </c>
      <c r="C549">
        <v>2290</v>
      </c>
      <c r="D549" t="s">
        <v>5959</v>
      </c>
    </row>
    <row r="550" spans="1:4" x14ac:dyDescent="0.2">
      <c r="A550">
        <v>9</v>
      </c>
      <c r="B550">
        <v>2289.6999999999998</v>
      </c>
      <c r="C550">
        <v>2290</v>
      </c>
      <c r="D550" t="s">
        <v>5959</v>
      </c>
    </row>
    <row r="551" spans="1:4" x14ac:dyDescent="0.2">
      <c r="A551">
        <v>10</v>
      </c>
      <c r="B551">
        <v>2289.9</v>
      </c>
      <c r="C551">
        <v>2290</v>
      </c>
      <c r="D551" t="s">
        <v>5959</v>
      </c>
    </row>
    <row r="552" spans="1:4" x14ac:dyDescent="0.2">
      <c r="A552">
        <v>11</v>
      </c>
      <c r="B552">
        <v>2290.5</v>
      </c>
      <c r="C552">
        <v>2290</v>
      </c>
      <c r="D552" t="s">
        <v>5959</v>
      </c>
    </row>
    <row r="553" spans="1:4" x14ac:dyDescent="0.2">
      <c r="A553">
        <v>12</v>
      </c>
      <c r="B553">
        <v>2290.1</v>
      </c>
      <c r="C553">
        <v>2290</v>
      </c>
      <c r="D553" t="s">
        <v>5959</v>
      </c>
    </row>
    <row r="554" spans="1:4" x14ac:dyDescent="0.2">
      <c r="A554">
        <v>13</v>
      </c>
      <c r="B554">
        <v>10</v>
      </c>
      <c r="C554">
        <v>10</v>
      </c>
      <c r="D554" t="s">
        <v>5959</v>
      </c>
    </row>
    <row r="555" spans="1:4" x14ac:dyDescent="0.2">
      <c r="A555">
        <v>14</v>
      </c>
      <c r="B555">
        <v>10</v>
      </c>
      <c r="C555">
        <v>10</v>
      </c>
      <c r="D555" t="s">
        <v>5959</v>
      </c>
    </row>
    <row r="556" spans="1:4" x14ac:dyDescent="0.2">
      <c r="A556">
        <v>15</v>
      </c>
      <c r="B556">
        <v>10</v>
      </c>
      <c r="C556">
        <v>10</v>
      </c>
      <c r="D556" t="s">
        <v>5959</v>
      </c>
    </row>
    <row r="557" spans="1:4" x14ac:dyDescent="0.2">
      <c r="A557">
        <v>16</v>
      </c>
      <c r="B557">
        <v>10</v>
      </c>
      <c r="C557">
        <v>10</v>
      </c>
      <c r="D557" t="s">
        <v>5959</v>
      </c>
    </row>
    <row r="558" spans="1:4" x14ac:dyDescent="0.2">
      <c r="A558">
        <v>17</v>
      </c>
      <c r="B558">
        <v>10.1</v>
      </c>
      <c r="C558">
        <v>10</v>
      </c>
      <c r="D558" t="s">
        <v>5959</v>
      </c>
    </row>
    <row r="559" spans="1:4" x14ac:dyDescent="0.2">
      <c r="A559">
        <v>18</v>
      </c>
      <c r="B559">
        <v>10</v>
      </c>
      <c r="C559">
        <v>10</v>
      </c>
      <c r="D559" t="s">
        <v>5959</v>
      </c>
    </row>
    <row r="560" spans="1:4" x14ac:dyDescent="0.2">
      <c r="A560">
        <v>13</v>
      </c>
      <c r="B560">
        <v>499.8</v>
      </c>
      <c r="C560">
        <v>500</v>
      </c>
      <c r="D560" t="s">
        <v>5959</v>
      </c>
    </row>
    <row r="561" spans="1:4" x14ac:dyDescent="0.2">
      <c r="A561">
        <v>14</v>
      </c>
      <c r="B561">
        <v>500.2</v>
      </c>
      <c r="C561">
        <v>500</v>
      </c>
      <c r="D561" t="s">
        <v>5959</v>
      </c>
    </row>
    <row r="562" spans="1:4" x14ac:dyDescent="0.2">
      <c r="A562">
        <v>15</v>
      </c>
      <c r="B562">
        <v>500.1</v>
      </c>
      <c r="C562">
        <v>500</v>
      </c>
      <c r="D562" t="s">
        <v>5959</v>
      </c>
    </row>
    <row r="563" spans="1:4" x14ac:dyDescent="0.2">
      <c r="A563">
        <v>16</v>
      </c>
      <c r="B563">
        <v>500</v>
      </c>
      <c r="C563">
        <v>500</v>
      </c>
      <c r="D563" t="s">
        <v>5959</v>
      </c>
    </row>
    <row r="564" spans="1:4" x14ac:dyDescent="0.2">
      <c r="A564">
        <v>17</v>
      </c>
      <c r="B564">
        <v>500.1</v>
      </c>
      <c r="C564">
        <v>500</v>
      </c>
      <c r="D564" t="s">
        <v>5959</v>
      </c>
    </row>
    <row r="565" spans="1:4" x14ac:dyDescent="0.2">
      <c r="A565">
        <v>18</v>
      </c>
      <c r="B565">
        <v>500.1</v>
      </c>
      <c r="C565">
        <v>500</v>
      </c>
      <c r="D565" t="s">
        <v>5959</v>
      </c>
    </row>
    <row r="566" spans="1:4" x14ac:dyDescent="0.2">
      <c r="A566">
        <v>13</v>
      </c>
      <c r="B566">
        <v>999.7</v>
      </c>
      <c r="C566">
        <v>1000</v>
      </c>
      <c r="D566" t="s">
        <v>5959</v>
      </c>
    </row>
    <row r="567" spans="1:4" x14ac:dyDescent="0.2">
      <c r="A567">
        <v>14</v>
      </c>
      <c r="B567">
        <v>1000.4</v>
      </c>
      <c r="C567">
        <v>1000</v>
      </c>
      <c r="D567" t="s">
        <v>5959</v>
      </c>
    </row>
    <row r="568" spans="1:4" x14ac:dyDescent="0.2">
      <c r="A568">
        <v>15</v>
      </c>
      <c r="B568">
        <v>1000.1</v>
      </c>
      <c r="C568">
        <v>1000</v>
      </c>
      <c r="D568" t="s">
        <v>5959</v>
      </c>
    </row>
    <row r="569" spans="1:4" x14ac:dyDescent="0.2">
      <c r="A569">
        <v>16</v>
      </c>
      <c r="B569">
        <v>1000</v>
      </c>
      <c r="C569">
        <v>1000</v>
      </c>
      <c r="D569" t="s">
        <v>5959</v>
      </c>
    </row>
    <row r="570" spans="1:4" x14ac:dyDescent="0.2">
      <c r="A570">
        <v>17</v>
      </c>
      <c r="B570">
        <v>1000.1</v>
      </c>
      <c r="C570">
        <v>1000</v>
      </c>
      <c r="D570" t="s">
        <v>5959</v>
      </c>
    </row>
    <row r="571" spans="1:4" x14ac:dyDescent="0.2">
      <c r="A571">
        <v>18</v>
      </c>
      <c r="B571">
        <v>1000.1</v>
      </c>
      <c r="C571">
        <v>1000</v>
      </c>
      <c r="D571" t="s">
        <v>5959</v>
      </c>
    </row>
    <row r="572" spans="1:4" x14ac:dyDescent="0.2">
      <c r="A572">
        <v>13</v>
      </c>
      <c r="B572">
        <v>1499.5</v>
      </c>
      <c r="C572">
        <v>1500</v>
      </c>
      <c r="D572" t="s">
        <v>5959</v>
      </c>
    </row>
    <row r="573" spans="1:4" x14ac:dyDescent="0.2">
      <c r="A573">
        <v>14</v>
      </c>
      <c r="B573">
        <v>1500.5</v>
      </c>
      <c r="C573">
        <v>1500</v>
      </c>
      <c r="D573" t="s">
        <v>5959</v>
      </c>
    </row>
    <row r="574" spans="1:4" x14ac:dyDescent="0.2">
      <c r="A574">
        <v>15</v>
      </c>
      <c r="B574">
        <v>1500.1</v>
      </c>
      <c r="C574">
        <v>1500</v>
      </c>
      <c r="D574" t="s">
        <v>5959</v>
      </c>
    </row>
    <row r="575" spans="1:4" x14ac:dyDescent="0.2">
      <c r="A575">
        <v>16</v>
      </c>
      <c r="B575">
        <v>1499.8</v>
      </c>
      <c r="C575">
        <v>1500</v>
      </c>
      <c r="D575" t="s">
        <v>5959</v>
      </c>
    </row>
    <row r="576" spans="1:4" x14ac:dyDescent="0.2">
      <c r="A576">
        <v>17</v>
      </c>
      <c r="B576">
        <v>1500</v>
      </c>
      <c r="C576">
        <v>1500</v>
      </c>
      <c r="D576" t="s">
        <v>5959</v>
      </c>
    </row>
    <row r="577" spans="1:4" x14ac:dyDescent="0.2">
      <c r="A577">
        <v>18</v>
      </c>
      <c r="B577">
        <v>1500</v>
      </c>
      <c r="C577">
        <v>1500</v>
      </c>
      <c r="D577" t="s">
        <v>5959</v>
      </c>
    </row>
    <row r="578" spans="1:4" x14ac:dyDescent="0.2">
      <c r="A578">
        <v>13</v>
      </c>
      <c r="B578">
        <v>1999.5</v>
      </c>
      <c r="C578">
        <v>2000</v>
      </c>
      <c r="D578" t="s">
        <v>5959</v>
      </c>
    </row>
    <row r="579" spans="1:4" x14ac:dyDescent="0.2">
      <c r="A579">
        <v>14</v>
      </c>
      <c r="B579">
        <v>2000.5</v>
      </c>
      <c r="C579">
        <v>2000</v>
      </c>
      <c r="D579" t="s">
        <v>5959</v>
      </c>
    </row>
    <row r="580" spans="1:4" x14ac:dyDescent="0.2">
      <c r="A580">
        <v>15</v>
      </c>
      <c r="B580">
        <v>2000.2</v>
      </c>
      <c r="C580">
        <v>2000</v>
      </c>
      <c r="D580" t="s">
        <v>5959</v>
      </c>
    </row>
    <row r="581" spans="1:4" x14ac:dyDescent="0.2">
      <c r="A581">
        <v>16</v>
      </c>
      <c r="B581">
        <v>1999.7</v>
      </c>
      <c r="C581">
        <v>2000</v>
      </c>
      <c r="D581" t="s">
        <v>5959</v>
      </c>
    </row>
    <row r="582" spans="1:4" x14ac:dyDescent="0.2">
      <c r="A582">
        <v>17</v>
      </c>
      <c r="B582">
        <v>1999.9</v>
      </c>
      <c r="C582">
        <v>2000</v>
      </c>
      <c r="D582" t="s">
        <v>5959</v>
      </c>
    </row>
    <row r="583" spans="1:4" x14ac:dyDescent="0.2">
      <c r="A583">
        <v>18</v>
      </c>
      <c r="B583">
        <v>2000</v>
      </c>
      <c r="C583">
        <v>2000</v>
      </c>
      <c r="D583" t="s">
        <v>5959</v>
      </c>
    </row>
    <row r="584" spans="1:4" x14ac:dyDescent="0.2">
      <c r="A584">
        <v>13</v>
      </c>
      <c r="B584">
        <v>2289.6</v>
      </c>
      <c r="C584">
        <v>2290</v>
      </c>
      <c r="D584" t="s">
        <v>5959</v>
      </c>
    </row>
    <row r="585" spans="1:4" x14ac:dyDescent="0.2">
      <c r="A585">
        <v>14</v>
      </c>
      <c r="B585">
        <v>2290.5</v>
      </c>
      <c r="C585">
        <v>2290</v>
      </c>
      <c r="D585" t="s">
        <v>5959</v>
      </c>
    </row>
    <row r="586" spans="1:4" x14ac:dyDescent="0.2">
      <c r="A586">
        <v>15</v>
      </c>
      <c r="B586">
        <v>2290.1999999999998</v>
      </c>
      <c r="C586">
        <v>2290</v>
      </c>
      <c r="D586" t="s">
        <v>5959</v>
      </c>
    </row>
    <row r="587" spans="1:4" x14ac:dyDescent="0.2">
      <c r="A587">
        <v>16</v>
      </c>
      <c r="B587">
        <v>2289.6</v>
      </c>
      <c r="C587">
        <v>2290</v>
      </c>
      <c r="D587" t="s">
        <v>5959</v>
      </c>
    </row>
    <row r="588" spans="1:4" x14ac:dyDescent="0.2">
      <c r="A588">
        <v>17</v>
      </c>
      <c r="B588">
        <v>2289.9</v>
      </c>
      <c r="C588">
        <v>2290</v>
      </c>
      <c r="D588" t="s">
        <v>5959</v>
      </c>
    </row>
    <row r="589" spans="1:4" x14ac:dyDescent="0.2">
      <c r="A589">
        <v>18</v>
      </c>
      <c r="B589">
        <v>2289.9</v>
      </c>
      <c r="C589">
        <v>2290</v>
      </c>
      <c r="D589" t="s">
        <v>5959</v>
      </c>
    </row>
    <row r="590" spans="1:4" x14ac:dyDescent="0.2">
      <c r="A590">
        <v>19</v>
      </c>
      <c r="B590">
        <v>10</v>
      </c>
      <c r="C590">
        <v>10</v>
      </c>
      <c r="D590" t="s">
        <v>5959</v>
      </c>
    </row>
    <row r="591" spans="1:4" x14ac:dyDescent="0.2">
      <c r="A591">
        <v>20</v>
      </c>
      <c r="B591">
        <v>9.9</v>
      </c>
      <c r="C591">
        <v>10</v>
      </c>
      <c r="D591" t="s">
        <v>5959</v>
      </c>
    </row>
    <row r="592" spans="1:4" x14ac:dyDescent="0.2">
      <c r="A592">
        <v>21</v>
      </c>
      <c r="B592">
        <v>10</v>
      </c>
      <c r="C592">
        <v>10</v>
      </c>
      <c r="D592" t="s">
        <v>5959</v>
      </c>
    </row>
    <row r="593" spans="1:4" x14ac:dyDescent="0.2">
      <c r="A593">
        <v>22</v>
      </c>
      <c r="B593">
        <v>9.9</v>
      </c>
      <c r="C593">
        <v>10</v>
      </c>
      <c r="D593" t="s">
        <v>5959</v>
      </c>
    </row>
    <row r="594" spans="1:4" x14ac:dyDescent="0.2">
      <c r="A594">
        <v>23</v>
      </c>
      <c r="B594">
        <v>10</v>
      </c>
      <c r="C594">
        <v>10</v>
      </c>
      <c r="D594" t="s">
        <v>5959</v>
      </c>
    </row>
    <row r="595" spans="1:4" x14ac:dyDescent="0.2">
      <c r="A595">
        <v>24</v>
      </c>
      <c r="B595">
        <v>9.9</v>
      </c>
      <c r="C595">
        <v>10</v>
      </c>
      <c r="D595" t="s">
        <v>5959</v>
      </c>
    </row>
    <row r="596" spans="1:4" x14ac:dyDescent="0.2">
      <c r="A596">
        <v>19</v>
      </c>
      <c r="B596">
        <v>500</v>
      </c>
      <c r="C596">
        <v>500</v>
      </c>
      <c r="D596" t="s">
        <v>5959</v>
      </c>
    </row>
    <row r="597" spans="1:4" x14ac:dyDescent="0.2">
      <c r="A597">
        <v>20</v>
      </c>
      <c r="B597">
        <v>500.1</v>
      </c>
      <c r="C597">
        <v>500</v>
      </c>
      <c r="D597" t="s">
        <v>5959</v>
      </c>
    </row>
    <row r="598" spans="1:4" x14ac:dyDescent="0.2">
      <c r="A598">
        <v>21</v>
      </c>
      <c r="B598">
        <v>500</v>
      </c>
      <c r="C598">
        <v>500</v>
      </c>
      <c r="D598" t="s">
        <v>5959</v>
      </c>
    </row>
    <row r="599" spans="1:4" x14ac:dyDescent="0.2">
      <c r="A599">
        <v>22</v>
      </c>
      <c r="B599">
        <v>500.1</v>
      </c>
      <c r="C599">
        <v>500</v>
      </c>
      <c r="D599" t="s">
        <v>5959</v>
      </c>
    </row>
    <row r="600" spans="1:4" x14ac:dyDescent="0.2">
      <c r="A600">
        <v>23</v>
      </c>
      <c r="B600">
        <v>500.1</v>
      </c>
      <c r="C600">
        <v>500</v>
      </c>
      <c r="D600" t="s">
        <v>5959</v>
      </c>
    </row>
    <row r="601" spans="1:4" x14ac:dyDescent="0.2">
      <c r="A601">
        <v>24</v>
      </c>
      <c r="B601">
        <v>500</v>
      </c>
      <c r="C601">
        <v>500</v>
      </c>
      <c r="D601" t="s">
        <v>5959</v>
      </c>
    </row>
    <row r="602" spans="1:4" x14ac:dyDescent="0.2">
      <c r="A602">
        <v>19</v>
      </c>
      <c r="B602">
        <v>1000</v>
      </c>
      <c r="C602">
        <v>1000</v>
      </c>
      <c r="D602" t="s">
        <v>5959</v>
      </c>
    </row>
    <row r="603" spans="1:4" x14ac:dyDescent="0.2">
      <c r="A603">
        <v>20</v>
      </c>
      <c r="B603">
        <v>1000.1</v>
      </c>
      <c r="C603">
        <v>1000</v>
      </c>
      <c r="D603" t="s">
        <v>5959</v>
      </c>
    </row>
    <row r="604" spans="1:4" x14ac:dyDescent="0.2">
      <c r="A604">
        <v>21</v>
      </c>
      <c r="B604">
        <v>1000</v>
      </c>
      <c r="C604">
        <v>1000</v>
      </c>
      <c r="D604" t="s">
        <v>5959</v>
      </c>
    </row>
    <row r="605" spans="1:4" x14ac:dyDescent="0.2">
      <c r="A605">
        <v>22</v>
      </c>
      <c r="B605">
        <v>1000.1</v>
      </c>
      <c r="C605">
        <v>1000</v>
      </c>
      <c r="D605" t="s">
        <v>5959</v>
      </c>
    </row>
    <row r="606" spans="1:4" x14ac:dyDescent="0.2">
      <c r="A606">
        <v>23</v>
      </c>
      <c r="B606">
        <v>1000.1</v>
      </c>
      <c r="C606">
        <v>1000</v>
      </c>
      <c r="D606" t="s">
        <v>5959</v>
      </c>
    </row>
    <row r="607" spans="1:4" x14ac:dyDescent="0.2">
      <c r="A607">
        <v>24</v>
      </c>
      <c r="B607">
        <v>1000</v>
      </c>
      <c r="C607">
        <v>1000</v>
      </c>
      <c r="D607" t="s">
        <v>5959</v>
      </c>
    </row>
    <row r="608" spans="1:4" x14ac:dyDescent="0.2">
      <c r="A608">
        <v>19</v>
      </c>
      <c r="B608">
        <v>1499.9</v>
      </c>
      <c r="C608">
        <v>1500</v>
      </c>
      <c r="D608" t="s">
        <v>5959</v>
      </c>
    </row>
    <row r="609" spans="1:4" x14ac:dyDescent="0.2">
      <c r="A609">
        <v>20</v>
      </c>
      <c r="B609">
        <v>1500.1</v>
      </c>
      <c r="C609">
        <v>1500</v>
      </c>
      <c r="D609" t="s">
        <v>5959</v>
      </c>
    </row>
    <row r="610" spans="1:4" x14ac:dyDescent="0.2">
      <c r="A610">
        <v>21</v>
      </c>
      <c r="B610">
        <v>1499.9</v>
      </c>
      <c r="C610">
        <v>1500</v>
      </c>
      <c r="D610" t="s">
        <v>5959</v>
      </c>
    </row>
    <row r="611" spans="1:4" x14ac:dyDescent="0.2">
      <c r="A611">
        <v>22</v>
      </c>
      <c r="B611">
        <v>1500</v>
      </c>
      <c r="C611">
        <v>1500</v>
      </c>
      <c r="D611" t="s">
        <v>5959</v>
      </c>
    </row>
    <row r="612" spans="1:4" x14ac:dyDescent="0.2">
      <c r="A612">
        <v>23</v>
      </c>
      <c r="B612">
        <v>1500</v>
      </c>
      <c r="C612">
        <v>1500</v>
      </c>
      <c r="D612" t="s">
        <v>5959</v>
      </c>
    </row>
    <row r="613" spans="1:4" x14ac:dyDescent="0.2">
      <c r="A613">
        <v>24</v>
      </c>
      <c r="B613">
        <v>1500</v>
      </c>
      <c r="C613">
        <v>1500</v>
      </c>
      <c r="D613" t="s">
        <v>5959</v>
      </c>
    </row>
    <row r="614" spans="1:4" x14ac:dyDescent="0.2">
      <c r="A614">
        <v>19</v>
      </c>
      <c r="B614">
        <v>1999.8</v>
      </c>
      <c r="C614">
        <v>2000</v>
      </c>
      <c r="D614" t="s">
        <v>5959</v>
      </c>
    </row>
    <row r="615" spans="1:4" x14ac:dyDescent="0.2">
      <c r="A615">
        <v>20</v>
      </c>
      <c r="B615">
        <v>2000</v>
      </c>
      <c r="C615">
        <v>2000</v>
      </c>
      <c r="D615" t="s">
        <v>5959</v>
      </c>
    </row>
    <row r="616" spans="1:4" x14ac:dyDescent="0.2">
      <c r="A616">
        <v>21</v>
      </c>
      <c r="B616">
        <v>1999.8</v>
      </c>
      <c r="C616">
        <v>2000</v>
      </c>
      <c r="D616" t="s">
        <v>5959</v>
      </c>
    </row>
    <row r="617" spans="1:4" x14ac:dyDescent="0.2">
      <c r="A617">
        <v>22</v>
      </c>
      <c r="B617">
        <v>2000</v>
      </c>
      <c r="C617">
        <v>2000</v>
      </c>
      <c r="D617" t="s">
        <v>5959</v>
      </c>
    </row>
    <row r="618" spans="1:4" x14ac:dyDescent="0.2">
      <c r="A618">
        <v>23</v>
      </c>
      <c r="B618">
        <v>1999.9</v>
      </c>
      <c r="C618">
        <v>2000</v>
      </c>
      <c r="D618" t="s">
        <v>5959</v>
      </c>
    </row>
    <row r="619" spans="1:4" x14ac:dyDescent="0.2">
      <c r="A619">
        <v>24</v>
      </c>
      <c r="B619">
        <v>2000</v>
      </c>
      <c r="C619">
        <v>2000</v>
      </c>
      <c r="D619" t="s">
        <v>5959</v>
      </c>
    </row>
    <row r="620" spans="1:4" x14ac:dyDescent="0.2">
      <c r="A620">
        <v>19</v>
      </c>
      <c r="B620">
        <v>2289.6999999999998</v>
      </c>
      <c r="C620">
        <v>2290</v>
      </c>
      <c r="D620" t="s">
        <v>5959</v>
      </c>
    </row>
    <row r="621" spans="1:4" x14ac:dyDescent="0.2">
      <c r="A621">
        <v>20</v>
      </c>
      <c r="B621">
        <v>2289.9</v>
      </c>
      <c r="C621">
        <v>2290</v>
      </c>
      <c r="D621" t="s">
        <v>5959</v>
      </c>
    </row>
    <row r="622" spans="1:4" x14ac:dyDescent="0.2">
      <c r="A622">
        <v>21</v>
      </c>
      <c r="B622">
        <v>2289.8000000000002</v>
      </c>
      <c r="C622">
        <v>2290</v>
      </c>
      <c r="D622" t="s">
        <v>5959</v>
      </c>
    </row>
    <row r="623" spans="1:4" x14ac:dyDescent="0.2">
      <c r="A623">
        <v>22</v>
      </c>
      <c r="B623">
        <v>2289.9</v>
      </c>
      <c r="C623">
        <v>2290</v>
      </c>
      <c r="D623" t="s">
        <v>5959</v>
      </c>
    </row>
    <row r="624" spans="1:4" x14ac:dyDescent="0.2">
      <c r="A624">
        <v>23</v>
      </c>
      <c r="B624">
        <v>2289.9</v>
      </c>
      <c r="C624">
        <v>2290</v>
      </c>
      <c r="D624" t="s">
        <v>5959</v>
      </c>
    </row>
    <row r="625" spans="1:4" x14ac:dyDescent="0.2">
      <c r="A625">
        <v>24</v>
      </c>
      <c r="B625">
        <v>2290</v>
      </c>
      <c r="C625">
        <v>2290</v>
      </c>
      <c r="D625" t="s">
        <v>5959</v>
      </c>
    </row>
    <row r="626" spans="1:4" x14ac:dyDescent="0.2">
      <c r="A626">
        <v>25</v>
      </c>
      <c r="B626">
        <v>10</v>
      </c>
      <c r="C626">
        <v>10</v>
      </c>
      <c r="D626" t="s">
        <v>5959</v>
      </c>
    </row>
    <row r="627" spans="1:4" x14ac:dyDescent="0.2">
      <c r="A627">
        <v>26</v>
      </c>
      <c r="B627">
        <v>10</v>
      </c>
      <c r="C627">
        <v>10</v>
      </c>
      <c r="D627" t="s">
        <v>5959</v>
      </c>
    </row>
    <row r="628" spans="1:4" x14ac:dyDescent="0.2">
      <c r="A628">
        <v>27</v>
      </c>
      <c r="B628">
        <v>10</v>
      </c>
      <c r="C628">
        <v>10</v>
      </c>
      <c r="D628" t="s">
        <v>5959</v>
      </c>
    </row>
    <row r="629" spans="1:4" x14ac:dyDescent="0.2">
      <c r="A629">
        <v>28</v>
      </c>
      <c r="B629">
        <v>10</v>
      </c>
      <c r="C629">
        <v>10</v>
      </c>
      <c r="D629" t="s">
        <v>5959</v>
      </c>
    </row>
    <row r="630" spans="1:4" x14ac:dyDescent="0.2">
      <c r="A630">
        <v>29</v>
      </c>
      <c r="B630">
        <v>10</v>
      </c>
      <c r="C630">
        <v>10</v>
      </c>
      <c r="D630" t="s">
        <v>5959</v>
      </c>
    </row>
    <row r="631" spans="1:4" x14ac:dyDescent="0.2">
      <c r="A631">
        <v>30</v>
      </c>
      <c r="B631">
        <v>9.8000000000000007</v>
      </c>
      <c r="C631">
        <v>10</v>
      </c>
      <c r="D631" t="s">
        <v>5959</v>
      </c>
    </row>
    <row r="632" spans="1:4" x14ac:dyDescent="0.2">
      <c r="A632">
        <v>25</v>
      </c>
      <c r="B632">
        <v>500.1</v>
      </c>
      <c r="C632">
        <v>500</v>
      </c>
      <c r="D632" t="s">
        <v>5959</v>
      </c>
    </row>
    <row r="633" spans="1:4" x14ac:dyDescent="0.2">
      <c r="A633">
        <v>26</v>
      </c>
      <c r="B633">
        <v>500</v>
      </c>
      <c r="C633">
        <v>500</v>
      </c>
      <c r="D633" t="s">
        <v>5959</v>
      </c>
    </row>
    <row r="634" spans="1:4" x14ac:dyDescent="0.2">
      <c r="A634">
        <v>27</v>
      </c>
      <c r="B634">
        <v>500</v>
      </c>
      <c r="C634">
        <v>500</v>
      </c>
      <c r="D634" t="s">
        <v>5959</v>
      </c>
    </row>
    <row r="635" spans="1:4" x14ac:dyDescent="0.2">
      <c r="A635">
        <v>28</v>
      </c>
      <c r="B635">
        <v>500</v>
      </c>
      <c r="C635">
        <v>500</v>
      </c>
      <c r="D635" t="s">
        <v>5959</v>
      </c>
    </row>
    <row r="636" spans="1:4" x14ac:dyDescent="0.2">
      <c r="A636">
        <v>29</v>
      </c>
      <c r="B636">
        <v>499.9</v>
      </c>
      <c r="C636">
        <v>500</v>
      </c>
      <c r="D636" t="s">
        <v>5959</v>
      </c>
    </row>
    <row r="637" spans="1:4" x14ac:dyDescent="0.2">
      <c r="A637">
        <v>30</v>
      </c>
      <c r="B637">
        <v>499.9</v>
      </c>
      <c r="C637">
        <v>500</v>
      </c>
      <c r="D637" t="s">
        <v>5959</v>
      </c>
    </row>
    <row r="638" spans="1:4" x14ac:dyDescent="0.2">
      <c r="A638">
        <v>25</v>
      </c>
      <c r="B638">
        <v>1000.1</v>
      </c>
      <c r="C638">
        <v>1000</v>
      </c>
      <c r="D638" t="s">
        <v>5959</v>
      </c>
    </row>
    <row r="639" spans="1:4" x14ac:dyDescent="0.2">
      <c r="A639">
        <v>26</v>
      </c>
      <c r="B639">
        <v>1000</v>
      </c>
      <c r="C639">
        <v>1000</v>
      </c>
      <c r="D639" t="s">
        <v>5959</v>
      </c>
    </row>
    <row r="640" spans="1:4" x14ac:dyDescent="0.2">
      <c r="A640">
        <v>27</v>
      </c>
      <c r="B640">
        <v>999.9</v>
      </c>
      <c r="C640">
        <v>1000</v>
      </c>
      <c r="D640" t="s">
        <v>5959</v>
      </c>
    </row>
    <row r="641" spans="1:4" x14ac:dyDescent="0.2">
      <c r="A641">
        <v>28</v>
      </c>
      <c r="B641">
        <v>1000</v>
      </c>
      <c r="C641">
        <v>1000</v>
      </c>
      <c r="D641" t="s">
        <v>5959</v>
      </c>
    </row>
    <row r="642" spans="1:4" x14ac:dyDescent="0.2">
      <c r="A642">
        <v>29</v>
      </c>
      <c r="B642">
        <v>999.9</v>
      </c>
      <c r="C642">
        <v>1000</v>
      </c>
      <c r="D642" t="s">
        <v>5959</v>
      </c>
    </row>
    <row r="643" spans="1:4" x14ac:dyDescent="0.2">
      <c r="A643">
        <v>30</v>
      </c>
      <c r="B643">
        <v>1000</v>
      </c>
      <c r="C643">
        <v>1000</v>
      </c>
      <c r="D643" t="s">
        <v>5959</v>
      </c>
    </row>
    <row r="644" spans="1:4" x14ac:dyDescent="0.2">
      <c r="A644">
        <v>25</v>
      </c>
      <c r="B644">
        <v>1500</v>
      </c>
      <c r="C644">
        <v>1500</v>
      </c>
      <c r="D644" t="s">
        <v>5959</v>
      </c>
    </row>
    <row r="645" spans="1:4" x14ac:dyDescent="0.2">
      <c r="A645">
        <v>26</v>
      </c>
      <c r="B645">
        <v>1499.9</v>
      </c>
      <c r="C645">
        <v>1500</v>
      </c>
      <c r="D645" t="s">
        <v>5959</v>
      </c>
    </row>
    <row r="646" spans="1:4" x14ac:dyDescent="0.2">
      <c r="A646">
        <v>27</v>
      </c>
      <c r="B646">
        <v>1499.7</v>
      </c>
      <c r="C646">
        <v>1500</v>
      </c>
      <c r="D646" t="s">
        <v>5959</v>
      </c>
    </row>
    <row r="647" spans="1:4" x14ac:dyDescent="0.2">
      <c r="A647">
        <v>28</v>
      </c>
      <c r="B647">
        <v>1499.9</v>
      </c>
      <c r="C647">
        <v>1500</v>
      </c>
      <c r="D647" t="s">
        <v>5959</v>
      </c>
    </row>
    <row r="648" spans="1:4" x14ac:dyDescent="0.2">
      <c r="A648">
        <v>29</v>
      </c>
      <c r="B648">
        <v>1499.9</v>
      </c>
      <c r="C648">
        <v>1500</v>
      </c>
      <c r="D648" t="s">
        <v>5959</v>
      </c>
    </row>
    <row r="649" spans="1:4" x14ac:dyDescent="0.2">
      <c r="A649">
        <v>30</v>
      </c>
      <c r="B649">
        <v>1500</v>
      </c>
      <c r="C649">
        <v>1500</v>
      </c>
      <c r="D649" t="s">
        <v>5959</v>
      </c>
    </row>
    <row r="650" spans="1:4" x14ac:dyDescent="0.2">
      <c r="A650">
        <v>25</v>
      </c>
      <c r="B650">
        <v>1999.9</v>
      </c>
      <c r="C650">
        <v>2000</v>
      </c>
      <c r="D650" t="s">
        <v>5959</v>
      </c>
    </row>
    <row r="651" spans="1:4" x14ac:dyDescent="0.2">
      <c r="A651">
        <v>26</v>
      </c>
      <c r="B651">
        <v>1999.8</v>
      </c>
      <c r="C651">
        <v>2000</v>
      </c>
      <c r="D651" t="s">
        <v>5959</v>
      </c>
    </row>
    <row r="652" spans="1:4" x14ac:dyDescent="0.2">
      <c r="A652">
        <v>27</v>
      </c>
      <c r="B652">
        <v>1999.6</v>
      </c>
      <c r="C652">
        <v>2000</v>
      </c>
      <c r="D652" t="s">
        <v>5959</v>
      </c>
    </row>
    <row r="653" spans="1:4" x14ac:dyDescent="0.2">
      <c r="A653">
        <v>28</v>
      </c>
      <c r="B653">
        <v>1999.8</v>
      </c>
      <c r="C653">
        <v>2000</v>
      </c>
      <c r="D653" t="s">
        <v>5959</v>
      </c>
    </row>
    <row r="654" spans="1:4" x14ac:dyDescent="0.2">
      <c r="A654">
        <v>29</v>
      </c>
      <c r="B654">
        <v>1999.9</v>
      </c>
      <c r="C654">
        <v>2000</v>
      </c>
      <c r="D654" t="s">
        <v>5959</v>
      </c>
    </row>
    <row r="655" spans="1:4" x14ac:dyDescent="0.2">
      <c r="A655">
        <v>30</v>
      </c>
      <c r="B655">
        <v>2000.1</v>
      </c>
      <c r="C655">
        <v>2000</v>
      </c>
      <c r="D655" t="s">
        <v>5959</v>
      </c>
    </row>
    <row r="656" spans="1:4" x14ac:dyDescent="0.2">
      <c r="A656">
        <v>25</v>
      </c>
      <c r="B656">
        <v>2289.8000000000002</v>
      </c>
      <c r="C656">
        <v>2290</v>
      </c>
      <c r="D656" t="s">
        <v>5959</v>
      </c>
    </row>
    <row r="657" spans="1:4" x14ac:dyDescent="0.2">
      <c r="A657">
        <v>26</v>
      </c>
      <c r="B657">
        <v>2289.6999999999998</v>
      </c>
      <c r="C657">
        <v>2290</v>
      </c>
      <c r="D657" t="s">
        <v>5959</v>
      </c>
    </row>
    <row r="658" spans="1:4" x14ac:dyDescent="0.2">
      <c r="A658">
        <v>27</v>
      </c>
      <c r="B658">
        <v>2289.5</v>
      </c>
      <c r="C658">
        <v>2290</v>
      </c>
      <c r="D658" t="s">
        <v>5959</v>
      </c>
    </row>
    <row r="659" spans="1:4" x14ac:dyDescent="0.2">
      <c r="A659">
        <v>28</v>
      </c>
      <c r="B659">
        <v>2289.8000000000002</v>
      </c>
      <c r="C659">
        <v>2290</v>
      </c>
      <c r="D659" t="s">
        <v>5959</v>
      </c>
    </row>
    <row r="660" spans="1:4" x14ac:dyDescent="0.2">
      <c r="A660">
        <v>29</v>
      </c>
      <c r="B660">
        <v>2289.9</v>
      </c>
      <c r="C660">
        <v>2290</v>
      </c>
      <c r="D660" t="s">
        <v>5959</v>
      </c>
    </row>
    <row r="661" spans="1:4" x14ac:dyDescent="0.2">
      <c r="A661">
        <v>30</v>
      </c>
      <c r="B661">
        <v>2290.1</v>
      </c>
      <c r="C661">
        <v>2290</v>
      </c>
      <c r="D661" t="s">
        <v>5959</v>
      </c>
    </row>
    <row r="662" spans="1:4" x14ac:dyDescent="0.2">
      <c r="A662">
        <v>31</v>
      </c>
      <c r="B662">
        <v>9.8000000000000007</v>
      </c>
      <c r="C662">
        <v>10</v>
      </c>
      <c r="D662" t="s">
        <v>5959</v>
      </c>
    </row>
    <row r="663" spans="1:4" x14ac:dyDescent="0.2">
      <c r="A663">
        <v>32</v>
      </c>
      <c r="B663">
        <v>9.8000000000000007</v>
      </c>
      <c r="C663">
        <v>10</v>
      </c>
      <c r="D663" t="s">
        <v>5959</v>
      </c>
    </row>
    <row r="664" spans="1:4" x14ac:dyDescent="0.2">
      <c r="A664">
        <v>33</v>
      </c>
      <c r="B664">
        <v>10</v>
      </c>
      <c r="C664">
        <v>10</v>
      </c>
      <c r="D664" t="s">
        <v>5959</v>
      </c>
    </row>
    <row r="665" spans="1:4" x14ac:dyDescent="0.2">
      <c r="A665">
        <v>34</v>
      </c>
      <c r="B665">
        <v>9.9</v>
      </c>
      <c r="C665">
        <v>10</v>
      </c>
      <c r="D665" t="s">
        <v>5959</v>
      </c>
    </row>
    <row r="666" spans="1:4" x14ac:dyDescent="0.2">
      <c r="A666">
        <v>35</v>
      </c>
      <c r="B666">
        <v>9.9</v>
      </c>
      <c r="C666">
        <v>10</v>
      </c>
      <c r="D666" t="s">
        <v>5959</v>
      </c>
    </row>
    <row r="667" spans="1:4" x14ac:dyDescent="0.2">
      <c r="A667">
        <v>36</v>
      </c>
      <c r="B667">
        <v>9.9</v>
      </c>
      <c r="C667">
        <v>10</v>
      </c>
      <c r="D667" t="s">
        <v>5959</v>
      </c>
    </row>
    <row r="668" spans="1:4" x14ac:dyDescent="0.2">
      <c r="A668">
        <v>31</v>
      </c>
      <c r="B668">
        <v>499.8</v>
      </c>
      <c r="C668">
        <v>500</v>
      </c>
      <c r="D668" t="s">
        <v>5959</v>
      </c>
    </row>
    <row r="669" spans="1:4" x14ac:dyDescent="0.2">
      <c r="A669">
        <v>32</v>
      </c>
      <c r="B669">
        <v>499.9</v>
      </c>
      <c r="C669">
        <v>500</v>
      </c>
      <c r="D669" t="s">
        <v>5959</v>
      </c>
    </row>
    <row r="670" spans="1:4" x14ac:dyDescent="0.2">
      <c r="A670">
        <v>33</v>
      </c>
      <c r="B670">
        <v>500</v>
      </c>
      <c r="C670">
        <v>500</v>
      </c>
      <c r="D670" t="s">
        <v>5959</v>
      </c>
    </row>
    <row r="671" spans="1:4" x14ac:dyDescent="0.2">
      <c r="A671">
        <v>34</v>
      </c>
      <c r="B671">
        <v>499.9</v>
      </c>
      <c r="C671">
        <v>500</v>
      </c>
      <c r="D671" t="s">
        <v>5959</v>
      </c>
    </row>
    <row r="672" spans="1:4" x14ac:dyDescent="0.2">
      <c r="A672">
        <v>35</v>
      </c>
      <c r="B672">
        <v>500</v>
      </c>
      <c r="C672">
        <v>500</v>
      </c>
      <c r="D672" t="s">
        <v>5959</v>
      </c>
    </row>
    <row r="673" spans="1:4" x14ac:dyDescent="0.2">
      <c r="A673">
        <v>36</v>
      </c>
      <c r="B673">
        <v>500</v>
      </c>
      <c r="C673">
        <v>500</v>
      </c>
      <c r="D673" t="s">
        <v>5959</v>
      </c>
    </row>
    <row r="674" spans="1:4" x14ac:dyDescent="0.2">
      <c r="A674">
        <v>31</v>
      </c>
      <c r="B674">
        <v>999.8</v>
      </c>
      <c r="C674">
        <v>1000</v>
      </c>
      <c r="D674" t="s">
        <v>5959</v>
      </c>
    </row>
    <row r="675" spans="1:4" x14ac:dyDescent="0.2">
      <c r="A675">
        <v>32</v>
      </c>
      <c r="B675">
        <v>999.9</v>
      </c>
      <c r="C675">
        <v>1000</v>
      </c>
      <c r="D675" t="s">
        <v>5959</v>
      </c>
    </row>
    <row r="676" spans="1:4" x14ac:dyDescent="0.2">
      <c r="A676">
        <v>33</v>
      </c>
      <c r="B676">
        <v>1000.1</v>
      </c>
      <c r="C676">
        <v>1000</v>
      </c>
      <c r="D676" t="s">
        <v>5959</v>
      </c>
    </row>
    <row r="677" spans="1:4" x14ac:dyDescent="0.2">
      <c r="A677">
        <v>34</v>
      </c>
      <c r="B677">
        <v>1000</v>
      </c>
      <c r="C677">
        <v>1000</v>
      </c>
      <c r="D677" t="s">
        <v>5959</v>
      </c>
    </row>
    <row r="678" spans="1:4" x14ac:dyDescent="0.2">
      <c r="A678">
        <v>35</v>
      </c>
      <c r="B678">
        <v>1000.1</v>
      </c>
      <c r="C678">
        <v>1000</v>
      </c>
      <c r="D678" t="s">
        <v>5959</v>
      </c>
    </row>
    <row r="679" spans="1:4" x14ac:dyDescent="0.2">
      <c r="A679">
        <v>36</v>
      </c>
      <c r="B679">
        <v>1000.1</v>
      </c>
      <c r="C679">
        <v>1000</v>
      </c>
      <c r="D679" t="s">
        <v>5959</v>
      </c>
    </row>
    <row r="680" spans="1:4" x14ac:dyDescent="0.2">
      <c r="A680">
        <v>31</v>
      </c>
      <c r="B680">
        <v>1499.8</v>
      </c>
      <c r="C680">
        <v>1500</v>
      </c>
      <c r="D680" t="s">
        <v>5959</v>
      </c>
    </row>
    <row r="681" spans="1:4" x14ac:dyDescent="0.2">
      <c r="A681">
        <v>32</v>
      </c>
      <c r="B681">
        <v>1499.9</v>
      </c>
      <c r="C681">
        <v>1500</v>
      </c>
      <c r="D681" t="s">
        <v>5959</v>
      </c>
    </row>
    <row r="682" spans="1:4" x14ac:dyDescent="0.2">
      <c r="A682">
        <v>33</v>
      </c>
      <c r="B682">
        <v>1500</v>
      </c>
      <c r="C682">
        <v>1500</v>
      </c>
      <c r="D682" t="s">
        <v>5959</v>
      </c>
    </row>
    <row r="683" spans="1:4" x14ac:dyDescent="0.2">
      <c r="A683">
        <v>34</v>
      </c>
      <c r="B683">
        <v>1499.9</v>
      </c>
      <c r="C683">
        <v>1500</v>
      </c>
      <c r="D683" t="s">
        <v>5959</v>
      </c>
    </row>
    <row r="684" spans="1:4" x14ac:dyDescent="0.2">
      <c r="A684">
        <v>35</v>
      </c>
      <c r="B684">
        <v>1500.1</v>
      </c>
      <c r="C684">
        <v>1500</v>
      </c>
      <c r="D684" t="s">
        <v>5959</v>
      </c>
    </row>
    <row r="685" spans="1:4" x14ac:dyDescent="0.2">
      <c r="A685">
        <v>36</v>
      </c>
      <c r="B685">
        <v>1500.2</v>
      </c>
      <c r="C685">
        <v>1500</v>
      </c>
      <c r="D685" t="s">
        <v>5959</v>
      </c>
    </row>
    <row r="686" spans="1:4" x14ac:dyDescent="0.2">
      <c r="A686">
        <v>31</v>
      </c>
      <c r="B686">
        <v>1999.8</v>
      </c>
      <c r="C686">
        <v>2000</v>
      </c>
      <c r="D686" t="s">
        <v>5959</v>
      </c>
    </row>
    <row r="687" spans="1:4" x14ac:dyDescent="0.2">
      <c r="A687">
        <v>32</v>
      </c>
      <c r="B687">
        <v>2000</v>
      </c>
      <c r="C687">
        <v>2000</v>
      </c>
      <c r="D687" t="s">
        <v>5959</v>
      </c>
    </row>
    <row r="688" spans="1:4" x14ac:dyDescent="0.2">
      <c r="A688">
        <v>33</v>
      </c>
      <c r="B688">
        <v>2000</v>
      </c>
      <c r="C688">
        <v>2000</v>
      </c>
      <c r="D688" t="s">
        <v>5959</v>
      </c>
    </row>
    <row r="689" spans="1:4" x14ac:dyDescent="0.2">
      <c r="A689">
        <v>34</v>
      </c>
      <c r="B689">
        <v>1999.9</v>
      </c>
      <c r="C689">
        <v>2000</v>
      </c>
      <c r="D689" t="s">
        <v>5959</v>
      </c>
    </row>
    <row r="690" spans="1:4" x14ac:dyDescent="0.2">
      <c r="A690">
        <v>35</v>
      </c>
      <c r="B690">
        <v>2000.1</v>
      </c>
      <c r="C690">
        <v>2000</v>
      </c>
      <c r="D690" t="s">
        <v>5959</v>
      </c>
    </row>
    <row r="691" spans="1:4" x14ac:dyDescent="0.2">
      <c r="A691">
        <v>36</v>
      </c>
      <c r="B691">
        <v>2000.2</v>
      </c>
      <c r="C691">
        <v>2000</v>
      </c>
      <c r="D691" t="s">
        <v>5959</v>
      </c>
    </row>
    <row r="692" spans="1:4" x14ac:dyDescent="0.2">
      <c r="A692">
        <v>31</v>
      </c>
      <c r="B692">
        <v>2289.8000000000002</v>
      </c>
      <c r="C692">
        <v>2290</v>
      </c>
      <c r="D692" t="s">
        <v>5959</v>
      </c>
    </row>
    <row r="693" spans="1:4" x14ac:dyDescent="0.2">
      <c r="A693">
        <v>32</v>
      </c>
      <c r="B693">
        <v>2290</v>
      </c>
      <c r="C693">
        <v>2290</v>
      </c>
      <c r="D693" t="s">
        <v>5959</v>
      </c>
    </row>
    <row r="694" spans="1:4" x14ac:dyDescent="0.2">
      <c r="A694">
        <v>33</v>
      </c>
      <c r="B694">
        <v>2290</v>
      </c>
      <c r="C694">
        <v>2290</v>
      </c>
      <c r="D694" t="s">
        <v>5959</v>
      </c>
    </row>
    <row r="695" spans="1:4" x14ac:dyDescent="0.2">
      <c r="A695">
        <v>34</v>
      </c>
      <c r="B695">
        <v>2289.8000000000002</v>
      </c>
      <c r="C695">
        <v>2290</v>
      </c>
      <c r="D695" t="s">
        <v>5959</v>
      </c>
    </row>
    <row r="696" spans="1:4" x14ac:dyDescent="0.2">
      <c r="A696">
        <v>35</v>
      </c>
      <c r="B696">
        <v>2290.1</v>
      </c>
      <c r="C696">
        <v>2290</v>
      </c>
      <c r="D696" t="s">
        <v>5959</v>
      </c>
    </row>
    <row r="697" spans="1:4" x14ac:dyDescent="0.2">
      <c r="A697">
        <v>36</v>
      </c>
      <c r="B697">
        <v>2290.1</v>
      </c>
      <c r="C697">
        <v>2290</v>
      </c>
      <c r="D697" t="s">
        <v>5959</v>
      </c>
    </row>
    <row r="698" spans="1:4" x14ac:dyDescent="0.2">
      <c r="A698">
        <v>37</v>
      </c>
      <c r="B698">
        <v>9.9</v>
      </c>
      <c r="C698">
        <v>10</v>
      </c>
      <c r="D698" t="s">
        <v>5959</v>
      </c>
    </row>
    <row r="699" spans="1:4" x14ac:dyDescent="0.2">
      <c r="A699">
        <v>38</v>
      </c>
      <c r="B699">
        <v>10</v>
      </c>
      <c r="C699">
        <v>10</v>
      </c>
      <c r="D699" t="s">
        <v>5959</v>
      </c>
    </row>
    <row r="700" spans="1:4" x14ac:dyDescent="0.2">
      <c r="A700">
        <v>39</v>
      </c>
      <c r="B700">
        <v>9.9</v>
      </c>
      <c r="C700">
        <v>10</v>
      </c>
      <c r="D700" t="s">
        <v>5959</v>
      </c>
    </row>
    <row r="701" spans="1:4" x14ac:dyDescent="0.2">
      <c r="A701">
        <v>40</v>
      </c>
      <c r="B701">
        <v>9.9</v>
      </c>
      <c r="C701">
        <v>10</v>
      </c>
      <c r="D701" t="s">
        <v>5959</v>
      </c>
    </row>
    <row r="702" spans="1:4" x14ac:dyDescent="0.2">
      <c r="A702">
        <v>37</v>
      </c>
      <c r="B702">
        <v>499.9</v>
      </c>
      <c r="C702">
        <v>500</v>
      </c>
      <c r="D702" t="s">
        <v>5959</v>
      </c>
    </row>
    <row r="703" spans="1:4" x14ac:dyDescent="0.2">
      <c r="A703">
        <v>38</v>
      </c>
      <c r="B703">
        <v>500.1</v>
      </c>
      <c r="C703">
        <v>500</v>
      </c>
      <c r="D703" t="s">
        <v>5959</v>
      </c>
    </row>
    <row r="704" spans="1:4" x14ac:dyDescent="0.2">
      <c r="A704">
        <v>39</v>
      </c>
      <c r="B704">
        <v>499.9</v>
      </c>
      <c r="C704">
        <v>500</v>
      </c>
      <c r="D704" t="s">
        <v>5959</v>
      </c>
    </row>
    <row r="705" spans="1:4" x14ac:dyDescent="0.2">
      <c r="A705">
        <v>40</v>
      </c>
      <c r="B705">
        <v>500</v>
      </c>
      <c r="C705">
        <v>500</v>
      </c>
      <c r="D705" t="s">
        <v>5959</v>
      </c>
    </row>
    <row r="706" spans="1:4" x14ac:dyDescent="0.2">
      <c r="A706">
        <v>37</v>
      </c>
      <c r="B706">
        <v>1000</v>
      </c>
      <c r="C706">
        <v>1000</v>
      </c>
      <c r="D706" t="s">
        <v>5959</v>
      </c>
    </row>
    <row r="707" spans="1:4" x14ac:dyDescent="0.2">
      <c r="A707">
        <v>38</v>
      </c>
      <c r="B707">
        <v>1000.1</v>
      </c>
      <c r="C707">
        <v>1000</v>
      </c>
      <c r="D707" t="s">
        <v>5959</v>
      </c>
    </row>
    <row r="708" spans="1:4" x14ac:dyDescent="0.2">
      <c r="A708">
        <v>39</v>
      </c>
      <c r="B708">
        <v>1000</v>
      </c>
      <c r="C708">
        <v>1000</v>
      </c>
      <c r="D708" t="s">
        <v>5959</v>
      </c>
    </row>
    <row r="709" spans="1:4" x14ac:dyDescent="0.2">
      <c r="A709">
        <v>40</v>
      </c>
      <c r="B709">
        <v>1000</v>
      </c>
      <c r="C709">
        <v>1000</v>
      </c>
      <c r="D709" t="s">
        <v>5959</v>
      </c>
    </row>
    <row r="710" spans="1:4" x14ac:dyDescent="0.2">
      <c r="A710">
        <v>37</v>
      </c>
      <c r="B710">
        <v>1500</v>
      </c>
      <c r="C710">
        <v>1500</v>
      </c>
      <c r="D710" t="s">
        <v>5959</v>
      </c>
    </row>
    <row r="711" spans="1:4" x14ac:dyDescent="0.2">
      <c r="A711">
        <v>38</v>
      </c>
      <c r="B711">
        <v>1500.1</v>
      </c>
      <c r="C711">
        <v>1500</v>
      </c>
      <c r="D711" t="s">
        <v>5959</v>
      </c>
    </row>
    <row r="712" spans="1:4" x14ac:dyDescent="0.2">
      <c r="A712">
        <v>39</v>
      </c>
      <c r="B712">
        <v>1500</v>
      </c>
      <c r="C712">
        <v>1500</v>
      </c>
      <c r="D712" t="s">
        <v>5959</v>
      </c>
    </row>
    <row r="713" spans="1:4" x14ac:dyDescent="0.2">
      <c r="A713">
        <v>40</v>
      </c>
      <c r="B713">
        <v>1500</v>
      </c>
      <c r="C713">
        <v>1500</v>
      </c>
      <c r="D713" t="s">
        <v>5959</v>
      </c>
    </row>
    <row r="714" spans="1:4" x14ac:dyDescent="0.2">
      <c r="A714">
        <v>37</v>
      </c>
      <c r="B714">
        <v>2000</v>
      </c>
      <c r="C714">
        <v>2000</v>
      </c>
      <c r="D714" t="s">
        <v>5959</v>
      </c>
    </row>
    <row r="715" spans="1:4" x14ac:dyDescent="0.2">
      <c r="A715">
        <v>38</v>
      </c>
      <c r="B715">
        <v>2000.2</v>
      </c>
      <c r="C715">
        <v>2000</v>
      </c>
      <c r="D715" t="s">
        <v>5959</v>
      </c>
    </row>
    <row r="716" spans="1:4" x14ac:dyDescent="0.2">
      <c r="A716">
        <v>39</v>
      </c>
      <c r="B716">
        <v>2000</v>
      </c>
      <c r="C716">
        <v>2000</v>
      </c>
      <c r="D716" t="s">
        <v>5959</v>
      </c>
    </row>
    <row r="717" spans="1:4" x14ac:dyDescent="0.2">
      <c r="A717">
        <v>40</v>
      </c>
      <c r="B717">
        <v>2000</v>
      </c>
      <c r="C717">
        <v>2000</v>
      </c>
      <c r="D717" t="s">
        <v>5959</v>
      </c>
    </row>
    <row r="718" spans="1:4" x14ac:dyDescent="0.2">
      <c r="A718">
        <v>37</v>
      </c>
      <c r="B718">
        <v>2289.9</v>
      </c>
      <c r="C718">
        <v>2290</v>
      </c>
      <c r="D718" t="s">
        <v>5959</v>
      </c>
    </row>
    <row r="719" spans="1:4" x14ac:dyDescent="0.2">
      <c r="A719">
        <v>38</v>
      </c>
      <c r="B719">
        <v>2290.1999999999998</v>
      </c>
      <c r="C719">
        <v>2290</v>
      </c>
      <c r="D719" t="s">
        <v>5959</v>
      </c>
    </row>
    <row r="720" spans="1:4" x14ac:dyDescent="0.2">
      <c r="A720">
        <v>39</v>
      </c>
      <c r="B720">
        <v>2290</v>
      </c>
      <c r="C720">
        <v>2290</v>
      </c>
      <c r="D720" t="s">
        <v>5959</v>
      </c>
    </row>
    <row r="721" spans="1:4" x14ac:dyDescent="0.2">
      <c r="A721">
        <v>40</v>
      </c>
      <c r="B721">
        <v>2290</v>
      </c>
      <c r="C721">
        <v>2290</v>
      </c>
      <c r="D721" t="s">
        <v>5959</v>
      </c>
    </row>
    <row r="722" spans="1:4" x14ac:dyDescent="0.2">
      <c r="A722">
        <v>1</v>
      </c>
      <c r="B722">
        <v>32.299999999999997</v>
      </c>
      <c r="C722">
        <v>32</v>
      </c>
      <c r="D722" t="s">
        <v>5960</v>
      </c>
    </row>
    <row r="723" spans="1:4" x14ac:dyDescent="0.2">
      <c r="A723">
        <v>2</v>
      </c>
      <c r="B723">
        <v>31.8</v>
      </c>
      <c r="C723">
        <v>32</v>
      </c>
      <c r="D723" t="s">
        <v>5960</v>
      </c>
    </row>
    <row r="724" spans="1:4" x14ac:dyDescent="0.2">
      <c r="A724">
        <v>3</v>
      </c>
      <c r="B724">
        <v>32.200000000000003</v>
      </c>
      <c r="C724">
        <v>32</v>
      </c>
      <c r="D724" t="s">
        <v>5960</v>
      </c>
    </row>
    <row r="725" spans="1:4" x14ac:dyDescent="0.2">
      <c r="A725">
        <v>4</v>
      </c>
      <c r="B725">
        <v>32.1</v>
      </c>
      <c r="C725">
        <v>32</v>
      </c>
      <c r="D725" t="s">
        <v>5960</v>
      </c>
    </row>
    <row r="726" spans="1:4" x14ac:dyDescent="0.2">
      <c r="A726">
        <v>5</v>
      </c>
      <c r="B726">
        <v>32.4</v>
      </c>
      <c r="C726">
        <v>32</v>
      </c>
      <c r="D726" t="s">
        <v>5960</v>
      </c>
    </row>
    <row r="727" spans="1:4" x14ac:dyDescent="0.2">
      <c r="A727">
        <v>6</v>
      </c>
      <c r="B727">
        <v>32.299999999999997</v>
      </c>
      <c r="C727">
        <v>32</v>
      </c>
      <c r="D727" t="s">
        <v>5960</v>
      </c>
    </row>
    <row r="728" spans="1:4" x14ac:dyDescent="0.2">
      <c r="A728">
        <v>1</v>
      </c>
      <c r="B728">
        <v>500.3</v>
      </c>
      <c r="C728">
        <v>500</v>
      </c>
      <c r="D728" t="s">
        <v>5960</v>
      </c>
    </row>
    <row r="729" spans="1:4" x14ac:dyDescent="0.2">
      <c r="A729">
        <v>2</v>
      </c>
      <c r="B729">
        <v>499.8</v>
      </c>
      <c r="C729">
        <v>500</v>
      </c>
      <c r="D729" t="s">
        <v>5960</v>
      </c>
    </row>
    <row r="730" spans="1:4" x14ac:dyDescent="0.2">
      <c r="A730">
        <v>3</v>
      </c>
      <c r="B730">
        <v>500.1</v>
      </c>
      <c r="C730">
        <v>500</v>
      </c>
      <c r="D730" t="s">
        <v>5960</v>
      </c>
    </row>
    <row r="731" spans="1:4" x14ac:dyDescent="0.2">
      <c r="A731">
        <v>4</v>
      </c>
      <c r="B731">
        <v>500.1</v>
      </c>
      <c r="C731">
        <v>500</v>
      </c>
      <c r="D731" t="s">
        <v>5960</v>
      </c>
    </row>
    <row r="732" spans="1:4" x14ac:dyDescent="0.2">
      <c r="A732">
        <v>5</v>
      </c>
      <c r="B732">
        <v>500.3</v>
      </c>
      <c r="C732">
        <v>500</v>
      </c>
      <c r="D732" t="s">
        <v>5960</v>
      </c>
    </row>
    <row r="733" spans="1:4" x14ac:dyDescent="0.2">
      <c r="A733">
        <v>6</v>
      </c>
      <c r="B733">
        <v>500.2</v>
      </c>
      <c r="C733">
        <v>500</v>
      </c>
      <c r="D733" t="s">
        <v>5960</v>
      </c>
    </row>
    <row r="734" spans="1:4" x14ac:dyDescent="0.2">
      <c r="A734">
        <v>1</v>
      </c>
      <c r="B734">
        <v>1000.3</v>
      </c>
      <c r="C734">
        <v>1000</v>
      </c>
      <c r="D734" t="s">
        <v>5960</v>
      </c>
    </row>
    <row r="735" spans="1:4" x14ac:dyDescent="0.2">
      <c r="A735">
        <v>2</v>
      </c>
      <c r="B735">
        <v>999.9</v>
      </c>
      <c r="C735">
        <v>1000</v>
      </c>
      <c r="D735" t="s">
        <v>5960</v>
      </c>
    </row>
    <row r="736" spans="1:4" x14ac:dyDescent="0.2">
      <c r="A736">
        <v>3</v>
      </c>
      <c r="B736">
        <v>1000.2</v>
      </c>
      <c r="C736">
        <v>1000</v>
      </c>
      <c r="D736" t="s">
        <v>5960</v>
      </c>
    </row>
    <row r="737" spans="1:4" x14ac:dyDescent="0.2">
      <c r="A737">
        <v>4</v>
      </c>
      <c r="B737">
        <v>1000.2</v>
      </c>
      <c r="C737">
        <v>1000</v>
      </c>
      <c r="D737" t="s">
        <v>5960</v>
      </c>
    </row>
    <row r="738" spans="1:4" x14ac:dyDescent="0.2">
      <c r="A738">
        <v>5</v>
      </c>
      <c r="B738">
        <v>1000.3</v>
      </c>
      <c r="C738">
        <v>1000</v>
      </c>
      <c r="D738" t="s">
        <v>5960</v>
      </c>
    </row>
    <row r="739" spans="1:4" x14ac:dyDescent="0.2">
      <c r="A739">
        <v>6</v>
      </c>
      <c r="B739">
        <v>1000.3</v>
      </c>
      <c r="C739">
        <v>1000</v>
      </c>
      <c r="D739" t="s">
        <v>5960</v>
      </c>
    </row>
    <row r="740" spans="1:4" x14ac:dyDescent="0.2">
      <c r="A740">
        <v>1</v>
      </c>
      <c r="B740">
        <v>1500.3</v>
      </c>
      <c r="C740">
        <v>1500</v>
      </c>
      <c r="D740" t="s">
        <v>5960</v>
      </c>
    </row>
    <row r="741" spans="1:4" x14ac:dyDescent="0.2">
      <c r="A741">
        <v>2</v>
      </c>
      <c r="B741">
        <v>1499.9</v>
      </c>
      <c r="C741">
        <v>1500</v>
      </c>
      <c r="D741" t="s">
        <v>5960</v>
      </c>
    </row>
    <row r="742" spans="1:4" x14ac:dyDescent="0.2">
      <c r="A742">
        <v>3</v>
      </c>
      <c r="B742">
        <v>1500.2</v>
      </c>
      <c r="C742">
        <v>1500</v>
      </c>
      <c r="D742" t="s">
        <v>5960</v>
      </c>
    </row>
    <row r="743" spans="1:4" x14ac:dyDescent="0.2">
      <c r="A743">
        <v>4</v>
      </c>
      <c r="B743">
        <v>1500.2</v>
      </c>
      <c r="C743">
        <v>1500</v>
      </c>
      <c r="D743" t="s">
        <v>5960</v>
      </c>
    </row>
    <row r="744" spans="1:4" x14ac:dyDescent="0.2">
      <c r="A744">
        <v>5</v>
      </c>
      <c r="B744">
        <v>1500.3</v>
      </c>
      <c r="C744">
        <v>1500</v>
      </c>
      <c r="D744" t="s">
        <v>5960</v>
      </c>
    </row>
    <row r="745" spans="1:4" x14ac:dyDescent="0.2">
      <c r="A745">
        <v>6</v>
      </c>
      <c r="B745">
        <v>1500.3</v>
      </c>
      <c r="C745">
        <v>1500</v>
      </c>
      <c r="D745" t="s">
        <v>5960</v>
      </c>
    </row>
    <row r="746" spans="1:4" x14ac:dyDescent="0.2">
      <c r="A746">
        <v>1</v>
      </c>
      <c r="B746">
        <v>2000.4</v>
      </c>
      <c r="C746">
        <v>2000</v>
      </c>
      <c r="D746" t="s">
        <v>5960</v>
      </c>
    </row>
    <row r="747" spans="1:4" x14ac:dyDescent="0.2">
      <c r="A747">
        <v>2</v>
      </c>
      <c r="B747">
        <v>1999.9</v>
      </c>
      <c r="C747">
        <v>2000</v>
      </c>
      <c r="D747" t="s">
        <v>5960</v>
      </c>
    </row>
    <row r="748" spans="1:4" x14ac:dyDescent="0.2">
      <c r="A748">
        <v>3</v>
      </c>
      <c r="B748">
        <v>2000.3</v>
      </c>
      <c r="C748">
        <v>2000</v>
      </c>
      <c r="D748" t="s">
        <v>5960</v>
      </c>
    </row>
    <row r="749" spans="1:4" x14ac:dyDescent="0.2">
      <c r="A749">
        <v>4</v>
      </c>
      <c r="B749">
        <v>2000.4</v>
      </c>
      <c r="C749">
        <v>2000</v>
      </c>
      <c r="D749" t="s">
        <v>5960</v>
      </c>
    </row>
    <row r="750" spans="1:4" x14ac:dyDescent="0.2">
      <c r="A750">
        <v>5</v>
      </c>
      <c r="B750">
        <v>2000.4</v>
      </c>
      <c r="C750">
        <v>2000</v>
      </c>
      <c r="D750" t="s">
        <v>5960</v>
      </c>
    </row>
    <row r="751" spans="1:4" x14ac:dyDescent="0.2">
      <c r="A751">
        <v>6</v>
      </c>
      <c r="B751">
        <v>2000.5</v>
      </c>
      <c r="C751">
        <v>2000</v>
      </c>
      <c r="D751" t="s">
        <v>5960</v>
      </c>
    </row>
    <row r="752" spans="1:4" x14ac:dyDescent="0.2">
      <c r="A752">
        <v>1</v>
      </c>
      <c r="B752">
        <v>2300.4</v>
      </c>
      <c r="C752">
        <v>2300</v>
      </c>
      <c r="D752" t="s">
        <v>5960</v>
      </c>
    </row>
    <row r="753" spans="1:4" x14ac:dyDescent="0.2">
      <c r="A753">
        <v>2</v>
      </c>
      <c r="B753">
        <v>2300</v>
      </c>
      <c r="C753">
        <v>2300</v>
      </c>
      <c r="D753" t="s">
        <v>5960</v>
      </c>
    </row>
    <row r="754" spans="1:4" x14ac:dyDescent="0.2">
      <c r="A754">
        <v>3</v>
      </c>
      <c r="B754">
        <v>2300.4</v>
      </c>
      <c r="C754">
        <v>2300</v>
      </c>
      <c r="D754" t="s">
        <v>5960</v>
      </c>
    </row>
    <row r="755" spans="1:4" x14ac:dyDescent="0.2">
      <c r="A755">
        <v>4</v>
      </c>
      <c r="B755">
        <v>2300.5</v>
      </c>
      <c r="C755">
        <v>2300</v>
      </c>
      <c r="D755" t="s">
        <v>5960</v>
      </c>
    </row>
    <row r="756" spans="1:4" x14ac:dyDescent="0.2">
      <c r="A756">
        <v>5</v>
      </c>
      <c r="B756">
        <v>2300.4</v>
      </c>
      <c r="C756">
        <v>2300</v>
      </c>
      <c r="D756" t="s">
        <v>5960</v>
      </c>
    </row>
    <row r="757" spans="1:4" x14ac:dyDescent="0.2">
      <c r="A757">
        <v>6</v>
      </c>
      <c r="B757">
        <v>2300.5</v>
      </c>
      <c r="C757">
        <v>2300</v>
      </c>
      <c r="D757" t="s">
        <v>5960</v>
      </c>
    </row>
    <row r="758" spans="1:4" x14ac:dyDescent="0.2">
      <c r="A758">
        <v>7</v>
      </c>
      <c r="B758">
        <v>32</v>
      </c>
      <c r="C758">
        <v>32</v>
      </c>
      <c r="D758" t="s">
        <v>5960</v>
      </c>
    </row>
    <row r="759" spans="1:4" x14ac:dyDescent="0.2">
      <c r="A759">
        <v>8</v>
      </c>
      <c r="B759">
        <v>31.8</v>
      </c>
      <c r="C759">
        <v>32</v>
      </c>
      <c r="D759" t="s">
        <v>5960</v>
      </c>
    </row>
    <row r="760" spans="1:4" x14ac:dyDescent="0.2">
      <c r="A760">
        <v>9</v>
      </c>
      <c r="B760">
        <v>32.5</v>
      </c>
      <c r="C760">
        <v>32</v>
      </c>
      <c r="D760" t="s">
        <v>5960</v>
      </c>
    </row>
    <row r="761" spans="1:4" x14ac:dyDescent="0.2">
      <c r="A761">
        <v>10</v>
      </c>
      <c r="B761">
        <v>32.700000000000003</v>
      </c>
      <c r="C761">
        <v>32</v>
      </c>
      <c r="D761" t="s">
        <v>5960</v>
      </c>
    </row>
    <row r="762" spans="1:4" x14ac:dyDescent="0.2">
      <c r="A762">
        <v>11</v>
      </c>
      <c r="B762">
        <v>31.3</v>
      </c>
      <c r="C762">
        <v>32</v>
      </c>
      <c r="D762" t="s">
        <v>5960</v>
      </c>
    </row>
    <row r="763" spans="1:4" x14ac:dyDescent="0.2">
      <c r="A763">
        <v>12</v>
      </c>
      <c r="B763">
        <v>32</v>
      </c>
      <c r="C763">
        <v>32</v>
      </c>
      <c r="D763" t="s">
        <v>5960</v>
      </c>
    </row>
    <row r="764" spans="1:4" x14ac:dyDescent="0.2">
      <c r="A764">
        <v>7</v>
      </c>
      <c r="B764">
        <v>500</v>
      </c>
      <c r="C764">
        <v>500</v>
      </c>
      <c r="D764" t="s">
        <v>5960</v>
      </c>
    </row>
    <row r="765" spans="1:4" x14ac:dyDescent="0.2">
      <c r="A765">
        <v>8</v>
      </c>
      <c r="B765">
        <v>499.9</v>
      </c>
      <c r="C765">
        <v>500</v>
      </c>
      <c r="D765" t="s">
        <v>5960</v>
      </c>
    </row>
    <row r="766" spans="1:4" x14ac:dyDescent="0.2">
      <c r="A766">
        <v>9</v>
      </c>
      <c r="B766">
        <v>500.4</v>
      </c>
      <c r="C766">
        <v>500</v>
      </c>
      <c r="D766" t="s">
        <v>5960</v>
      </c>
    </row>
    <row r="767" spans="1:4" x14ac:dyDescent="0.2">
      <c r="A767">
        <v>10</v>
      </c>
      <c r="B767">
        <v>500.6</v>
      </c>
      <c r="C767">
        <v>500</v>
      </c>
      <c r="D767" t="s">
        <v>5960</v>
      </c>
    </row>
    <row r="768" spans="1:4" x14ac:dyDescent="0.2">
      <c r="A768">
        <v>11</v>
      </c>
      <c r="B768">
        <v>499.5</v>
      </c>
      <c r="C768">
        <v>500</v>
      </c>
      <c r="D768" t="s">
        <v>5960</v>
      </c>
    </row>
    <row r="769" spans="1:4" x14ac:dyDescent="0.2">
      <c r="A769">
        <v>12</v>
      </c>
      <c r="B769">
        <v>500</v>
      </c>
      <c r="C769">
        <v>500</v>
      </c>
      <c r="D769" t="s">
        <v>5960</v>
      </c>
    </row>
    <row r="770" spans="1:4" x14ac:dyDescent="0.2">
      <c r="A770">
        <v>7</v>
      </c>
      <c r="B770">
        <v>1000.1</v>
      </c>
      <c r="C770">
        <v>1000</v>
      </c>
      <c r="D770" t="s">
        <v>5960</v>
      </c>
    </row>
    <row r="771" spans="1:4" x14ac:dyDescent="0.2">
      <c r="A771">
        <v>8</v>
      </c>
      <c r="B771">
        <v>1000</v>
      </c>
      <c r="C771">
        <v>1000</v>
      </c>
      <c r="D771" t="s">
        <v>5960</v>
      </c>
    </row>
    <row r="772" spans="1:4" x14ac:dyDescent="0.2">
      <c r="A772">
        <v>9</v>
      </c>
      <c r="B772">
        <v>1000.4</v>
      </c>
      <c r="C772">
        <v>1000</v>
      </c>
      <c r="D772" t="s">
        <v>5960</v>
      </c>
    </row>
    <row r="773" spans="1:4" x14ac:dyDescent="0.2">
      <c r="A773">
        <v>10</v>
      </c>
      <c r="B773">
        <v>1000.7</v>
      </c>
      <c r="C773">
        <v>1000</v>
      </c>
      <c r="D773" t="s">
        <v>5960</v>
      </c>
    </row>
    <row r="774" spans="1:4" x14ac:dyDescent="0.2">
      <c r="A774">
        <v>11</v>
      </c>
      <c r="B774">
        <v>999.7</v>
      </c>
      <c r="C774">
        <v>1000</v>
      </c>
      <c r="D774" t="s">
        <v>5960</v>
      </c>
    </row>
    <row r="775" spans="1:4" x14ac:dyDescent="0.2">
      <c r="A775">
        <v>12</v>
      </c>
      <c r="B775">
        <v>1000.2</v>
      </c>
      <c r="C775">
        <v>1000</v>
      </c>
      <c r="D775" t="s">
        <v>5960</v>
      </c>
    </row>
    <row r="776" spans="1:4" x14ac:dyDescent="0.2">
      <c r="A776">
        <v>7</v>
      </c>
      <c r="B776">
        <v>1500.2</v>
      </c>
      <c r="C776">
        <v>1500</v>
      </c>
      <c r="D776" t="s">
        <v>5960</v>
      </c>
    </row>
    <row r="777" spans="1:4" x14ac:dyDescent="0.2">
      <c r="A777">
        <v>8</v>
      </c>
      <c r="B777">
        <v>1500</v>
      </c>
      <c r="C777">
        <v>1500</v>
      </c>
      <c r="D777" t="s">
        <v>5960</v>
      </c>
    </row>
    <row r="778" spans="1:4" x14ac:dyDescent="0.2">
      <c r="A778">
        <v>9</v>
      </c>
      <c r="B778">
        <v>1500.5</v>
      </c>
      <c r="C778">
        <v>1500</v>
      </c>
      <c r="D778" t="s">
        <v>5960</v>
      </c>
    </row>
    <row r="779" spans="1:4" x14ac:dyDescent="0.2">
      <c r="A779">
        <v>10</v>
      </c>
      <c r="B779">
        <v>1500.8</v>
      </c>
      <c r="C779">
        <v>1500</v>
      </c>
      <c r="D779" t="s">
        <v>5960</v>
      </c>
    </row>
    <row r="780" spans="1:4" x14ac:dyDescent="0.2">
      <c r="A780">
        <v>11</v>
      </c>
      <c r="B780">
        <v>1499.7</v>
      </c>
      <c r="C780">
        <v>1500</v>
      </c>
      <c r="D780" t="s">
        <v>5960</v>
      </c>
    </row>
    <row r="781" spans="1:4" x14ac:dyDescent="0.2">
      <c r="A781">
        <v>12</v>
      </c>
      <c r="B781">
        <v>1500.2</v>
      </c>
      <c r="C781">
        <v>1500</v>
      </c>
      <c r="D781" t="s">
        <v>5960</v>
      </c>
    </row>
    <row r="782" spans="1:4" x14ac:dyDescent="0.2">
      <c r="A782">
        <v>7</v>
      </c>
      <c r="B782">
        <v>2000.5</v>
      </c>
      <c r="C782">
        <v>2000</v>
      </c>
      <c r="D782" t="s">
        <v>5960</v>
      </c>
    </row>
    <row r="783" spans="1:4" x14ac:dyDescent="0.2">
      <c r="A783">
        <v>8</v>
      </c>
      <c r="B783">
        <v>2000.1</v>
      </c>
      <c r="C783">
        <v>2000</v>
      </c>
      <c r="D783" t="s">
        <v>5960</v>
      </c>
    </row>
    <row r="784" spans="1:4" x14ac:dyDescent="0.2">
      <c r="A784">
        <v>9</v>
      </c>
      <c r="B784">
        <v>2000.6</v>
      </c>
      <c r="C784">
        <v>2000</v>
      </c>
      <c r="D784" t="s">
        <v>5960</v>
      </c>
    </row>
    <row r="785" spans="1:4" x14ac:dyDescent="0.2">
      <c r="A785">
        <v>10</v>
      </c>
      <c r="B785">
        <v>2001</v>
      </c>
      <c r="C785">
        <v>2000</v>
      </c>
      <c r="D785" t="s">
        <v>5960</v>
      </c>
    </row>
    <row r="786" spans="1:4" x14ac:dyDescent="0.2">
      <c r="A786">
        <v>11</v>
      </c>
      <c r="B786">
        <v>1999.8</v>
      </c>
      <c r="C786">
        <v>2000</v>
      </c>
      <c r="D786" t="s">
        <v>5960</v>
      </c>
    </row>
    <row r="787" spans="1:4" x14ac:dyDescent="0.2">
      <c r="A787">
        <v>12</v>
      </c>
      <c r="B787">
        <v>2000.3</v>
      </c>
      <c r="C787">
        <v>2000</v>
      </c>
      <c r="D787" t="s">
        <v>5960</v>
      </c>
    </row>
    <row r="788" spans="1:4" x14ac:dyDescent="0.2">
      <c r="A788">
        <v>7</v>
      </c>
      <c r="B788">
        <v>2300.5</v>
      </c>
      <c r="C788">
        <v>2300</v>
      </c>
      <c r="D788" t="s">
        <v>5960</v>
      </c>
    </row>
    <row r="789" spans="1:4" x14ac:dyDescent="0.2">
      <c r="A789">
        <v>8</v>
      </c>
      <c r="B789">
        <v>2300.1</v>
      </c>
      <c r="C789">
        <v>2300</v>
      </c>
      <c r="D789" t="s">
        <v>5960</v>
      </c>
    </row>
    <row r="790" spans="1:4" x14ac:dyDescent="0.2">
      <c r="A790">
        <v>9</v>
      </c>
      <c r="B790">
        <v>2300.6999999999998</v>
      </c>
      <c r="C790">
        <v>2300</v>
      </c>
      <c r="D790" t="s">
        <v>5960</v>
      </c>
    </row>
    <row r="791" spans="1:4" x14ac:dyDescent="0.2">
      <c r="A791">
        <v>10</v>
      </c>
      <c r="B791">
        <v>2301</v>
      </c>
      <c r="C791">
        <v>2300</v>
      </c>
      <c r="D791" t="s">
        <v>5960</v>
      </c>
    </row>
    <row r="792" spans="1:4" x14ac:dyDescent="0.2">
      <c r="A792">
        <v>11</v>
      </c>
      <c r="B792">
        <v>2299.9</v>
      </c>
      <c r="C792">
        <v>2300</v>
      </c>
      <c r="D792" t="s">
        <v>5960</v>
      </c>
    </row>
    <row r="793" spans="1:4" x14ac:dyDescent="0.2">
      <c r="A793">
        <v>12</v>
      </c>
      <c r="B793">
        <v>2300.3000000000002</v>
      </c>
      <c r="C793">
        <v>2300</v>
      </c>
      <c r="D793" t="s">
        <v>5960</v>
      </c>
    </row>
    <row r="794" spans="1:4" x14ac:dyDescent="0.2">
      <c r="A794">
        <v>13</v>
      </c>
      <c r="B794">
        <v>32.1</v>
      </c>
      <c r="C794">
        <v>32</v>
      </c>
      <c r="D794" t="s">
        <v>5960</v>
      </c>
    </row>
    <row r="795" spans="1:4" x14ac:dyDescent="0.2">
      <c r="A795">
        <v>14</v>
      </c>
      <c r="B795">
        <v>32</v>
      </c>
      <c r="C795">
        <v>32</v>
      </c>
      <c r="D795" t="s">
        <v>5960</v>
      </c>
    </row>
    <row r="796" spans="1:4" x14ac:dyDescent="0.2">
      <c r="A796">
        <v>15</v>
      </c>
      <c r="B796">
        <v>32.1</v>
      </c>
      <c r="C796">
        <v>32</v>
      </c>
      <c r="D796" t="s">
        <v>5960</v>
      </c>
    </row>
    <row r="797" spans="1:4" x14ac:dyDescent="0.2">
      <c r="A797">
        <v>16</v>
      </c>
      <c r="B797">
        <v>32</v>
      </c>
      <c r="C797">
        <v>32</v>
      </c>
      <c r="D797" t="s">
        <v>5960</v>
      </c>
    </row>
    <row r="798" spans="1:4" x14ac:dyDescent="0.2">
      <c r="A798">
        <v>17</v>
      </c>
      <c r="B798">
        <v>31.9</v>
      </c>
      <c r="C798">
        <v>32</v>
      </c>
      <c r="D798" t="s">
        <v>5960</v>
      </c>
    </row>
    <row r="799" spans="1:4" x14ac:dyDescent="0.2">
      <c r="A799">
        <v>18</v>
      </c>
      <c r="B799">
        <v>32.299999999999997</v>
      </c>
      <c r="C799">
        <v>32</v>
      </c>
      <c r="D799" t="s">
        <v>5960</v>
      </c>
    </row>
    <row r="800" spans="1:4" x14ac:dyDescent="0.2">
      <c r="A800">
        <v>13</v>
      </c>
      <c r="B800">
        <v>500.1</v>
      </c>
      <c r="C800">
        <v>500</v>
      </c>
      <c r="D800" t="s">
        <v>5960</v>
      </c>
    </row>
    <row r="801" spans="1:4" x14ac:dyDescent="0.2">
      <c r="A801">
        <v>14</v>
      </c>
      <c r="B801">
        <v>500</v>
      </c>
      <c r="C801">
        <v>500</v>
      </c>
      <c r="D801" t="s">
        <v>5960</v>
      </c>
    </row>
    <row r="802" spans="1:4" x14ac:dyDescent="0.2">
      <c r="A802">
        <v>15</v>
      </c>
      <c r="B802">
        <v>499.8</v>
      </c>
      <c r="C802">
        <v>500</v>
      </c>
      <c r="D802" t="s">
        <v>5960</v>
      </c>
    </row>
    <row r="803" spans="1:4" x14ac:dyDescent="0.2">
      <c r="A803">
        <v>16</v>
      </c>
      <c r="B803">
        <v>499.9</v>
      </c>
      <c r="C803">
        <v>500</v>
      </c>
      <c r="D803" t="s">
        <v>5960</v>
      </c>
    </row>
    <row r="804" spans="1:4" x14ac:dyDescent="0.2">
      <c r="A804">
        <v>17</v>
      </c>
      <c r="B804">
        <v>499.7</v>
      </c>
      <c r="C804">
        <v>500</v>
      </c>
      <c r="D804" t="s">
        <v>5960</v>
      </c>
    </row>
    <row r="805" spans="1:4" x14ac:dyDescent="0.2">
      <c r="A805">
        <v>18</v>
      </c>
      <c r="B805">
        <v>500.2</v>
      </c>
      <c r="C805">
        <v>500</v>
      </c>
      <c r="D805" t="s">
        <v>5960</v>
      </c>
    </row>
    <row r="806" spans="1:4" x14ac:dyDescent="0.2">
      <c r="A806">
        <v>13</v>
      </c>
      <c r="B806">
        <v>1000.2</v>
      </c>
      <c r="C806">
        <v>1000</v>
      </c>
      <c r="D806" t="s">
        <v>5960</v>
      </c>
    </row>
    <row r="807" spans="1:4" x14ac:dyDescent="0.2">
      <c r="A807">
        <v>14</v>
      </c>
      <c r="B807">
        <v>1000.2</v>
      </c>
      <c r="C807">
        <v>1000</v>
      </c>
      <c r="D807" t="s">
        <v>5960</v>
      </c>
    </row>
    <row r="808" spans="1:4" x14ac:dyDescent="0.2">
      <c r="A808">
        <v>15</v>
      </c>
      <c r="B808">
        <v>999.7</v>
      </c>
      <c r="C808">
        <v>1000</v>
      </c>
      <c r="D808" t="s">
        <v>5960</v>
      </c>
    </row>
    <row r="809" spans="1:4" x14ac:dyDescent="0.2">
      <c r="A809">
        <v>16</v>
      </c>
      <c r="B809">
        <v>999.8</v>
      </c>
      <c r="C809">
        <v>1000</v>
      </c>
      <c r="D809" t="s">
        <v>5960</v>
      </c>
    </row>
    <row r="810" spans="1:4" x14ac:dyDescent="0.2">
      <c r="A810">
        <v>17</v>
      </c>
      <c r="B810">
        <v>999.7</v>
      </c>
      <c r="C810">
        <v>1000</v>
      </c>
      <c r="D810" t="s">
        <v>5960</v>
      </c>
    </row>
    <row r="811" spans="1:4" x14ac:dyDescent="0.2">
      <c r="A811">
        <v>18</v>
      </c>
      <c r="B811">
        <v>1000</v>
      </c>
      <c r="C811">
        <v>1000</v>
      </c>
      <c r="D811" t="s">
        <v>5960</v>
      </c>
    </row>
    <row r="812" spans="1:4" x14ac:dyDescent="0.2">
      <c r="A812">
        <v>13</v>
      </c>
      <c r="B812">
        <v>1500.2</v>
      </c>
      <c r="C812">
        <v>1500</v>
      </c>
      <c r="D812" t="s">
        <v>5960</v>
      </c>
    </row>
    <row r="813" spans="1:4" x14ac:dyDescent="0.2">
      <c r="A813">
        <v>14</v>
      </c>
      <c r="B813">
        <v>1500.3</v>
      </c>
      <c r="C813">
        <v>1500</v>
      </c>
      <c r="D813" t="s">
        <v>5960</v>
      </c>
    </row>
    <row r="814" spans="1:4" x14ac:dyDescent="0.2">
      <c r="A814">
        <v>15</v>
      </c>
      <c r="B814">
        <v>1499.6</v>
      </c>
      <c r="C814">
        <v>1500</v>
      </c>
      <c r="D814" t="s">
        <v>5960</v>
      </c>
    </row>
    <row r="815" spans="1:4" x14ac:dyDescent="0.2">
      <c r="A815">
        <v>16</v>
      </c>
      <c r="B815">
        <v>1499.8</v>
      </c>
      <c r="C815">
        <v>1500</v>
      </c>
      <c r="D815" t="s">
        <v>5960</v>
      </c>
    </row>
    <row r="816" spans="1:4" x14ac:dyDescent="0.2">
      <c r="A816">
        <v>17</v>
      </c>
      <c r="B816">
        <v>1499.7</v>
      </c>
      <c r="C816">
        <v>1500</v>
      </c>
      <c r="D816" t="s">
        <v>5960</v>
      </c>
    </row>
    <row r="817" spans="1:4" x14ac:dyDescent="0.2">
      <c r="A817">
        <v>18</v>
      </c>
      <c r="B817">
        <v>1499.9</v>
      </c>
      <c r="C817">
        <v>1500</v>
      </c>
      <c r="D817" t="s">
        <v>5960</v>
      </c>
    </row>
    <row r="818" spans="1:4" x14ac:dyDescent="0.2">
      <c r="A818">
        <v>13</v>
      </c>
      <c r="B818">
        <v>2000.4</v>
      </c>
      <c r="C818">
        <v>2000</v>
      </c>
      <c r="D818" t="s">
        <v>5960</v>
      </c>
    </row>
    <row r="819" spans="1:4" x14ac:dyDescent="0.2">
      <c r="A819">
        <v>14</v>
      </c>
      <c r="B819">
        <v>2000.5</v>
      </c>
      <c r="C819">
        <v>2000</v>
      </c>
      <c r="D819" t="s">
        <v>5960</v>
      </c>
    </row>
    <row r="820" spans="1:4" x14ac:dyDescent="0.2">
      <c r="A820">
        <v>15</v>
      </c>
      <c r="B820">
        <v>1999.7</v>
      </c>
      <c r="C820">
        <v>2000</v>
      </c>
      <c r="D820" t="s">
        <v>5960</v>
      </c>
    </row>
    <row r="821" spans="1:4" x14ac:dyDescent="0.2">
      <c r="A821">
        <v>16</v>
      </c>
      <c r="B821">
        <v>2000</v>
      </c>
      <c r="C821">
        <v>2000</v>
      </c>
      <c r="D821" t="s">
        <v>5960</v>
      </c>
    </row>
    <row r="822" spans="1:4" x14ac:dyDescent="0.2">
      <c r="A822">
        <v>17</v>
      </c>
      <c r="B822">
        <v>1999.8</v>
      </c>
      <c r="C822">
        <v>2000</v>
      </c>
      <c r="D822" t="s">
        <v>5960</v>
      </c>
    </row>
    <row r="823" spans="1:4" x14ac:dyDescent="0.2">
      <c r="A823">
        <v>18</v>
      </c>
      <c r="B823">
        <v>1999.9</v>
      </c>
      <c r="C823">
        <v>2000</v>
      </c>
      <c r="D823" t="s">
        <v>5960</v>
      </c>
    </row>
    <row r="824" spans="1:4" x14ac:dyDescent="0.2">
      <c r="A824">
        <v>13</v>
      </c>
      <c r="B824">
        <v>2300.4</v>
      </c>
      <c r="C824">
        <v>2300</v>
      </c>
      <c r="D824" t="s">
        <v>5960</v>
      </c>
    </row>
    <row r="825" spans="1:4" x14ac:dyDescent="0.2">
      <c r="A825">
        <v>14</v>
      </c>
      <c r="B825">
        <v>2300.5</v>
      </c>
      <c r="C825">
        <v>2300</v>
      </c>
      <c r="D825" t="s">
        <v>5960</v>
      </c>
    </row>
    <row r="826" spans="1:4" x14ac:dyDescent="0.2">
      <c r="A826">
        <v>15</v>
      </c>
      <c r="B826">
        <v>2299.6999999999998</v>
      </c>
      <c r="C826">
        <v>2300</v>
      </c>
      <c r="D826" t="s">
        <v>5960</v>
      </c>
    </row>
    <row r="827" spans="1:4" x14ac:dyDescent="0.2">
      <c r="A827">
        <v>16</v>
      </c>
      <c r="B827">
        <v>2300.1</v>
      </c>
      <c r="C827">
        <v>2300</v>
      </c>
      <c r="D827" t="s">
        <v>5960</v>
      </c>
    </row>
    <row r="828" spans="1:4" x14ac:dyDescent="0.2">
      <c r="A828">
        <v>17</v>
      </c>
      <c r="B828">
        <v>2299.9</v>
      </c>
      <c r="C828">
        <v>2300</v>
      </c>
      <c r="D828" t="s">
        <v>5960</v>
      </c>
    </row>
    <row r="829" spans="1:4" x14ac:dyDescent="0.2">
      <c r="A829">
        <v>18</v>
      </c>
      <c r="B829">
        <v>2299.9</v>
      </c>
      <c r="C829">
        <v>2300</v>
      </c>
      <c r="D829" t="s">
        <v>5960</v>
      </c>
    </row>
    <row r="830" spans="1:4" x14ac:dyDescent="0.2">
      <c r="A830">
        <v>19</v>
      </c>
      <c r="B830">
        <v>31.9</v>
      </c>
      <c r="C830">
        <v>32</v>
      </c>
      <c r="D830" t="s">
        <v>5960</v>
      </c>
    </row>
    <row r="831" spans="1:4" x14ac:dyDescent="0.2">
      <c r="A831">
        <v>20</v>
      </c>
      <c r="B831">
        <v>32</v>
      </c>
      <c r="C831">
        <v>32</v>
      </c>
      <c r="D831" t="s">
        <v>5960</v>
      </c>
    </row>
    <row r="832" spans="1:4" x14ac:dyDescent="0.2">
      <c r="A832">
        <v>21</v>
      </c>
      <c r="B832">
        <v>31.9</v>
      </c>
      <c r="C832">
        <v>32</v>
      </c>
      <c r="D832" t="s">
        <v>5960</v>
      </c>
    </row>
    <row r="833" spans="1:4" x14ac:dyDescent="0.2">
      <c r="A833">
        <v>22</v>
      </c>
      <c r="B833">
        <v>32.4</v>
      </c>
      <c r="C833">
        <v>32</v>
      </c>
      <c r="D833" t="s">
        <v>5960</v>
      </c>
    </row>
    <row r="834" spans="1:4" x14ac:dyDescent="0.2">
      <c r="A834">
        <v>23</v>
      </c>
      <c r="B834">
        <v>32.1</v>
      </c>
      <c r="C834">
        <v>32</v>
      </c>
      <c r="D834" t="s">
        <v>5960</v>
      </c>
    </row>
    <row r="835" spans="1:4" x14ac:dyDescent="0.2">
      <c r="A835">
        <v>24</v>
      </c>
      <c r="B835">
        <v>31.5</v>
      </c>
      <c r="C835">
        <v>32</v>
      </c>
      <c r="D835" t="s">
        <v>5960</v>
      </c>
    </row>
    <row r="836" spans="1:4" x14ac:dyDescent="0.2">
      <c r="A836">
        <v>19</v>
      </c>
      <c r="B836">
        <v>499.7</v>
      </c>
      <c r="C836">
        <v>500</v>
      </c>
      <c r="D836" t="s">
        <v>5960</v>
      </c>
    </row>
    <row r="837" spans="1:4" x14ac:dyDescent="0.2">
      <c r="A837">
        <v>20</v>
      </c>
      <c r="B837">
        <v>499.8</v>
      </c>
      <c r="C837">
        <v>500</v>
      </c>
      <c r="D837" t="s">
        <v>5960</v>
      </c>
    </row>
    <row r="838" spans="1:4" x14ac:dyDescent="0.2">
      <c r="A838">
        <v>21</v>
      </c>
      <c r="B838">
        <v>499.7</v>
      </c>
      <c r="C838">
        <v>500</v>
      </c>
      <c r="D838" t="s">
        <v>5960</v>
      </c>
    </row>
    <row r="839" spans="1:4" x14ac:dyDescent="0.2">
      <c r="A839">
        <v>22</v>
      </c>
      <c r="B839">
        <v>500.1</v>
      </c>
      <c r="C839">
        <v>500</v>
      </c>
      <c r="D839" t="s">
        <v>5960</v>
      </c>
    </row>
    <row r="840" spans="1:4" x14ac:dyDescent="0.2">
      <c r="A840">
        <v>23</v>
      </c>
      <c r="B840">
        <v>499.9</v>
      </c>
      <c r="C840">
        <v>500</v>
      </c>
      <c r="D840" t="s">
        <v>5960</v>
      </c>
    </row>
    <row r="841" spans="1:4" x14ac:dyDescent="0.2">
      <c r="A841">
        <v>24</v>
      </c>
      <c r="B841">
        <v>499.5</v>
      </c>
      <c r="C841">
        <v>500</v>
      </c>
      <c r="D841" t="s">
        <v>5960</v>
      </c>
    </row>
    <row r="842" spans="1:4" x14ac:dyDescent="0.2">
      <c r="A842">
        <v>19</v>
      </c>
      <c r="B842">
        <v>999.6</v>
      </c>
      <c r="C842">
        <v>1000</v>
      </c>
      <c r="D842" t="s">
        <v>5960</v>
      </c>
    </row>
    <row r="843" spans="1:4" x14ac:dyDescent="0.2">
      <c r="A843">
        <v>20</v>
      </c>
      <c r="B843">
        <v>999.7</v>
      </c>
      <c r="C843">
        <v>1000</v>
      </c>
      <c r="D843" t="s">
        <v>5960</v>
      </c>
    </row>
    <row r="844" spans="1:4" x14ac:dyDescent="0.2">
      <c r="A844">
        <v>21</v>
      </c>
      <c r="B844">
        <v>999.7</v>
      </c>
      <c r="C844">
        <v>1000</v>
      </c>
      <c r="D844" t="s">
        <v>5960</v>
      </c>
    </row>
    <row r="845" spans="1:4" x14ac:dyDescent="0.2">
      <c r="A845">
        <v>22</v>
      </c>
      <c r="B845">
        <v>1000</v>
      </c>
      <c r="C845">
        <v>1000</v>
      </c>
      <c r="D845" t="s">
        <v>5960</v>
      </c>
    </row>
    <row r="846" spans="1:4" x14ac:dyDescent="0.2">
      <c r="A846">
        <v>23</v>
      </c>
      <c r="B846">
        <v>999.8</v>
      </c>
      <c r="C846">
        <v>1000</v>
      </c>
      <c r="D846" t="s">
        <v>5960</v>
      </c>
    </row>
    <row r="847" spans="1:4" x14ac:dyDescent="0.2">
      <c r="A847">
        <v>24</v>
      </c>
      <c r="B847">
        <v>999.5</v>
      </c>
      <c r="C847">
        <v>1000</v>
      </c>
      <c r="D847" t="s">
        <v>5960</v>
      </c>
    </row>
    <row r="848" spans="1:4" x14ac:dyDescent="0.2">
      <c r="A848">
        <v>19</v>
      </c>
      <c r="B848">
        <v>1499.5</v>
      </c>
      <c r="C848">
        <v>1500</v>
      </c>
      <c r="D848" t="s">
        <v>5960</v>
      </c>
    </row>
    <row r="849" spans="1:4" x14ac:dyDescent="0.2">
      <c r="A849">
        <v>20</v>
      </c>
      <c r="B849">
        <v>1499.7</v>
      </c>
      <c r="C849">
        <v>1500</v>
      </c>
      <c r="D849" t="s">
        <v>5960</v>
      </c>
    </row>
    <row r="850" spans="1:4" x14ac:dyDescent="0.2">
      <c r="A850">
        <v>21</v>
      </c>
      <c r="B850">
        <v>1499.7</v>
      </c>
      <c r="C850">
        <v>1500</v>
      </c>
      <c r="D850" t="s">
        <v>5960</v>
      </c>
    </row>
    <row r="851" spans="1:4" x14ac:dyDescent="0.2">
      <c r="A851">
        <v>22</v>
      </c>
      <c r="B851">
        <v>1499.8</v>
      </c>
      <c r="C851">
        <v>1500</v>
      </c>
      <c r="D851" t="s">
        <v>5960</v>
      </c>
    </row>
    <row r="852" spans="1:4" x14ac:dyDescent="0.2">
      <c r="A852">
        <v>23</v>
      </c>
      <c r="B852">
        <v>1499.8</v>
      </c>
      <c r="C852">
        <v>1500</v>
      </c>
      <c r="D852" t="s">
        <v>5960</v>
      </c>
    </row>
    <row r="853" spans="1:4" x14ac:dyDescent="0.2">
      <c r="A853">
        <v>24</v>
      </c>
      <c r="B853">
        <v>1499.5</v>
      </c>
      <c r="C853">
        <v>1500</v>
      </c>
      <c r="D853" t="s">
        <v>5960</v>
      </c>
    </row>
    <row r="854" spans="1:4" x14ac:dyDescent="0.2">
      <c r="A854">
        <v>19</v>
      </c>
      <c r="B854">
        <v>1999.7</v>
      </c>
      <c r="C854">
        <v>2000</v>
      </c>
      <c r="D854" t="s">
        <v>5960</v>
      </c>
    </row>
    <row r="855" spans="1:4" x14ac:dyDescent="0.2">
      <c r="A855">
        <v>20</v>
      </c>
      <c r="B855">
        <v>1999.9</v>
      </c>
      <c r="C855">
        <v>2000</v>
      </c>
      <c r="D855" t="s">
        <v>5960</v>
      </c>
    </row>
    <row r="856" spans="1:4" x14ac:dyDescent="0.2">
      <c r="A856">
        <v>21</v>
      </c>
      <c r="B856">
        <v>1999.9</v>
      </c>
      <c r="C856">
        <v>2000</v>
      </c>
      <c r="D856" t="s">
        <v>5960</v>
      </c>
    </row>
    <row r="857" spans="1:4" x14ac:dyDescent="0.2">
      <c r="A857">
        <v>22</v>
      </c>
      <c r="B857">
        <v>1999.9</v>
      </c>
      <c r="C857">
        <v>2000</v>
      </c>
      <c r="D857" t="s">
        <v>5960</v>
      </c>
    </row>
    <row r="858" spans="1:4" x14ac:dyDescent="0.2">
      <c r="A858">
        <v>23</v>
      </c>
      <c r="B858">
        <v>1999.9</v>
      </c>
      <c r="C858">
        <v>2000</v>
      </c>
      <c r="D858" t="s">
        <v>5960</v>
      </c>
    </row>
    <row r="859" spans="1:4" x14ac:dyDescent="0.2">
      <c r="A859">
        <v>24</v>
      </c>
      <c r="B859">
        <v>1999.6</v>
      </c>
      <c r="C859">
        <v>2000</v>
      </c>
      <c r="D859" t="s">
        <v>5960</v>
      </c>
    </row>
    <row r="860" spans="1:4" x14ac:dyDescent="0.2">
      <c r="A860">
        <v>19</v>
      </c>
      <c r="B860">
        <v>2299.6999999999998</v>
      </c>
      <c r="C860">
        <v>2300</v>
      </c>
      <c r="D860" t="s">
        <v>5960</v>
      </c>
    </row>
    <row r="861" spans="1:4" x14ac:dyDescent="0.2">
      <c r="A861">
        <v>20</v>
      </c>
      <c r="B861">
        <v>2300</v>
      </c>
      <c r="C861">
        <v>2300</v>
      </c>
      <c r="D861" t="s">
        <v>5960</v>
      </c>
    </row>
    <row r="862" spans="1:4" x14ac:dyDescent="0.2">
      <c r="A862">
        <v>21</v>
      </c>
      <c r="B862">
        <v>2300</v>
      </c>
      <c r="C862">
        <v>2300</v>
      </c>
      <c r="D862" t="s">
        <v>5960</v>
      </c>
    </row>
    <row r="863" spans="1:4" x14ac:dyDescent="0.2">
      <c r="A863">
        <v>22</v>
      </c>
      <c r="B863">
        <v>2299.9</v>
      </c>
      <c r="C863">
        <v>2300</v>
      </c>
      <c r="D863" t="s">
        <v>5960</v>
      </c>
    </row>
    <row r="864" spans="1:4" x14ac:dyDescent="0.2">
      <c r="A864">
        <v>23</v>
      </c>
      <c r="B864">
        <v>2300</v>
      </c>
      <c r="C864">
        <v>2300</v>
      </c>
      <c r="D864" t="s">
        <v>5960</v>
      </c>
    </row>
    <row r="865" spans="1:4" x14ac:dyDescent="0.2">
      <c r="A865">
        <v>24</v>
      </c>
      <c r="B865">
        <v>2299.6</v>
      </c>
      <c r="C865">
        <v>2300</v>
      </c>
      <c r="D865" t="s">
        <v>5960</v>
      </c>
    </row>
    <row r="866" spans="1:4" x14ac:dyDescent="0.2">
      <c r="A866">
        <v>25</v>
      </c>
      <c r="B866">
        <v>32.1</v>
      </c>
      <c r="C866">
        <v>32</v>
      </c>
      <c r="D866" t="s">
        <v>5960</v>
      </c>
    </row>
    <row r="867" spans="1:4" x14ac:dyDescent="0.2">
      <c r="A867">
        <v>26</v>
      </c>
      <c r="B867">
        <v>32</v>
      </c>
      <c r="C867">
        <v>32</v>
      </c>
      <c r="D867" t="s">
        <v>5960</v>
      </c>
    </row>
    <row r="868" spans="1:4" x14ac:dyDescent="0.2">
      <c r="A868">
        <v>27</v>
      </c>
      <c r="B868">
        <v>32</v>
      </c>
      <c r="C868">
        <v>32</v>
      </c>
      <c r="D868" t="s">
        <v>5960</v>
      </c>
    </row>
    <row r="869" spans="1:4" x14ac:dyDescent="0.2">
      <c r="A869">
        <v>28</v>
      </c>
      <c r="B869">
        <v>32</v>
      </c>
      <c r="C869">
        <v>32</v>
      </c>
      <c r="D869" t="s">
        <v>5960</v>
      </c>
    </row>
    <row r="870" spans="1:4" x14ac:dyDescent="0.2">
      <c r="A870">
        <v>25</v>
      </c>
      <c r="B870">
        <v>499.6</v>
      </c>
      <c r="C870">
        <v>500</v>
      </c>
      <c r="D870" t="s">
        <v>5960</v>
      </c>
    </row>
    <row r="871" spans="1:4" x14ac:dyDescent="0.2">
      <c r="A871">
        <v>26</v>
      </c>
      <c r="B871">
        <v>500.1</v>
      </c>
      <c r="C871">
        <v>500</v>
      </c>
      <c r="D871" t="s">
        <v>5960</v>
      </c>
    </row>
    <row r="872" spans="1:4" x14ac:dyDescent="0.2">
      <c r="A872">
        <v>27</v>
      </c>
      <c r="B872">
        <v>499.7</v>
      </c>
      <c r="C872">
        <v>500</v>
      </c>
      <c r="D872" t="s">
        <v>5960</v>
      </c>
    </row>
    <row r="873" spans="1:4" x14ac:dyDescent="0.2">
      <c r="A873">
        <v>28</v>
      </c>
      <c r="B873">
        <v>500</v>
      </c>
      <c r="C873">
        <v>500</v>
      </c>
      <c r="D873" t="s">
        <v>5960</v>
      </c>
    </row>
    <row r="874" spans="1:4" x14ac:dyDescent="0.2">
      <c r="A874">
        <v>25</v>
      </c>
      <c r="B874">
        <v>999.5</v>
      </c>
      <c r="C874">
        <v>1000</v>
      </c>
      <c r="D874" t="s">
        <v>5960</v>
      </c>
    </row>
    <row r="875" spans="1:4" x14ac:dyDescent="0.2">
      <c r="A875">
        <v>26</v>
      </c>
      <c r="B875">
        <v>1000.1</v>
      </c>
      <c r="C875">
        <v>1000</v>
      </c>
      <c r="D875" t="s">
        <v>5960</v>
      </c>
    </row>
    <row r="876" spans="1:4" x14ac:dyDescent="0.2">
      <c r="A876">
        <v>27</v>
      </c>
      <c r="B876">
        <v>999.7</v>
      </c>
      <c r="C876">
        <v>1000</v>
      </c>
      <c r="D876" t="s">
        <v>5960</v>
      </c>
    </row>
    <row r="877" spans="1:4" x14ac:dyDescent="0.2">
      <c r="A877">
        <v>28</v>
      </c>
      <c r="B877">
        <v>999.9</v>
      </c>
      <c r="C877">
        <v>1000</v>
      </c>
      <c r="D877" t="s">
        <v>5960</v>
      </c>
    </row>
    <row r="878" spans="1:4" x14ac:dyDescent="0.2">
      <c r="A878">
        <v>25</v>
      </c>
      <c r="B878">
        <v>1499.2</v>
      </c>
      <c r="C878">
        <v>1500</v>
      </c>
      <c r="D878" t="s">
        <v>5960</v>
      </c>
    </row>
    <row r="879" spans="1:4" x14ac:dyDescent="0.2">
      <c r="A879">
        <v>26</v>
      </c>
      <c r="B879">
        <v>1500</v>
      </c>
      <c r="C879">
        <v>1500</v>
      </c>
      <c r="D879" t="s">
        <v>5960</v>
      </c>
    </row>
    <row r="880" spans="1:4" x14ac:dyDescent="0.2">
      <c r="A880">
        <v>27</v>
      </c>
      <c r="B880">
        <v>1499.6</v>
      </c>
      <c r="C880">
        <v>1500</v>
      </c>
      <c r="D880" t="s">
        <v>5960</v>
      </c>
    </row>
    <row r="881" spans="1:4" x14ac:dyDescent="0.2">
      <c r="A881">
        <v>28</v>
      </c>
      <c r="B881">
        <v>1499.8</v>
      </c>
      <c r="C881">
        <v>1500</v>
      </c>
      <c r="D881" t="s">
        <v>5960</v>
      </c>
    </row>
    <row r="882" spans="1:4" x14ac:dyDescent="0.2">
      <c r="A882">
        <v>25</v>
      </c>
      <c r="B882">
        <v>1999.3</v>
      </c>
      <c r="C882">
        <v>2000</v>
      </c>
      <c r="D882" t="s">
        <v>5960</v>
      </c>
    </row>
    <row r="883" spans="1:4" x14ac:dyDescent="0.2">
      <c r="A883">
        <v>26</v>
      </c>
      <c r="B883">
        <v>2000.1</v>
      </c>
      <c r="C883">
        <v>2000</v>
      </c>
      <c r="D883" t="s">
        <v>5960</v>
      </c>
    </row>
    <row r="884" spans="1:4" x14ac:dyDescent="0.2">
      <c r="A884">
        <v>27</v>
      </c>
      <c r="B884">
        <v>1999.7</v>
      </c>
      <c r="C884">
        <v>2000</v>
      </c>
      <c r="D884" t="s">
        <v>5960</v>
      </c>
    </row>
    <row r="885" spans="1:4" x14ac:dyDescent="0.2">
      <c r="A885">
        <v>28</v>
      </c>
      <c r="B885">
        <v>1999.9</v>
      </c>
      <c r="C885">
        <v>2000</v>
      </c>
      <c r="D885" t="s">
        <v>5960</v>
      </c>
    </row>
    <row r="886" spans="1:4" x14ac:dyDescent="0.2">
      <c r="A886">
        <v>25</v>
      </c>
      <c r="B886">
        <v>2299.3000000000002</v>
      </c>
      <c r="C886">
        <v>2300</v>
      </c>
      <c r="D886" t="s">
        <v>5960</v>
      </c>
    </row>
    <row r="887" spans="1:4" x14ac:dyDescent="0.2">
      <c r="A887">
        <v>26</v>
      </c>
      <c r="B887">
        <v>2300.1</v>
      </c>
      <c r="C887">
        <v>2300</v>
      </c>
      <c r="D887" t="s">
        <v>5960</v>
      </c>
    </row>
    <row r="888" spans="1:4" x14ac:dyDescent="0.2">
      <c r="A888">
        <v>27</v>
      </c>
      <c r="B888">
        <v>2299.8000000000002</v>
      </c>
      <c r="C888">
        <v>2300</v>
      </c>
      <c r="D888" t="s">
        <v>5960</v>
      </c>
    </row>
    <row r="889" spans="1:4" x14ac:dyDescent="0.2">
      <c r="A889">
        <v>28</v>
      </c>
      <c r="B889">
        <v>2300</v>
      </c>
      <c r="C889">
        <v>2300</v>
      </c>
      <c r="D889" t="s">
        <v>5960</v>
      </c>
    </row>
    <row r="890" spans="1:4" x14ac:dyDescent="0.2">
      <c r="A890">
        <v>1</v>
      </c>
      <c r="B890">
        <v>10.1</v>
      </c>
      <c r="C890">
        <v>10</v>
      </c>
      <c r="D890" t="s">
        <v>5961</v>
      </c>
    </row>
    <row r="891" spans="1:4" x14ac:dyDescent="0.2">
      <c r="A891">
        <v>2</v>
      </c>
      <c r="B891">
        <v>9.8000000000000007</v>
      </c>
      <c r="C891">
        <v>10</v>
      </c>
      <c r="D891" t="s">
        <v>5961</v>
      </c>
    </row>
    <row r="892" spans="1:4" x14ac:dyDescent="0.2">
      <c r="A892">
        <v>3</v>
      </c>
      <c r="B892">
        <v>9.9</v>
      </c>
      <c r="C892">
        <v>10</v>
      </c>
      <c r="D892" t="s">
        <v>5961</v>
      </c>
    </row>
    <row r="893" spans="1:4" x14ac:dyDescent="0.2">
      <c r="A893">
        <v>4</v>
      </c>
      <c r="B893">
        <v>10</v>
      </c>
      <c r="C893">
        <v>10</v>
      </c>
      <c r="D893" t="s">
        <v>5961</v>
      </c>
    </row>
    <row r="894" spans="1:4" x14ac:dyDescent="0.2">
      <c r="A894">
        <v>5</v>
      </c>
      <c r="B894">
        <v>10</v>
      </c>
      <c r="C894">
        <v>10</v>
      </c>
      <c r="D894" t="s">
        <v>5961</v>
      </c>
    </row>
    <row r="895" spans="1:4" x14ac:dyDescent="0.2">
      <c r="A895">
        <v>6</v>
      </c>
      <c r="B895">
        <v>10</v>
      </c>
      <c r="C895">
        <v>10</v>
      </c>
      <c r="D895" t="s">
        <v>5961</v>
      </c>
    </row>
    <row r="896" spans="1:4" x14ac:dyDescent="0.2">
      <c r="A896">
        <v>1</v>
      </c>
      <c r="B896">
        <v>500</v>
      </c>
      <c r="C896">
        <v>500</v>
      </c>
      <c r="D896" t="s">
        <v>5961</v>
      </c>
    </row>
    <row r="897" spans="1:4" x14ac:dyDescent="0.2">
      <c r="A897">
        <v>2</v>
      </c>
      <c r="B897">
        <v>499.8</v>
      </c>
      <c r="C897">
        <v>500</v>
      </c>
      <c r="D897" t="s">
        <v>5961</v>
      </c>
    </row>
    <row r="898" spans="1:4" x14ac:dyDescent="0.2">
      <c r="A898">
        <v>3</v>
      </c>
      <c r="B898">
        <v>499.9</v>
      </c>
      <c r="C898">
        <v>500</v>
      </c>
      <c r="D898" t="s">
        <v>5961</v>
      </c>
    </row>
    <row r="899" spans="1:4" x14ac:dyDescent="0.2">
      <c r="A899">
        <v>4</v>
      </c>
      <c r="B899">
        <v>500</v>
      </c>
      <c r="C899">
        <v>500</v>
      </c>
      <c r="D899" t="s">
        <v>5961</v>
      </c>
    </row>
    <row r="900" spans="1:4" x14ac:dyDescent="0.2">
      <c r="A900">
        <v>5</v>
      </c>
      <c r="B900">
        <v>499.9</v>
      </c>
      <c r="C900">
        <v>500</v>
      </c>
      <c r="D900" t="s">
        <v>5961</v>
      </c>
    </row>
    <row r="901" spans="1:4" x14ac:dyDescent="0.2">
      <c r="A901">
        <v>6</v>
      </c>
      <c r="B901">
        <v>500</v>
      </c>
      <c r="C901">
        <v>500</v>
      </c>
      <c r="D901" t="s">
        <v>5961</v>
      </c>
    </row>
    <row r="902" spans="1:4" x14ac:dyDescent="0.2">
      <c r="A902">
        <v>1</v>
      </c>
      <c r="B902">
        <v>1000</v>
      </c>
      <c r="C902">
        <v>1000</v>
      </c>
      <c r="D902" t="s">
        <v>5961</v>
      </c>
    </row>
    <row r="903" spans="1:4" x14ac:dyDescent="0.2">
      <c r="A903">
        <v>2</v>
      </c>
      <c r="B903">
        <v>999.9</v>
      </c>
      <c r="C903">
        <v>1000</v>
      </c>
      <c r="D903" t="s">
        <v>5961</v>
      </c>
    </row>
    <row r="904" spans="1:4" x14ac:dyDescent="0.2">
      <c r="A904">
        <v>3</v>
      </c>
      <c r="B904">
        <v>1000</v>
      </c>
      <c r="C904">
        <v>1000</v>
      </c>
      <c r="D904" t="s">
        <v>5961</v>
      </c>
    </row>
    <row r="905" spans="1:4" x14ac:dyDescent="0.2">
      <c r="A905">
        <v>4</v>
      </c>
      <c r="B905">
        <v>1000.1</v>
      </c>
      <c r="C905">
        <v>1000</v>
      </c>
      <c r="D905" t="s">
        <v>5961</v>
      </c>
    </row>
    <row r="906" spans="1:4" x14ac:dyDescent="0.2">
      <c r="A906">
        <v>5</v>
      </c>
      <c r="B906">
        <v>999.9</v>
      </c>
      <c r="C906">
        <v>1000</v>
      </c>
      <c r="D906" t="s">
        <v>5961</v>
      </c>
    </row>
    <row r="907" spans="1:4" x14ac:dyDescent="0.2">
      <c r="A907">
        <v>6</v>
      </c>
      <c r="B907">
        <v>1000.1</v>
      </c>
      <c r="C907">
        <v>1000</v>
      </c>
      <c r="D907" t="s">
        <v>5961</v>
      </c>
    </row>
    <row r="908" spans="1:4" x14ac:dyDescent="0.2">
      <c r="A908">
        <v>1</v>
      </c>
      <c r="B908">
        <v>1500.1</v>
      </c>
      <c r="C908">
        <v>1500</v>
      </c>
      <c r="D908" t="s">
        <v>5961</v>
      </c>
    </row>
    <row r="909" spans="1:4" x14ac:dyDescent="0.2">
      <c r="A909">
        <v>2</v>
      </c>
      <c r="B909">
        <v>1499.9</v>
      </c>
      <c r="C909">
        <v>1500</v>
      </c>
      <c r="D909" t="s">
        <v>5961</v>
      </c>
    </row>
    <row r="910" spans="1:4" x14ac:dyDescent="0.2">
      <c r="A910">
        <v>3</v>
      </c>
      <c r="B910">
        <v>1500.1</v>
      </c>
      <c r="C910">
        <v>1500</v>
      </c>
      <c r="D910" t="s">
        <v>5961</v>
      </c>
    </row>
    <row r="911" spans="1:4" x14ac:dyDescent="0.2">
      <c r="A911">
        <v>4</v>
      </c>
      <c r="B911">
        <v>1500.1</v>
      </c>
      <c r="C911">
        <v>1500</v>
      </c>
      <c r="D911" t="s">
        <v>5961</v>
      </c>
    </row>
    <row r="912" spans="1:4" x14ac:dyDescent="0.2">
      <c r="A912">
        <v>5</v>
      </c>
      <c r="B912">
        <v>1499.8</v>
      </c>
      <c r="C912">
        <v>1500</v>
      </c>
      <c r="D912" t="s">
        <v>5961</v>
      </c>
    </row>
    <row r="913" spans="1:4" x14ac:dyDescent="0.2">
      <c r="A913">
        <v>6</v>
      </c>
      <c r="B913">
        <v>1500.1</v>
      </c>
      <c r="C913">
        <v>1500</v>
      </c>
      <c r="D913" t="s">
        <v>5961</v>
      </c>
    </row>
    <row r="914" spans="1:4" x14ac:dyDescent="0.2">
      <c r="A914">
        <v>1</v>
      </c>
      <c r="B914">
        <v>2000.1</v>
      </c>
      <c r="C914">
        <v>2000</v>
      </c>
      <c r="D914" t="s">
        <v>5961</v>
      </c>
    </row>
    <row r="915" spans="1:4" x14ac:dyDescent="0.2">
      <c r="A915">
        <v>2</v>
      </c>
      <c r="B915">
        <v>1999.9</v>
      </c>
      <c r="C915">
        <v>2000</v>
      </c>
      <c r="D915" t="s">
        <v>5961</v>
      </c>
    </row>
    <row r="916" spans="1:4" x14ac:dyDescent="0.2">
      <c r="A916">
        <v>3</v>
      </c>
      <c r="B916">
        <v>2000.1</v>
      </c>
      <c r="C916">
        <v>2000</v>
      </c>
      <c r="D916" t="s">
        <v>5961</v>
      </c>
    </row>
    <row r="917" spans="1:4" x14ac:dyDescent="0.2">
      <c r="A917">
        <v>4</v>
      </c>
      <c r="B917">
        <v>2000.1</v>
      </c>
      <c r="C917">
        <v>2000</v>
      </c>
      <c r="D917" t="s">
        <v>5961</v>
      </c>
    </row>
    <row r="918" spans="1:4" x14ac:dyDescent="0.2">
      <c r="A918">
        <v>5</v>
      </c>
      <c r="B918">
        <v>1999.8</v>
      </c>
      <c r="C918">
        <v>2000</v>
      </c>
      <c r="D918" t="s">
        <v>5961</v>
      </c>
    </row>
    <row r="919" spans="1:4" x14ac:dyDescent="0.2">
      <c r="A919">
        <v>6</v>
      </c>
      <c r="B919">
        <v>2000.1</v>
      </c>
      <c r="C919">
        <v>2000</v>
      </c>
      <c r="D919" t="s">
        <v>5961</v>
      </c>
    </row>
    <row r="920" spans="1:4" x14ac:dyDescent="0.2">
      <c r="A920">
        <v>1</v>
      </c>
      <c r="B920">
        <v>2250.1</v>
      </c>
      <c r="C920">
        <v>2250</v>
      </c>
      <c r="D920" t="s">
        <v>5961</v>
      </c>
    </row>
    <row r="921" spans="1:4" x14ac:dyDescent="0.2">
      <c r="A921">
        <v>2</v>
      </c>
      <c r="B921">
        <v>2250</v>
      </c>
      <c r="C921">
        <v>2250</v>
      </c>
      <c r="D921" t="s">
        <v>5961</v>
      </c>
    </row>
    <row r="922" spans="1:4" x14ac:dyDescent="0.2">
      <c r="A922">
        <v>3</v>
      </c>
      <c r="B922">
        <v>2250.1999999999998</v>
      </c>
      <c r="C922">
        <v>2250</v>
      </c>
      <c r="D922" t="s">
        <v>5961</v>
      </c>
    </row>
    <row r="923" spans="1:4" x14ac:dyDescent="0.2">
      <c r="A923">
        <v>4</v>
      </c>
      <c r="B923">
        <v>2250.1999999999998</v>
      </c>
      <c r="C923">
        <v>2250</v>
      </c>
      <c r="D923" t="s">
        <v>5961</v>
      </c>
    </row>
    <row r="924" spans="1:4" x14ac:dyDescent="0.2">
      <c r="A924">
        <v>5</v>
      </c>
      <c r="B924">
        <v>2249.9</v>
      </c>
      <c r="C924">
        <v>2250</v>
      </c>
      <c r="D924" t="s">
        <v>5961</v>
      </c>
    </row>
    <row r="925" spans="1:4" x14ac:dyDescent="0.2">
      <c r="A925">
        <v>6</v>
      </c>
      <c r="B925">
        <v>2250.1999999999998</v>
      </c>
      <c r="C925">
        <v>2250</v>
      </c>
      <c r="D925" t="s">
        <v>5961</v>
      </c>
    </row>
    <row r="926" spans="1:4" x14ac:dyDescent="0.2">
      <c r="A926">
        <v>7</v>
      </c>
      <c r="B926">
        <v>9.8000000000000007</v>
      </c>
      <c r="C926">
        <v>10</v>
      </c>
      <c r="D926" t="s">
        <v>5961</v>
      </c>
    </row>
    <row r="927" spans="1:4" x14ac:dyDescent="0.2">
      <c r="A927">
        <v>8</v>
      </c>
      <c r="B927">
        <v>10</v>
      </c>
      <c r="C927">
        <v>10</v>
      </c>
      <c r="D927" t="s">
        <v>5961</v>
      </c>
    </row>
    <row r="928" spans="1:4" x14ac:dyDescent="0.2">
      <c r="A928">
        <v>9</v>
      </c>
      <c r="B928">
        <v>9.9</v>
      </c>
      <c r="C928">
        <v>10</v>
      </c>
      <c r="D928" t="s">
        <v>5961</v>
      </c>
    </row>
    <row r="929" spans="1:4" x14ac:dyDescent="0.2">
      <c r="A929">
        <v>10</v>
      </c>
      <c r="B929">
        <v>9.9</v>
      </c>
      <c r="C929">
        <v>10</v>
      </c>
      <c r="D929" t="s">
        <v>5961</v>
      </c>
    </row>
    <row r="930" spans="1:4" x14ac:dyDescent="0.2">
      <c r="A930">
        <v>11</v>
      </c>
      <c r="B930">
        <v>9.9</v>
      </c>
      <c r="C930">
        <v>10</v>
      </c>
      <c r="D930" t="s">
        <v>5961</v>
      </c>
    </row>
    <row r="931" spans="1:4" x14ac:dyDescent="0.2">
      <c r="A931">
        <v>12</v>
      </c>
      <c r="B931">
        <v>9.8000000000000007</v>
      </c>
      <c r="C931">
        <v>10</v>
      </c>
      <c r="D931" t="s">
        <v>5961</v>
      </c>
    </row>
    <row r="932" spans="1:4" x14ac:dyDescent="0.2">
      <c r="A932">
        <v>7</v>
      </c>
      <c r="B932">
        <v>499.7</v>
      </c>
      <c r="C932">
        <v>500</v>
      </c>
      <c r="D932" t="s">
        <v>5961</v>
      </c>
    </row>
    <row r="933" spans="1:4" x14ac:dyDescent="0.2">
      <c r="A933">
        <v>8</v>
      </c>
      <c r="B933">
        <v>500</v>
      </c>
      <c r="C933">
        <v>500</v>
      </c>
      <c r="D933" t="s">
        <v>5961</v>
      </c>
    </row>
    <row r="934" spans="1:4" x14ac:dyDescent="0.2">
      <c r="A934">
        <v>9</v>
      </c>
      <c r="B934">
        <v>499.9</v>
      </c>
      <c r="C934">
        <v>500</v>
      </c>
      <c r="D934" t="s">
        <v>5961</v>
      </c>
    </row>
    <row r="935" spans="1:4" x14ac:dyDescent="0.2">
      <c r="A935">
        <v>10</v>
      </c>
      <c r="B935">
        <v>499.9</v>
      </c>
      <c r="C935">
        <v>500</v>
      </c>
      <c r="D935" t="s">
        <v>5961</v>
      </c>
    </row>
    <row r="936" spans="1:4" x14ac:dyDescent="0.2">
      <c r="A936">
        <v>11</v>
      </c>
      <c r="B936">
        <v>499.8</v>
      </c>
      <c r="C936">
        <v>500</v>
      </c>
      <c r="D936" t="s">
        <v>5961</v>
      </c>
    </row>
    <row r="937" spans="1:4" x14ac:dyDescent="0.2">
      <c r="A937">
        <v>12</v>
      </c>
      <c r="B937">
        <v>499.7</v>
      </c>
      <c r="C937">
        <v>500</v>
      </c>
      <c r="D937" t="s">
        <v>5961</v>
      </c>
    </row>
    <row r="938" spans="1:4" x14ac:dyDescent="0.2">
      <c r="A938">
        <v>7</v>
      </c>
      <c r="B938">
        <v>999.7</v>
      </c>
      <c r="C938">
        <v>1000</v>
      </c>
      <c r="D938" t="s">
        <v>5961</v>
      </c>
    </row>
    <row r="939" spans="1:4" x14ac:dyDescent="0.2">
      <c r="A939">
        <v>8</v>
      </c>
      <c r="B939">
        <v>999.9</v>
      </c>
      <c r="C939">
        <v>1000</v>
      </c>
      <c r="D939" t="s">
        <v>5961</v>
      </c>
    </row>
    <row r="940" spans="1:4" x14ac:dyDescent="0.2">
      <c r="A940">
        <v>9</v>
      </c>
      <c r="B940">
        <v>1000</v>
      </c>
      <c r="C940">
        <v>1000</v>
      </c>
      <c r="D940" t="s">
        <v>5961</v>
      </c>
    </row>
    <row r="941" spans="1:4" x14ac:dyDescent="0.2">
      <c r="A941">
        <v>10</v>
      </c>
      <c r="B941">
        <v>1000.1</v>
      </c>
      <c r="C941">
        <v>1000</v>
      </c>
      <c r="D941" t="s">
        <v>5961</v>
      </c>
    </row>
    <row r="942" spans="1:4" x14ac:dyDescent="0.2">
      <c r="A942">
        <v>11</v>
      </c>
      <c r="B942">
        <v>999.9</v>
      </c>
      <c r="C942">
        <v>1000</v>
      </c>
      <c r="D942" t="s">
        <v>5961</v>
      </c>
    </row>
    <row r="943" spans="1:4" x14ac:dyDescent="0.2">
      <c r="A943">
        <v>12</v>
      </c>
      <c r="B943">
        <v>999.9</v>
      </c>
      <c r="C943">
        <v>1000</v>
      </c>
      <c r="D943" t="s">
        <v>5961</v>
      </c>
    </row>
    <row r="944" spans="1:4" x14ac:dyDescent="0.2">
      <c r="A944">
        <v>7</v>
      </c>
      <c r="B944">
        <v>1499.7</v>
      </c>
      <c r="C944">
        <v>1500</v>
      </c>
      <c r="D944" t="s">
        <v>5961</v>
      </c>
    </row>
    <row r="945" spans="1:4" x14ac:dyDescent="0.2">
      <c r="A945">
        <v>8</v>
      </c>
      <c r="B945">
        <v>1499.8</v>
      </c>
      <c r="C945">
        <v>1500</v>
      </c>
      <c r="D945" t="s">
        <v>5961</v>
      </c>
    </row>
    <row r="946" spans="1:4" x14ac:dyDescent="0.2">
      <c r="A946">
        <v>9</v>
      </c>
      <c r="B946">
        <v>1500</v>
      </c>
      <c r="C946">
        <v>1500</v>
      </c>
      <c r="D946" t="s">
        <v>5961</v>
      </c>
    </row>
    <row r="947" spans="1:4" x14ac:dyDescent="0.2">
      <c r="A947">
        <v>10</v>
      </c>
      <c r="B947">
        <v>1500.1</v>
      </c>
      <c r="C947">
        <v>1500</v>
      </c>
      <c r="D947" t="s">
        <v>5961</v>
      </c>
    </row>
    <row r="948" spans="1:4" x14ac:dyDescent="0.2">
      <c r="A948">
        <v>11</v>
      </c>
      <c r="B948">
        <v>1499.9</v>
      </c>
      <c r="C948">
        <v>1500</v>
      </c>
      <c r="D948" t="s">
        <v>5961</v>
      </c>
    </row>
    <row r="949" spans="1:4" x14ac:dyDescent="0.2">
      <c r="A949">
        <v>12</v>
      </c>
      <c r="B949">
        <v>1499.9</v>
      </c>
      <c r="C949">
        <v>1500</v>
      </c>
      <c r="D949" t="s">
        <v>5961</v>
      </c>
    </row>
    <row r="950" spans="1:4" x14ac:dyDescent="0.2">
      <c r="A950">
        <v>7</v>
      </c>
      <c r="B950">
        <v>1999.7</v>
      </c>
      <c r="C950">
        <v>2000</v>
      </c>
      <c r="D950" t="s">
        <v>5961</v>
      </c>
    </row>
    <row r="951" spans="1:4" x14ac:dyDescent="0.2">
      <c r="A951">
        <v>8</v>
      </c>
      <c r="B951">
        <v>1999.6</v>
      </c>
      <c r="C951">
        <v>2000</v>
      </c>
      <c r="D951" t="s">
        <v>5961</v>
      </c>
    </row>
    <row r="952" spans="1:4" x14ac:dyDescent="0.2">
      <c r="A952">
        <v>9</v>
      </c>
      <c r="B952">
        <v>2000</v>
      </c>
      <c r="C952">
        <v>2000</v>
      </c>
      <c r="D952" t="s">
        <v>5961</v>
      </c>
    </row>
    <row r="953" spans="1:4" x14ac:dyDescent="0.2">
      <c r="A953">
        <v>10</v>
      </c>
      <c r="B953">
        <v>2000.2</v>
      </c>
      <c r="C953">
        <v>2000</v>
      </c>
      <c r="D953" t="s">
        <v>5961</v>
      </c>
    </row>
    <row r="954" spans="1:4" x14ac:dyDescent="0.2">
      <c r="A954">
        <v>11</v>
      </c>
      <c r="B954">
        <v>1999.9</v>
      </c>
      <c r="C954">
        <v>2000</v>
      </c>
      <c r="D954" t="s">
        <v>5961</v>
      </c>
    </row>
    <row r="955" spans="1:4" x14ac:dyDescent="0.2">
      <c r="A955">
        <v>12</v>
      </c>
      <c r="B955">
        <v>1999.9</v>
      </c>
      <c r="C955">
        <v>2000</v>
      </c>
      <c r="D955" t="s">
        <v>5961</v>
      </c>
    </row>
    <row r="956" spans="1:4" x14ac:dyDescent="0.2">
      <c r="A956">
        <v>7</v>
      </c>
      <c r="B956">
        <v>2249.6999999999998</v>
      </c>
      <c r="C956">
        <v>2250</v>
      </c>
      <c r="D956" t="s">
        <v>5961</v>
      </c>
    </row>
    <row r="957" spans="1:4" x14ac:dyDescent="0.2">
      <c r="A957">
        <v>8</v>
      </c>
      <c r="B957">
        <v>2249.6</v>
      </c>
      <c r="C957">
        <v>2250</v>
      </c>
      <c r="D957" t="s">
        <v>5961</v>
      </c>
    </row>
    <row r="958" spans="1:4" x14ac:dyDescent="0.2">
      <c r="A958">
        <v>9</v>
      </c>
      <c r="B958">
        <v>2250</v>
      </c>
      <c r="C958">
        <v>2250</v>
      </c>
      <c r="D958" t="s">
        <v>5961</v>
      </c>
    </row>
    <row r="959" spans="1:4" x14ac:dyDescent="0.2">
      <c r="A959">
        <v>10</v>
      </c>
      <c r="B959">
        <v>2250.3000000000002</v>
      </c>
      <c r="C959">
        <v>2250</v>
      </c>
      <c r="D959" t="s">
        <v>5961</v>
      </c>
    </row>
    <row r="960" spans="1:4" x14ac:dyDescent="0.2">
      <c r="A960">
        <v>11</v>
      </c>
      <c r="B960">
        <v>2250</v>
      </c>
      <c r="C960">
        <v>2250</v>
      </c>
      <c r="D960" t="s">
        <v>5961</v>
      </c>
    </row>
    <row r="961" spans="1:4" x14ac:dyDescent="0.2">
      <c r="A961">
        <v>12</v>
      </c>
      <c r="B961">
        <v>2250</v>
      </c>
      <c r="C961">
        <v>2250</v>
      </c>
      <c r="D961" t="s">
        <v>5961</v>
      </c>
    </row>
    <row r="962" spans="1:4" x14ac:dyDescent="0.2">
      <c r="A962">
        <v>13</v>
      </c>
      <c r="B962">
        <v>10</v>
      </c>
      <c r="C962">
        <v>10</v>
      </c>
      <c r="D962" t="s">
        <v>5961</v>
      </c>
    </row>
    <row r="963" spans="1:4" x14ac:dyDescent="0.2">
      <c r="A963">
        <v>14</v>
      </c>
      <c r="B963">
        <v>10.1</v>
      </c>
      <c r="C963">
        <v>10</v>
      </c>
      <c r="D963" t="s">
        <v>5961</v>
      </c>
    </row>
    <row r="964" spans="1:4" x14ac:dyDescent="0.2">
      <c r="A964">
        <v>15</v>
      </c>
      <c r="B964">
        <v>9.9</v>
      </c>
      <c r="C964">
        <v>10</v>
      </c>
      <c r="D964" t="s">
        <v>5961</v>
      </c>
    </row>
    <row r="965" spans="1:4" x14ac:dyDescent="0.2">
      <c r="A965">
        <v>16</v>
      </c>
      <c r="B965">
        <v>9.8000000000000007</v>
      </c>
      <c r="C965">
        <v>10</v>
      </c>
      <c r="D965" t="s">
        <v>5961</v>
      </c>
    </row>
    <row r="966" spans="1:4" x14ac:dyDescent="0.2">
      <c r="A966">
        <v>17</v>
      </c>
      <c r="B966">
        <v>10</v>
      </c>
      <c r="C966">
        <v>10</v>
      </c>
      <c r="D966" t="s">
        <v>5961</v>
      </c>
    </row>
    <row r="967" spans="1:4" x14ac:dyDescent="0.2">
      <c r="A967">
        <v>18</v>
      </c>
      <c r="B967">
        <v>10</v>
      </c>
      <c r="C967">
        <v>10</v>
      </c>
      <c r="D967" t="s">
        <v>5961</v>
      </c>
    </row>
    <row r="968" spans="1:4" x14ac:dyDescent="0.2">
      <c r="A968">
        <v>13</v>
      </c>
      <c r="B968">
        <v>499.9</v>
      </c>
      <c r="C968">
        <v>500</v>
      </c>
      <c r="D968" t="s">
        <v>5961</v>
      </c>
    </row>
    <row r="969" spans="1:4" x14ac:dyDescent="0.2">
      <c r="A969">
        <v>14</v>
      </c>
      <c r="B969">
        <v>500</v>
      </c>
      <c r="C969">
        <v>500</v>
      </c>
      <c r="D969" t="s">
        <v>5961</v>
      </c>
    </row>
    <row r="970" spans="1:4" x14ac:dyDescent="0.2">
      <c r="A970">
        <v>15</v>
      </c>
      <c r="B970">
        <v>499.7</v>
      </c>
      <c r="C970">
        <v>500</v>
      </c>
      <c r="D970" t="s">
        <v>5961</v>
      </c>
    </row>
    <row r="971" spans="1:4" x14ac:dyDescent="0.2">
      <c r="A971">
        <v>16</v>
      </c>
      <c r="B971">
        <v>499.6</v>
      </c>
      <c r="C971">
        <v>500</v>
      </c>
      <c r="D971" t="s">
        <v>5961</v>
      </c>
    </row>
    <row r="972" spans="1:4" x14ac:dyDescent="0.2">
      <c r="A972">
        <v>17</v>
      </c>
      <c r="B972">
        <v>499.8</v>
      </c>
      <c r="C972">
        <v>500</v>
      </c>
      <c r="D972" t="s">
        <v>5961</v>
      </c>
    </row>
    <row r="973" spans="1:4" x14ac:dyDescent="0.2">
      <c r="A973">
        <v>18</v>
      </c>
      <c r="B973">
        <v>499.7</v>
      </c>
      <c r="C973">
        <v>500</v>
      </c>
      <c r="D973" t="s">
        <v>5961</v>
      </c>
    </row>
    <row r="974" spans="1:4" x14ac:dyDescent="0.2">
      <c r="A974">
        <v>13</v>
      </c>
      <c r="B974">
        <v>1000</v>
      </c>
      <c r="C974">
        <v>1000</v>
      </c>
      <c r="D974" t="s">
        <v>5961</v>
      </c>
    </row>
    <row r="975" spans="1:4" x14ac:dyDescent="0.2">
      <c r="A975">
        <v>14</v>
      </c>
      <c r="B975">
        <v>1000</v>
      </c>
      <c r="C975">
        <v>1000</v>
      </c>
      <c r="D975" t="s">
        <v>5961</v>
      </c>
    </row>
    <row r="976" spans="1:4" x14ac:dyDescent="0.2">
      <c r="A976">
        <v>15</v>
      </c>
      <c r="B976">
        <v>999.7</v>
      </c>
      <c r="C976">
        <v>1000</v>
      </c>
      <c r="D976" t="s">
        <v>5961</v>
      </c>
    </row>
    <row r="977" spans="1:4" x14ac:dyDescent="0.2">
      <c r="A977">
        <v>16</v>
      </c>
      <c r="B977">
        <v>999.7</v>
      </c>
      <c r="C977">
        <v>1000</v>
      </c>
      <c r="D977" t="s">
        <v>5961</v>
      </c>
    </row>
    <row r="978" spans="1:4" x14ac:dyDescent="0.2">
      <c r="A978">
        <v>17</v>
      </c>
      <c r="B978">
        <v>999.9</v>
      </c>
      <c r="C978">
        <v>1000</v>
      </c>
      <c r="D978" t="s">
        <v>5961</v>
      </c>
    </row>
    <row r="979" spans="1:4" x14ac:dyDescent="0.2">
      <c r="A979">
        <v>18</v>
      </c>
      <c r="B979">
        <v>999.8</v>
      </c>
      <c r="C979">
        <v>1000</v>
      </c>
      <c r="D979" t="s">
        <v>5961</v>
      </c>
    </row>
    <row r="980" spans="1:4" x14ac:dyDescent="0.2">
      <c r="A980">
        <v>13</v>
      </c>
      <c r="B980">
        <v>1500.1</v>
      </c>
      <c r="C980">
        <v>1500</v>
      </c>
      <c r="D980" t="s">
        <v>5961</v>
      </c>
    </row>
    <row r="981" spans="1:4" x14ac:dyDescent="0.2">
      <c r="A981">
        <v>14</v>
      </c>
      <c r="B981">
        <v>1500</v>
      </c>
      <c r="C981">
        <v>1500</v>
      </c>
      <c r="D981" t="s">
        <v>5961</v>
      </c>
    </row>
    <row r="982" spans="1:4" x14ac:dyDescent="0.2">
      <c r="A982">
        <v>15</v>
      </c>
      <c r="B982">
        <v>1499.8</v>
      </c>
      <c r="C982">
        <v>1500</v>
      </c>
      <c r="D982" t="s">
        <v>5961</v>
      </c>
    </row>
    <row r="983" spans="1:4" x14ac:dyDescent="0.2">
      <c r="A983">
        <v>16</v>
      </c>
      <c r="B983">
        <v>1499.7</v>
      </c>
      <c r="C983">
        <v>1500</v>
      </c>
      <c r="D983" t="s">
        <v>5961</v>
      </c>
    </row>
    <row r="984" spans="1:4" x14ac:dyDescent="0.2">
      <c r="A984">
        <v>17</v>
      </c>
      <c r="B984">
        <v>1499.9</v>
      </c>
      <c r="C984">
        <v>1500</v>
      </c>
      <c r="D984" t="s">
        <v>5961</v>
      </c>
    </row>
    <row r="985" spans="1:4" x14ac:dyDescent="0.2">
      <c r="A985">
        <v>18</v>
      </c>
      <c r="B985">
        <v>1499.8</v>
      </c>
      <c r="C985">
        <v>1500</v>
      </c>
      <c r="D985" t="s">
        <v>5961</v>
      </c>
    </row>
    <row r="986" spans="1:4" x14ac:dyDescent="0.2">
      <c r="A986">
        <v>13</v>
      </c>
      <c r="B986">
        <v>2000.1</v>
      </c>
      <c r="C986">
        <v>2000</v>
      </c>
      <c r="D986" t="s">
        <v>5961</v>
      </c>
    </row>
    <row r="987" spans="1:4" x14ac:dyDescent="0.2">
      <c r="A987">
        <v>14</v>
      </c>
      <c r="B987">
        <v>1999.9</v>
      </c>
      <c r="C987">
        <v>2000</v>
      </c>
      <c r="D987" t="s">
        <v>5961</v>
      </c>
    </row>
    <row r="988" spans="1:4" x14ac:dyDescent="0.2">
      <c r="A988">
        <v>15</v>
      </c>
      <c r="B988">
        <v>1999.8</v>
      </c>
      <c r="C988">
        <v>2000</v>
      </c>
      <c r="D988" t="s">
        <v>5961</v>
      </c>
    </row>
    <row r="989" spans="1:4" x14ac:dyDescent="0.2">
      <c r="A989">
        <v>16</v>
      </c>
      <c r="B989">
        <v>1999.8</v>
      </c>
      <c r="C989">
        <v>2000</v>
      </c>
      <c r="D989" t="s">
        <v>5961</v>
      </c>
    </row>
    <row r="990" spans="1:4" x14ac:dyDescent="0.2">
      <c r="A990">
        <v>17</v>
      </c>
      <c r="B990">
        <v>1999.9</v>
      </c>
      <c r="C990">
        <v>2000</v>
      </c>
      <c r="D990" t="s">
        <v>5961</v>
      </c>
    </row>
    <row r="991" spans="1:4" x14ac:dyDescent="0.2">
      <c r="A991">
        <v>18</v>
      </c>
      <c r="B991">
        <v>1999.8</v>
      </c>
      <c r="C991">
        <v>2000</v>
      </c>
      <c r="D991" t="s">
        <v>5961</v>
      </c>
    </row>
    <row r="992" spans="1:4" x14ac:dyDescent="0.2">
      <c r="A992">
        <v>13</v>
      </c>
      <c r="B992">
        <v>2250.1999999999998</v>
      </c>
      <c r="C992">
        <v>2250</v>
      </c>
      <c r="D992" t="s">
        <v>5961</v>
      </c>
    </row>
    <row r="993" spans="1:4" x14ac:dyDescent="0.2">
      <c r="A993">
        <v>14</v>
      </c>
      <c r="B993">
        <v>2250</v>
      </c>
      <c r="C993">
        <v>2250</v>
      </c>
      <c r="D993" t="s">
        <v>5961</v>
      </c>
    </row>
    <row r="994" spans="1:4" x14ac:dyDescent="0.2">
      <c r="A994">
        <v>15</v>
      </c>
      <c r="B994">
        <v>2250</v>
      </c>
      <c r="C994">
        <v>2250</v>
      </c>
      <c r="D994" t="s">
        <v>5961</v>
      </c>
    </row>
    <row r="995" spans="1:4" x14ac:dyDescent="0.2">
      <c r="A995">
        <v>16</v>
      </c>
      <c r="B995">
        <v>2249.9</v>
      </c>
      <c r="C995">
        <v>2250</v>
      </c>
      <c r="D995" t="s">
        <v>5961</v>
      </c>
    </row>
    <row r="996" spans="1:4" x14ac:dyDescent="0.2">
      <c r="A996">
        <v>17</v>
      </c>
      <c r="B996">
        <v>2250</v>
      </c>
      <c r="C996">
        <v>2250</v>
      </c>
      <c r="D996" t="s">
        <v>5961</v>
      </c>
    </row>
    <row r="997" spans="1:4" x14ac:dyDescent="0.2">
      <c r="A997">
        <v>18</v>
      </c>
      <c r="B997">
        <v>2249.9</v>
      </c>
      <c r="C997">
        <v>2250</v>
      </c>
      <c r="D997" t="s">
        <v>5961</v>
      </c>
    </row>
    <row r="998" spans="1:4" x14ac:dyDescent="0.2">
      <c r="A998">
        <v>19</v>
      </c>
      <c r="B998">
        <v>9.9</v>
      </c>
      <c r="C998">
        <v>10</v>
      </c>
      <c r="D998" t="s">
        <v>5961</v>
      </c>
    </row>
    <row r="999" spans="1:4" x14ac:dyDescent="0.2">
      <c r="A999">
        <v>20</v>
      </c>
      <c r="B999">
        <v>9.9</v>
      </c>
      <c r="C999">
        <v>10</v>
      </c>
      <c r="D999" t="s">
        <v>5961</v>
      </c>
    </row>
    <row r="1000" spans="1:4" x14ac:dyDescent="0.2">
      <c r="A1000">
        <v>21</v>
      </c>
      <c r="B1000">
        <v>9.9</v>
      </c>
      <c r="C1000">
        <v>10</v>
      </c>
      <c r="D1000" t="s">
        <v>5961</v>
      </c>
    </row>
    <row r="1001" spans="1:4" x14ac:dyDescent="0.2">
      <c r="A1001">
        <v>22</v>
      </c>
      <c r="B1001">
        <v>9.8000000000000007</v>
      </c>
      <c r="C1001">
        <v>10</v>
      </c>
      <c r="D1001" t="s">
        <v>5961</v>
      </c>
    </row>
    <row r="1002" spans="1:4" x14ac:dyDescent="0.2">
      <c r="A1002">
        <v>23</v>
      </c>
      <c r="B1002">
        <v>9.6999999999999993</v>
      </c>
      <c r="C1002">
        <v>10</v>
      </c>
      <c r="D1002" t="s">
        <v>5961</v>
      </c>
    </row>
    <row r="1003" spans="1:4" x14ac:dyDescent="0.2">
      <c r="A1003">
        <v>24</v>
      </c>
      <c r="B1003">
        <v>9.9</v>
      </c>
      <c r="C1003">
        <v>10</v>
      </c>
      <c r="D1003" t="s">
        <v>5961</v>
      </c>
    </row>
    <row r="1004" spans="1:4" x14ac:dyDescent="0.2">
      <c r="A1004">
        <v>19</v>
      </c>
      <c r="B1004">
        <v>499.7</v>
      </c>
      <c r="C1004">
        <v>500</v>
      </c>
      <c r="D1004" t="s">
        <v>5961</v>
      </c>
    </row>
    <row r="1005" spans="1:4" x14ac:dyDescent="0.2">
      <c r="A1005">
        <v>20</v>
      </c>
      <c r="B1005">
        <v>499.6</v>
      </c>
      <c r="C1005">
        <v>500</v>
      </c>
      <c r="D1005" t="s">
        <v>5961</v>
      </c>
    </row>
    <row r="1006" spans="1:4" x14ac:dyDescent="0.2">
      <c r="A1006">
        <v>21</v>
      </c>
      <c r="B1006">
        <v>499.7</v>
      </c>
      <c r="C1006">
        <v>500</v>
      </c>
      <c r="D1006" t="s">
        <v>5961</v>
      </c>
    </row>
    <row r="1007" spans="1:4" x14ac:dyDescent="0.2">
      <c r="A1007">
        <v>22</v>
      </c>
      <c r="B1007">
        <v>499.6</v>
      </c>
      <c r="C1007">
        <v>500</v>
      </c>
      <c r="D1007" t="s">
        <v>5961</v>
      </c>
    </row>
    <row r="1008" spans="1:4" x14ac:dyDescent="0.2">
      <c r="A1008">
        <v>23</v>
      </c>
      <c r="B1008">
        <v>499.6</v>
      </c>
      <c r="C1008">
        <v>500</v>
      </c>
      <c r="D1008" t="s">
        <v>5961</v>
      </c>
    </row>
    <row r="1009" spans="1:4" x14ac:dyDescent="0.2">
      <c r="A1009">
        <v>24</v>
      </c>
      <c r="B1009">
        <v>499.7</v>
      </c>
      <c r="C1009">
        <v>500</v>
      </c>
      <c r="D1009" t="s">
        <v>5961</v>
      </c>
    </row>
    <row r="1010" spans="1:4" x14ac:dyDescent="0.2">
      <c r="A1010">
        <v>19</v>
      </c>
      <c r="B1010">
        <v>999.8</v>
      </c>
      <c r="C1010">
        <v>1000</v>
      </c>
      <c r="D1010" t="s">
        <v>5961</v>
      </c>
    </row>
    <row r="1011" spans="1:4" x14ac:dyDescent="0.2">
      <c r="A1011">
        <v>20</v>
      </c>
      <c r="B1011">
        <v>999.7</v>
      </c>
      <c r="C1011">
        <v>1000</v>
      </c>
      <c r="D1011" t="s">
        <v>5961</v>
      </c>
    </row>
    <row r="1012" spans="1:4" x14ac:dyDescent="0.2">
      <c r="A1012">
        <v>21</v>
      </c>
      <c r="B1012">
        <v>999.7</v>
      </c>
      <c r="C1012">
        <v>1000</v>
      </c>
      <c r="D1012" t="s">
        <v>5961</v>
      </c>
    </row>
    <row r="1013" spans="1:4" x14ac:dyDescent="0.2">
      <c r="A1013">
        <v>22</v>
      </c>
      <c r="B1013">
        <v>999.7</v>
      </c>
      <c r="C1013">
        <v>1000</v>
      </c>
      <c r="D1013" t="s">
        <v>5961</v>
      </c>
    </row>
    <row r="1014" spans="1:4" x14ac:dyDescent="0.2">
      <c r="A1014">
        <v>23</v>
      </c>
      <c r="B1014">
        <v>999.6</v>
      </c>
      <c r="C1014">
        <v>1000</v>
      </c>
      <c r="D1014" t="s">
        <v>5961</v>
      </c>
    </row>
    <row r="1015" spans="1:4" x14ac:dyDescent="0.2">
      <c r="A1015">
        <v>24</v>
      </c>
      <c r="B1015">
        <v>999.7</v>
      </c>
      <c r="C1015">
        <v>1000</v>
      </c>
      <c r="D1015" t="s">
        <v>5961</v>
      </c>
    </row>
    <row r="1016" spans="1:4" x14ac:dyDescent="0.2">
      <c r="A1016">
        <v>19</v>
      </c>
      <c r="B1016">
        <v>1499.8</v>
      </c>
      <c r="C1016">
        <v>1500</v>
      </c>
      <c r="D1016" t="s">
        <v>5961</v>
      </c>
    </row>
    <row r="1017" spans="1:4" x14ac:dyDescent="0.2">
      <c r="A1017">
        <v>20</v>
      </c>
      <c r="B1017">
        <v>1499.7</v>
      </c>
      <c r="C1017">
        <v>1500</v>
      </c>
      <c r="D1017" t="s">
        <v>5961</v>
      </c>
    </row>
    <row r="1018" spans="1:4" x14ac:dyDescent="0.2">
      <c r="A1018">
        <v>21</v>
      </c>
      <c r="B1018">
        <v>1499.7</v>
      </c>
      <c r="C1018">
        <v>1500</v>
      </c>
      <c r="D1018" t="s">
        <v>5961</v>
      </c>
    </row>
    <row r="1019" spans="1:4" x14ac:dyDescent="0.2">
      <c r="A1019">
        <v>22</v>
      </c>
      <c r="B1019">
        <v>1499.7</v>
      </c>
      <c r="C1019">
        <v>1500</v>
      </c>
      <c r="D1019" t="s">
        <v>5961</v>
      </c>
    </row>
    <row r="1020" spans="1:4" x14ac:dyDescent="0.2">
      <c r="A1020">
        <v>23</v>
      </c>
      <c r="B1020">
        <v>1499.7</v>
      </c>
      <c r="C1020">
        <v>1500</v>
      </c>
      <c r="D1020" t="s">
        <v>5961</v>
      </c>
    </row>
    <row r="1021" spans="1:4" x14ac:dyDescent="0.2">
      <c r="A1021">
        <v>24</v>
      </c>
      <c r="B1021">
        <v>1499.8</v>
      </c>
      <c r="C1021">
        <v>1500</v>
      </c>
      <c r="D1021" t="s">
        <v>5961</v>
      </c>
    </row>
    <row r="1022" spans="1:4" x14ac:dyDescent="0.2">
      <c r="A1022">
        <v>19</v>
      </c>
      <c r="B1022">
        <v>1999.8</v>
      </c>
      <c r="C1022">
        <v>2000</v>
      </c>
      <c r="D1022" t="s">
        <v>5961</v>
      </c>
    </row>
    <row r="1023" spans="1:4" x14ac:dyDescent="0.2">
      <c r="A1023">
        <v>20</v>
      </c>
      <c r="B1023">
        <v>1999.7</v>
      </c>
      <c r="C1023">
        <v>2000</v>
      </c>
      <c r="D1023" t="s">
        <v>5961</v>
      </c>
    </row>
    <row r="1024" spans="1:4" x14ac:dyDescent="0.2">
      <c r="A1024">
        <v>21</v>
      </c>
      <c r="B1024">
        <v>1999.7</v>
      </c>
      <c r="C1024">
        <v>2000</v>
      </c>
      <c r="D1024" t="s">
        <v>5961</v>
      </c>
    </row>
    <row r="1025" spans="1:4" x14ac:dyDescent="0.2">
      <c r="A1025">
        <v>22</v>
      </c>
      <c r="B1025">
        <v>1999.7</v>
      </c>
      <c r="C1025">
        <v>2000</v>
      </c>
      <c r="D1025" t="s">
        <v>5961</v>
      </c>
    </row>
    <row r="1026" spans="1:4" x14ac:dyDescent="0.2">
      <c r="A1026">
        <v>23</v>
      </c>
      <c r="B1026">
        <v>1999.7</v>
      </c>
      <c r="C1026">
        <v>2000</v>
      </c>
      <c r="D1026" t="s">
        <v>5961</v>
      </c>
    </row>
    <row r="1027" spans="1:4" x14ac:dyDescent="0.2">
      <c r="A1027">
        <v>24</v>
      </c>
      <c r="B1027">
        <v>1999.8</v>
      </c>
      <c r="C1027">
        <v>2000</v>
      </c>
      <c r="D1027" t="s">
        <v>5961</v>
      </c>
    </row>
    <row r="1028" spans="1:4" x14ac:dyDescent="0.2">
      <c r="A1028">
        <v>19</v>
      </c>
      <c r="B1028">
        <v>2249.9</v>
      </c>
      <c r="C1028">
        <v>2250</v>
      </c>
      <c r="D1028" t="s">
        <v>5961</v>
      </c>
    </row>
    <row r="1029" spans="1:4" x14ac:dyDescent="0.2">
      <c r="A1029">
        <v>20</v>
      </c>
      <c r="B1029">
        <v>2249.8000000000002</v>
      </c>
      <c r="C1029">
        <v>2250</v>
      </c>
      <c r="D1029" t="s">
        <v>5961</v>
      </c>
    </row>
    <row r="1030" spans="1:4" x14ac:dyDescent="0.2">
      <c r="A1030">
        <v>21</v>
      </c>
      <c r="B1030">
        <v>2249.8000000000002</v>
      </c>
      <c r="C1030">
        <v>2250</v>
      </c>
      <c r="D1030" t="s">
        <v>5961</v>
      </c>
    </row>
    <row r="1031" spans="1:4" x14ac:dyDescent="0.2">
      <c r="A1031">
        <v>22</v>
      </c>
      <c r="B1031">
        <v>2249.8000000000002</v>
      </c>
      <c r="C1031">
        <v>2250</v>
      </c>
      <c r="D1031" t="s">
        <v>5961</v>
      </c>
    </row>
    <row r="1032" spans="1:4" x14ac:dyDescent="0.2">
      <c r="A1032">
        <v>23</v>
      </c>
      <c r="B1032">
        <v>2249.8000000000002</v>
      </c>
      <c r="C1032">
        <v>2250</v>
      </c>
      <c r="D1032" t="s">
        <v>5961</v>
      </c>
    </row>
    <row r="1033" spans="1:4" x14ac:dyDescent="0.2">
      <c r="A1033">
        <v>24</v>
      </c>
      <c r="B1033">
        <v>2249.9</v>
      </c>
      <c r="C1033">
        <v>2250</v>
      </c>
      <c r="D1033" t="s">
        <v>5961</v>
      </c>
    </row>
    <row r="1034" spans="1:4" x14ac:dyDescent="0.2">
      <c r="A1034">
        <v>25</v>
      </c>
      <c r="B1034">
        <v>9.8000000000000007</v>
      </c>
      <c r="C1034">
        <v>10</v>
      </c>
      <c r="D1034" t="s">
        <v>5961</v>
      </c>
    </row>
    <row r="1035" spans="1:4" x14ac:dyDescent="0.2">
      <c r="A1035">
        <v>26</v>
      </c>
      <c r="B1035">
        <v>9.9</v>
      </c>
      <c r="C1035">
        <v>10</v>
      </c>
      <c r="D1035" t="s">
        <v>5961</v>
      </c>
    </row>
    <row r="1036" spans="1:4" x14ac:dyDescent="0.2">
      <c r="A1036">
        <v>27</v>
      </c>
      <c r="B1036">
        <v>10</v>
      </c>
      <c r="C1036">
        <v>10</v>
      </c>
      <c r="D1036" t="s">
        <v>5961</v>
      </c>
    </row>
    <row r="1037" spans="1:4" x14ac:dyDescent="0.2">
      <c r="A1037">
        <v>28</v>
      </c>
      <c r="B1037">
        <v>10.1</v>
      </c>
      <c r="C1037">
        <v>10</v>
      </c>
      <c r="D1037" t="s">
        <v>5961</v>
      </c>
    </row>
    <row r="1038" spans="1:4" x14ac:dyDescent="0.2">
      <c r="A1038">
        <v>29</v>
      </c>
      <c r="B1038">
        <v>9.8000000000000007</v>
      </c>
      <c r="C1038">
        <v>10</v>
      </c>
      <c r="D1038" t="s">
        <v>5961</v>
      </c>
    </row>
    <row r="1039" spans="1:4" x14ac:dyDescent="0.2">
      <c r="A1039">
        <v>30</v>
      </c>
      <c r="B1039">
        <v>9.9</v>
      </c>
      <c r="C1039">
        <v>10</v>
      </c>
      <c r="D1039" t="s">
        <v>5961</v>
      </c>
    </row>
    <row r="1040" spans="1:4" x14ac:dyDescent="0.2">
      <c r="A1040">
        <v>25</v>
      </c>
      <c r="B1040">
        <v>499.6</v>
      </c>
      <c r="C1040">
        <v>500</v>
      </c>
      <c r="D1040" t="s">
        <v>5961</v>
      </c>
    </row>
    <row r="1041" spans="1:4" x14ac:dyDescent="0.2">
      <c r="A1041">
        <v>26</v>
      </c>
      <c r="B1041">
        <v>499.7</v>
      </c>
      <c r="C1041">
        <v>500</v>
      </c>
      <c r="D1041" t="s">
        <v>5961</v>
      </c>
    </row>
    <row r="1042" spans="1:4" x14ac:dyDescent="0.2">
      <c r="A1042">
        <v>27</v>
      </c>
      <c r="B1042">
        <v>499.8</v>
      </c>
      <c r="C1042">
        <v>500</v>
      </c>
      <c r="D1042" t="s">
        <v>5961</v>
      </c>
    </row>
    <row r="1043" spans="1:4" x14ac:dyDescent="0.2">
      <c r="A1043">
        <v>28</v>
      </c>
      <c r="B1043">
        <v>499.9</v>
      </c>
      <c r="C1043">
        <v>500</v>
      </c>
      <c r="D1043" t="s">
        <v>5961</v>
      </c>
    </row>
    <row r="1044" spans="1:4" x14ac:dyDescent="0.2">
      <c r="A1044">
        <v>29</v>
      </c>
      <c r="B1044">
        <v>499.6</v>
      </c>
      <c r="C1044">
        <v>500</v>
      </c>
      <c r="D1044" t="s">
        <v>5961</v>
      </c>
    </row>
    <row r="1045" spans="1:4" x14ac:dyDescent="0.2">
      <c r="A1045">
        <v>30</v>
      </c>
      <c r="B1045">
        <v>499.6</v>
      </c>
      <c r="C1045">
        <v>500</v>
      </c>
      <c r="D1045" t="s">
        <v>5961</v>
      </c>
    </row>
    <row r="1046" spans="1:4" x14ac:dyDescent="0.2">
      <c r="A1046">
        <v>25</v>
      </c>
      <c r="B1046">
        <v>999.7</v>
      </c>
      <c r="C1046">
        <v>1000</v>
      </c>
      <c r="D1046" t="s">
        <v>5961</v>
      </c>
    </row>
    <row r="1047" spans="1:4" x14ac:dyDescent="0.2">
      <c r="A1047">
        <v>26</v>
      </c>
      <c r="B1047">
        <v>999.7</v>
      </c>
      <c r="C1047">
        <v>1000</v>
      </c>
      <c r="D1047" t="s">
        <v>5961</v>
      </c>
    </row>
    <row r="1048" spans="1:4" x14ac:dyDescent="0.2">
      <c r="A1048">
        <v>27</v>
      </c>
      <c r="B1048">
        <v>999.8</v>
      </c>
      <c r="C1048">
        <v>1000</v>
      </c>
      <c r="D1048" t="s">
        <v>5961</v>
      </c>
    </row>
    <row r="1049" spans="1:4" x14ac:dyDescent="0.2">
      <c r="A1049">
        <v>28</v>
      </c>
      <c r="B1049">
        <v>999.9</v>
      </c>
      <c r="C1049">
        <v>1000</v>
      </c>
      <c r="D1049" t="s">
        <v>5961</v>
      </c>
    </row>
    <row r="1050" spans="1:4" x14ac:dyDescent="0.2">
      <c r="A1050">
        <v>29</v>
      </c>
      <c r="B1050">
        <v>999.5</v>
      </c>
      <c r="C1050">
        <v>1000</v>
      </c>
      <c r="D1050" t="s">
        <v>5961</v>
      </c>
    </row>
    <row r="1051" spans="1:4" x14ac:dyDescent="0.2">
      <c r="A1051">
        <v>30</v>
      </c>
      <c r="B1051">
        <v>999.5</v>
      </c>
      <c r="C1051">
        <v>1000</v>
      </c>
      <c r="D1051" t="s">
        <v>5961</v>
      </c>
    </row>
    <row r="1052" spans="1:4" x14ac:dyDescent="0.2">
      <c r="A1052">
        <v>25</v>
      </c>
      <c r="B1052">
        <v>1499.8</v>
      </c>
      <c r="C1052">
        <v>1500</v>
      </c>
      <c r="D1052" t="s">
        <v>5961</v>
      </c>
    </row>
    <row r="1053" spans="1:4" x14ac:dyDescent="0.2">
      <c r="A1053">
        <v>26</v>
      </c>
      <c r="B1053">
        <v>1499.8</v>
      </c>
      <c r="C1053">
        <v>1500</v>
      </c>
      <c r="D1053" t="s">
        <v>5961</v>
      </c>
    </row>
    <row r="1054" spans="1:4" x14ac:dyDescent="0.2">
      <c r="A1054">
        <v>27</v>
      </c>
      <c r="B1054">
        <v>1499.9</v>
      </c>
      <c r="C1054">
        <v>1500</v>
      </c>
      <c r="D1054" t="s">
        <v>5961</v>
      </c>
    </row>
    <row r="1055" spans="1:4" x14ac:dyDescent="0.2">
      <c r="A1055">
        <v>28</v>
      </c>
      <c r="B1055">
        <v>1500</v>
      </c>
      <c r="C1055">
        <v>1500</v>
      </c>
      <c r="D1055" t="s">
        <v>5961</v>
      </c>
    </row>
    <row r="1056" spans="1:4" x14ac:dyDescent="0.2">
      <c r="A1056">
        <v>29</v>
      </c>
      <c r="B1056">
        <v>1499.5</v>
      </c>
      <c r="C1056">
        <v>1500</v>
      </c>
      <c r="D1056" t="s">
        <v>5961</v>
      </c>
    </row>
    <row r="1057" spans="1:4" x14ac:dyDescent="0.2">
      <c r="A1057">
        <v>30</v>
      </c>
      <c r="B1057">
        <v>1499.5</v>
      </c>
      <c r="C1057">
        <v>1500</v>
      </c>
      <c r="D1057" t="s">
        <v>5961</v>
      </c>
    </row>
    <row r="1058" spans="1:4" x14ac:dyDescent="0.2">
      <c r="A1058">
        <v>25</v>
      </c>
      <c r="B1058">
        <v>1999.8</v>
      </c>
      <c r="C1058">
        <v>2000</v>
      </c>
      <c r="D1058" t="s">
        <v>5961</v>
      </c>
    </row>
    <row r="1059" spans="1:4" x14ac:dyDescent="0.2">
      <c r="A1059">
        <v>26</v>
      </c>
      <c r="B1059">
        <v>1999.8</v>
      </c>
      <c r="C1059">
        <v>2000</v>
      </c>
      <c r="D1059" t="s">
        <v>5961</v>
      </c>
    </row>
    <row r="1060" spans="1:4" x14ac:dyDescent="0.2">
      <c r="A1060">
        <v>27</v>
      </c>
      <c r="B1060">
        <v>1999.9</v>
      </c>
      <c r="C1060">
        <v>2000</v>
      </c>
      <c r="D1060" t="s">
        <v>5961</v>
      </c>
    </row>
    <row r="1061" spans="1:4" x14ac:dyDescent="0.2">
      <c r="A1061">
        <v>28</v>
      </c>
      <c r="B1061">
        <v>2000</v>
      </c>
      <c r="C1061">
        <v>2000</v>
      </c>
      <c r="D1061" t="s">
        <v>5961</v>
      </c>
    </row>
    <row r="1062" spans="1:4" x14ac:dyDescent="0.2">
      <c r="A1062">
        <v>29</v>
      </c>
      <c r="B1062">
        <v>1999.5</v>
      </c>
      <c r="C1062">
        <v>2000</v>
      </c>
      <c r="D1062" t="s">
        <v>5961</v>
      </c>
    </row>
    <row r="1063" spans="1:4" x14ac:dyDescent="0.2">
      <c r="A1063">
        <v>30</v>
      </c>
      <c r="B1063">
        <v>1999.5</v>
      </c>
      <c r="C1063">
        <v>2000</v>
      </c>
      <c r="D1063" t="s">
        <v>5961</v>
      </c>
    </row>
    <row r="1064" spans="1:4" x14ac:dyDescent="0.2">
      <c r="A1064">
        <v>25</v>
      </c>
      <c r="B1064">
        <v>2249.9</v>
      </c>
      <c r="C1064">
        <v>2250</v>
      </c>
      <c r="D1064" t="s">
        <v>5961</v>
      </c>
    </row>
    <row r="1065" spans="1:4" x14ac:dyDescent="0.2">
      <c r="A1065">
        <v>26</v>
      </c>
      <c r="B1065">
        <v>2249.8000000000002</v>
      </c>
      <c r="C1065">
        <v>2250</v>
      </c>
      <c r="D1065" t="s">
        <v>5961</v>
      </c>
    </row>
    <row r="1066" spans="1:4" x14ac:dyDescent="0.2">
      <c r="A1066">
        <v>27</v>
      </c>
      <c r="B1066">
        <v>2250</v>
      </c>
      <c r="C1066">
        <v>2250</v>
      </c>
      <c r="D1066" t="s">
        <v>5961</v>
      </c>
    </row>
    <row r="1067" spans="1:4" x14ac:dyDescent="0.2">
      <c r="A1067">
        <v>28</v>
      </c>
      <c r="B1067">
        <v>2250.1</v>
      </c>
      <c r="C1067">
        <v>2250</v>
      </c>
      <c r="D1067" t="s">
        <v>5961</v>
      </c>
    </row>
    <row r="1068" spans="1:4" x14ac:dyDescent="0.2">
      <c r="A1068">
        <v>29</v>
      </c>
      <c r="B1068">
        <v>2249.5</v>
      </c>
      <c r="C1068">
        <v>2250</v>
      </c>
      <c r="D1068" t="s">
        <v>5961</v>
      </c>
    </row>
    <row r="1069" spans="1:4" x14ac:dyDescent="0.2">
      <c r="A1069">
        <v>30</v>
      </c>
      <c r="B1069">
        <v>2249.5</v>
      </c>
      <c r="C1069">
        <v>2250</v>
      </c>
      <c r="D1069" t="s">
        <v>5961</v>
      </c>
    </row>
    <row r="1070" spans="1:4" x14ac:dyDescent="0.2">
      <c r="A1070">
        <v>31</v>
      </c>
      <c r="B1070">
        <v>9.6</v>
      </c>
      <c r="C1070">
        <v>10</v>
      </c>
      <c r="D1070" t="s">
        <v>5961</v>
      </c>
    </row>
    <row r="1071" spans="1:4" x14ac:dyDescent="0.2">
      <c r="A1071">
        <v>32</v>
      </c>
      <c r="B1071">
        <v>9.6999999999999993</v>
      </c>
      <c r="C1071">
        <v>10</v>
      </c>
      <c r="D1071" t="s">
        <v>5961</v>
      </c>
    </row>
    <row r="1072" spans="1:4" x14ac:dyDescent="0.2">
      <c r="A1072">
        <v>33</v>
      </c>
      <c r="B1072">
        <v>9.6999999999999993</v>
      </c>
      <c r="C1072">
        <v>10</v>
      </c>
      <c r="D1072" t="s">
        <v>5961</v>
      </c>
    </row>
    <row r="1073" spans="1:4" x14ac:dyDescent="0.2">
      <c r="A1073">
        <v>34</v>
      </c>
      <c r="B1073">
        <v>9.5</v>
      </c>
      <c r="C1073">
        <v>10</v>
      </c>
      <c r="D1073" t="s">
        <v>5961</v>
      </c>
    </row>
    <row r="1074" spans="1:4" x14ac:dyDescent="0.2">
      <c r="A1074">
        <v>35</v>
      </c>
      <c r="B1074">
        <v>9.8000000000000007</v>
      </c>
      <c r="C1074">
        <v>10</v>
      </c>
      <c r="D1074" t="s">
        <v>5961</v>
      </c>
    </row>
    <row r="1075" spans="1:4" x14ac:dyDescent="0.2">
      <c r="A1075">
        <v>36</v>
      </c>
      <c r="B1075">
        <v>9.5</v>
      </c>
      <c r="C1075">
        <v>10</v>
      </c>
      <c r="D1075" t="s">
        <v>5961</v>
      </c>
    </row>
    <row r="1076" spans="1:4" x14ac:dyDescent="0.2">
      <c r="A1076">
        <v>31</v>
      </c>
      <c r="B1076">
        <v>499.5</v>
      </c>
      <c r="C1076">
        <v>500</v>
      </c>
      <c r="D1076" t="s">
        <v>5961</v>
      </c>
    </row>
    <row r="1077" spans="1:4" x14ac:dyDescent="0.2">
      <c r="A1077">
        <v>32</v>
      </c>
      <c r="B1077">
        <v>499.6</v>
      </c>
      <c r="C1077">
        <v>500</v>
      </c>
      <c r="D1077" t="s">
        <v>5961</v>
      </c>
    </row>
    <row r="1078" spans="1:4" x14ac:dyDescent="0.2">
      <c r="A1078">
        <v>33</v>
      </c>
      <c r="B1078">
        <v>499.6</v>
      </c>
      <c r="C1078">
        <v>500</v>
      </c>
      <c r="D1078" t="s">
        <v>5961</v>
      </c>
    </row>
    <row r="1079" spans="1:4" x14ac:dyDescent="0.2">
      <c r="A1079">
        <v>34</v>
      </c>
      <c r="B1079">
        <v>499.5</v>
      </c>
      <c r="C1079">
        <v>500</v>
      </c>
      <c r="D1079" t="s">
        <v>5961</v>
      </c>
    </row>
    <row r="1080" spans="1:4" x14ac:dyDescent="0.2">
      <c r="A1080">
        <v>35</v>
      </c>
      <c r="B1080">
        <v>499.6</v>
      </c>
      <c r="C1080">
        <v>500</v>
      </c>
      <c r="D1080" t="s">
        <v>5961</v>
      </c>
    </row>
    <row r="1081" spans="1:4" x14ac:dyDescent="0.2">
      <c r="A1081">
        <v>36</v>
      </c>
      <c r="B1081">
        <v>499.5</v>
      </c>
      <c r="C1081">
        <v>500</v>
      </c>
      <c r="D1081" t="s">
        <v>5961</v>
      </c>
    </row>
    <row r="1082" spans="1:4" x14ac:dyDescent="0.2">
      <c r="A1082">
        <v>31</v>
      </c>
      <c r="B1082">
        <v>999.5</v>
      </c>
      <c r="C1082">
        <v>1000</v>
      </c>
      <c r="D1082" t="s">
        <v>5961</v>
      </c>
    </row>
    <row r="1083" spans="1:4" x14ac:dyDescent="0.2">
      <c r="A1083">
        <v>32</v>
      </c>
      <c r="B1083">
        <v>999.5</v>
      </c>
      <c r="C1083">
        <v>1000</v>
      </c>
      <c r="D1083" t="s">
        <v>5961</v>
      </c>
    </row>
    <row r="1084" spans="1:4" x14ac:dyDescent="0.2">
      <c r="A1084">
        <v>33</v>
      </c>
      <c r="B1084">
        <v>999.7</v>
      </c>
      <c r="C1084">
        <v>1000</v>
      </c>
      <c r="D1084" t="s">
        <v>5961</v>
      </c>
    </row>
    <row r="1085" spans="1:4" x14ac:dyDescent="0.2">
      <c r="A1085">
        <v>34</v>
      </c>
      <c r="B1085">
        <v>999.5</v>
      </c>
      <c r="C1085">
        <v>1000</v>
      </c>
      <c r="D1085" t="s">
        <v>5961</v>
      </c>
    </row>
    <row r="1086" spans="1:4" x14ac:dyDescent="0.2">
      <c r="A1086">
        <v>35</v>
      </c>
      <c r="B1086">
        <v>999.6</v>
      </c>
      <c r="C1086">
        <v>1000</v>
      </c>
      <c r="D1086" t="s">
        <v>5961</v>
      </c>
    </row>
    <row r="1087" spans="1:4" x14ac:dyDescent="0.2">
      <c r="A1087">
        <v>36</v>
      </c>
      <c r="B1087">
        <v>999.5</v>
      </c>
      <c r="C1087">
        <v>1000</v>
      </c>
      <c r="D1087" t="s">
        <v>5961</v>
      </c>
    </row>
    <row r="1088" spans="1:4" x14ac:dyDescent="0.2">
      <c r="A1088">
        <v>31</v>
      </c>
      <c r="B1088">
        <v>1499.5</v>
      </c>
      <c r="C1088">
        <v>1500</v>
      </c>
      <c r="D1088" t="s">
        <v>5961</v>
      </c>
    </row>
    <row r="1089" spans="1:4" x14ac:dyDescent="0.2">
      <c r="A1089">
        <v>32</v>
      </c>
      <c r="B1089">
        <v>1499.5</v>
      </c>
      <c r="C1089">
        <v>1500</v>
      </c>
      <c r="D1089" t="s">
        <v>5961</v>
      </c>
    </row>
    <row r="1090" spans="1:4" x14ac:dyDescent="0.2">
      <c r="A1090">
        <v>33</v>
      </c>
      <c r="B1090">
        <v>1499.7</v>
      </c>
      <c r="C1090">
        <v>1500</v>
      </c>
      <c r="D1090" t="s">
        <v>5961</v>
      </c>
    </row>
    <row r="1091" spans="1:4" x14ac:dyDescent="0.2">
      <c r="A1091">
        <v>34</v>
      </c>
      <c r="B1091">
        <v>1499.6</v>
      </c>
      <c r="C1091">
        <v>1500</v>
      </c>
      <c r="D1091" t="s">
        <v>5961</v>
      </c>
    </row>
    <row r="1092" spans="1:4" x14ac:dyDescent="0.2">
      <c r="A1092">
        <v>35</v>
      </c>
      <c r="B1092">
        <v>1499.6</v>
      </c>
      <c r="C1092">
        <v>1500</v>
      </c>
      <c r="D1092" t="s">
        <v>5961</v>
      </c>
    </row>
    <row r="1093" spans="1:4" x14ac:dyDescent="0.2">
      <c r="A1093">
        <v>36</v>
      </c>
      <c r="B1093">
        <v>1499.5</v>
      </c>
      <c r="C1093">
        <v>1500</v>
      </c>
      <c r="D1093" t="s">
        <v>5961</v>
      </c>
    </row>
    <row r="1094" spans="1:4" x14ac:dyDescent="0.2">
      <c r="A1094">
        <v>31</v>
      </c>
      <c r="B1094">
        <v>1999.5</v>
      </c>
      <c r="C1094">
        <v>2000</v>
      </c>
      <c r="D1094" t="s">
        <v>5961</v>
      </c>
    </row>
    <row r="1095" spans="1:4" x14ac:dyDescent="0.2">
      <c r="A1095">
        <v>32</v>
      </c>
      <c r="B1095">
        <v>1999.5</v>
      </c>
      <c r="C1095">
        <v>2000</v>
      </c>
      <c r="D1095" t="s">
        <v>5961</v>
      </c>
    </row>
    <row r="1096" spans="1:4" x14ac:dyDescent="0.2">
      <c r="A1096">
        <v>33</v>
      </c>
      <c r="B1096">
        <v>1999.8</v>
      </c>
      <c r="C1096">
        <v>2000</v>
      </c>
      <c r="D1096" t="s">
        <v>5961</v>
      </c>
    </row>
    <row r="1097" spans="1:4" x14ac:dyDescent="0.2">
      <c r="A1097">
        <v>34</v>
      </c>
      <c r="B1097">
        <v>1999.6</v>
      </c>
      <c r="C1097">
        <v>2000</v>
      </c>
      <c r="D1097" t="s">
        <v>5961</v>
      </c>
    </row>
    <row r="1098" spans="1:4" x14ac:dyDescent="0.2">
      <c r="A1098">
        <v>35</v>
      </c>
      <c r="B1098">
        <v>1999.6</v>
      </c>
      <c r="C1098">
        <v>2000</v>
      </c>
      <c r="D1098" t="s">
        <v>5961</v>
      </c>
    </row>
    <row r="1099" spans="1:4" x14ac:dyDescent="0.2">
      <c r="A1099">
        <v>36</v>
      </c>
      <c r="B1099">
        <v>1999.5</v>
      </c>
      <c r="C1099">
        <v>2000</v>
      </c>
      <c r="D1099" t="s">
        <v>5961</v>
      </c>
    </row>
    <row r="1100" spans="1:4" x14ac:dyDescent="0.2">
      <c r="A1100">
        <v>31</v>
      </c>
      <c r="B1100">
        <v>2249.5</v>
      </c>
      <c r="C1100">
        <v>2250</v>
      </c>
      <c r="D1100" t="s">
        <v>5961</v>
      </c>
    </row>
    <row r="1101" spans="1:4" x14ac:dyDescent="0.2">
      <c r="A1101">
        <v>32</v>
      </c>
      <c r="B1101">
        <v>2249.6999999999998</v>
      </c>
      <c r="C1101">
        <v>2250</v>
      </c>
      <c r="D1101" t="s">
        <v>5961</v>
      </c>
    </row>
    <row r="1102" spans="1:4" x14ac:dyDescent="0.2">
      <c r="A1102">
        <v>33</v>
      </c>
      <c r="B1102">
        <v>2249.9</v>
      </c>
      <c r="C1102">
        <v>2250</v>
      </c>
      <c r="D1102" t="s">
        <v>5961</v>
      </c>
    </row>
    <row r="1103" spans="1:4" x14ac:dyDescent="0.2">
      <c r="A1103">
        <v>34</v>
      </c>
      <c r="B1103">
        <v>2249.6999999999998</v>
      </c>
      <c r="C1103">
        <v>2250</v>
      </c>
      <c r="D1103" t="s">
        <v>5961</v>
      </c>
    </row>
    <row r="1104" spans="1:4" x14ac:dyDescent="0.2">
      <c r="A1104">
        <v>35</v>
      </c>
      <c r="B1104">
        <v>2249.6999999999998</v>
      </c>
      <c r="C1104">
        <v>2250</v>
      </c>
      <c r="D1104" t="s">
        <v>5961</v>
      </c>
    </row>
    <row r="1105" spans="1:4" x14ac:dyDescent="0.2">
      <c r="A1105">
        <v>36</v>
      </c>
      <c r="B1105">
        <v>2249.5</v>
      </c>
      <c r="C1105">
        <v>2250</v>
      </c>
      <c r="D1105" t="s">
        <v>5961</v>
      </c>
    </row>
    <row r="1106" spans="1:4" x14ac:dyDescent="0.2">
      <c r="A1106">
        <v>37</v>
      </c>
      <c r="B1106">
        <v>9.9</v>
      </c>
      <c r="C1106">
        <v>10</v>
      </c>
      <c r="D1106" t="s">
        <v>5961</v>
      </c>
    </row>
    <row r="1107" spans="1:4" x14ac:dyDescent="0.2">
      <c r="A1107">
        <v>38</v>
      </c>
      <c r="B1107">
        <v>9.6</v>
      </c>
      <c r="C1107">
        <v>10</v>
      </c>
      <c r="D1107" t="s">
        <v>5961</v>
      </c>
    </row>
    <row r="1108" spans="1:4" x14ac:dyDescent="0.2">
      <c r="A1108">
        <v>39</v>
      </c>
      <c r="B1108">
        <v>9.6999999999999993</v>
      </c>
      <c r="C1108">
        <v>10</v>
      </c>
      <c r="D1108" t="s">
        <v>5961</v>
      </c>
    </row>
    <row r="1109" spans="1:4" x14ac:dyDescent="0.2">
      <c r="A1109">
        <v>40</v>
      </c>
      <c r="B1109">
        <v>9.6999999999999993</v>
      </c>
      <c r="C1109">
        <v>10</v>
      </c>
      <c r="D1109" t="s">
        <v>5961</v>
      </c>
    </row>
    <row r="1110" spans="1:4" x14ac:dyDescent="0.2">
      <c r="A1110">
        <v>37</v>
      </c>
      <c r="B1110">
        <v>499.7</v>
      </c>
      <c r="C1110">
        <v>500</v>
      </c>
      <c r="D1110" t="s">
        <v>5961</v>
      </c>
    </row>
    <row r="1111" spans="1:4" x14ac:dyDescent="0.2">
      <c r="A1111">
        <v>38</v>
      </c>
      <c r="B1111">
        <v>499.5</v>
      </c>
      <c r="C1111">
        <v>500</v>
      </c>
      <c r="D1111" t="s">
        <v>5961</v>
      </c>
    </row>
    <row r="1112" spans="1:4" x14ac:dyDescent="0.2">
      <c r="A1112">
        <v>39</v>
      </c>
      <c r="B1112">
        <v>499.6</v>
      </c>
      <c r="C1112">
        <v>500</v>
      </c>
      <c r="D1112" t="s">
        <v>5961</v>
      </c>
    </row>
    <row r="1113" spans="1:4" x14ac:dyDescent="0.2">
      <c r="A1113">
        <v>40</v>
      </c>
      <c r="B1113">
        <v>499.6</v>
      </c>
      <c r="C1113">
        <v>500</v>
      </c>
      <c r="D1113" t="s">
        <v>5961</v>
      </c>
    </row>
    <row r="1114" spans="1:4" x14ac:dyDescent="0.2">
      <c r="A1114">
        <v>37</v>
      </c>
      <c r="B1114">
        <v>999.6</v>
      </c>
      <c r="C1114">
        <v>1000</v>
      </c>
      <c r="D1114" t="s">
        <v>5961</v>
      </c>
    </row>
    <row r="1115" spans="1:4" x14ac:dyDescent="0.2">
      <c r="A1115">
        <v>38</v>
      </c>
      <c r="B1115">
        <v>999.5</v>
      </c>
      <c r="C1115">
        <v>1000</v>
      </c>
      <c r="D1115" t="s">
        <v>5961</v>
      </c>
    </row>
    <row r="1116" spans="1:4" x14ac:dyDescent="0.2">
      <c r="A1116">
        <v>39</v>
      </c>
      <c r="B1116">
        <v>999.6</v>
      </c>
      <c r="C1116">
        <v>1000</v>
      </c>
      <c r="D1116" t="s">
        <v>5961</v>
      </c>
    </row>
    <row r="1117" spans="1:4" x14ac:dyDescent="0.2">
      <c r="A1117">
        <v>40</v>
      </c>
      <c r="B1117">
        <v>999.6</v>
      </c>
      <c r="C1117">
        <v>1000</v>
      </c>
      <c r="D1117" t="s">
        <v>5961</v>
      </c>
    </row>
    <row r="1118" spans="1:4" x14ac:dyDescent="0.2">
      <c r="A1118">
        <v>37</v>
      </c>
      <c r="B1118">
        <v>1499.5</v>
      </c>
      <c r="C1118">
        <v>1500</v>
      </c>
      <c r="D1118" t="s">
        <v>5961</v>
      </c>
    </row>
    <row r="1119" spans="1:4" x14ac:dyDescent="0.2">
      <c r="A1119">
        <v>38</v>
      </c>
      <c r="B1119">
        <v>1499.6</v>
      </c>
      <c r="C1119">
        <v>1500</v>
      </c>
      <c r="D1119" t="s">
        <v>5961</v>
      </c>
    </row>
    <row r="1120" spans="1:4" x14ac:dyDescent="0.2">
      <c r="A1120">
        <v>39</v>
      </c>
      <c r="B1120">
        <v>1499.5</v>
      </c>
      <c r="C1120">
        <v>1500</v>
      </c>
      <c r="D1120" t="s">
        <v>5961</v>
      </c>
    </row>
    <row r="1121" spans="1:4" x14ac:dyDescent="0.2">
      <c r="A1121">
        <v>40</v>
      </c>
      <c r="B1121">
        <v>1499.5</v>
      </c>
      <c r="C1121">
        <v>1500</v>
      </c>
      <c r="D1121" t="s">
        <v>5961</v>
      </c>
    </row>
    <row r="1122" spans="1:4" x14ac:dyDescent="0.2">
      <c r="A1122">
        <v>37</v>
      </c>
      <c r="B1122">
        <v>1999.5</v>
      </c>
      <c r="C1122">
        <v>2000</v>
      </c>
      <c r="D1122" t="s">
        <v>5961</v>
      </c>
    </row>
    <row r="1123" spans="1:4" x14ac:dyDescent="0.2">
      <c r="A1123">
        <v>38</v>
      </c>
      <c r="B1123">
        <v>1999.7</v>
      </c>
      <c r="C1123">
        <v>2000</v>
      </c>
      <c r="D1123" t="s">
        <v>5961</v>
      </c>
    </row>
    <row r="1124" spans="1:4" x14ac:dyDescent="0.2">
      <c r="A1124">
        <v>39</v>
      </c>
      <c r="B1124">
        <v>1999.5</v>
      </c>
      <c r="C1124">
        <v>2000</v>
      </c>
      <c r="D1124" t="s">
        <v>5961</v>
      </c>
    </row>
    <row r="1125" spans="1:4" x14ac:dyDescent="0.2">
      <c r="A1125">
        <v>40</v>
      </c>
      <c r="B1125">
        <v>1999.5</v>
      </c>
      <c r="C1125">
        <v>2000</v>
      </c>
      <c r="D1125" t="s">
        <v>5961</v>
      </c>
    </row>
    <row r="1126" spans="1:4" x14ac:dyDescent="0.2">
      <c r="A1126">
        <v>37</v>
      </c>
      <c r="B1126">
        <v>2249.5</v>
      </c>
      <c r="C1126">
        <v>2250</v>
      </c>
      <c r="D1126" t="s">
        <v>5961</v>
      </c>
    </row>
    <row r="1127" spans="1:4" x14ac:dyDescent="0.2">
      <c r="A1127">
        <v>38</v>
      </c>
      <c r="B1127">
        <v>2249.9</v>
      </c>
      <c r="C1127">
        <v>2250</v>
      </c>
      <c r="D1127" t="s">
        <v>5961</v>
      </c>
    </row>
    <row r="1128" spans="1:4" x14ac:dyDescent="0.2">
      <c r="A1128">
        <v>39</v>
      </c>
      <c r="B1128">
        <v>2249.5</v>
      </c>
      <c r="C1128">
        <v>2250</v>
      </c>
      <c r="D1128" t="s">
        <v>5961</v>
      </c>
    </row>
    <row r="1129" spans="1:4" x14ac:dyDescent="0.2">
      <c r="A1129">
        <v>40</v>
      </c>
      <c r="B1129">
        <v>2249.6</v>
      </c>
      <c r="C1129">
        <v>2250</v>
      </c>
      <c r="D1129" t="s">
        <v>5961</v>
      </c>
    </row>
    <row r="1130" spans="1:4" x14ac:dyDescent="0.2">
      <c r="A1130">
        <v>1</v>
      </c>
      <c r="B1130">
        <v>-99.8</v>
      </c>
      <c r="C1130">
        <v>-100</v>
      </c>
      <c r="D1130" t="s">
        <v>5962</v>
      </c>
    </row>
    <row r="1131" spans="1:4" x14ac:dyDescent="0.2">
      <c r="A1131">
        <v>2</v>
      </c>
      <c r="B1131">
        <v>-99.9</v>
      </c>
      <c r="C1131">
        <v>-100</v>
      </c>
      <c r="D1131" t="s">
        <v>5962</v>
      </c>
    </row>
    <row r="1132" spans="1:4" x14ac:dyDescent="0.2">
      <c r="A1132">
        <v>3</v>
      </c>
      <c r="B1132">
        <v>-99.8</v>
      </c>
      <c r="C1132">
        <v>-100</v>
      </c>
      <c r="D1132" t="s">
        <v>5962</v>
      </c>
    </row>
    <row r="1133" spans="1:4" x14ac:dyDescent="0.2">
      <c r="A1133">
        <v>4</v>
      </c>
      <c r="B1133">
        <v>-99.9</v>
      </c>
      <c r="C1133">
        <v>-100</v>
      </c>
      <c r="D1133" t="s">
        <v>5962</v>
      </c>
    </row>
    <row r="1134" spans="1:4" x14ac:dyDescent="0.2">
      <c r="A1134">
        <v>5</v>
      </c>
      <c r="B1134">
        <v>-99.8</v>
      </c>
      <c r="C1134">
        <v>-100</v>
      </c>
      <c r="D1134" t="s">
        <v>5962</v>
      </c>
    </row>
    <row r="1135" spans="1:4" x14ac:dyDescent="0.2">
      <c r="A1135">
        <v>6</v>
      </c>
      <c r="B1135">
        <v>-100.1</v>
      </c>
      <c r="C1135">
        <v>-100</v>
      </c>
      <c r="D1135" t="s">
        <v>5962</v>
      </c>
    </row>
    <row r="1136" spans="1:4" x14ac:dyDescent="0.2">
      <c r="A1136">
        <v>1</v>
      </c>
      <c r="B1136">
        <v>-49.8</v>
      </c>
      <c r="C1136">
        <v>-50</v>
      </c>
      <c r="D1136" t="s">
        <v>5962</v>
      </c>
    </row>
    <row r="1137" spans="1:4" x14ac:dyDescent="0.2">
      <c r="A1137">
        <v>2</v>
      </c>
      <c r="B1137">
        <v>-49.9</v>
      </c>
      <c r="C1137">
        <v>-50</v>
      </c>
      <c r="D1137" t="s">
        <v>5962</v>
      </c>
    </row>
    <row r="1138" spans="1:4" x14ac:dyDescent="0.2">
      <c r="A1138">
        <v>3</v>
      </c>
      <c r="B1138">
        <v>-49.8</v>
      </c>
      <c r="C1138">
        <v>-50</v>
      </c>
      <c r="D1138" t="s">
        <v>5962</v>
      </c>
    </row>
    <row r="1139" spans="1:4" x14ac:dyDescent="0.2">
      <c r="A1139">
        <v>4</v>
      </c>
      <c r="B1139">
        <v>-49.9</v>
      </c>
      <c r="C1139">
        <v>-50</v>
      </c>
      <c r="D1139" t="s">
        <v>5962</v>
      </c>
    </row>
    <row r="1140" spans="1:4" x14ac:dyDescent="0.2">
      <c r="A1140">
        <v>5</v>
      </c>
      <c r="B1140">
        <v>-49.8</v>
      </c>
      <c r="C1140">
        <v>-50</v>
      </c>
      <c r="D1140" t="s">
        <v>5962</v>
      </c>
    </row>
    <row r="1141" spans="1:4" x14ac:dyDescent="0.2">
      <c r="A1141">
        <v>6</v>
      </c>
      <c r="B1141">
        <v>-50.1</v>
      </c>
      <c r="C1141">
        <v>-50</v>
      </c>
      <c r="D1141" t="s">
        <v>5962</v>
      </c>
    </row>
    <row r="1142" spans="1:4" x14ac:dyDescent="0.2">
      <c r="A1142">
        <v>1</v>
      </c>
      <c r="B1142">
        <v>0.2</v>
      </c>
      <c r="C1142">
        <v>0</v>
      </c>
      <c r="D1142" t="s">
        <v>5962</v>
      </c>
    </row>
    <row r="1143" spans="1:4" x14ac:dyDescent="0.2">
      <c r="A1143">
        <v>2</v>
      </c>
      <c r="B1143">
        <v>0.2</v>
      </c>
      <c r="C1143">
        <v>0</v>
      </c>
      <c r="D1143" t="s">
        <v>5962</v>
      </c>
    </row>
    <row r="1144" spans="1:4" x14ac:dyDescent="0.2">
      <c r="A1144">
        <v>3</v>
      </c>
      <c r="B1144">
        <v>0.1</v>
      </c>
      <c r="C1144">
        <v>0</v>
      </c>
      <c r="D1144" t="s">
        <v>5962</v>
      </c>
    </row>
    <row r="1145" spans="1:4" x14ac:dyDescent="0.2">
      <c r="A1145">
        <v>4</v>
      </c>
      <c r="B1145">
        <v>0.3</v>
      </c>
      <c r="C1145">
        <v>0</v>
      </c>
      <c r="D1145" t="s">
        <v>5962</v>
      </c>
    </row>
    <row r="1146" spans="1:4" x14ac:dyDescent="0.2">
      <c r="A1146">
        <v>5</v>
      </c>
      <c r="B1146">
        <v>0.1</v>
      </c>
      <c r="C1146">
        <v>0</v>
      </c>
      <c r="D1146" t="s">
        <v>5962</v>
      </c>
    </row>
    <row r="1147" spans="1:4" x14ac:dyDescent="0.2">
      <c r="A1147">
        <v>6</v>
      </c>
      <c r="B1147">
        <v>0</v>
      </c>
      <c r="C1147">
        <v>0</v>
      </c>
      <c r="D1147" t="s">
        <v>5962</v>
      </c>
    </row>
    <row r="1148" spans="1:4" x14ac:dyDescent="0.2">
      <c r="A1148">
        <v>1</v>
      </c>
      <c r="B1148">
        <v>250.2</v>
      </c>
      <c r="C1148">
        <v>250</v>
      </c>
      <c r="D1148" t="s">
        <v>5962</v>
      </c>
    </row>
    <row r="1149" spans="1:4" x14ac:dyDescent="0.2">
      <c r="A1149">
        <v>2</v>
      </c>
      <c r="B1149">
        <v>250.2</v>
      </c>
      <c r="C1149">
        <v>250</v>
      </c>
      <c r="D1149" t="s">
        <v>5962</v>
      </c>
    </row>
    <row r="1150" spans="1:4" x14ac:dyDescent="0.2">
      <c r="A1150">
        <v>3</v>
      </c>
      <c r="B1150">
        <v>250.2</v>
      </c>
      <c r="C1150">
        <v>250</v>
      </c>
      <c r="D1150" t="s">
        <v>5962</v>
      </c>
    </row>
    <row r="1151" spans="1:4" x14ac:dyDescent="0.2">
      <c r="A1151">
        <v>4</v>
      </c>
      <c r="B1151">
        <v>250.3</v>
      </c>
      <c r="C1151">
        <v>250</v>
      </c>
      <c r="D1151" t="s">
        <v>5962</v>
      </c>
    </row>
    <row r="1152" spans="1:4" x14ac:dyDescent="0.2">
      <c r="A1152">
        <v>5</v>
      </c>
      <c r="B1152">
        <v>250.1</v>
      </c>
      <c r="C1152">
        <v>250</v>
      </c>
      <c r="D1152" t="s">
        <v>5962</v>
      </c>
    </row>
    <row r="1153" spans="1:4" x14ac:dyDescent="0.2">
      <c r="A1153">
        <v>6</v>
      </c>
      <c r="B1153">
        <v>250</v>
      </c>
      <c r="C1153">
        <v>250</v>
      </c>
      <c r="D1153" t="s">
        <v>5962</v>
      </c>
    </row>
    <row r="1154" spans="1:4" x14ac:dyDescent="0.2">
      <c r="A1154">
        <v>1</v>
      </c>
      <c r="B1154">
        <v>500.2</v>
      </c>
      <c r="C1154">
        <v>500</v>
      </c>
      <c r="D1154" t="s">
        <v>5962</v>
      </c>
    </row>
    <row r="1155" spans="1:4" x14ac:dyDescent="0.2">
      <c r="A1155">
        <v>2</v>
      </c>
      <c r="B1155">
        <v>500.2</v>
      </c>
      <c r="C1155">
        <v>500</v>
      </c>
      <c r="D1155" t="s">
        <v>5962</v>
      </c>
    </row>
    <row r="1156" spans="1:4" x14ac:dyDescent="0.2">
      <c r="A1156">
        <v>3</v>
      </c>
      <c r="B1156">
        <v>500.2</v>
      </c>
      <c r="C1156">
        <v>500</v>
      </c>
      <c r="D1156" t="s">
        <v>5962</v>
      </c>
    </row>
    <row r="1157" spans="1:4" x14ac:dyDescent="0.2">
      <c r="A1157">
        <v>4</v>
      </c>
      <c r="B1157">
        <v>500.3</v>
      </c>
      <c r="C1157">
        <v>500</v>
      </c>
      <c r="D1157" t="s">
        <v>5962</v>
      </c>
    </row>
    <row r="1158" spans="1:4" x14ac:dyDescent="0.2">
      <c r="A1158">
        <v>5</v>
      </c>
      <c r="B1158">
        <v>500.1</v>
      </c>
      <c r="C1158">
        <v>500</v>
      </c>
      <c r="D1158" t="s">
        <v>5962</v>
      </c>
    </row>
    <row r="1159" spans="1:4" x14ac:dyDescent="0.2">
      <c r="A1159">
        <v>6</v>
      </c>
      <c r="B1159">
        <v>500</v>
      </c>
      <c r="C1159">
        <v>500</v>
      </c>
      <c r="D1159" t="s">
        <v>5962</v>
      </c>
    </row>
    <row r="1160" spans="1:4" x14ac:dyDescent="0.2">
      <c r="A1160">
        <v>1</v>
      </c>
      <c r="B1160">
        <v>1000.1</v>
      </c>
      <c r="C1160">
        <v>1000</v>
      </c>
      <c r="D1160" t="s">
        <v>5962</v>
      </c>
    </row>
    <row r="1161" spans="1:4" x14ac:dyDescent="0.2">
      <c r="A1161">
        <v>2</v>
      </c>
      <c r="B1161">
        <v>1000.3</v>
      </c>
      <c r="C1161">
        <v>1000</v>
      </c>
      <c r="D1161" t="s">
        <v>5962</v>
      </c>
    </row>
    <row r="1162" spans="1:4" x14ac:dyDescent="0.2">
      <c r="A1162">
        <v>3</v>
      </c>
      <c r="B1162">
        <v>1000.2</v>
      </c>
      <c r="C1162">
        <v>1000</v>
      </c>
      <c r="D1162" t="s">
        <v>5962</v>
      </c>
    </row>
    <row r="1163" spans="1:4" x14ac:dyDescent="0.2">
      <c r="A1163">
        <v>4</v>
      </c>
      <c r="B1163">
        <v>1000.3</v>
      </c>
      <c r="C1163">
        <v>1000</v>
      </c>
      <c r="D1163" t="s">
        <v>5962</v>
      </c>
    </row>
    <row r="1164" spans="1:4" x14ac:dyDescent="0.2">
      <c r="A1164">
        <v>5</v>
      </c>
      <c r="B1164">
        <v>1000</v>
      </c>
      <c r="C1164">
        <v>1000</v>
      </c>
      <c r="D1164" t="s">
        <v>5962</v>
      </c>
    </row>
    <row r="1165" spans="1:4" x14ac:dyDescent="0.2">
      <c r="A1165">
        <v>6</v>
      </c>
      <c r="B1165">
        <v>1000</v>
      </c>
      <c r="C1165">
        <v>1000</v>
      </c>
      <c r="D1165" t="s">
        <v>5962</v>
      </c>
    </row>
    <row r="1166" spans="1:4" x14ac:dyDescent="0.2">
      <c r="A1166">
        <v>7</v>
      </c>
      <c r="B1166">
        <v>-100.1</v>
      </c>
      <c r="C1166">
        <v>-100</v>
      </c>
      <c r="D1166" t="s">
        <v>5962</v>
      </c>
    </row>
    <row r="1167" spans="1:4" x14ac:dyDescent="0.2">
      <c r="A1167">
        <v>8</v>
      </c>
      <c r="B1167">
        <v>-99.9</v>
      </c>
      <c r="C1167">
        <v>-100</v>
      </c>
      <c r="D1167" t="s">
        <v>5962</v>
      </c>
    </row>
    <row r="1168" spans="1:4" x14ac:dyDescent="0.2">
      <c r="A1168">
        <v>9</v>
      </c>
      <c r="B1168">
        <v>-100.1</v>
      </c>
      <c r="C1168">
        <v>-100</v>
      </c>
      <c r="D1168" t="s">
        <v>5962</v>
      </c>
    </row>
    <row r="1169" spans="1:4" x14ac:dyDescent="0.2">
      <c r="A1169">
        <v>10</v>
      </c>
      <c r="B1169">
        <v>-99.7</v>
      </c>
      <c r="C1169">
        <v>-100</v>
      </c>
      <c r="D1169" t="s">
        <v>5962</v>
      </c>
    </row>
    <row r="1170" spans="1:4" x14ac:dyDescent="0.2">
      <c r="A1170">
        <v>11</v>
      </c>
      <c r="B1170">
        <v>-99.9</v>
      </c>
      <c r="C1170">
        <v>-100</v>
      </c>
      <c r="D1170" t="s">
        <v>5962</v>
      </c>
    </row>
    <row r="1171" spans="1:4" x14ac:dyDescent="0.2">
      <c r="A1171">
        <v>12</v>
      </c>
      <c r="B1171">
        <v>-100.2</v>
      </c>
      <c r="C1171">
        <v>-100</v>
      </c>
      <c r="D1171" t="s">
        <v>5962</v>
      </c>
    </row>
    <row r="1172" spans="1:4" x14ac:dyDescent="0.2">
      <c r="A1172">
        <v>7</v>
      </c>
      <c r="B1172">
        <v>-50.1</v>
      </c>
      <c r="C1172">
        <v>-50</v>
      </c>
      <c r="D1172" t="s">
        <v>5962</v>
      </c>
    </row>
    <row r="1173" spans="1:4" x14ac:dyDescent="0.2">
      <c r="A1173">
        <v>8</v>
      </c>
      <c r="B1173">
        <v>-49.7</v>
      </c>
      <c r="C1173">
        <v>-50</v>
      </c>
      <c r="D1173" t="s">
        <v>5962</v>
      </c>
    </row>
    <row r="1174" spans="1:4" x14ac:dyDescent="0.2">
      <c r="A1174">
        <v>9</v>
      </c>
      <c r="B1174">
        <v>-49.8</v>
      </c>
      <c r="C1174">
        <v>-50</v>
      </c>
      <c r="D1174" t="s">
        <v>5962</v>
      </c>
    </row>
    <row r="1175" spans="1:4" x14ac:dyDescent="0.2">
      <c r="A1175">
        <v>10</v>
      </c>
      <c r="B1175">
        <v>-49.7</v>
      </c>
      <c r="C1175">
        <v>-50</v>
      </c>
      <c r="D1175" t="s">
        <v>5962</v>
      </c>
    </row>
    <row r="1176" spans="1:4" x14ac:dyDescent="0.2">
      <c r="A1176">
        <v>11</v>
      </c>
      <c r="B1176">
        <v>-49.9</v>
      </c>
      <c r="C1176">
        <v>-50</v>
      </c>
      <c r="D1176" t="s">
        <v>5962</v>
      </c>
    </row>
    <row r="1177" spans="1:4" x14ac:dyDescent="0.2">
      <c r="A1177">
        <v>12</v>
      </c>
      <c r="B1177">
        <v>-50</v>
      </c>
      <c r="C1177">
        <v>-50</v>
      </c>
      <c r="D1177" t="s">
        <v>5962</v>
      </c>
    </row>
    <row r="1178" spans="1:4" x14ac:dyDescent="0.2">
      <c r="A1178">
        <v>7</v>
      </c>
      <c r="B1178">
        <v>-0.1</v>
      </c>
      <c r="C1178">
        <v>0</v>
      </c>
      <c r="D1178" t="s">
        <v>5962</v>
      </c>
    </row>
    <row r="1179" spans="1:4" x14ac:dyDescent="0.2">
      <c r="A1179">
        <v>8</v>
      </c>
      <c r="B1179">
        <v>0.3</v>
      </c>
      <c r="C1179">
        <v>0</v>
      </c>
      <c r="D1179" t="s">
        <v>5962</v>
      </c>
    </row>
    <row r="1180" spans="1:4" x14ac:dyDescent="0.2">
      <c r="A1180">
        <v>9</v>
      </c>
      <c r="B1180">
        <v>0.2</v>
      </c>
      <c r="C1180">
        <v>0</v>
      </c>
      <c r="D1180" t="s">
        <v>5962</v>
      </c>
    </row>
    <row r="1181" spans="1:4" x14ac:dyDescent="0.2">
      <c r="A1181">
        <v>10</v>
      </c>
      <c r="B1181">
        <v>0.4</v>
      </c>
      <c r="C1181">
        <v>0</v>
      </c>
      <c r="D1181" t="s">
        <v>5962</v>
      </c>
    </row>
    <row r="1182" spans="1:4" x14ac:dyDescent="0.2">
      <c r="A1182">
        <v>11</v>
      </c>
      <c r="B1182">
        <v>0.1</v>
      </c>
      <c r="C1182">
        <v>0</v>
      </c>
      <c r="D1182" t="s">
        <v>5962</v>
      </c>
    </row>
    <row r="1183" spans="1:4" x14ac:dyDescent="0.2">
      <c r="A1183">
        <v>12</v>
      </c>
      <c r="B1183">
        <v>0</v>
      </c>
      <c r="C1183">
        <v>0</v>
      </c>
      <c r="D1183" t="s">
        <v>5962</v>
      </c>
    </row>
    <row r="1184" spans="1:4" x14ac:dyDescent="0.2">
      <c r="A1184">
        <v>7</v>
      </c>
      <c r="B1184">
        <v>249.9</v>
      </c>
      <c r="C1184">
        <v>250</v>
      </c>
      <c r="D1184" t="s">
        <v>5962</v>
      </c>
    </row>
    <row r="1185" spans="1:4" x14ac:dyDescent="0.2">
      <c r="A1185">
        <v>8</v>
      </c>
      <c r="B1185">
        <v>250.4</v>
      </c>
      <c r="C1185">
        <v>250</v>
      </c>
      <c r="D1185" t="s">
        <v>5962</v>
      </c>
    </row>
    <row r="1186" spans="1:4" x14ac:dyDescent="0.2">
      <c r="A1186">
        <v>9</v>
      </c>
      <c r="B1186">
        <v>250.1</v>
      </c>
      <c r="C1186">
        <v>250</v>
      </c>
      <c r="D1186" t="s">
        <v>5962</v>
      </c>
    </row>
    <row r="1187" spans="1:4" x14ac:dyDescent="0.2">
      <c r="A1187">
        <v>10</v>
      </c>
      <c r="B1187">
        <v>250.4</v>
      </c>
      <c r="C1187">
        <v>250</v>
      </c>
      <c r="D1187" t="s">
        <v>5962</v>
      </c>
    </row>
    <row r="1188" spans="1:4" x14ac:dyDescent="0.2">
      <c r="A1188">
        <v>11</v>
      </c>
      <c r="B1188">
        <v>250.1</v>
      </c>
      <c r="C1188">
        <v>250</v>
      </c>
      <c r="D1188" t="s">
        <v>5962</v>
      </c>
    </row>
    <row r="1189" spans="1:4" x14ac:dyDescent="0.2">
      <c r="A1189">
        <v>12</v>
      </c>
      <c r="B1189">
        <v>250</v>
      </c>
      <c r="C1189">
        <v>250</v>
      </c>
      <c r="D1189" t="s">
        <v>5962</v>
      </c>
    </row>
    <row r="1190" spans="1:4" x14ac:dyDescent="0.2">
      <c r="A1190">
        <v>7</v>
      </c>
      <c r="B1190">
        <v>499.9</v>
      </c>
      <c r="C1190">
        <v>500</v>
      </c>
      <c r="D1190" t="s">
        <v>5962</v>
      </c>
    </row>
    <row r="1191" spans="1:4" x14ac:dyDescent="0.2">
      <c r="A1191">
        <v>8</v>
      </c>
      <c r="B1191">
        <v>500.3</v>
      </c>
      <c r="C1191">
        <v>500</v>
      </c>
      <c r="D1191" t="s">
        <v>5962</v>
      </c>
    </row>
    <row r="1192" spans="1:4" x14ac:dyDescent="0.2">
      <c r="A1192">
        <v>9</v>
      </c>
      <c r="B1192">
        <v>500.1</v>
      </c>
      <c r="C1192">
        <v>500</v>
      </c>
      <c r="D1192" t="s">
        <v>5962</v>
      </c>
    </row>
    <row r="1193" spans="1:4" x14ac:dyDescent="0.2">
      <c r="A1193">
        <v>10</v>
      </c>
      <c r="B1193">
        <v>500.4</v>
      </c>
      <c r="C1193">
        <v>500</v>
      </c>
      <c r="D1193" t="s">
        <v>5962</v>
      </c>
    </row>
    <row r="1194" spans="1:4" x14ac:dyDescent="0.2">
      <c r="A1194">
        <v>11</v>
      </c>
      <c r="B1194">
        <v>500.1</v>
      </c>
      <c r="C1194">
        <v>500</v>
      </c>
      <c r="D1194" t="s">
        <v>5962</v>
      </c>
    </row>
    <row r="1195" spans="1:4" x14ac:dyDescent="0.2">
      <c r="A1195">
        <v>12</v>
      </c>
      <c r="B1195">
        <v>500</v>
      </c>
      <c r="C1195">
        <v>500</v>
      </c>
      <c r="D1195" t="s">
        <v>5962</v>
      </c>
    </row>
    <row r="1196" spans="1:4" x14ac:dyDescent="0.2">
      <c r="A1196">
        <v>7</v>
      </c>
      <c r="B1196">
        <v>999.8</v>
      </c>
      <c r="C1196">
        <v>1000</v>
      </c>
      <c r="D1196" t="s">
        <v>5962</v>
      </c>
    </row>
    <row r="1197" spans="1:4" x14ac:dyDescent="0.2">
      <c r="A1197">
        <v>8</v>
      </c>
      <c r="B1197">
        <v>1000.3</v>
      </c>
      <c r="C1197">
        <v>1000</v>
      </c>
      <c r="D1197" t="s">
        <v>5962</v>
      </c>
    </row>
    <row r="1198" spans="1:4" x14ac:dyDescent="0.2">
      <c r="A1198">
        <v>9</v>
      </c>
      <c r="B1198">
        <v>1000</v>
      </c>
      <c r="C1198">
        <v>1000</v>
      </c>
      <c r="D1198" t="s">
        <v>5962</v>
      </c>
    </row>
    <row r="1199" spans="1:4" x14ac:dyDescent="0.2">
      <c r="A1199">
        <v>10</v>
      </c>
      <c r="B1199">
        <v>1000.4</v>
      </c>
      <c r="C1199">
        <v>1000</v>
      </c>
      <c r="D1199" t="s">
        <v>5962</v>
      </c>
    </row>
    <row r="1200" spans="1:4" x14ac:dyDescent="0.2">
      <c r="A1200">
        <v>11</v>
      </c>
      <c r="B1200">
        <v>1000.1</v>
      </c>
      <c r="C1200">
        <v>1000</v>
      </c>
      <c r="D1200" t="s">
        <v>5962</v>
      </c>
    </row>
    <row r="1201" spans="1:4" x14ac:dyDescent="0.2">
      <c r="A1201">
        <v>12</v>
      </c>
      <c r="B1201">
        <v>1000</v>
      </c>
      <c r="C1201">
        <v>1000</v>
      </c>
      <c r="D1201" t="s">
        <v>5962</v>
      </c>
    </row>
    <row r="1202" spans="1:4" x14ac:dyDescent="0.2">
      <c r="A1202">
        <v>13</v>
      </c>
      <c r="B1202">
        <v>-99.9</v>
      </c>
      <c r="C1202">
        <v>-100</v>
      </c>
      <c r="D1202" t="s">
        <v>5962</v>
      </c>
    </row>
    <row r="1203" spans="1:4" x14ac:dyDescent="0.2">
      <c r="A1203">
        <v>14</v>
      </c>
      <c r="B1203">
        <v>-99.7</v>
      </c>
      <c r="C1203">
        <v>-100</v>
      </c>
      <c r="D1203" t="s">
        <v>5962</v>
      </c>
    </row>
    <row r="1204" spans="1:4" x14ac:dyDescent="0.2">
      <c r="A1204">
        <v>15</v>
      </c>
      <c r="B1204">
        <v>-99.8</v>
      </c>
      <c r="C1204">
        <v>-100</v>
      </c>
      <c r="D1204" t="s">
        <v>5962</v>
      </c>
    </row>
    <row r="1205" spans="1:4" x14ac:dyDescent="0.2">
      <c r="A1205">
        <v>16</v>
      </c>
      <c r="B1205">
        <v>-100</v>
      </c>
      <c r="C1205">
        <v>-100</v>
      </c>
      <c r="D1205" t="s">
        <v>5962</v>
      </c>
    </row>
    <row r="1206" spans="1:4" x14ac:dyDescent="0.2">
      <c r="A1206">
        <v>17</v>
      </c>
      <c r="B1206">
        <v>-100</v>
      </c>
      <c r="C1206">
        <v>-100</v>
      </c>
      <c r="D1206" t="s">
        <v>5962</v>
      </c>
    </row>
    <row r="1207" spans="1:4" x14ac:dyDescent="0.2">
      <c r="A1207">
        <v>18</v>
      </c>
      <c r="B1207">
        <v>-99.9</v>
      </c>
      <c r="C1207">
        <v>-100</v>
      </c>
      <c r="D1207" t="s">
        <v>5962</v>
      </c>
    </row>
    <row r="1208" spans="1:4" x14ac:dyDescent="0.2">
      <c r="A1208">
        <v>13</v>
      </c>
      <c r="B1208">
        <v>-49.9</v>
      </c>
      <c r="C1208">
        <v>-50</v>
      </c>
      <c r="D1208" t="s">
        <v>5962</v>
      </c>
    </row>
    <row r="1209" spans="1:4" x14ac:dyDescent="0.2">
      <c r="A1209">
        <v>14</v>
      </c>
      <c r="B1209">
        <v>-49.4</v>
      </c>
      <c r="C1209">
        <v>-50</v>
      </c>
      <c r="D1209" t="s">
        <v>5962</v>
      </c>
    </row>
    <row r="1210" spans="1:4" x14ac:dyDescent="0.2">
      <c r="A1210">
        <v>15</v>
      </c>
      <c r="B1210">
        <v>-49.8</v>
      </c>
      <c r="C1210">
        <v>-50</v>
      </c>
      <c r="D1210" t="s">
        <v>5962</v>
      </c>
    </row>
    <row r="1211" spans="1:4" x14ac:dyDescent="0.2">
      <c r="A1211">
        <v>16</v>
      </c>
      <c r="B1211">
        <v>-50.1</v>
      </c>
      <c r="C1211">
        <v>-50</v>
      </c>
      <c r="D1211" t="s">
        <v>5962</v>
      </c>
    </row>
    <row r="1212" spans="1:4" x14ac:dyDescent="0.2">
      <c r="A1212">
        <v>17</v>
      </c>
      <c r="B1212">
        <v>-50.1</v>
      </c>
      <c r="C1212">
        <v>-50</v>
      </c>
      <c r="D1212" t="s">
        <v>5962</v>
      </c>
    </row>
    <row r="1213" spans="1:4" x14ac:dyDescent="0.2">
      <c r="A1213">
        <v>18</v>
      </c>
      <c r="B1213">
        <v>-49.9</v>
      </c>
      <c r="C1213">
        <v>-50</v>
      </c>
      <c r="D1213" t="s">
        <v>5962</v>
      </c>
    </row>
    <row r="1214" spans="1:4" x14ac:dyDescent="0.2">
      <c r="A1214">
        <v>13</v>
      </c>
      <c r="B1214">
        <v>0.1</v>
      </c>
      <c r="C1214">
        <v>0</v>
      </c>
      <c r="D1214" t="s">
        <v>5962</v>
      </c>
    </row>
    <row r="1215" spans="1:4" x14ac:dyDescent="0.2">
      <c r="A1215">
        <v>14</v>
      </c>
      <c r="B1215">
        <v>0.1</v>
      </c>
      <c r="C1215">
        <v>0</v>
      </c>
      <c r="D1215" t="s">
        <v>5962</v>
      </c>
    </row>
    <row r="1216" spans="1:4" x14ac:dyDescent="0.2">
      <c r="A1216">
        <v>15</v>
      </c>
      <c r="B1216">
        <v>0.1</v>
      </c>
      <c r="C1216">
        <v>0</v>
      </c>
      <c r="D1216" t="s">
        <v>5962</v>
      </c>
    </row>
    <row r="1217" spans="1:4" x14ac:dyDescent="0.2">
      <c r="A1217">
        <v>16</v>
      </c>
      <c r="B1217">
        <v>-0.1</v>
      </c>
      <c r="C1217">
        <v>0</v>
      </c>
      <c r="D1217" t="s">
        <v>5962</v>
      </c>
    </row>
    <row r="1218" spans="1:4" x14ac:dyDescent="0.2">
      <c r="A1218">
        <v>17</v>
      </c>
      <c r="B1218">
        <v>-0.1</v>
      </c>
      <c r="C1218">
        <v>0</v>
      </c>
      <c r="D1218" t="s">
        <v>5962</v>
      </c>
    </row>
    <row r="1219" spans="1:4" x14ac:dyDescent="0.2">
      <c r="A1219">
        <v>18</v>
      </c>
      <c r="B1219">
        <v>0.1</v>
      </c>
      <c r="C1219">
        <v>0</v>
      </c>
      <c r="D1219" t="s">
        <v>5962</v>
      </c>
    </row>
    <row r="1220" spans="1:4" x14ac:dyDescent="0.2">
      <c r="A1220">
        <v>13</v>
      </c>
      <c r="B1220">
        <v>250.1</v>
      </c>
      <c r="C1220">
        <v>250</v>
      </c>
      <c r="D1220" t="s">
        <v>5962</v>
      </c>
    </row>
    <row r="1221" spans="1:4" x14ac:dyDescent="0.2">
      <c r="A1221">
        <v>14</v>
      </c>
      <c r="B1221">
        <v>250.1</v>
      </c>
      <c r="C1221">
        <v>250</v>
      </c>
      <c r="D1221" t="s">
        <v>5962</v>
      </c>
    </row>
    <row r="1222" spans="1:4" x14ac:dyDescent="0.2">
      <c r="A1222">
        <v>15</v>
      </c>
      <c r="B1222">
        <v>250</v>
      </c>
      <c r="C1222">
        <v>250</v>
      </c>
      <c r="D1222" t="s">
        <v>5962</v>
      </c>
    </row>
    <row r="1223" spans="1:4" x14ac:dyDescent="0.2">
      <c r="A1223">
        <v>16</v>
      </c>
      <c r="B1223">
        <v>250</v>
      </c>
      <c r="C1223">
        <v>250</v>
      </c>
      <c r="D1223" t="s">
        <v>5962</v>
      </c>
    </row>
    <row r="1224" spans="1:4" x14ac:dyDescent="0.2">
      <c r="A1224">
        <v>17</v>
      </c>
      <c r="B1224">
        <v>249.9</v>
      </c>
      <c r="C1224">
        <v>250</v>
      </c>
      <c r="D1224" t="s">
        <v>5962</v>
      </c>
    </row>
    <row r="1225" spans="1:4" x14ac:dyDescent="0.2">
      <c r="A1225">
        <v>18</v>
      </c>
      <c r="B1225">
        <v>250.1</v>
      </c>
      <c r="C1225">
        <v>250</v>
      </c>
      <c r="D1225" t="s">
        <v>5962</v>
      </c>
    </row>
    <row r="1226" spans="1:4" x14ac:dyDescent="0.2">
      <c r="A1226">
        <v>13</v>
      </c>
      <c r="B1226">
        <v>500</v>
      </c>
      <c r="C1226">
        <v>500</v>
      </c>
      <c r="D1226" t="s">
        <v>5962</v>
      </c>
    </row>
    <row r="1227" spans="1:4" x14ac:dyDescent="0.2">
      <c r="A1227">
        <v>14</v>
      </c>
      <c r="B1227">
        <v>500</v>
      </c>
      <c r="C1227">
        <v>500</v>
      </c>
      <c r="D1227" t="s">
        <v>5962</v>
      </c>
    </row>
    <row r="1228" spans="1:4" x14ac:dyDescent="0.2">
      <c r="A1228">
        <v>15</v>
      </c>
      <c r="B1228">
        <v>500.1</v>
      </c>
      <c r="C1228">
        <v>500</v>
      </c>
      <c r="D1228" t="s">
        <v>5962</v>
      </c>
    </row>
    <row r="1229" spans="1:4" x14ac:dyDescent="0.2">
      <c r="A1229">
        <v>16</v>
      </c>
      <c r="B1229">
        <v>500</v>
      </c>
      <c r="C1229">
        <v>500</v>
      </c>
      <c r="D1229" t="s">
        <v>5962</v>
      </c>
    </row>
    <row r="1230" spans="1:4" x14ac:dyDescent="0.2">
      <c r="A1230">
        <v>17</v>
      </c>
      <c r="B1230">
        <v>499.9</v>
      </c>
      <c r="C1230">
        <v>500</v>
      </c>
      <c r="D1230" t="s">
        <v>5962</v>
      </c>
    </row>
    <row r="1231" spans="1:4" x14ac:dyDescent="0.2">
      <c r="A1231">
        <v>18</v>
      </c>
      <c r="B1231">
        <v>500.1</v>
      </c>
      <c r="C1231">
        <v>500</v>
      </c>
      <c r="D1231" t="s">
        <v>5962</v>
      </c>
    </row>
    <row r="1232" spans="1:4" x14ac:dyDescent="0.2">
      <c r="A1232">
        <v>13</v>
      </c>
      <c r="B1232">
        <v>1000</v>
      </c>
      <c r="C1232">
        <v>1000</v>
      </c>
      <c r="D1232" t="s">
        <v>5962</v>
      </c>
    </row>
    <row r="1233" spans="1:4" x14ac:dyDescent="0.2">
      <c r="A1233">
        <v>14</v>
      </c>
      <c r="B1233">
        <v>1000</v>
      </c>
      <c r="C1233">
        <v>1000</v>
      </c>
      <c r="D1233" t="s">
        <v>5962</v>
      </c>
    </row>
    <row r="1234" spans="1:4" x14ac:dyDescent="0.2">
      <c r="A1234">
        <v>15</v>
      </c>
      <c r="B1234">
        <v>1000.1</v>
      </c>
      <c r="C1234">
        <v>1000</v>
      </c>
      <c r="D1234" t="s">
        <v>5962</v>
      </c>
    </row>
    <row r="1235" spans="1:4" x14ac:dyDescent="0.2">
      <c r="A1235">
        <v>16</v>
      </c>
      <c r="B1235">
        <v>1000</v>
      </c>
      <c r="C1235">
        <v>1000</v>
      </c>
      <c r="D1235" t="s">
        <v>5962</v>
      </c>
    </row>
    <row r="1236" spans="1:4" x14ac:dyDescent="0.2">
      <c r="A1236">
        <v>17</v>
      </c>
      <c r="B1236">
        <v>999.8</v>
      </c>
      <c r="C1236">
        <v>1000</v>
      </c>
      <c r="D1236" t="s">
        <v>5962</v>
      </c>
    </row>
    <row r="1237" spans="1:4" x14ac:dyDescent="0.2">
      <c r="A1237">
        <v>18</v>
      </c>
      <c r="B1237">
        <v>1000.2</v>
      </c>
      <c r="C1237">
        <v>1000</v>
      </c>
      <c r="D1237" t="s">
        <v>5962</v>
      </c>
    </row>
    <row r="1238" spans="1:4" x14ac:dyDescent="0.2">
      <c r="A1238">
        <v>19</v>
      </c>
      <c r="B1238">
        <v>-100.1</v>
      </c>
      <c r="C1238">
        <v>-100</v>
      </c>
      <c r="D1238" t="s">
        <v>5962</v>
      </c>
    </row>
    <row r="1239" spans="1:4" x14ac:dyDescent="0.2">
      <c r="A1239">
        <v>20</v>
      </c>
      <c r="B1239">
        <v>-99.9</v>
      </c>
      <c r="C1239">
        <v>-100</v>
      </c>
      <c r="D1239" t="s">
        <v>5962</v>
      </c>
    </row>
    <row r="1240" spans="1:4" x14ac:dyDescent="0.2">
      <c r="A1240">
        <v>21</v>
      </c>
      <c r="B1240">
        <v>-99.9</v>
      </c>
      <c r="C1240">
        <v>-100</v>
      </c>
      <c r="D1240" t="s">
        <v>5962</v>
      </c>
    </row>
    <row r="1241" spans="1:4" x14ac:dyDescent="0.2">
      <c r="A1241">
        <v>22</v>
      </c>
      <c r="B1241">
        <v>-99.9</v>
      </c>
      <c r="C1241">
        <v>-100</v>
      </c>
      <c r="D1241" t="s">
        <v>5962</v>
      </c>
    </row>
    <row r="1242" spans="1:4" x14ac:dyDescent="0.2">
      <c r="A1242">
        <v>23</v>
      </c>
      <c r="B1242">
        <v>-99.9</v>
      </c>
      <c r="C1242">
        <v>-100</v>
      </c>
      <c r="D1242" t="s">
        <v>5962</v>
      </c>
    </row>
    <row r="1243" spans="1:4" x14ac:dyDescent="0.2">
      <c r="A1243">
        <v>24</v>
      </c>
      <c r="B1243">
        <v>-99.9</v>
      </c>
      <c r="C1243">
        <v>-100</v>
      </c>
      <c r="D1243" t="s">
        <v>5962</v>
      </c>
    </row>
    <row r="1244" spans="1:4" x14ac:dyDescent="0.2">
      <c r="A1244">
        <v>19</v>
      </c>
      <c r="B1244">
        <v>-50.1</v>
      </c>
      <c r="C1244">
        <v>-50</v>
      </c>
      <c r="D1244" t="s">
        <v>5962</v>
      </c>
    </row>
    <row r="1245" spans="1:4" x14ac:dyDescent="0.2">
      <c r="A1245">
        <v>20</v>
      </c>
      <c r="B1245">
        <v>-49.9</v>
      </c>
      <c r="C1245">
        <v>-50</v>
      </c>
      <c r="D1245" t="s">
        <v>5962</v>
      </c>
    </row>
    <row r="1246" spans="1:4" x14ac:dyDescent="0.2">
      <c r="A1246">
        <v>21</v>
      </c>
      <c r="B1246">
        <v>-50</v>
      </c>
      <c r="C1246">
        <v>-50</v>
      </c>
      <c r="D1246" t="s">
        <v>5962</v>
      </c>
    </row>
    <row r="1247" spans="1:4" x14ac:dyDescent="0.2">
      <c r="A1247">
        <v>22</v>
      </c>
      <c r="B1247">
        <v>-49.9</v>
      </c>
      <c r="C1247">
        <v>-50</v>
      </c>
      <c r="D1247" t="s">
        <v>5962</v>
      </c>
    </row>
    <row r="1248" spans="1:4" x14ac:dyDescent="0.2">
      <c r="A1248">
        <v>23</v>
      </c>
      <c r="B1248">
        <v>-50</v>
      </c>
      <c r="C1248">
        <v>-50</v>
      </c>
      <c r="D1248" t="s">
        <v>5962</v>
      </c>
    </row>
    <row r="1249" spans="1:4" x14ac:dyDescent="0.2">
      <c r="A1249">
        <v>24</v>
      </c>
      <c r="B1249">
        <v>-50</v>
      </c>
      <c r="C1249">
        <v>-50</v>
      </c>
      <c r="D1249" t="s">
        <v>5962</v>
      </c>
    </row>
    <row r="1250" spans="1:4" x14ac:dyDescent="0.2">
      <c r="A1250">
        <v>19</v>
      </c>
      <c r="B1250">
        <v>-0.1</v>
      </c>
      <c r="C1250">
        <v>0</v>
      </c>
      <c r="D1250" t="s">
        <v>5962</v>
      </c>
    </row>
    <row r="1251" spans="1:4" x14ac:dyDescent="0.2">
      <c r="A1251">
        <v>20</v>
      </c>
      <c r="B1251">
        <v>0</v>
      </c>
      <c r="C1251">
        <v>0</v>
      </c>
      <c r="D1251" t="s">
        <v>5962</v>
      </c>
    </row>
    <row r="1252" spans="1:4" x14ac:dyDescent="0.2">
      <c r="A1252">
        <v>21</v>
      </c>
      <c r="B1252">
        <v>0</v>
      </c>
      <c r="C1252">
        <v>0</v>
      </c>
      <c r="D1252" t="s">
        <v>5962</v>
      </c>
    </row>
    <row r="1253" spans="1:4" x14ac:dyDescent="0.2">
      <c r="A1253">
        <v>22</v>
      </c>
      <c r="B1253">
        <v>0</v>
      </c>
      <c r="C1253">
        <v>0</v>
      </c>
      <c r="D1253" t="s">
        <v>5962</v>
      </c>
    </row>
    <row r="1254" spans="1:4" x14ac:dyDescent="0.2">
      <c r="A1254">
        <v>23</v>
      </c>
      <c r="B1254">
        <v>0</v>
      </c>
      <c r="C1254">
        <v>0</v>
      </c>
      <c r="D1254" t="s">
        <v>5962</v>
      </c>
    </row>
    <row r="1255" spans="1:4" x14ac:dyDescent="0.2">
      <c r="A1255">
        <v>24</v>
      </c>
      <c r="B1255">
        <v>-0.1</v>
      </c>
      <c r="C1255">
        <v>0</v>
      </c>
      <c r="D1255" t="s">
        <v>5962</v>
      </c>
    </row>
    <row r="1256" spans="1:4" x14ac:dyDescent="0.2">
      <c r="A1256">
        <v>19</v>
      </c>
      <c r="B1256">
        <v>250</v>
      </c>
      <c r="C1256">
        <v>250</v>
      </c>
      <c r="D1256" t="s">
        <v>5962</v>
      </c>
    </row>
    <row r="1257" spans="1:4" x14ac:dyDescent="0.2">
      <c r="A1257">
        <v>20</v>
      </c>
      <c r="B1257">
        <v>250</v>
      </c>
      <c r="C1257">
        <v>250</v>
      </c>
      <c r="D1257" t="s">
        <v>5962</v>
      </c>
    </row>
    <row r="1258" spans="1:4" x14ac:dyDescent="0.2">
      <c r="A1258">
        <v>21</v>
      </c>
      <c r="B1258">
        <v>250</v>
      </c>
      <c r="C1258">
        <v>250</v>
      </c>
      <c r="D1258" t="s">
        <v>5962</v>
      </c>
    </row>
    <row r="1259" spans="1:4" x14ac:dyDescent="0.2">
      <c r="A1259">
        <v>22</v>
      </c>
      <c r="B1259">
        <v>250</v>
      </c>
      <c r="C1259">
        <v>250</v>
      </c>
      <c r="D1259" t="s">
        <v>5962</v>
      </c>
    </row>
    <row r="1260" spans="1:4" x14ac:dyDescent="0.2">
      <c r="A1260">
        <v>23</v>
      </c>
      <c r="B1260">
        <v>250</v>
      </c>
      <c r="C1260">
        <v>250</v>
      </c>
      <c r="D1260" t="s">
        <v>5962</v>
      </c>
    </row>
    <row r="1261" spans="1:4" x14ac:dyDescent="0.2">
      <c r="A1261">
        <v>24</v>
      </c>
      <c r="B1261">
        <v>249.9</v>
      </c>
      <c r="C1261">
        <v>250</v>
      </c>
      <c r="D1261" t="s">
        <v>5962</v>
      </c>
    </row>
    <row r="1262" spans="1:4" x14ac:dyDescent="0.2">
      <c r="A1262">
        <v>19</v>
      </c>
      <c r="B1262">
        <v>500</v>
      </c>
      <c r="C1262">
        <v>500</v>
      </c>
      <c r="D1262" t="s">
        <v>5962</v>
      </c>
    </row>
    <row r="1263" spans="1:4" x14ac:dyDescent="0.2">
      <c r="A1263">
        <v>20</v>
      </c>
      <c r="B1263">
        <v>500</v>
      </c>
      <c r="C1263">
        <v>500</v>
      </c>
      <c r="D1263" t="s">
        <v>5962</v>
      </c>
    </row>
    <row r="1264" spans="1:4" x14ac:dyDescent="0.2">
      <c r="A1264">
        <v>21</v>
      </c>
      <c r="B1264">
        <v>500</v>
      </c>
      <c r="C1264">
        <v>500</v>
      </c>
      <c r="D1264" t="s">
        <v>5962</v>
      </c>
    </row>
    <row r="1265" spans="1:4" x14ac:dyDescent="0.2">
      <c r="A1265">
        <v>22</v>
      </c>
      <c r="B1265">
        <v>500</v>
      </c>
      <c r="C1265">
        <v>500</v>
      </c>
      <c r="D1265" t="s">
        <v>5962</v>
      </c>
    </row>
    <row r="1266" spans="1:4" x14ac:dyDescent="0.2">
      <c r="A1266">
        <v>23</v>
      </c>
      <c r="B1266">
        <v>500</v>
      </c>
      <c r="C1266">
        <v>500</v>
      </c>
      <c r="D1266" t="s">
        <v>5962</v>
      </c>
    </row>
    <row r="1267" spans="1:4" x14ac:dyDescent="0.2">
      <c r="A1267">
        <v>24</v>
      </c>
      <c r="B1267">
        <v>499.9</v>
      </c>
      <c r="C1267">
        <v>500</v>
      </c>
      <c r="D1267" t="s">
        <v>5962</v>
      </c>
    </row>
    <row r="1268" spans="1:4" x14ac:dyDescent="0.2">
      <c r="A1268">
        <v>19</v>
      </c>
      <c r="B1268">
        <v>1000</v>
      </c>
      <c r="C1268">
        <v>1000</v>
      </c>
      <c r="D1268" t="s">
        <v>5962</v>
      </c>
    </row>
    <row r="1269" spans="1:4" x14ac:dyDescent="0.2">
      <c r="A1269">
        <v>20</v>
      </c>
      <c r="B1269">
        <v>1000</v>
      </c>
      <c r="C1269">
        <v>1000</v>
      </c>
      <c r="D1269" t="s">
        <v>5962</v>
      </c>
    </row>
    <row r="1270" spans="1:4" x14ac:dyDescent="0.2">
      <c r="A1270">
        <v>21</v>
      </c>
      <c r="B1270">
        <v>999.9</v>
      </c>
      <c r="C1270">
        <v>1000</v>
      </c>
      <c r="D1270" t="s">
        <v>5962</v>
      </c>
    </row>
    <row r="1271" spans="1:4" x14ac:dyDescent="0.2">
      <c r="A1271">
        <v>22</v>
      </c>
      <c r="B1271">
        <v>1000</v>
      </c>
      <c r="C1271">
        <v>1000</v>
      </c>
      <c r="D1271" t="s">
        <v>5962</v>
      </c>
    </row>
    <row r="1272" spans="1:4" x14ac:dyDescent="0.2">
      <c r="A1272">
        <v>23</v>
      </c>
      <c r="B1272">
        <v>1000</v>
      </c>
      <c r="C1272">
        <v>1000</v>
      </c>
      <c r="D1272" t="s">
        <v>5962</v>
      </c>
    </row>
    <row r="1273" spans="1:4" x14ac:dyDescent="0.2">
      <c r="A1273">
        <v>24</v>
      </c>
      <c r="B1273">
        <v>1000</v>
      </c>
      <c r="C1273">
        <v>1000</v>
      </c>
      <c r="D1273" t="s">
        <v>5962</v>
      </c>
    </row>
    <row r="1274" spans="1:4" x14ac:dyDescent="0.2">
      <c r="A1274">
        <v>25</v>
      </c>
      <c r="B1274">
        <v>-100.5</v>
      </c>
      <c r="C1274">
        <v>-100</v>
      </c>
      <c r="D1274" t="s">
        <v>5962</v>
      </c>
    </row>
    <row r="1275" spans="1:4" x14ac:dyDescent="0.2">
      <c r="A1275">
        <v>26</v>
      </c>
      <c r="B1275">
        <v>-99.5</v>
      </c>
      <c r="C1275">
        <v>-100</v>
      </c>
      <c r="D1275" t="s">
        <v>5962</v>
      </c>
    </row>
    <row r="1276" spans="1:4" x14ac:dyDescent="0.2">
      <c r="A1276">
        <v>27</v>
      </c>
      <c r="B1276">
        <v>-99.6</v>
      </c>
      <c r="C1276">
        <v>-100</v>
      </c>
      <c r="D1276" t="s">
        <v>5962</v>
      </c>
    </row>
    <row r="1277" spans="1:4" x14ac:dyDescent="0.2">
      <c r="A1277">
        <v>28</v>
      </c>
      <c r="B1277">
        <v>-100.2</v>
      </c>
      <c r="C1277">
        <v>-100</v>
      </c>
      <c r="D1277" t="s">
        <v>5962</v>
      </c>
    </row>
    <row r="1278" spans="1:4" x14ac:dyDescent="0.2">
      <c r="A1278">
        <v>29</v>
      </c>
      <c r="B1278">
        <v>-100.1</v>
      </c>
      <c r="C1278">
        <v>-100</v>
      </c>
      <c r="D1278" t="s">
        <v>5962</v>
      </c>
    </row>
    <row r="1279" spans="1:4" x14ac:dyDescent="0.2">
      <c r="A1279">
        <v>30</v>
      </c>
      <c r="B1279">
        <v>-100.2</v>
      </c>
      <c r="C1279">
        <v>-100</v>
      </c>
      <c r="D1279" t="s">
        <v>5962</v>
      </c>
    </row>
    <row r="1280" spans="1:4" x14ac:dyDescent="0.2">
      <c r="A1280">
        <v>25</v>
      </c>
      <c r="B1280">
        <v>-50.5</v>
      </c>
      <c r="C1280">
        <v>-50</v>
      </c>
      <c r="D1280" t="s">
        <v>5962</v>
      </c>
    </row>
    <row r="1281" spans="1:4" x14ac:dyDescent="0.2">
      <c r="A1281">
        <v>26</v>
      </c>
      <c r="B1281">
        <v>-49.5</v>
      </c>
      <c r="C1281">
        <v>-50</v>
      </c>
      <c r="D1281" t="s">
        <v>5962</v>
      </c>
    </row>
    <row r="1282" spans="1:4" x14ac:dyDescent="0.2">
      <c r="A1282">
        <v>27</v>
      </c>
      <c r="B1282">
        <v>-49.8</v>
      </c>
      <c r="C1282">
        <v>-50</v>
      </c>
      <c r="D1282" t="s">
        <v>5962</v>
      </c>
    </row>
    <row r="1283" spans="1:4" x14ac:dyDescent="0.2">
      <c r="A1283">
        <v>28</v>
      </c>
      <c r="B1283">
        <v>-50.2</v>
      </c>
      <c r="C1283">
        <v>-50</v>
      </c>
      <c r="D1283" t="s">
        <v>5962</v>
      </c>
    </row>
    <row r="1284" spans="1:4" x14ac:dyDescent="0.2">
      <c r="A1284">
        <v>29</v>
      </c>
      <c r="B1284">
        <v>-50.1</v>
      </c>
      <c r="C1284">
        <v>-50</v>
      </c>
      <c r="D1284" t="s">
        <v>5962</v>
      </c>
    </row>
    <row r="1285" spans="1:4" x14ac:dyDescent="0.2">
      <c r="A1285">
        <v>30</v>
      </c>
      <c r="B1285">
        <v>-50.2</v>
      </c>
      <c r="C1285">
        <v>-50</v>
      </c>
      <c r="D1285" t="s">
        <v>5962</v>
      </c>
    </row>
    <row r="1286" spans="1:4" x14ac:dyDescent="0.2">
      <c r="A1286">
        <v>25</v>
      </c>
      <c r="B1286">
        <v>-0.5</v>
      </c>
      <c r="C1286">
        <v>0</v>
      </c>
      <c r="D1286" t="s">
        <v>5962</v>
      </c>
    </row>
    <row r="1287" spans="1:4" x14ac:dyDescent="0.2">
      <c r="A1287">
        <v>26</v>
      </c>
      <c r="B1287">
        <v>0.5</v>
      </c>
      <c r="C1287">
        <v>0</v>
      </c>
      <c r="D1287" t="s">
        <v>5962</v>
      </c>
    </row>
    <row r="1288" spans="1:4" x14ac:dyDescent="0.2">
      <c r="A1288">
        <v>27</v>
      </c>
      <c r="B1288">
        <v>0.1</v>
      </c>
      <c r="C1288">
        <v>0</v>
      </c>
      <c r="D1288" t="s">
        <v>5962</v>
      </c>
    </row>
    <row r="1289" spans="1:4" x14ac:dyDescent="0.2">
      <c r="A1289">
        <v>28</v>
      </c>
      <c r="B1289">
        <v>-0.3</v>
      </c>
      <c r="C1289">
        <v>0</v>
      </c>
      <c r="D1289" t="s">
        <v>5962</v>
      </c>
    </row>
    <row r="1290" spans="1:4" x14ac:dyDescent="0.2">
      <c r="A1290">
        <v>29</v>
      </c>
      <c r="B1290">
        <v>-0.2</v>
      </c>
      <c r="C1290">
        <v>0</v>
      </c>
      <c r="D1290" t="s">
        <v>5962</v>
      </c>
    </row>
    <row r="1291" spans="1:4" x14ac:dyDescent="0.2">
      <c r="A1291">
        <v>30</v>
      </c>
      <c r="B1291">
        <v>-0.2</v>
      </c>
      <c r="C1291">
        <v>0</v>
      </c>
      <c r="D1291" t="s">
        <v>5962</v>
      </c>
    </row>
    <row r="1292" spans="1:4" x14ac:dyDescent="0.2">
      <c r="A1292">
        <v>25</v>
      </c>
      <c r="B1292">
        <v>249.5</v>
      </c>
      <c r="C1292">
        <v>250</v>
      </c>
      <c r="D1292" t="s">
        <v>5962</v>
      </c>
    </row>
    <row r="1293" spans="1:4" x14ac:dyDescent="0.2">
      <c r="A1293">
        <v>26</v>
      </c>
      <c r="B1293">
        <v>250.5</v>
      </c>
      <c r="C1293">
        <v>250</v>
      </c>
      <c r="D1293" t="s">
        <v>5962</v>
      </c>
    </row>
    <row r="1294" spans="1:4" x14ac:dyDescent="0.2">
      <c r="A1294">
        <v>27</v>
      </c>
      <c r="B1294">
        <v>250.1</v>
      </c>
      <c r="C1294">
        <v>250</v>
      </c>
      <c r="D1294" t="s">
        <v>5962</v>
      </c>
    </row>
    <row r="1295" spans="1:4" x14ac:dyDescent="0.2">
      <c r="A1295">
        <v>28</v>
      </c>
      <c r="B1295">
        <v>249.7</v>
      </c>
      <c r="C1295">
        <v>250</v>
      </c>
      <c r="D1295" t="s">
        <v>5962</v>
      </c>
    </row>
    <row r="1296" spans="1:4" x14ac:dyDescent="0.2">
      <c r="A1296">
        <v>29</v>
      </c>
      <c r="B1296">
        <v>249.8</v>
      </c>
      <c r="C1296">
        <v>250</v>
      </c>
      <c r="D1296" t="s">
        <v>5962</v>
      </c>
    </row>
    <row r="1297" spans="1:4" x14ac:dyDescent="0.2">
      <c r="A1297">
        <v>30</v>
      </c>
      <c r="B1297">
        <v>249.8</v>
      </c>
      <c r="C1297">
        <v>250</v>
      </c>
      <c r="D1297" t="s">
        <v>5962</v>
      </c>
    </row>
    <row r="1298" spans="1:4" x14ac:dyDescent="0.2">
      <c r="A1298">
        <v>25</v>
      </c>
      <c r="B1298">
        <v>499.5</v>
      </c>
      <c r="C1298">
        <v>500</v>
      </c>
      <c r="D1298" t="s">
        <v>5962</v>
      </c>
    </row>
    <row r="1299" spans="1:4" x14ac:dyDescent="0.2">
      <c r="A1299">
        <v>26</v>
      </c>
      <c r="B1299">
        <v>500.5</v>
      </c>
      <c r="C1299">
        <v>500</v>
      </c>
      <c r="D1299" t="s">
        <v>5962</v>
      </c>
    </row>
    <row r="1300" spans="1:4" x14ac:dyDescent="0.2">
      <c r="A1300">
        <v>27</v>
      </c>
      <c r="B1300">
        <v>500</v>
      </c>
      <c r="C1300">
        <v>500</v>
      </c>
      <c r="D1300" t="s">
        <v>5962</v>
      </c>
    </row>
    <row r="1301" spans="1:4" x14ac:dyDescent="0.2">
      <c r="A1301">
        <v>28</v>
      </c>
      <c r="B1301">
        <v>499.7</v>
      </c>
      <c r="C1301">
        <v>500</v>
      </c>
      <c r="D1301" t="s">
        <v>5962</v>
      </c>
    </row>
    <row r="1302" spans="1:4" x14ac:dyDescent="0.2">
      <c r="A1302">
        <v>29</v>
      </c>
      <c r="B1302">
        <v>499.7</v>
      </c>
      <c r="C1302">
        <v>500</v>
      </c>
      <c r="D1302" t="s">
        <v>5962</v>
      </c>
    </row>
    <row r="1303" spans="1:4" x14ac:dyDescent="0.2">
      <c r="A1303">
        <v>30</v>
      </c>
      <c r="B1303">
        <v>499.8</v>
      </c>
      <c r="C1303">
        <v>500</v>
      </c>
      <c r="D1303" t="s">
        <v>5962</v>
      </c>
    </row>
    <row r="1304" spans="1:4" x14ac:dyDescent="0.2">
      <c r="A1304">
        <v>25</v>
      </c>
      <c r="B1304">
        <v>999.5</v>
      </c>
      <c r="C1304">
        <v>1000</v>
      </c>
      <c r="D1304" t="s">
        <v>5962</v>
      </c>
    </row>
    <row r="1305" spans="1:4" x14ac:dyDescent="0.2">
      <c r="A1305">
        <v>26</v>
      </c>
      <c r="B1305">
        <v>1000.4</v>
      </c>
      <c r="C1305">
        <v>1000</v>
      </c>
      <c r="D1305" t="s">
        <v>5962</v>
      </c>
    </row>
    <row r="1306" spans="1:4" x14ac:dyDescent="0.2">
      <c r="A1306">
        <v>27</v>
      </c>
      <c r="B1306">
        <v>999.9</v>
      </c>
      <c r="C1306">
        <v>1000</v>
      </c>
      <c r="D1306" t="s">
        <v>5962</v>
      </c>
    </row>
    <row r="1307" spans="1:4" x14ac:dyDescent="0.2">
      <c r="A1307">
        <v>28</v>
      </c>
      <c r="B1307">
        <v>999.7</v>
      </c>
      <c r="C1307">
        <v>1000</v>
      </c>
      <c r="D1307" t="s">
        <v>5962</v>
      </c>
    </row>
    <row r="1308" spans="1:4" x14ac:dyDescent="0.2">
      <c r="A1308">
        <v>29</v>
      </c>
      <c r="B1308">
        <v>999.6</v>
      </c>
      <c r="C1308">
        <v>1000</v>
      </c>
      <c r="D1308" t="s">
        <v>5962</v>
      </c>
    </row>
    <row r="1309" spans="1:4" x14ac:dyDescent="0.2">
      <c r="A1309">
        <v>30</v>
      </c>
      <c r="B1309">
        <v>999.7</v>
      </c>
      <c r="C1309">
        <v>1000</v>
      </c>
      <c r="D1309" t="s">
        <v>5962</v>
      </c>
    </row>
    <row r="1310" spans="1:4" x14ac:dyDescent="0.2">
      <c r="A1310">
        <v>31</v>
      </c>
      <c r="B1310">
        <v>-100.2</v>
      </c>
      <c r="C1310">
        <v>-100</v>
      </c>
      <c r="D1310" t="s">
        <v>5962</v>
      </c>
    </row>
    <row r="1311" spans="1:4" x14ac:dyDescent="0.2">
      <c r="A1311">
        <v>32</v>
      </c>
      <c r="B1311">
        <v>-99.9</v>
      </c>
      <c r="C1311">
        <v>-100</v>
      </c>
      <c r="D1311" t="s">
        <v>5962</v>
      </c>
    </row>
    <row r="1312" spans="1:4" x14ac:dyDescent="0.2">
      <c r="A1312">
        <v>33</v>
      </c>
      <c r="B1312">
        <v>-100</v>
      </c>
      <c r="C1312">
        <v>-100</v>
      </c>
      <c r="D1312" t="s">
        <v>5962</v>
      </c>
    </row>
    <row r="1313" spans="1:4" x14ac:dyDescent="0.2">
      <c r="A1313">
        <v>34</v>
      </c>
      <c r="B1313">
        <v>-100</v>
      </c>
      <c r="C1313">
        <v>-100</v>
      </c>
      <c r="D1313" t="s">
        <v>5962</v>
      </c>
    </row>
    <row r="1314" spans="1:4" x14ac:dyDescent="0.2">
      <c r="A1314">
        <v>35</v>
      </c>
      <c r="B1314">
        <v>-100.2</v>
      </c>
      <c r="C1314">
        <v>-100</v>
      </c>
      <c r="D1314" t="s">
        <v>5962</v>
      </c>
    </row>
    <row r="1315" spans="1:4" x14ac:dyDescent="0.2">
      <c r="A1315">
        <v>36</v>
      </c>
      <c r="B1315">
        <v>-100.3</v>
      </c>
      <c r="C1315">
        <v>-100</v>
      </c>
      <c r="D1315" t="s">
        <v>5962</v>
      </c>
    </row>
    <row r="1316" spans="1:4" x14ac:dyDescent="0.2">
      <c r="A1316">
        <v>31</v>
      </c>
      <c r="B1316">
        <v>-50.2</v>
      </c>
      <c r="C1316">
        <v>-50</v>
      </c>
      <c r="D1316" t="s">
        <v>5962</v>
      </c>
    </row>
    <row r="1317" spans="1:4" x14ac:dyDescent="0.2">
      <c r="A1317">
        <v>32</v>
      </c>
      <c r="B1317">
        <v>-49.8</v>
      </c>
      <c r="C1317">
        <v>-50</v>
      </c>
      <c r="D1317" t="s">
        <v>5962</v>
      </c>
    </row>
    <row r="1318" spans="1:4" x14ac:dyDescent="0.2">
      <c r="A1318">
        <v>33</v>
      </c>
      <c r="B1318">
        <v>-50</v>
      </c>
      <c r="C1318">
        <v>-50</v>
      </c>
      <c r="D1318" t="s">
        <v>5962</v>
      </c>
    </row>
    <row r="1319" spans="1:4" x14ac:dyDescent="0.2">
      <c r="A1319">
        <v>34</v>
      </c>
      <c r="B1319">
        <v>-50</v>
      </c>
      <c r="C1319">
        <v>-50</v>
      </c>
      <c r="D1319" t="s">
        <v>5962</v>
      </c>
    </row>
    <row r="1320" spans="1:4" x14ac:dyDescent="0.2">
      <c r="A1320">
        <v>35</v>
      </c>
      <c r="B1320">
        <v>-50.1</v>
      </c>
      <c r="C1320">
        <v>-50</v>
      </c>
      <c r="D1320" t="s">
        <v>5962</v>
      </c>
    </row>
    <row r="1321" spans="1:4" x14ac:dyDescent="0.2">
      <c r="A1321">
        <v>36</v>
      </c>
      <c r="B1321">
        <v>-50.2</v>
      </c>
      <c r="C1321">
        <v>-50</v>
      </c>
      <c r="D1321" t="s">
        <v>5962</v>
      </c>
    </row>
    <row r="1322" spans="1:4" x14ac:dyDescent="0.2">
      <c r="A1322">
        <v>31</v>
      </c>
      <c r="B1322">
        <v>-0.3</v>
      </c>
      <c r="C1322">
        <v>0</v>
      </c>
      <c r="D1322" t="s">
        <v>5962</v>
      </c>
    </row>
    <row r="1323" spans="1:4" x14ac:dyDescent="0.2">
      <c r="A1323">
        <v>32</v>
      </c>
      <c r="B1323">
        <v>0.1</v>
      </c>
      <c r="C1323">
        <v>0</v>
      </c>
      <c r="D1323" t="s">
        <v>5962</v>
      </c>
    </row>
    <row r="1324" spans="1:4" x14ac:dyDescent="0.2">
      <c r="A1324">
        <v>33</v>
      </c>
      <c r="B1324">
        <v>0</v>
      </c>
      <c r="C1324">
        <v>0</v>
      </c>
      <c r="D1324" t="s">
        <v>5962</v>
      </c>
    </row>
    <row r="1325" spans="1:4" x14ac:dyDescent="0.2">
      <c r="A1325">
        <v>34</v>
      </c>
      <c r="B1325">
        <v>0</v>
      </c>
      <c r="C1325">
        <v>0</v>
      </c>
      <c r="D1325" t="s">
        <v>5962</v>
      </c>
    </row>
    <row r="1326" spans="1:4" x14ac:dyDescent="0.2">
      <c r="A1326">
        <v>35</v>
      </c>
      <c r="B1326">
        <v>-0.2</v>
      </c>
      <c r="C1326">
        <v>0</v>
      </c>
      <c r="D1326" t="s">
        <v>5962</v>
      </c>
    </row>
    <row r="1327" spans="1:4" x14ac:dyDescent="0.2">
      <c r="A1327">
        <v>36</v>
      </c>
      <c r="B1327">
        <v>-0.3</v>
      </c>
      <c r="C1327">
        <v>0</v>
      </c>
      <c r="D1327" t="s">
        <v>5962</v>
      </c>
    </row>
    <row r="1328" spans="1:4" x14ac:dyDescent="0.2">
      <c r="A1328">
        <v>31</v>
      </c>
      <c r="B1328">
        <v>249.8</v>
      </c>
      <c r="C1328">
        <v>250</v>
      </c>
      <c r="D1328" t="s">
        <v>5962</v>
      </c>
    </row>
    <row r="1329" spans="1:4" x14ac:dyDescent="0.2">
      <c r="A1329">
        <v>32</v>
      </c>
      <c r="B1329">
        <v>250.2</v>
      </c>
      <c r="C1329">
        <v>250</v>
      </c>
      <c r="D1329" t="s">
        <v>5962</v>
      </c>
    </row>
    <row r="1330" spans="1:4" x14ac:dyDescent="0.2">
      <c r="A1330">
        <v>33</v>
      </c>
      <c r="B1330">
        <v>250</v>
      </c>
      <c r="C1330">
        <v>250</v>
      </c>
      <c r="D1330" t="s">
        <v>5962</v>
      </c>
    </row>
    <row r="1331" spans="1:4" x14ac:dyDescent="0.2">
      <c r="A1331">
        <v>34</v>
      </c>
      <c r="B1331">
        <v>250.1</v>
      </c>
      <c r="C1331">
        <v>250</v>
      </c>
      <c r="D1331" t="s">
        <v>5962</v>
      </c>
    </row>
    <row r="1332" spans="1:4" x14ac:dyDescent="0.2">
      <c r="A1332">
        <v>35</v>
      </c>
      <c r="B1332">
        <v>249.9</v>
      </c>
      <c r="C1332">
        <v>250</v>
      </c>
      <c r="D1332" t="s">
        <v>5962</v>
      </c>
    </row>
    <row r="1333" spans="1:4" x14ac:dyDescent="0.2">
      <c r="A1333">
        <v>36</v>
      </c>
      <c r="B1333">
        <v>249.8</v>
      </c>
      <c r="C1333">
        <v>250</v>
      </c>
      <c r="D1333" t="s">
        <v>5962</v>
      </c>
    </row>
    <row r="1334" spans="1:4" x14ac:dyDescent="0.2">
      <c r="A1334">
        <v>31</v>
      </c>
      <c r="B1334">
        <v>499.7</v>
      </c>
      <c r="C1334">
        <v>500</v>
      </c>
      <c r="D1334" t="s">
        <v>5962</v>
      </c>
    </row>
    <row r="1335" spans="1:4" x14ac:dyDescent="0.2">
      <c r="A1335">
        <v>32</v>
      </c>
      <c r="B1335">
        <v>500.1</v>
      </c>
      <c r="C1335">
        <v>500</v>
      </c>
      <c r="D1335" t="s">
        <v>5962</v>
      </c>
    </row>
    <row r="1336" spans="1:4" x14ac:dyDescent="0.2">
      <c r="A1336">
        <v>33</v>
      </c>
      <c r="B1336">
        <v>500</v>
      </c>
      <c r="C1336">
        <v>500</v>
      </c>
      <c r="D1336" t="s">
        <v>5962</v>
      </c>
    </row>
    <row r="1337" spans="1:4" x14ac:dyDescent="0.2">
      <c r="A1337">
        <v>34</v>
      </c>
      <c r="B1337">
        <v>500</v>
      </c>
      <c r="C1337">
        <v>500</v>
      </c>
      <c r="D1337" t="s">
        <v>5962</v>
      </c>
    </row>
    <row r="1338" spans="1:4" x14ac:dyDescent="0.2">
      <c r="A1338">
        <v>35</v>
      </c>
      <c r="B1338">
        <v>499.8</v>
      </c>
      <c r="C1338">
        <v>500</v>
      </c>
      <c r="D1338" t="s">
        <v>5962</v>
      </c>
    </row>
    <row r="1339" spans="1:4" x14ac:dyDescent="0.2">
      <c r="A1339">
        <v>36</v>
      </c>
      <c r="B1339">
        <v>499.7</v>
      </c>
      <c r="C1339">
        <v>500</v>
      </c>
      <c r="D1339" t="s">
        <v>5962</v>
      </c>
    </row>
    <row r="1340" spans="1:4" x14ac:dyDescent="0.2">
      <c r="A1340">
        <v>31</v>
      </c>
      <c r="B1340">
        <v>999.8</v>
      </c>
      <c r="C1340">
        <v>1000</v>
      </c>
      <c r="D1340" t="s">
        <v>5962</v>
      </c>
    </row>
    <row r="1341" spans="1:4" x14ac:dyDescent="0.2">
      <c r="A1341">
        <v>32</v>
      </c>
      <c r="B1341">
        <v>1000</v>
      </c>
      <c r="C1341">
        <v>1000</v>
      </c>
      <c r="D1341" t="s">
        <v>5962</v>
      </c>
    </row>
    <row r="1342" spans="1:4" x14ac:dyDescent="0.2">
      <c r="A1342">
        <v>33</v>
      </c>
      <c r="B1342">
        <v>999.9</v>
      </c>
      <c r="C1342">
        <v>1000</v>
      </c>
      <c r="D1342" t="s">
        <v>5962</v>
      </c>
    </row>
    <row r="1343" spans="1:4" x14ac:dyDescent="0.2">
      <c r="A1343">
        <v>34</v>
      </c>
      <c r="B1343">
        <v>999.9</v>
      </c>
      <c r="C1343">
        <v>1000</v>
      </c>
      <c r="D1343" t="s">
        <v>5962</v>
      </c>
    </row>
    <row r="1344" spans="1:4" x14ac:dyDescent="0.2">
      <c r="A1344">
        <v>35</v>
      </c>
      <c r="B1344">
        <v>999.8</v>
      </c>
      <c r="C1344">
        <v>1000</v>
      </c>
      <c r="D1344" t="s">
        <v>5962</v>
      </c>
    </row>
    <row r="1345" spans="1:4" x14ac:dyDescent="0.2">
      <c r="A1345">
        <v>36</v>
      </c>
      <c r="B1345">
        <v>999.6</v>
      </c>
      <c r="C1345">
        <v>1000</v>
      </c>
      <c r="D1345" t="s">
        <v>5962</v>
      </c>
    </row>
    <row r="1346" spans="1:4" x14ac:dyDescent="0.2">
      <c r="A1346">
        <v>37</v>
      </c>
      <c r="B1346">
        <v>-100.4</v>
      </c>
      <c r="C1346">
        <v>-100</v>
      </c>
      <c r="D1346" t="s">
        <v>5962</v>
      </c>
    </row>
    <row r="1347" spans="1:4" x14ac:dyDescent="0.2">
      <c r="A1347">
        <v>38</v>
      </c>
      <c r="B1347">
        <v>-100</v>
      </c>
      <c r="C1347">
        <v>-100</v>
      </c>
      <c r="D1347" t="s">
        <v>5962</v>
      </c>
    </row>
    <row r="1348" spans="1:4" x14ac:dyDescent="0.2">
      <c r="A1348">
        <v>39</v>
      </c>
      <c r="B1348">
        <v>-100.1</v>
      </c>
      <c r="C1348">
        <v>-100</v>
      </c>
      <c r="D1348" t="s">
        <v>5962</v>
      </c>
    </row>
    <row r="1349" spans="1:4" x14ac:dyDescent="0.2">
      <c r="A1349">
        <v>40</v>
      </c>
      <c r="B1349">
        <v>-100</v>
      </c>
      <c r="C1349">
        <v>-100</v>
      </c>
      <c r="D1349" t="s">
        <v>5962</v>
      </c>
    </row>
    <row r="1350" spans="1:4" x14ac:dyDescent="0.2">
      <c r="A1350">
        <v>37</v>
      </c>
      <c r="B1350">
        <v>-50.4</v>
      </c>
      <c r="C1350">
        <v>-50</v>
      </c>
      <c r="D1350" t="s">
        <v>5962</v>
      </c>
    </row>
    <row r="1351" spans="1:4" x14ac:dyDescent="0.2">
      <c r="A1351">
        <v>38</v>
      </c>
      <c r="B1351">
        <v>-50.1</v>
      </c>
      <c r="C1351">
        <v>-50</v>
      </c>
      <c r="D1351" t="s">
        <v>5962</v>
      </c>
    </row>
    <row r="1352" spans="1:4" x14ac:dyDescent="0.2">
      <c r="A1352">
        <v>39</v>
      </c>
      <c r="B1352">
        <v>-50.1</v>
      </c>
      <c r="C1352">
        <v>-50</v>
      </c>
      <c r="D1352" t="s">
        <v>5962</v>
      </c>
    </row>
    <row r="1353" spans="1:4" x14ac:dyDescent="0.2">
      <c r="A1353">
        <v>40</v>
      </c>
      <c r="B1353">
        <v>-50</v>
      </c>
      <c r="C1353">
        <v>-50</v>
      </c>
      <c r="D1353" t="s">
        <v>5962</v>
      </c>
    </row>
    <row r="1354" spans="1:4" x14ac:dyDescent="0.2">
      <c r="A1354">
        <v>37</v>
      </c>
      <c r="B1354">
        <v>-0.4</v>
      </c>
      <c r="C1354">
        <v>0</v>
      </c>
      <c r="D1354" t="s">
        <v>5962</v>
      </c>
    </row>
    <row r="1355" spans="1:4" x14ac:dyDescent="0.2">
      <c r="A1355">
        <v>38</v>
      </c>
      <c r="B1355">
        <v>-0.1</v>
      </c>
      <c r="C1355">
        <v>0</v>
      </c>
      <c r="D1355" t="s">
        <v>5962</v>
      </c>
    </row>
    <row r="1356" spans="1:4" x14ac:dyDescent="0.2">
      <c r="A1356">
        <v>39</v>
      </c>
      <c r="B1356">
        <v>-0.2</v>
      </c>
      <c r="C1356">
        <v>0</v>
      </c>
      <c r="D1356" t="s">
        <v>5962</v>
      </c>
    </row>
    <row r="1357" spans="1:4" x14ac:dyDescent="0.2">
      <c r="A1357">
        <v>40</v>
      </c>
      <c r="B1357">
        <v>-0.1</v>
      </c>
      <c r="C1357">
        <v>0</v>
      </c>
      <c r="D1357" t="s">
        <v>5962</v>
      </c>
    </row>
    <row r="1358" spans="1:4" x14ac:dyDescent="0.2">
      <c r="A1358">
        <v>37</v>
      </c>
      <c r="B1358">
        <v>249.7</v>
      </c>
      <c r="C1358">
        <v>250</v>
      </c>
      <c r="D1358" t="s">
        <v>5962</v>
      </c>
    </row>
    <row r="1359" spans="1:4" x14ac:dyDescent="0.2">
      <c r="A1359">
        <v>38</v>
      </c>
      <c r="B1359">
        <v>250</v>
      </c>
      <c r="C1359">
        <v>250</v>
      </c>
      <c r="D1359" t="s">
        <v>5962</v>
      </c>
    </row>
    <row r="1360" spans="1:4" x14ac:dyDescent="0.2">
      <c r="A1360">
        <v>39</v>
      </c>
      <c r="B1360">
        <v>249.9</v>
      </c>
      <c r="C1360">
        <v>250</v>
      </c>
      <c r="D1360" t="s">
        <v>5962</v>
      </c>
    </row>
    <row r="1361" spans="1:4" x14ac:dyDescent="0.2">
      <c r="A1361">
        <v>40</v>
      </c>
      <c r="B1361">
        <v>249.9</v>
      </c>
      <c r="C1361">
        <v>250</v>
      </c>
      <c r="D1361" t="s">
        <v>5962</v>
      </c>
    </row>
    <row r="1362" spans="1:4" x14ac:dyDescent="0.2">
      <c r="A1362">
        <v>37</v>
      </c>
      <c r="B1362">
        <v>499.7</v>
      </c>
      <c r="C1362">
        <v>500</v>
      </c>
      <c r="D1362" t="s">
        <v>5962</v>
      </c>
    </row>
    <row r="1363" spans="1:4" x14ac:dyDescent="0.2">
      <c r="A1363">
        <v>38</v>
      </c>
      <c r="B1363">
        <v>499.9</v>
      </c>
      <c r="C1363">
        <v>500</v>
      </c>
      <c r="D1363" t="s">
        <v>5962</v>
      </c>
    </row>
    <row r="1364" spans="1:4" x14ac:dyDescent="0.2">
      <c r="A1364">
        <v>39</v>
      </c>
      <c r="B1364">
        <v>499.7</v>
      </c>
      <c r="C1364">
        <v>500</v>
      </c>
      <c r="D1364" t="s">
        <v>5962</v>
      </c>
    </row>
    <row r="1365" spans="1:4" x14ac:dyDescent="0.2">
      <c r="A1365">
        <v>40</v>
      </c>
      <c r="B1365">
        <v>499.8</v>
      </c>
      <c r="C1365">
        <v>500</v>
      </c>
      <c r="D1365" t="s">
        <v>5962</v>
      </c>
    </row>
    <row r="1366" spans="1:4" x14ac:dyDescent="0.2">
      <c r="A1366">
        <v>37</v>
      </c>
      <c r="B1366">
        <v>999.6</v>
      </c>
      <c r="C1366">
        <v>1000</v>
      </c>
      <c r="D1366" t="s">
        <v>5962</v>
      </c>
    </row>
    <row r="1367" spans="1:4" x14ac:dyDescent="0.2">
      <c r="A1367">
        <v>38</v>
      </c>
      <c r="B1367">
        <v>999.8</v>
      </c>
      <c r="C1367">
        <v>1000</v>
      </c>
      <c r="D1367" t="s">
        <v>5962</v>
      </c>
    </row>
    <row r="1368" spans="1:4" x14ac:dyDescent="0.2">
      <c r="A1368">
        <v>39</v>
      </c>
      <c r="B1368">
        <v>999.7</v>
      </c>
      <c r="C1368">
        <v>1000</v>
      </c>
      <c r="D1368" t="s">
        <v>5962</v>
      </c>
    </row>
    <row r="1369" spans="1:4" x14ac:dyDescent="0.2">
      <c r="A1369">
        <v>40</v>
      </c>
      <c r="B1369">
        <v>999.8</v>
      </c>
      <c r="C1369">
        <v>1000</v>
      </c>
      <c r="D1369" t="s">
        <v>5962</v>
      </c>
    </row>
    <row r="1370" spans="1:4" x14ac:dyDescent="0.2">
      <c r="A1370">
        <v>1</v>
      </c>
      <c r="B1370">
        <v>-99.8</v>
      </c>
      <c r="C1370">
        <v>-100</v>
      </c>
      <c r="D1370" t="s">
        <v>5963</v>
      </c>
    </row>
    <row r="1371" spans="1:4" x14ac:dyDescent="0.2">
      <c r="A1371">
        <v>2</v>
      </c>
      <c r="B1371">
        <v>-99.9</v>
      </c>
      <c r="C1371">
        <v>-100</v>
      </c>
      <c r="D1371" t="s">
        <v>5963</v>
      </c>
    </row>
    <row r="1372" spans="1:4" x14ac:dyDescent="0.2">
      <c r="A1372">
        <v>3</v>
      </c>
      <c r="B1372">
        <v>-99.8</v>
      </c>
      <c r="C1372">
        <v>-100</v>
      </c>
      <c r="D1372" t="s">
        <v>5963</v>
      </c>
    </row>
    <row r="1373" spans="1:4" x14ac:dyDescent="0.2">
      <c r="A1373">
        <v>4</v>
      </c>
      <c r="B1373">
        <v>-99.9</v>
      </c>
      <c r="C1373">
        <v>-100</v>
      </c>
      <c r="D1373" t="s">
        <v>5963</v>
      </c>
    </row>
    <row r="1374" spans="1:4" x14ac:dyDescent="0.2">
      <c r="A1374">
        <v>5</v>
      </c>
      <c r="B1374">
        <v>-99.8</v>
      </c>
      <c r="C1374">
        <v>-100</v>
      </c>
      <c r="D1374" t="s">
        <v>5963</v>
      </c>
    </row>
    <row r="1375" spans="1:4" x14ac:dyDescent="0.2">
      <c r="A1375">
        <v>6</v>
      </c>
      <c r="B1375">
        <v>-100.1</v>
      </c>
      <c r="C1375">
        <v>-100</v>
      </c>
      <c r="D1375" t="s">
        <v>5963</v>
      </c>
    </row>
    <row r="1376" spans="1:4" x14ac:dyDescent="0.2">
      <c r="A1376">
        <v>1</v>
      </c>
      <c r="B1376">
        <v>-49.8</v>
      </c>
      <c r="C1376">
        <v>-50</v>
      </c>
      <c r="D1376" t="s">
        <v>5963</v>
      </c>
    </row>
    <row r="1377" spans="1:4" x14ac:dyDescent="0.2">
      <c r="A1377">
        <v>2</v>
      </c>
      <c r="B1377">
        <v>-49.9</v>
      </c>
      <c r="C1377">
        <v>-50</v>
      </c>
      <c r="D1377" t="s">
        <v>5963</v>
      </c>
    </row>
    <row r="1378" spans="1:4" x14ac:dyDescent="0.2">
      <c r="A1378">
        <v>3</v>
      </c>
      <c r="B1378">
        <v>-49.8</v>
      </c>
      <c r="C1378">
        <v>-50</v>
      </c>
      <c r="D1378" t="s">
        <v>5963</v>
      </c>
    </row>
    <row r="1379" spans="1:4" x14ac:dyDescent="0.2">
      <c r="A1379">
        <v>4</v>
      </c>
      <c r="B1379">
        <v>-49.9</v>
      </c>
      <c r="C1379">
        <v>-50</v>
      </c>
      <c r="D1379" t="s">
        <v>5963</v>
      </c>
    </row>
    <row r="1380" spans="1:4" x14ac:dyDescent="0.2">
      <c r="A1380">
        <v>5</v>
      </c>
      <c r="B1380">
        <v>-49.8</v>
      </c>
      <c r="C1380">
        <v>-50</v>
      </c>
      <c r="D1380" t="s">
        <v>5963</v>
      </c>
    </row>
    <row r="1381" spans="1:4" x14ac:dyDescent="0.2">
      <c r="A1381">
        <v>6</v>
      </c>
      <c r="B1381">
        <v>-50.1</v>
      </c>
      <c r="C1381">
        <v>-50</v>
      </c>
      <c r="D1381" t="s">
        <v>5963</v>
      </c>
    </row>
    <row r="1382" spans="1:4" x14ac:dyDescent="0.2">
      <c r="A1382">
        <v>1</v>
      </c>
      <c r="B1382">
        <v>0.2</v>
      </c>
      <c r="C1382">
        <v>0</v>
      </c>
      <c r="D1382" t="s">
        <v>5963</v>
      </c>
    </row>
    <row r="1383" spans="1:4" x14ac:dyDescent="0.2">
      <c r="A1383">
        <v>2</v>
      </c>
      <c r="B1383">
        <v>0.2</v>
      </c>
      <c r="C1383">
        <v>0</v>
      </c>
      <c r="D1383" t="s">
        <v>5963</v>
      </c>
    </row>
    <row r="1384" spans="1:4" x14ac:dyDescent="0.2">
      <c r="A1384">
        <v>3</v>
      </c>
      <c r="B1384">
        <v>0.1</v>
      </c>
      <c r="C1384">
        <v>0</v>
      </c>
      <c r="D1384" t="s">
        <v>5963</v>
      </c>
    </row>
    <row r="1385" spans="1:4" x14ac:dyDescent="0.2">
      <c r="A1385">
        <v>4</v>
      </c>
      <c r="B1385">
        <v>0.3</v>
      </c>
      <c r="C1385">
        <v>0</v>
      </c>
      <c r="D1385" t="s">
        <v>5963</v>
      </c>
    </row>
    <row r="1386" spans="1:4" x14ac:dyDescent="0.2">
      <c r="A1386">
        <v>5</v>
      </c>
      <c r="B1386">
        <v>0.1</v>
      </c>
      <c r="C1386">
        <v>0</v>
      </c>
      <c r="D1386" t="s">
        <v>5963</v>
      </c>
    </row>
    <row r="1387" spans="1:4" x14ac:dyDescent="0.2">
      <c r="A1387">
        <v>6</v>
      </c>
      <c r="B1387">
        <v>0</v>
      </c>
      <c r="C1387">
        <v>0</v>
      </c>
      <c r="D1387" t="s">
        <v>5963</v>
      </c>
    </row>
    <row r="1388" spans="1:4" x14ac:dyDescent="0.2">
      <c r="A1388">
        <v>1</v>
      </c>
      <c r="B1388">
        <v>250.2</v>
      </c>
      <c r="C1388">
        <v>250</v>
      </c>
      <c r="D1388" t="s">
        <v>5963</v>
      </c>
    </row>
    <row r="1389" spans="1:4" x14ac:dyDescent="0.2">
      <c r="A1389">
        <v>2</v>
      </c>
      <c r="B1389">
        <v>250.2</v>
      </c>
      <c r="C1389">
        <v>250</v>
      </c>
      <c r="D1389" t="s">
        <v>5963</v>
      </c>
    </row>
    <row r="1390" spans="1:4" x14ac:dyDescent="0.2">
      <c r="A1390">
        <v>3</v>
      </c>
      <c r="B1390">
        <v>250.2</v>
      </c>
      <c r="C1390">
        <v>250</v>
      </c>
      <c r="D1390" t="s">
        <v>5963</v>
      </c>
    </row>
    <row r="1391" spans="1:4" x14ac:dyDescent="0.2">
      <c r="A1391">
        <v>4</v>
      </c>
      <c r="B1391">
        <v>250.3</v>
      </c>
      <c r="C1391">
        <v>250</v>
      </c>
      <c r="D1391" t="s">
        <v>5963</v>
      </c>
    </row>
    <row r="1392" spans="1:4" x14ac:dyDescent="0.2">
      <c r="A1392">
        <v>5</v>
      </c>
      <c r="B1392">
        <v>250.1</v>
      </c>
      <c r="C1392">
        <v>250</v>
      </c>
      <c r="D1392" t="s">
        <v>5963</v>
      </c>
    </row>
    <row r="1393" spans="1:4" x14ac:dyDescent="0.2">
      <c r="A1393">
        <v>6</v>
      </c>
      <c r="B1393">
        <v>250</v>
      </c>
      <c r="C1393">
        <v>250</v>
      </c>
      <c r="D1393" t="s">
        <v>5963</v>
      </c>
    </row>
    <row r="1394" spans="1:4" x14ac:dyDescent="0.2">
      <c r="A1394">
        <v>1</v>
      </c>
      <c r="B1394">
        <v>500.2</v>
      </c>
      <c r="C1394">
        <v>500</v>
      </c>
      <c r="D1394" t="s">
        <v>5963</v>
      </c>
    </row>
    <row r="1395" spans="1:4" x14ac:dyDescent="0.2">
      <c r="A1395">
        <v>2</v>
      </c>
      <c r="B1395">
        <v>500.2</v>
      </c>
      <c r="C1395">
        <v>500</v>
      </c>
      <c r="D1395" t="s">
        <v>5963</v>
      </c>
    </row>
    <row r="1396" spans="1:4" x14ac:dyDescent="0.2">
      <c r="A1396">
        <v>3</v>
      </c>
      <c r="B1396">
        <v>500.2</v>
      </c>
      <c r="C1396">
        <v>500</v>
      </c>
      <c r="D1396" t="s">
        <v>5963</v>
      </c>
    </row>
    <row r="1397" spans="1:4" x14ac:dyDescent="0.2">
      <c r="A1397">
        <v>4</v>
      </c>
      <c r="B1397">
        <v>500.3</v>
      </c>
      <c r="C1397">
        <v>500</v>
      </c>
      <c r="D1397" t="s">
        <v>5963</v>
      </c>
    </row>
    <row r="1398" spans="1:4" x14ac:dyDescent="0.2">
      <c r="A1398">
        <v>5</v>
      </c>
      <c r="B1398">
        <v>500.1</v>
      </c>
      <c r="C1398">
        <v>500</v>
      </c>
      <c r="D1398" t="s">
        <v>5963</v>
      </c>
    </row>
    <row r="1399" spans="1:4" x14ac:dyDescent="0.2">
      <c r="A1399">
        <v>6</v>
      </c>
      <c r="B1399">
        <v>500</v>
      </c>
      <c r="C1399">
        <v>500</v>
      </c>
      <c r="D1399" t="s">
        <v>5963</v>
      </c>
    </row>
    <row r="1400" spans="1:4" x14ac:dyDescent="0.2">
      <c r="A1400">
        <v>1</v>
      </c>
      <c r="B1400">
        <v>1000.1</v>
      </c>
      <c r="C1400">
        <v>1000</v>
      </c>
      <c r="D1400" t="s">
        <v>5963</v>
      </c>
    </row>
    <row r="1401" spans="1:4" x14ac:dyDescent="0.2">
      <c r="A1401">
        <v>2</v>
      </c>
      <c r="B1401">
        <v>1000.3</v>
      </c>
      <c r="C1401">
        <v>1000</v>
      </c>
      <c r="D1401" t="s">
        <v>5963</v>
      </c>
    </row>
    <row r="1402" spans="1:4" x14ac:dyDescent="0.2">
      <c r="A1402">
        <v>3</v>
      </c>
      <c r="B1402">
        <v>1000.2</v>
      </c>
      <c r="C1402">
        <v>1000</v>
      </c>
      <c r="D1402" t="s">
        <v>5963</v>
      </c>
    </row>
    <row r="1403" spans="1:4" x14ac:dyDescent="0.2">
      <c r="A1403">
        <v>4</v>
      </c>
      <c r="B1403">
        <v>1000.3</v>
      </c>
      <c r="C1403">
        <v>1000</v>
      </c>
      <c r="D1403" t="s">
        <v>5963</v>
      </c>
    </row>
    <row r="1404" spans="1:4" x14ac:dyDescent="0.2">
      <c r="A1404">
        <v>5</v>
      </c>
      <c r="B1404">
        <v>1000</v>
      </c>
      <c r="C1404">
        <v>1000</v>
      </c>
      <c r="D1404" t="s">
        <v>5963</v>
      </c>
    </row>
    <row r="1405" spans="1:4" x14ac:dyDescent="0.2">
      <c r="A1405">
        <v>6</v>
      </c>
      <c r="B1405">
        <v>1000</v>
      </c>
      <c r="C1405">
        <v>1000</v>
      </c>
      <c r="D1405" t="s">
        <v>5963</v>
      </c>
    </row>
    <row r="1406" spans="1:4" x14ac:dyDescent="0.2">
      <c r="A1406">
        <v>7</v>
      </c>
      <c r="B1406">
        <v>-100.1</v>
      </c>
      <c r="C1406">
        <v>-100</v>
      </c>
      <c r="D1406" t="s">
        <v>5963</v>
      </c>
    </row>
    <row r="1407" spans="1:4" x14ac:dyDescent="0.2">
      <c r="A1407">
        <v>8</v>
      </c>
      <c r="B1407">
        <v>-99.9</v>
      </c>
      <c r="C1407">
        <v>-100</v>
      </c>
      <c r="D1407" t="s">
        <v>5963</v>
      </c>
    </row>
    <row r="1408" spans="1:4" x14ac:dyDescent="0.2">
      <c r="A1408">
        <v>9</v>
      </c>
      <c r="B1408">
        <v>-100.1</v>
      </c>
      <c r="C1408">
        <v>-100</v>
      </c>
      <c r="D1408" t="s">
        <v>5963</v>
      </c>
    </row>
    <row r="1409" spans="1:4" x14ac:dyDescent="0.2">
      <c r="A1409">
        <v>10</v>
      </c>
      <c r="B1409">
        <v>-99.7</v>
      </c>
      <c r="C1409">
        <v>-100</v>
      </c>
      <c r="D1409" t="s">
        <v>5963</v>
      </c>
    </row>
    <row r="1410" spans="1:4" x14ac:dyDescent="0.2">
      <c r="A1410">
        <v>11</v>
      </c>
      <c r="B1410">
        <v>-99.9</v>
      </c>
      <c r="C1410">
        <v>-100</v>
      </c>
      <c r="D1410" t="s">
        <v>5963</v>
      </c>
    </row>
    <row r="1411" spans="1:4" x14ac:dyDescent="0.2">
      <c r="A1411">
        <v>12</v>
      </c>
      <c r="B1411">
        <v>-100.2</v>
      </c>
      <c r="C1411">
        <v>-100</v>
      </c>
      <c r="D1411" t="s">
        <v>5963</v>
      </c>
    </row>
    <row r="1412" spans="1:4" x14ac:dyDescent="0.2">
      <c r="A1412">
        <v>7</v>
      </c>
      <c r="B1412">
        <v>-50.1</v>
      </c>
      <c r="C1412">
        <v>-50</v>
      </c>
      <c r="D1412" t="s">
        <v>5963</v>
      </c>
    </row>
    <row r="1413" spans="1:4" x14ac:dyDescent="0.2">
      <c r="A1413">
        <v>8</v>
      </c>
      <c r="B1413">
        <v>-49.7</v>
      </c>
      <c r="C1413">
        <v>-50</v>
      </c>
      <c r="D1413" t="s">
        <v>5963</v>
      </c>
    </row>
    <row r="1414" spans="1:4" x14ac:dyDescent="0.2">
      <c r="A1414">
        <v>9</v>
      </c>
      <c r="B1414">
        <v>-49.8</v>
      </c>
      <c r="C1414">
        <v>-50</v>
      </c>
      <c r="D1414" t="s">
        <v>5963</v>
      </c>
    </row>
    <row r="1415" spans="1:4" x14ac:dyDescent="0.2">
      <c r="A1415">
        <v>10</v>
      </c>
      <c r="B1415">
        <v>-49.7</v>
      </c>
      <c r="C1415">
        <v>-50</v>
      </c>
      <c r="D1415" t="s">
        <v>5963</v>
      </c>
    </row>
    <row r="1416" spans="1:4" x14ac:dyDescent="0.2">
      <c r="A1416">
        <v>11</v>
      </c>
      <c r="B1416">
        <v>-49.9</v>
      </c>
      <c r="C1416">
        <v>-50</v>
      </c>
      <c r="D1416" t="s">
        <v>5963</v>
      </c>
    </row>
    <row r="1417" spans="1:4" x14ac:dyDescent="0.2">
      <c r="A1417">
        <v>12</v>
      </c>
      <c r="B1417">
        <v>-50</v>
      </c>
      <c r="C1417">
        <v>-50</v>
      </c>
      <c r="D1417" t="s">
        <v>5963</v>
      </c>
    </row>
    <row r="1418" spans="1:4" x14ac:dyDescent="0.2">
      <c r="A1418">
        <v>7</v>
      </c>
      <c r="B1418">
        <v>-0.1</v>
      </c>
      <c r="C1418">
        <v>0</v>
      </c>
      <c r="D1418" t="s">
        <v>5963</v>
      </c>
    </row>
    <row r="1419" spans="1:4" x14ac:dyDescent="0.2">
      <c r="A1419">
        <v>8</v>
      </c>
      <c r="B1419">
        <v>0.3</v>
      </c>
      <c r="C1419">
        <v>0</v>
      </c>
      <c r="D1419" t="s">
        <v>5963</v>
      </c>
    </row>
    <row r="1420" spans="1:4" x14ac:dyDescent="0.2">
      <c r="A1420">
        <v>9</v>
      </c>
      <c r="B1420">
        <v>0.2</v>
      </c>
      <c r="C1420">
        <v>0</v>
      </c>
      <c r="D1420" t="s">
        <v>5963</v>
      </c>
    </row>
    <row r="1421" spans="1:4" x14ac:dyDescent="0.2">
      <c r="A1421">
        <v>10</v>
      </c>
      <c r="B1421">
        <v>0.4</v>
      </c>
      <c r="C1421">
        <v>0</v>
      </c>
      <c r="D1421" t="s">
        <v>5963</v>
      </c>
    </row>
    <row r="1422" spans="1:4" x14ac:dyDescent="0.2">
      <c r="A1422">
        <v>11</v>
      </c>
      <c r="B1422">
        <v>0.1</v>
      </c>
      <c r="C1422">
        <v>0</v>
      </c>
      <c r="D1422" t="s">
        <v>5963</v>
      </c>
    </row>
    <row r="1423" spans="1:4" x14ac:dyDescent="0.2">
      <c r="A1423">
        <v>12</v>
      </c>
      <c r="B1423">
        <v>0</v>
      </c>
      <c r="C1423">
        <v>0</v>
      </c>
      <c r="D1423" t="s">
        <v>5963</v>
      </c>
    </row>
    <row r="1424" spans="1:4" x14ac:dyDescent="0.2">
      <c r="A1424">
        <v>7</v>
      </c>
      <c r="B1424">
        <v>249.9</v>
      </c>
      <c r="C1424">
        <v>250</v>
      </c>
      <c r="D1424" t="s">
        <v>5963</v>
      </c>
    </row>
    <row r="1425" spans="1:4" x14ac:dyDescent="0.2">
      <c r="A1425">
        <v>8</v>
      </c>
      <c r="B1425">
        <v>250.4</v>
      </c>
      <c r="C1425">
        <v>250</v>
      </c>
      <c r="D1425" t="s">
        <v>5963</v>
      </c>
    </row>
    <row r="1426" spans="1:4" x14ac:dyDescent="0.2">
      <c r="A1426">
        <v>9</v>
      </c>
      <c r="B1426">
        <v>250.1</v>
      </c>
      <c r="C1426">
        <v>250</v>
      </c>
      <c r="D1426" t="s">
        <v>5963</v>
      </c>
    </row>
    <row r="1427" spans="1:4" x14ac:dyDescent="0.2">
      <c r="A1427">
        <v>10</v>
      </c>
      <c r="B1427">
        <v>250.4</v>
      </c>
      <c r="C1427">
        <v>250</v>
      </c>
      <c r="D1427" t="s">
        <v>5963</v>
      </c>
    </row>
    <row r="1428" spans="1:4" x14ac:dyDescent="0.2">
      <c r="A1428">
        <v>11</v>
      </c>
      <c r="B1428">
        <v>250.1</v>
      </c>
      <c r="C1428">
        <v>250</v>
      </c>
      <c r="D1428" t="s">
        <v>5963</v>
      </c>
    </row>
    <row r="1429" spans="1:4" x14ac:dyDescent="0.2">
      <c r="A1429">
        <v>12</v>
      </c>
      <c r="B1429">
        <v>250</v>
      </c>
      <c r="C1429">
        <v>250</v>
      </c>
      <c r="D1429" t="s">
        <v>5963</v>
      </c>
    </row>
    <row r="1430" spans="1:4" x14ac:dyDescent="0.2">
      <c r="A1430">
        <v>7</v>
      </c>
      <c r="B1430">
        <v>499.9</v>
      </c>
      <c r="C1430">
        <v>500</v>
      </c>
      <c r="D1430" t="s">
        <v>5963</v>
      </c>
    </row>
    <row r="1431" spans="1:4" x14ac:dyDescent="0.2">
      <c r="A1431">
        <v>8</v>
      </c>
      <c r="B1431">
        <v>500.3</v>
      </c>
      <c r="C1431">
        <v>500</v>
      </c>
      <c r="D1431" t="s">
        <v>5963</v>
      </c>
    </row>
    <row r="1432" spans="1:4" x14ac:dyDescent="0.2">
      <c r="A1432">
        <v>9</v>
      </c>
      <c r="B1432">
        <v>500.1</v>
      </c>
      <c r="C1432">
        <v>500</v>
      </c>
      <c r="D1432" t="s">
        <v>5963</v>
      </c>
    </row>
    <row r="1433" spans="1:4" x14ac:dyDescent="0.2">
      <c r="A1433">
        <v>10</v>
      </c>
      <c r="B1433">
        <v>500.4</v>
      </c>
      <c r="C1433">
        <v>500</v>
      </c>
      <c r="D1433" t="s">
        <v>5963</v>
      </c>
    </row>
    <row r="1434" spans="1:4" x14ac:dyDescent="0.2">
      <c r="A1434">
        <v>11</v>
      </c>
      <c r="B1434">
        <v>500.1</v>
      </c>
      <c r="C1434">
        <v>500</v>
      </c>
      <c r="D1434" t="s">
        <v>5963</v>
      </c>
    </row>
    <row r="1435" spans="1:4" x14ac:dyDescent="0.2">
      <c r="A1435">
        <v>12</v>
      </c>
      <c r="B1435">
        <v>500</v>
      </c>
      <c r="C1435">
        <v>500</v>
      </c>
      <c r="D1435" t="s">
        <v>5963</v>
      </c>
    </row>
    <row r="1436" spans="1:4" x14ac:dyDescent="0.2">
      <c r="A1436">
        <v>7</v>
      </c>
      <c r="B1436">
        <v>999.8</v>
      </c>
      <c r="C1436">
        <v>1000</v>
      </c>
      <c r="D1436" t="s">
        <v>5963</v>
      </c>
    </row>
    <row r="1437" spans="1:4" x14ac:dyDescent="0.2">
      <c r="A1437">
        <v>8</v>
      </c>
      <c r="B1437">
        <v>1000.3</v>
      </c>
      <c r="C1437">
        <v>1000</v>
      </c>
      <c r="D1437" t="s">
        <v>5963</v>
      </c>
    </row>
    <row r="1438" spans="1:4" x14ac:dyDescent="0.2">
      <c r="A1438">
        <v>9</v>
      </c>
      <c r="B1438">
        <v>1000</v>
      </c>
      <c r="C1438">
        <v>1000</v>
      </c>
      <c r="D1438" t="s">
        <v>5963</v>
      </c>
    </row>
    <row r="1439" spans="1:4" x14ac:dyDescent="0.2">
      <c r="A1439">
        <v>10</v>
      </c>
      <c r="B1439">
        <v>1000.4</v>
      </c>
      <c r="C1439">
        <v>1000</v>
      </c>
      <c r="D1439" t="s">
        <v>5963</v>
      </c>
    </row>
    <row r="1440" spans="1:4" x14ac:dyDescent="0.2">
      <c r="A1440">
        <v>11</v>
      </c>
      <c r="B1440">
        <v>1000.1</v>
      </c>
      <c r="C1440">
        <v>1000</v>
      </c>
      <c r="D1440" t="s">
        <v>5963</v>
      </c>
    </row>
    <row r="1441" spans="1:4" x14ac:dyDescent="0.2">
      <c r="A1441">
        <v>12</v>
      </c>
      <c r="B1441">
        <v>1000</v>
      </c>
      <c r="C1441">
        <v>1000</v>
      </c>
      <c r="D1441" t="s">
        <v>5963</v>
      </c>
    </row>
    <row r="1442" spans="1:4" x14ac:dyDescent="0.2">
      <c r="A1442">
        <v>13</v>
      </c>
      <c r="B1442">
        <v>-99.9</v>
      </c>
      <c r="C1442">
        <v>-100</v>
      </c>
      <c r="D1442" t="s">
        <v>5963</v>
      </c>
    </row>
    <row r="1443" spans="1:4" x14ac:dyDescent="0.2">
      <c r="A1443">
        <v>14</v>
      </c>
      <c r="B1443">
        <v>-99.7</v>
      </c>
      <c r="C1443">
        <v>-100</v>
      </c>
      <c r="D1443" t="s">
        <v>5963</v>
      </c>
    </row>
    <row r="1444" spans="1:4" x14ac:dyDescent="0.2">
      <c r="A1444">
        <v>15</v>
      </c>
      <c r="B1444">
        <v>-99.8</v>
      </c>
      <c r="C1444">
        <v>-100</v>
      </c>
      <c r="D1444" t="s">
        <v>5963</v>
      </c>
    </row>
    <row r="1445" spans="1:4" x14ac:dyDescent="0.2">
      <c r="A1445">
        <v>16</v>
      </c>
      <c r="B1445">
        <v>-100</v>
      </c>
      <c r="C1445">
        <v>-100</v>
      </c>
      <c r="D1445" t="s">
        <v>5963</v>
      </c>
    </row>
    <row r="1446" spans="1:4" x14ac:dyDescent="0.2">
      <c r="A1446">
        <v>17</v>
      </c>
      <c r="B1446">
        <v>-100</v>
      </c>
      <c r="C1446">
        <v>-100</v>
      </c>
      <c r="D1446" t="s">
        <v>5963</v>
      </c>
    </row>
    <row r="1447" spans="1:4" x14ac:dyDescent="0.2">
      <c r="A1447">
        <v>18</v>
      </c>
      <c r="B1447">
        <v>-99.9</v>
      </c>
      <c r="C1447">
        <v>-100</v>
      </c>
      <c r="D1447" t="s">
        <v>5963</v>
      </c>
    </row>
    <row r="1448" spans="1:4" x14ac:dyDescent="0.2">
      <c r="A1448">
        <v>13</v>
      </c>
      <c r="B1448">
        <v>-49.9</v>
      </c>
      <c r="C1448">
        <v>-50</v>
      </c>
      <c r="D1448" t="s">
        <v>5963</v>
      </c>
    </row>
    <row r="1449" spans="1:4" x14ac:dyDescent="0.2">
      <c r="A1449">
        <v>14</v>
      </c>
      <c r="B1449">
        <v>-49.4</v>
      </c>
      <c r="C1449">
        <v>-50</v>
      </c>
      <c r="D1449" t="s">
        <v>5963</v>
      </c>
    </row>
    <row r="1450" spans="1:4" x14ac:dyDescent="0.2">
      <c r="A1450">
        <v>15</v>
      </c>
      <c r="B1450">
        <v>-49.8</v>
      </c>
      <c r="C1450">
        <v>-50</v>
      </c>
      <c r="D1450" t="s">
        <v>5963</v>
      </c>
    </row>
    <row r="1451" spans="1:4" x14ac:dyDescent="0.2">
      <c r="A1451">
        <v>16</v>
      </c>
      <c r="B1451">
        <v>-50.1</v>
      </c>
      <c r="C1451">
        <v>-50</v>
      </c>
      <c r="D1451" t="s">
        <v>5963</v>
      </c>
    </row>
    <row r="1452" spans="1:4" x14ac:dyDescent="0.2">
      <c r="A1452">
        <v>17</v>
      </c>
      <c r="B1452">
        <v>-50.1</v>
      </c>
      <c r="C1452">
        <v>-50</v>
      </c>
      <c r="D1452" t="s">
        <v>5963</v>
      </c>
    </row>
    <row r="1453" spans="1:4" x14ac:dyDescent="0.2">
      <c r="A1453">
        <v>18</v>
      </c>
      <c r="B1453">
        <v>-49.9</v>
      </c>
      <c r="C1453">
        <v>-50</v>
      </c>
      <c r="D1453" t="s">
        <v>5963</v>
      </c>
    </row>
    <row r="1454" spans="1:4" x14ac:dyDescent="0.2">
      <c r="A1454">
        <v>13</v>
      </c>
      <c r="B1454">
        <v>0.1</v>
      </c>
      <c r="C1454">
        <v>0</v>
      </c>
      <c r="D1454" t="s">
        <v>5963</v>
      </c>
    </row>
    <row r="1455" spans="1:4" x14ac:dyDescent="0.2">
      <c r="A1455">
        <v>14</v>
      </c>
      <c r="B1455">
        <v>0.1</v>
      </c>
      <c r="C1455">
        <v>0</v>
      </c>
      <c r="D1455" t="s">
        <v>5963</v>
      </c>
    </row>
    <row r="1456" spans="1:4" x14ac:dyDescent="0.2">
      <c r="A1456">
        <v>15</v>
      </c>
      <c r="B1456">
        <v>0.1</v>
      </c>
      <c r="C1456">
        <v>0</v>
      </c>
      <c r="D1456" t="s">
        <v>5963</v>
      </c>
    </row>
    <row r="1457" spans="1:4" x14ac:dyDescent="0.2">
      <c r="A1457">
        <v>16</v>
      </c>
      <c r="B1457">
        <v>-0.1</v>
      </c>
      <c r="C1457">
        <v>0</v>
      </c>
      <c r="D1457" t="s">
        <v>5963</v>
      </c>
    </row>
    <row r="1458" spans="1:4" x14ac:dyDescent="0.2">
      <c r="A1458">
        <v>17</v>
      </c>
      <c r="B1458">
        <v>-0.1</v>
      </c>
      <c r="C1458">
        <v>0</v>
      </c>
      <c r="D1458" t="s">
        <v>5963</v>
      </c>
    </row>
    <row r="1459" spans="1:4" x14ac:dyDescent="0.2">
      <c r="A1459">
        <v>18</v>
      </c>
      <c r="B1459">
        <v>0.1</v>
      </c>
      <c r="C1459">
        <v>0</v>
      </c>
      <c r="D1459" t="s">
        <v>5963</v>
      </c>
    </row>
    <row r="1460" spans="1:4" x14ac:dyDescent="0.2">
      <c r="A1460">
        <v>13</v>
      </c>
      <c r="B1460">
        <v>250.1</v>
      </c>
      <c r="C1460">
        <v>250</v>
      </c>
      <c r="D1460" t="s">
        <v>5963</v>
      </c>
    </row>
    <row r="1461" spans="1:4" x14ac:dyDescent="0.2">
      <c r="A1461">
        <v>14</v>
      </c>
      <c r="B1461">
        <v>250.1</v>
      </c>
      <c r="C1461">
        <v>250</v>
      </c>
      <c r="D1461" t="s">
        <v>5963</v>
      </c>
    </row>
    <row r="1462" spans="1:4" x14ac:dyDescent="0.2">
      <c r="A1462">
        <v>15</v>
      </c>
      <c r="B1462">
        <v>250</v>
      </c>
      <c r="C1462">
        <v>250</v>
      </c>
      <c r="D1462" t="s">
        <v>5963</v>
      </c>
    </row>
    <row r="1463" spans="1:4" x14ac:dyDescent="0.2">
      <c r="A1463">
        <v>16</v>
      </c>
      <c r="B1463">
        <v>250</v>
      </c>
      <c r="C1463">
        <v>250</v>
      </c>
      <c r="D1463" t="s">
        <v>5963</v>
      </c>
    </row>
    <row r="1464" spans="1:4" x14ac:dyDescent="0.2">
      <c r="A1464">
        <v>17</v>
      </c>
      <c r="B1464">
        <v>249.9</v>
      </c>
      <c r="C1464">
        <v>250</v>
      </c>
      <c r="D1464" t="s">
        <v>5963</v>
      </c>
    </row>
    <row r="1465" spans="1:4" x14ac:dyDescent="0.2">
      <c r="A1465">
        <v>18</v>
      </c>
      <c r="B1465">
        <v>250.1</v>
      </c>
      <c r="C1465">
        <v>250</v>
      </c>
      <c r="D1465" t="s">
        <v>5963</v>
      </c>
    </row>
    <row r="1466" spans="1:4" x14ac:dyDescent="0.2">
      <c r="A1466">
        <v>13</v>
      </c>
      <c r="B1466">
        <v>500</v>
      </c>
      <c r="C1466">
        <v>500</v>
      </c>
      <c r="D1466" t="s">
        <v>5963</v>
      </c>
    </row>
    <row r="1467" spans="1:4" x14ac:dyDescent="0.2">
      <c r="A1467">
        <v>14</v>
      </c>
      <c r="B1467">
        <v>500</v>
      </c>
      <c r="C1467">
        <v>500</v>
      </c>
      <c r="D1467" t="s">
        <v>5963</v>
      </c>
    </row>
    <row r="1468" spans="1:4" x14ac:dyDescent="0.2">
      <c r="A1468">
        <v>15</v>
      </c>
      <c r="B1468">
        <v>500.1</v>
      </c>
      <c r="C1468">
        <v>500</v>
      </c>
      <c r="D1468" t="s">
        <v>5963</v>
      </c>
    </row>
    <row r="1469" spans="1:4" x14ac:dyDescent="0.2">
      <c r="A1469">
        <v>16</v>
      </c>
      <c r="B1469">
        <v>500</v>
      </c>
      <c r="C1469">
        <v>500</v>
      </c>
      <c r="D1469" t="s">
        <v>5963</v>
      </c>
    </row>
    <row r="1470" spans="1:4" x14ac:dyDescent="0.2">
      <c r="A1470">
        <v>17</v>
      </c>
      <c r="B1470">
        <v>499.9</v>
      </c>
      <c r="C1470">
        <v>500</v>
      </c>
      <c r="D1470" t="s">
        <v>5963</v>
      </c>
    </row>
    <row r="1471" spans="1:4" x14ac:dyDescent="0.2">
      <c r="A1471">
        <v>18</v>
      </c>
      <c r="B1471">
        <v>500.1</v>
      </c>
      <c r="C1471">
        <v>500</v>
      </c>
      <c r="D1471" t="s">
        <v>5963</v>
      </c>
    </row>
    <row r="1472" spans="1:4" x14ac:dyDescent="0.2">
      <c r="A1472">
        <v>13</v>
      </c>
      <c r="B1472">
        <v>1000</v>
      </c>
      <c r="C1472">
        <v>1000</v>
      </c>
      <c r="D1472" t="s">
        <v>5963</v>
      </c>
    </row>
    <row r="1473" spans="1:4" x14ac:dyDescent="0.2">
      <c r="A1473">
        <v>14</v>
      </c>
      <c r="B1473">
        <v>1000</v>
      </c>
      <c r="C1473">
        <v>1000</v>
      </c>
      <c r="D1473" t="s">
        <v>5963</v>
      </c>
    </row>
    <row r="1474" spans="1:4" x14ac:dyDescent="0.2">
      <c r="A1474">
        <v>15</v>
      </c>
      <c r="B1474">
        <v>1000.1</v>
      </c>
      <c r="C1474">
        <v>1000</v>
      </c>
      <c r="D1474" t="s">
        <v>5963</v>
      </c>
    </row>
    <row r="1475" spans="1:4" x14ac:dyDescent="0.2">
      <c r="A1475">
        <v>16</v>
      </c>
      <c r="B1475">
        <v>1000</v>
      </c>
      <c r="C1475">
        <v>1000</v>
      </c>
      <c r="D1475" t="s">
        <v>5963</v>
      </c>
    </row>
    <row r="1476" spans="1:4" x14ac:dyDescent="0.2">
      <c r="A1476">
        <v>17</v>
      </c>
      <c r="B1476">
        <v>999.8</v>
      </c>
      <c r="C1476">
        <v>1000</v>
      </c>
      <c r="D1476" t="s">
        <v>5963</v>
      </c>
    </row>
    <row r="1477" spans="1:4" x14ac:dyDescent="0.2">
      <c r="A1477">
        <v>18</v>
      </c>
      <c r="B1477">
        <v>1000.2</v>
      </c>
      <c r="C1477">
        <v>1000</v>
      </c>
      <c r="D1477" t="s">
        <v>5963</v>
      </c>
    </row>
    <row r="1478" spans="1:4" x14ac:dyDescent="0.2">
      <c r="A1478">
        <v>19</v>
      </c>
      <c r="B1478">
        <v>-100.1</v>
      </c>
      <c r="C1478">
        <v>-100</v>
      </c>
      <c r="D1478" t="s">
        <v>5963</v>
      </c>
    </row>
    <row r="1479" spans="1:4" x14ac:dyDescent="0.2">
      <c r="A1479">
        <v>20</v>
      </c>
      <c r="B1479">
        <v>-99.9</v>
      </c>
      <c r="C1479">
        <v>-100</v>
      </c>
      <c r="D1479" t="s">
        <v>5963</v>
      </c>
    </row>
    <row r="1480" spans="1:4" x14ac:dyDescent="0.2">
      <c r="A1480">
        <v>21</v>
      </c>
      <c r="B1480">
        <v>-99.9</v>
      </c>
      <c r="C1480">
        <v>-100</v>
      </c>
      <c r="D1480" t="s">
        <v>5963</v>
      </c>
    </row>
    <row r="1481" spans="1:4" x14ac:dyDescent="0.2">
      <c r="A1481">
        <v>22</v>
      </c>
      <c r="B1481">
        <v>-99.9</v>
      </c>
      <c r="C1481">
        <v>-100</v>
      </c>
      <c r="D1481" t="s">
        <v>5963</v>
      </c>
    </row>
    <row r="1482" spans="1:4" x14ac:dyDescent="0.2">
      <c r="A1482">
        <v>23</v>
      </c>
      <c r="B1482">
        <v>-99.9</v>
      </c>
      <c r="C1482">
        <v>-100</v>
      </c>
      <c r="D1482" t="s">
        <v>5963</v>
      </c>
    </row>
    <row r="1483" spans="1:4" x14ac:dyDescent="0.2">
      <c r="A1483">
        <v>24</v>
      </c>
      <c r="B1483">
        <v>-99.9</v>
      </c>
      <c r="C1483">
        <v>-100</v>
      </c>
      <c r="D1483" t="s">
        <v>5963</v>
      </c>
    </row>
    <row r="1484" spans="1:4" x14ac:dyDescent="0.2">
      <c r="A1484">
        <v>19</v>
      </c>
      <c r="B1484">
        <v>-50.1</v>
      </c>
      <c r="C1484">
        <v>-50</v>
      </c>
      <c r="D1484" t="s">
        <v>5963</v>
      </c>
    </row>
    <row r="1485" spans="1:4" x14ac:dyDescent="0.2">
      <c r="A1485">
        <v>20</v>
      </c>
      <c r="B1485">
        <v>-49.9</v>
      </c>
      <c r="C1485">
        <v>-50</v>
      </c>
      <c r="D1485" t="s">
        <v>5963</v>
      </c>
    </row>
    <row r="1486" spans="1:4" x14ac:dyDescent="0.2">
      <c r="A1486">
        <v>21</v>
      </c>
      <c r="B1486">
        <v>-50</v>
      </c>
      <c r="C1486">
        <v>-50</v>
      </c>
      <c r="D1486" t="s">
        <v>5963</v>
      </c>
    </row>
    <row r="1487" spans="1:4" x14ac:dyDescent="0.2">
      <c r="A1487">
        <v>22</v>
      </c>
      <c r="B1487">
        <v>-49.9</v>
      </c>
      <c r="C1487">
        <v>-50</v>
      </c>
      <c r="D1487" t="s">
        <v>5963</v>
      </c>
    </row>
    <row r="1488" spans="1:4" x14ac:dyDescent="0.2">
      <c r="A1488">
        <v>23</v>
      </c>
      <c r="B1488">
        <v>-50</v>
      </c>
      <c r="C1488">
        <v>-50</v>
      </c>
      <c r="D1488" t="s">
        <v>5963</v>
      </c>
    </row>
    <row r="1489" spans="1:4" x14ac:dyDescent="0.2">
      <c r="A1489">
        <v>24</v>
      </c>
      <c r="B1489">
        <v>-50</v>
      </c>
      <c r="C1489">
        <v>-50</v>
      </c>
      <c r="D1489" t="s">
        <v>5963</v>
      </c>
    </row>
    <row r="1490" spans="1:4" x14ac:dyDescent="0.2">
      <c r="A1490">
        <v>19</v>
      </c>
      <c r="B1490">
        <v>-0.1</v>
      </c>
      <c r="C1490">
        <v>0</v>
      </c>
      <c r="D1490" t="s">
        <v>5963</v>
      </c>
    </row>
    <row r="1491" spans="1:4" x14ac:dyDescent="0.2">
      <c r="A1491">
        <v>20</v>
      </c>
      <c r="B1491">
        <v>0</v>
      </c>
      <c r="C1491">
        <v>0</v>
      </c>
      <c r="D1491" t="s">
        <v>5963</v>
      </c>
    </row>
    <row r="1492" spans="1:4" x14ac:dyDescent="0.2">
      <c r="A1492">
        <v>21</v>
      </c>
      <c r="B1492">
        <v>0</v>
      </c>
      <c r="C1492">
        <v>0</v>
      </c>
      <c r="D1492" t="s">
        <v>5963</v>
      </c>
    </row>
    <row r="1493" spans="1:4" x14ac:dyDescent="0.2">
      <c r="A1493">
        <v>22</v>
      </c>
      <c r="B1493">
        <v>0</v>
      </c>
      <c r="C1493">
        <v>0</v>
      </c>
      <c r="D1493" t="s">
        <v>5963</v>
      </c>
    </row>
    <row r="1494" spans="1:4" x14ac:dyDescent="0.2">
      <c r="A1494">
        <v>23</v>
      </c>
      <c r="B1494">
        <v>0</v>
      </c>
      <c r="C1494">
        <v>0</v>
      </c>
      <c r="D1494" t="s">
        <v>5963</v>
      </c>
    </row>
    <row r="1495" spans="1:4" x14ac:dyDescent="0.2">
      <c r="A1495">
        <v>24</v>
      </c>
      <c r="B1495">
        <v>-0.1</v>
      </c>
      <c r="C1495">
        <v>0</v>
      </c>
      <c r="D1495" t="s">
        <v>5963</v>
      </c>
    </row>
    <row r="1496" spans="1:4" x14ac:dyDescent="0.2">
      <c r="A1496">
        <v>19</v>
      </c>
      <c r="B1496">
        <v>250</v>
      </c>
      <c r="C1496">
        <v>250</v>
      </c>
      <c r="D1496" t="s">
        <v>5963</v>
      </c>
    </row>
    <row r="1497" spans="1:4" x14ac:dyDescent="0.2">
      <c r="A1497">
        <v>20</v>
      </c>
      <c r="B1497">
        <v>250</v>
      </c>
      <c r="C1497">
        <v>250</v>
      </c>
      <c r="D1497" t="s">
        <v>5963</v>
      </c>
    </row>
    <row r="1498" spans="1:4" x14ac:dyDescent="0.2">
      <c r="A1498">
        <v>21</v>
      </c>
      <c r="B1498">
        <v>250</v>
      </c>
      <c r="C1498">
        <v>250</v>
      </c>
      <c r="D1498" t="s">
        <v>5963</v>
      </c>
    </row>
    <row r="1499" spans="1:4" x14ac:dyDescent="0.2">
      <c r="A1499">
        <v>22</v>
      </c>
      <c r="B1499">
        <v>250</v>
      </c>
      <c r="C1499">
        <v>250</v>
      </c>
      <c r="D1499" t="s">
        <v>5963</v>
      </c>
    </row>
    <row r="1500" spans="1:4" x14ac:dyDescent="0.2">
      <c r="A1500">
        <v>23</v>
      </c>
      <c r="B1500">
        <v>250</v>
      </c>
      <c r="C1500">
        <v>250</v>
      </c>
      <c r="D1500" t="s">
        <v>5963</v>
      </c>
    </row>
    <row r="1501" spans="1:4" x14ac:dyDescent="0.2">
      <c r="A1501">
        <v>24</v>
      </c>
      <c r="B1501">
        <v>249.9</v>
      </c>
      <c r="C1501">
        <v>250</v>
      </c>
      <c r="D1501" t="s">
        <v>5963</v>
      </c>
    </row>
    <row r="1502" spans="1:4" x14ac:dyDescent="0.2">
      <c r="A1502">
        <v>19</v>
      </c>
      <c r="B1502">
        <v>500</v>
      </c>
      <c r="C1502">
        <v>500</v>
      </c>
      <c r="D1502" t="s">
        <v>5963</v>
      </c>
    </row>
    <row r="1503" spans="1:4" x14ac:dyDescent="0.2">
      <c r="A1503">
        <v>20</v>
      </c>
      <c r="B1503">
        <v>500</v>
      </c>
      <c r="C1503">
        <v>500</v>
      </c>
      <c r="D1503" t="s">
        <v>5963</v>
      </c>
    </row>
    <row r="1504" spans="1:4" x14ac:dyDescent="0.2">
      <c r="A1504">
        <v>21</v>
      </c>
      <c r="B1504">
        <v>500</v>
      </c>
      <c r="C1504">
        <v>500</v>
      </c>
      <c r="D1504" t="s">
        <v>5963</v>
      </c>
    </row>
    <row r="1505" spans="1:4" x14ac:dyDescent="0.2">
      <c r="A1505">
        <v>22</v>
      </c>
      <c r="B1505">
        <v>500</v>
      </c>
      <c r="C1505">
        <v>500</v>
      </c>
      <c r="D1505" t="s">
        <v>5963</v>
      </c>
    </row>
    <row r="1506" spans="1:4" x14ac:dyDescent="0.2">
      <c r="A1506">
        <v>23</v>
      </c>
      <c r="B1506">
        <v>500</v>
      </c>
      <c r="C1506">
        <v>500</v>
      </c>
      <c r="D1506" t="s">
        <v>5963</v>
      </c>
    </row>
    <row r="1507" spans="1:4" x14ac:dyDescent="0.2">
      <c r="A1507">
        <v>24</v>
      </c>
      <c r="B1507">
        <v>499.9</v>
      </c>
      <c r="C1507">
        <v>500</v>
      </c>
      <c r="D1507" t="s">
        <v>5963</v>
      </c>
    </row>
    <row r="1508" spans="1:4" x14ac:dyDescent="0.2">
      <c r="A1508">
        <v>19</v>
      </c>
      <c r="B1508">
        <v>1000</v>
      </c>
      <c r="C1508">
        <v>1000</v>
      </c>
      <c r="D1508" t="s">
        <v>5963</v>
      </c>
    </row>
    <row r="1509" spans="1:4" x14ac:dyDescent="0.2">
      <c r="A1509">
        <v>20</v>
      </c>
      <c r="B1509">
        <v>1000</v>
      </c>
      <c r="C1509">
        <v>1000</v>
      </c>
      <c r="D1509" t="s">
        <v>5963</v>
      </c>
    </row>
    <row r="1510" spans="1:4" x14ac:dyDescent="0.2">
      <c r="A1510">
        <v>21</v>
      </c>
      <c r="B1510">
        <v>999.9</v>
      </c>
      <c r="C1510">
        <v>1000</v>
      </c>
      <c r="D1510" t="s">
        <v>5963</v>
      </c>
    </row>
    <row r="1511" spans="1:4" x14ac:dyDescent="0.2">
      <c r="A1511">
        <v>22</v>
      </c>
      <c r="B1511">
        <v>1000</v>
      </c>
      <c r="C1511">
        <v>1000</v>
      </c>
      <c r="D1511" t="s">
        <v>5963</v>
      </c>
    </row>
    <row r="1512" spans="1:4" x14ac:dyDescent="0.2">
      <c r="A1512">
        <v>23</v>
      </c>
      <c r="B1512">
        <v>1000</v>
      </c>
      <c r="C1512">
        <v>1000</v>
      </c>
      <c r="D1512" t="s">
        <v>5963</v>
      </c>
    </row>
    <row r="1513" spans="1:4" x14ac:dyDescent="0.2">
      <c r="A1513">
        <v>24</v>
      </c>
      <c r="B1513">
        <v>1000</v>
      </c>
      <c r="C1513">
        <v>1000</v>
      </c>
      <c r="D1513" t="s">
        <v>5963</v>
      </c>
    </row>
    <row r="1514" spans="1:4" x14ac:dyDescent="0.2">
      <c r="A1514">
        <v>25</v>
      </c>
      <c r="B1514">
        <v>-100.5</v>
      </c>
      <c r="C1514">
        <v>-100</v>
      </c>
      <c r="D1514" t="s">
        <v>5963</v>
      </c>
    </row>
    <row r="1515" spans="1:4" x14ac:dyDescent="0.2">
      <c r="A1515">
        <v>26</v>
      </c>
      <c r="B1515">
        <v>-99.5</v>
      </c>
      <c r="C1515">
        <v>-100</v>
      </c>
      <c r="D1515" t="s">
        <v>5963</v>
      </c>
    </row>
    <row r="1516" spans="1:4" x14ac:dyDescent="0.2">
      <c r="A1516">
        <v>27</v>
      </c>
      <c r="B1516">
        <v>-99.6</v>
      </c>
      <c r="C1516">
        <v>-100</v>
      </c>
      <c r="D1516" t="s">
        <v>5963</v>
      </c>
    </row>
    <row r="1517" spans="1:4" x14ac:dyDescent="0.2">
      <c r="A1517">
        <v>28</v>
      </c>
      <c r="B1517">
        <v>-100.2</v>
      </c>
      <c r="C1517">
        <v>-100</v>
      </c>
      <c r="D1517" t="s">
        <v>5963</v>
      </c>
    </row>
    <row r="1518" spans="1:4" x14ac:dyDescent="0.2">
      <c r="A1518">
        <v>29</v>
      </c>
      <c r="B1518">
        <v>-100.1</v>
      </c>
      <c r="C1518">
        <v>-100</v>
      </c>
      <c r="D1518" t="s">
        <v>5963</v>
      </c>
    </row>
    <row r="1519" spans="1:4" x14ac:dyDescent="0.2">
      <c r="A1519">
        <v>30</v>
      </c>
      <c r="B1519">
        <v>-100.2</v>
      </c>
      <c r="C1519">
        <v>-100</v>
      </c>
      <c r="D1519" t="s">
        <v>5963</v>
      </c>
    </row>
    <row r="1520" spans="1:4" x14ac:dyDescent="0.2">
      <c r="A1520">
        <v>25</v>
      </c>
      <c r="B1520">
        <v>-50.5</v>
      </c>
      <c r="C1520">
        <v>-50</v>
      </c>
      <c r="D1520" t="s">
        <v>5963</v>
      </c>
    </row>
    <row r="1521" spans="1:4" x14ac:dyDescent="0.2">
      <c r="A1521">
        <v>26</v>
      </c>
      <c r="B1521">
        <v>-49.5</v>
      </c>
      <c r="C1521">
        <v>-50</v>
      </c>
      <c r="D1521" t="s">
        <v>5963</v>
      </c>
    </row>
    <row r="1522" spans="1:4" x14ac:dyDescent="0.2">
      <c r="A1522">
        <v>27</v>
      </c>
      <c r="B1522">
        <v>-49.8</v>
      </c>
      <c r="C1522">
        <v>-50</v>
      </c>
      <c r="D1522" t="s">
        <v>5963</v>
      </c>
    </row>
    <row r="1523" spans="1:4" x14ac:dyDescent="0.2">
      <c r="A1523">
        <v>28</v>
      </c>
      <c r="B1523">
        <v>-50.2</v>
      </c>
      <c r="C1523">
        <v>-50</v>
      </c>
      <c r="D1523" t="s">
        <v>5963</v>
      </c>
    </row>
    <row r="1524" spans="1:4" x14ac:dyDescent="0.2">
      <c r="A1524">
        <v>29</v>
      </c>
      <c r="B1524">
        <v>-50.1</v>
      </c>
      <c r="C1524">
        <v>-50</v>
      </c>
      <c r="D1524" t="s">
        <v>5963</v>
      </c>
    </row>
    <row r="1525" spans="1:4" x14ac:dyDescent="0.2">
      <c r="A1525">
        <v>30</v>
      </c>
      <c r="B1525">
        <v>-50.2</v>
      </c>
      <c r="C1525">
        <v>-50</v>
      </c>
      <c r="D1525" t="s">
        <v>5963</v>
      </c>
    </row>
    <row r="1526" spans="1:4" x14ac:dyDescent="0.2">
      <c r="A1526">
        <v>25</v>
      </c>
      <c r="B1526">
        <v>-0.5</v>
      </c>
      <c r="C1526">
        <v>0</v>
      </c>
      <c r="D1526" t="s">
        <v>5963</v>
      </c>
    </row>
    <row r="1527" spans="1:4" x14ac:dyDescent="0.2">
      <c r="A1527">
        <v>26</v>
      </c>
      <c r="B1527">
        <v>0.5</v>
      </c>
      <c r="C1527">
        <v>0</v>
      </c>
      <c r="D1527" t="s">
        <v>5963</v>
      </c>
    </row>
    <row r="1528" spans="1:4" x14ac:dyDescent="0.2">
      <c r="A1528">
        <v>27</v>
      </c>
      <c r="B1528">
        <v>0.1</v>
      </c>
      <c r="C1528">
        <v>0</v>
      </c>
      <c r="D1528" t="s">
        <v>5963</v>
      </c>
    </row>
    <row r="1529" spans="1:4" x14ac:dyDescent="0.2">
      <c r="A1529">
        <v>28</v>
      </c>
      <c r="B1529">
        <v>-0.3</v>
      </c>
      <c r="C1529">
        <v>0</v>
      </c>
      <c r="D1529" t="s">
        <v>5963</v>
      </c>
    </row>
    <row r="1530" spans="1:4" x14ac:dyDescent="0.2">
      <c r="A1530">
        <v>29</v>
      </c>
      <c r="B1530">
        <v>-0.2</v>
      </c>
      <c r="C1530">
        <v>0</v>
      </c>
      <c r="D1530" t="s">
        <v>5963</v>
      </c>
    </row>
    <row r="1531" spans="1:4" x14ac:dyDescent="0.2">
      <c r="A1531">
        <v>30</v>
      </c>
      <c r="B1531">
        <v>-0.2</v>
      </c>
      <c r="C1531">
        <v>0</v>
      </c>
      <c r="D1531" t="s">
        <v>5963</v>
      </c>
    </row>
    <row r="1532" spans="1:4" x14ac:dyDescent="0.2">
      <c r="A1532">
        <v>25</v>
      </c>
      <c r="B1532">
        <v>249.5</v>
      </c>
      <c r="C1532">
        <v>250</v>
      </c>
      <c r="D1532" t="s">
        <v>5963</v>
      </c>
    </row>
    <row r="1533" spans="1:4" x14ac:dyDescent="0.2">
      <c r="A1533">
        <v>26</v>
      </c>
      <c r="B1533">
        <v>250.5</v>
      </c>
      <c r="C1533">
        <v>250</v>
      </c>
      <c r="D1533" t="s">
        <v>5963</v>
      </c>
    </row>
    <row r="1534" spans="1:4" x14ac:dyDescent="0.2">
      <c r="A1534">
        <v>27</v>
      </c>
      <c r="B1534">
        <v>250.1</v>
      </c>
      <c r="C1534">
        <v>250</v>
      </c>
      <c r="D1534" t="s">
        <v>5963</v>
      </c>
    </row>
    <row r="1535" spans="1:4" x14ac:dyDescent="0.2">
      <c r="A1535">
        <v>28</v>
      </c>
      <c r="B1535">
        <v>249.7</v>
      </c>
      <c r="C1535">
        <v>250</v>
      </c>
      <c r="D1535" t="s">
        <v>5963</v>
      </c>
    </row>
    <row r="1536" spans="1:4" x14ac:dyDescent="0.2">
      <c r="A1536">
        <v>29</v>
      </c>
      <c r="B1536">
        <v>249.8</v>
      </c>
      <c r="C1536">
        <v>250</v>
      </c>
      <c r="D1536" t="s">
        <v>5963</v>
      </c>
    </row>
    <row r="1537" spans="1:4" x14ac:dyDescent="0.2">
      <c r="A1537">
        <v>30</v>
      </c>
      <c r="B1537">
        <v>249.8</v>
      </c>
      <c r="C1537">
        <v>250</v>
      </c>
      <c r="D1537" t="s">
        <v>5963</v>
      </c>
    </row>
    <row r="1538" spans="1:4" x14ac:dyDescent="0.2">
      <c r="A1538">
        <v>25</v>
      </c>
      <c r="B1538">
        <v>499.5</v>
      </c>
      <c r="C1538">
        <v>500</v>
      </c>
      <c r="D1538" t="s">
        <v>5963</v>
      </c>
    </row>
    <row r="1539" spans="1:4" x14ac:dyDescent="0.2">
      <c r="A1539">
        <v>26</v>
      </c>
      <c r="B1539">
        <v>500.5</v>
      </c>
      <c r="C1539">
        <v>500</v>
      </c>
      <c r="D1539" t="s">
        <v>5963</v>
      </c>
    </row>
    <row r="1540" spans="1:4" x14ac:dyDescent="0.2">
      <c r="A1540">
        <v>27</v>
      </c>
      <c r="B1540">
        <v>500</v>
      </c>
      <c r="C1540">
        <v>500</v>
      </c>
      <c r="D1540" t="s">
        <v>5963</v>
      </c>
    </row>
    <row r="1541" spans="1:4" x14ac:dyDescent="0.2">
      <c r="A1541">
        <v>28</v>
      </c>
      <c r="B1541">
        <v>499.7</v>
      </c>
      <c r="C1541">
        <v>500</v>
      </c>
      <c r="D1541" t="s">
        <v>5963</v>
      </c>
    </row>
    <row r="1542" spans="1:4" x14ac:dyDescent="0.2">
      <c r="A1542">
        <v>29</v>
      </c>
      <c r="B1542">
        <v>499.7</v>
      </c>
      <c r="C1542">
        <v>500</v>
      </c>
      <c r="D1542" t="s">
        <v>5963</v>
      </c>
    </row>
    <row r="1543" spans="1:4" x14ac:dyDescent="0.2">
      <c r="A1543">
        <v>30</v>
      </c>
      <c r="B1543">
        <v>499.8</v>
      </c>
      <c r="C1543">
        <v>500</v>
      </c>
      <c r="D1543" t="s">
        <v>5963</v>
      </c>
    </row>
    <row r="1544" spans="1:4" x14ac:dyDescent="0.2">
      <c r="A1544">
        <v>25</v>
      </c>
      <c r="B1544">
        <v>999.5</v>
      </c>
      <c r="C1544">
        <v>1000</v>
      </c>
      <c r="D1544" t="s">
        <v>5963</v>
      </c>
    </row>
    <row r="1545" spans="1:4" x14ac:dyDescent="0.2">
      <c r="A1545">
        <v>26</v>
      </c>
      <c r="B1545">
        <v>1000.4</v>
      </c>
      <c r="C1545">
        <v>1000</v>
      </c>
      <c r="D1545" t="s">
        <v>5963</v>
      </c>
    </row>
    <row r="1546" spans="1:4" x14ac:dyDescent="0.2">
      <c r="A1546">
        <v>27</v>
      </c>
      <c r="B1546">
        <v>999.9</v>
      </c>
      <c r="C1546">
        <v>1000</v>
      </c>
      <c r="D1546" t="s">
        <v>5963</v>
      </c>
    </row>
    <row r="1547" spans="1:4" x14ac:dyDescent="0.2">
      <c r="A1547">
        <v>28</v>
      </c>
      <c r="B1547">
        <v>999.7</v>
      </c>
      <c r="C1547">
        <v>1000</v>
      </c>
      <c r="D1547" t="s">
        <v>5963</v>
      </c>
    </row>
    <row r="1548" spans="1:4" x14ac:dyDescent="0.2">
      <c r="A1548">
        <v>29</v>
      </c>
      <c r="B1548">
        <v>999.6</v>
      </c>
      <c r="C1548">
        <v>1000</v>
      </c>
      <c r="D1548" t="s">
        <v>5963</v>
      </c>
    </row>
    <row r="1549" spans="1:4" x14ac:dyDescent="0.2">
      <c r="A1549">
        <v>30</v>
      </c>
      <c r="B1549">
        <v>999.7</v>
      </c>
      <c r="C1549">
        <v>1000</v>
      </c>
      <c r="D1549" t="s">
        <v>5963</v>
      </c>
    </row>
    <row r="1550" spans="1:4" x14ac:dyDescent="0.2">
      <c r="A1550">
        <v>31</v>
      </c>
      <c r="B1550">
        <v>-100.2</v>
      </c>
      <c r="C1550">
        <v>-100</v>
      </c>
      <c r="D1550" t="s">
        <v>5963</v>
      </c>
    </row>
    <row r="1551" spans="1:4" x14ac:dyDescent="0.2">
      <c r="A1551">
        <v>32</v>
      </c>
      <c r="B1551">
        <v>-99.9</v>
      </c>
      <c r="C1551">
        <v>-100</v>
      </c>
      <c r="D1551" t="s">
        <v>5963</v>
      </c>
    </row>
    <row r="1552" spans="1:4" x14ac:dyDescent="0.2">
      <c r="A1552">
        <v>33</v>
      </c>
      <c r="B1552">
        <v>-100</v>
      </c>
      <c r="C1552">
        <v>-100</v>
      </c>
      <c r="D1552" t="s">
        <v>5963</v>
      </c>
    </row>
    <row r="1553" spans="1:4" x14ac:dyDescent="0.2">
      <c r="A1553">
        <v>34</v>
      </c>
      <c r="B1553">
        <v>-100</v>
      </c>
      <c r="C1553">
        <v>-100</v>
      </c>
      <c r="D1553" t="s">
        <v>5963</v>
      </c>
    </row>
    <row r="1554" spans="1:4" x14ac:dyDescent="0.2">
      <c r="A1554">
        <v>35</v>
      </c>
      <c r="B1554">
        <v>-100.2</v>
      </c>
      <c r="C1554">
        <v>-100</v>
      </c>
      <c r="D1554" t="s">
        <v>5963</v>
      </c>
    </row>
    <row r="1555" spans="1:4" x14ac:dyDescent="0.2">
      <c r="A1555">
        <v>36</v>
      </c>
      <c r="B1555">
        <v>-100.3</v>
      </c>
      <c r="C1555">
        <v>-100</v>
      </c>
      <c r="D1555" t="s">
        <v>5963</v>
      </c>
    </row>
    <row r="1556" spans="1:4" x14ac:dyDescent="0.2">
      <c r="A1556">
        <v>31</v>
      </c>
      <c r="B1556">
        <v>-50.2</v>
      </c>
      <c r="C1556">
        <v>-50</v>
      </c>
      <c r="D1556" t="s">
        <v>5963</v>
      </c>
    </row>
    <row r="1557" spans="1:4" x14ac:dyDescent="0.2">
      <c r="A1557">
        <v>32</v>
      </c>
      <c r="B1557">
        <v>-49.8</v>
      </c>
      <c r="C1557">
        <v>-50</v>
      </c>
      <c r="D1557" t="s">
        <v>5963</v>
      </c>
    </row>
    <row r="1558" spans="1:4" x14ac:dyDescent="0.2">
      <c r="A1558">
        <v>33</v>
      </c>
      <c r="B1558">
        <v>-50</v>
      </c>
      <c r="C1558">
        <v>-50</v>
      </c>
      <c r="D1558" t="s">
        <v>5963</v>
      </c>
    </row>
    <row r="1559" spans="1:4" x14ac:dyDescent="0.2">
      <c r="A1559">
        <v>34</v>
      </c>
      <c r="B1559">
        <v>-50</v>
      </c>
      <c r="C1559">
        <v>-50</v>
      </c>
      <c r="D1559" t="s">
        <v>5963</v>
      </c>
    </row>
    <row r="1560" spans="1:4" x14ac:dyDescent="0.2">
      <c r="A1560">
        <v>35</v>
      </c>
      <c r="B1560">
        <v>-50.1</v>
      </c>
      <c r="C1560">
        <v>-50</v>
      </c>
      <c r="D1560" t="s">
        <v>5963</v>
      </c>
    </row>
    <row r="1561" spans="1:4" x14ac:dyDescent="0.2">
      <c r="A1561">
        <v>36</v>
      </c>
      <c r="B1561">
        <v>-50.2</v>
      </c>
      <c r="C1561">
        <v>-50</v>
      </c>
      <c r="D1561" t="s">
        <v>5963</v>
      </c>
    </row>
    <row r="1562" spans="1:4" x14ac:dyDescent="0.2">
      <c r="A1562">
        <v>31</v>
      </c>
      <c r="B1562">
        <v>-0.3</v>
      </c>
      <c r="C1562">
        <v>0</v>
      </c>
      <c r="D1562" t="s">
        <v>5963</v>
      </c>
    </row>
    <row r="1563" spans="1:4" x14ac:dyDescent="0.2">
      <c r="A1563">
        <v>32</v>
      </c>
      <c r="B1563">
        <v>0.1</v>
      </c>
      <c r="C1563">
        <v>0</v>
      </c>
      <c r="D1563" t="s">
        <v>5963</v>
      </c>
    </row>
    <row r="1564" spans="1:4" x14ac:dyDescent="0.2">
      <c r="A1564">
        <v>33</v>
      </c>
      <c r="B1564">
        <v>0</v>
      </c>
      <c r="C1564">
        <v>0</v>
      </c>
      <c r="D1564" t="s">
        <v>5963</v>
      </c>
    </row>
    <row r="1565" spans="1:4" x14ac:dyDescent="0.2">
      <c r="A1565">
        <v>34</v>
      </c>
      <c r="B1565">
        <v>0</v>
      </c>
      <c r="C1565">
        <v>0</v>
      </c>
      <c r="D1565" t="s">
        <v>5963</v>
      </c>
    </row>
    <row r="1566" spans="1:4" x14ac:dyDescent="0.2">
      <c r="A1566">
        <v>35</v>
      </c>
      <c r="B1566">
        <v>-0.2</v>
      </c>
      <c r="C1566">
        <v>0</v>
      </c>
      <c r="D1566" t="s">
        <v>5963</v>
      </c>
    </row>
    <row r="1567" spans="1:4" x14ac:dyDescent="0.2">
      <c r="A1567">
        <v>36</v>
      </c>
      <c r="B1567">
        <v>-0.3</v>
      </c>
      <c r="C1567">
        <v>0</v>
      </c>
      <c r="D1567" t="s">
        <v>5963</v>
      </c>
    </row>
    <row r="1568" spans="1:4" x14ac:dyDescent="0.2">
      <c r="A1568">
        <v>31</v>
      </c>
      <c r="B1568">
        <v>249.8</v>
      </c>
      <c r="C1568">
        <v>250</v>
      </c>
      <c r="D1568" t="s">
        <v>5963</v>
      </c>
    </row>
    <row r="1569" spans="1:4" x14ac:dyDescent="0.2">
      <c r="A1569">
        <v>32</v>
      </c>
      <c r="B1569">
        <v>250.2</v>
      </c>
      <c r="C1569">
        <v>250</v>
      </c>
      <c r="D1569" t="s">
        <v>5963</v>
      </c>
    </row>
    <row r="1570" spans="1:4" x14ac:dyDescent="0.2">
      <c r="A1570">
        <v>33</v>
      </c>
      <c r="B1570">
        <v>250</v>
      </c>
      <c r="C1570">
        <v>250</v>
      </c>
      <c r="D1570" t="s">
        <v>5963</v>
      </c>
    </row>
    <row r="1571" spans="1:4" x14ac:dyDescent="0.2">
      <c r="A1571">
        <v>34</v>
      </c>
      <c r="B1571">
        <v>250.1</v>
      </c>
      <c r="C1571">
        <v>250</v>
      </c>
      <c r="D1571" t="s">
        <v>5963</v>
      </c>
    </row>
    <row r="1572" spans="1:4" x14ac:dyDescent="0.2">
      <c r="A1572">
        <v>35</v>
      </c>
      <c r="B1572">
        <v>249.9</v>
      </c>
      <c r="C1572">
        <v>250</v>
      </c>
      <c r="D1572" t="s">
        <v>5963</v>
      </c>
    </row>
    <row r="1573" spans="1:4" x14ac:dyDescent="0.2">
      <c r="A1573">
        <v>36</v>
      </c>
      <c r="B1573">
        <v>249.8</v>
      </c>
      <c r="C1573">
        <v>250</v>
      </c>
      <c r="D1573" t="s">
        <v>5963</v>
      </c>
    </row>
    <row r="1574" spans="1:4" x14ac:dyDescent="0.2">
      <c r="A1574">
        <v>31</v>
      </c>
      <c r="B1574">
        <v>499.7</v>
      </c>
      <c r="C1574">
        <v>500</v>
      </c>
      <c r="D1574" t="s">
        <v>5963</v>
      </c>
    </row>
    <row r="1575" spans="1:4" x14ac:dyDescent="0.2">
      <c r="A1575">
        <v>32</v>
      </c>
      <c r="B1575">
        <v>500.1</v>
      </c>
      <c r="C1575">
        <v>500</v>
      </c>
      <c r="D1575" t="s">
        <v>5963</v>
      </c>
    </row>
    <row r="1576" spans="1:4" x14ac:dyDescent="0.2">
      <c r="A1576">
        <v>33</v>
      </c>
      <c r="B1576">
        <v>500</v>
      </c>
      <c r="C1576">
        <v>500</v>
      </c>
      <c r="D1576" t="s">
        <v>5963</v>
      </c>
    </row>
    <row r="1577" spans="1:4" x14ac:dyDescent="0.2">
      <c r="A1577">
        <v>34</v>
      </c>
      <c r="B1577">
        <v>500</v>
      </c>
      <c r="C1577">
        <v>500</v>
      </c>
      <c r="D1577" t="s">
        <v>5963</v>
      </c>
    </row>
    <row r="1578" spans="1:4" x14ac:dyDescent="0.2">
      <c r="A1578">
        <v>35</v>
      </c>
      <c r="B1578">
        <v>499.8</v>
      </c>
      <c r="C1578">
        <v>500</v>
      </c>
      <c r="D1578" t="s">
        <v>5963</v>
      </c>
    </row>
    <row r="1579" spans="1:4" x14ac:dyDescent="0.2">
      <c r="A1579">
        <v>36</v>
      </c>
      <c r="B1579">
        <v>499.7</v>
      </c>
      <c r="C1579">
        <v>500</v>
      </c>
      <c r="D1579" t="s">
        <v>5963</v>
      </c>
    </row>
    <row r="1580" spans="1:4" x14ac:dyDescent="0.2">
      <c r="A1580">
        <v>31</v>
      </c>
      <c r="B1580">
        <v>999.8</v>
      </c>
      <c r="C1580">
        <v>1000</v>
      </c>
      <c r="D1580" t="s">
        <v>5963</v>
      </c>
    </row>
    <row r="1581" spans="1:4" x14ac:dyDescent="0.2">
      <c r="A1581">
        <v>32</v>
      </c>
      <c r="B1581">
        <v>1000</v>
      </c>
      <c r="C1581">
        <v>1000</v>
      </c>
      <c r="D1581" t="s">
        <v>5963</v>
      </c>
    </row>
    <row r="1582" spans="1:4" x14ac:dyDescent="0.2">
      <c r="A1582">
        <v>33</v>
      </c>
      <c r="B1582">
        <v>999.9</v>
      </c>
      <c r="C1582">
        <v>1000</v>
      </c>
      <c r="D1582" t="s">
        <v>5963</v>
      </c>
    </row>
    <row r="1583" spans="1:4" x14ac:dyDescent="0.2">
      <c r="A1583">
        <v>34</v>
      </c>
      <c r="B1583">
        <v>999.9</v>
      </c>
      <c r="C1583">
        <v>1000</v>
      </c>
      <c r="D1583" t="s">
        <v>5963</v>
      </c>
    </row>
    <row r="1584" spans="1:4" x14ac:dyDescent="0.2">
      <c r="A1584">
        <v>35</v>
      </c>
      <c r="B1584">
        <v>999.8</v>
      </c>
      <c r="C1584">
        <v>1000</v>
      </c>
      <c r="D1584" t="s">
        <v>5963</v>
      </c>
    </row>
    <row r="1585" spans="1:4" x14ac:dyDescent="0.2">
      <c r="A1585">
        <v>36</v>
      </c>
      <c r="B1585">
        <v>999.6</v>
      </c>
      <c r="C1585">
        <v>1000</v>
      </c>
      <c r="D1585" t="s">
        <v>5963</v>
      </c>
    </row>
    <row r="1586" spans="1:4" x14ac:dyDescent="0.2">
      <c r="A1586">
        <v>37</v>
      </c>
      <c r="B1586">
        <v>-100.4</v>
      </c>
      <c r="C1586">
        <v>-100</v>
      </c>
      <c r="D1586" t="s">
        <v>5963</v>
      </c>
    </row>
    <row r="1587" spans="1:4" x14ac:dyDescent="0.2">
      <c r="A1587">
        <v>38</v>
      </c>
      <c r="B1587">
        <v>-100</v>
      </c>
      <c r="C1587">
        <v>-100</v>
      </c>
      <c r="D1587" t="s">
        <v>5963</v>
      </c>
    </row>
    <row r="1588" spans="1:4" x14ac:dyDescent="0.2">
      <c r="A1588">
        <v>39</v>
      </c>
      <c r="B1588">
        <v>-100.1</v>
      </c>
      <c r="C1588">
        <v>-100</v>
      </c>
      <c r="D1588" t="s">
        <v>5963</v>
      </c>
    </row>
    <row r="1589" spans="1:4" x14ac:dyDescent="0.2">
      <c r="A1589">
        <v>40</v>
      </c>
      <c r="B1589">
        <v>-100</v>
      </c>
      <c r="C1589">
        <v>-100</v>
      </c>
      <c r="D1589" t="s">
        <v>5963</v>
      </c>
    </row>
    <row r="1590" spans="1:4" x14ac:dyDescent="0.2">
      <c r="A1590">
        <v>37</v>
      </c>
      <c r="B1590">
        <v>-50.4</v>
      </c>
      <c r="C1590">
        <v>-50</v>
      </c>
      <c r="D1590" t="s">
        <v>5963</v>
      </c>
    </row>
    <row r="1591" spans="1:4" x14ac:dyDescent="0.2">
      <c r="A1591">
        <v>38</v>
      </c>
      <c r="B1591">
        <v>-50.1</v>
      </c>
      <c r="C1591">
        <v>-50</v>
      </c>
      <c r="D1591" t="s">
        <v>5963</v>
      </c>
    </row>
    <row r="1592" spans="1:4" x14ac:dyDescent="0.2">
      <c r="A1592">
        <v>39</v>
      </c>
      <c r="B1592">
        <v>-50.1</v>
      </c>
      <c r="C1592">
        <v>-50</v>
      </c>
      <c r="D1592" t="s">
        <v>5963</v>
      </c>
    </row>
    <row r="1593" spans="1:4" x14ac:dyDescent="0.2">
      <c r="A1593">
        <v>40</v>
      </c>
      <c r="B1593">
        <v>-50</v>
      </c>
      <c r="C1593">
        <v>-50</v>
      </c>
      <c r="D1593" t="s">
        <v>5963</v>
      </c>
    </row>
    <row r="1594" spans="1:4" x14ac:dyDescent="0.2">
      <c r="A1594">
        <v>37</v>
      </c>
      <c r="B1594">
        <v>-0.4</v>
      </c>
      <c r="C1594">
        <v>0</v>
      </c>
      <c r="D1594" t="s">
        <v>5963</v>
      </c>
    </row>
    <row r="1595" spans="1:4" x14ac:dyDescent="0.2">
      <c r="A1595">
        <v>38</v>
      </c>
      <c r="B1595">
        <v>-0.1</v>
      </c>
      <c r="C1595">
        <v>0</v>
      </c>
      <c r="D1595" t="s">
        <v>5963</v>
      </c>
    </row>
    <row r="1596" spans="1:4" x14ac:dyDescent="0.2">
      <c r="A1596">
        <v>39</v>
      </c>
      <c r="B1596">
        <v>-0.2</v>
      </c>
      <c r="C1596">
        <v>0</v>
      </c>
      <c r="D1596" t="s">
        <v>5963</v>
      </c>
    </row>
    <row r="1597" spans="1:4" x14ac:dyDescent="0.2">
      <c r="A1597">
        <v>40</v>
      </c>
      <c r="B1597">
        <v>-0.1</v>
      </c>
      <c r="C1597">
        <v>0</v>
      </c>
      <c r="D1597" t="s">
        <v>5963</v>
      </c>
    </row>
    <row r="1598" spans="1:4" x14ac:dyDescent="0.2">
      <c r="A1598">
        <v>37</v>
      </c>
      <c r="B1598">
        <v>249.7</v>
      </c>
      <c r="C1598">
        <v>250</v>
      </c>
      <c r="D1598" t="s">
        <v>5963</v>
      </c>
    </row>
    <row r="1599" spans="1:4" x14ac:dyDescent="0.2">
      <c r="A1599">
        <v>38</v>
      </c>
      <c r="B1599">
        <v>250</v>
      </c>
      <c r="C1599">
        <v>250</v>
      </c>
      <c r="D1599" t="s">
        <v>5963</v>
      </c>
    </row>
    <row r="1600" spans="1:4" x14ac:dyDescent="0.2">
      <c r="A1600">
        <v>39</v>
      </c>
      <c r="B1600">
        <v>249.9</v>
      </c>
      <c r="C1600">
        <v>250</v>
      </c>
      <c r="D1600" t="s">
        <v>5963</v>
      </c>
    </row>
    <row r="1601" spans="1:4" x14ac:dyDescent="0.2">
      <c r="A1601">
        <v>40</v>
      </c>
      <c r="B1601">
        <v>249.9</v>
      </c>
      <c r="C1601">
        <v>250</v>
      </c>
      <c r="D1601" t="s">
        <v>5963</v>
      </c>
    </row>
    <row r="1602" spans="1:4" x14ac:dyDescent="0.2">
      <c r="A1602">
        <v>37</v>
      </c>
      <c r="B1602">
        <v>499.7</v>
      </c>
      <c r="C1602">
        <v>500</v>
      </c>
      <c r="D1602" t="s">
        <v>5963</v>
      </c>
    </row>
    <row r="1603" spans="1:4" x14ac:dyDescent="0.2">
      <c r="A1603">
        <v>38</v>
      </c>
      <c r="B1603">
        <v>499.9</v>
      </c>
      <c r="C1603">
        <v>500</v>
      </c>
      <c r="D1603" t="s">
        <v>5963</v>
      </c>
    </row>
    <row r="1604" spans="1:4" x14ac:dyDescent="0.2">
      <c r="A1604">
        <v>39</v>
      </c>
      <c r="B1604">
        <v>499.7</v>
      </c>
      <c r="C1604">
        <v>500</v>
      </c>
      <c r="D1604" t="s">
        <v>5963</v>
      </c>
    </row>
    <row r="1605" spans="1:4" x14ac:dyDescent="0.2">
      <c r="A1605">
        <v>40</v>
      </c>
      <c r="B1605">
        <v>499.8</v>
      </c>
      <c r="C1605">
        <v>500</v>
      </c>
      <c r="D1605" t="s">
        <v>5963</v>
      </c>
    </row>
    <row r="1606" spans="1:4" x14ac:dyDescent="0.2">
      <c r="A1606">
        <v>37</v>
      </c>
      <c r="B1606">
        <v>999.6</v>
      </c>
      <c r="C1606">
        <v>1000</v>
      </c>
      <c r="D1606" t="s">
        <v>5963</v>
      </c>
    </row>
    <row r="1607" spans="1:4" x14ac:dyDescent="0.2">
      <c r="A1607">
        <v>38</v>
      </c>
      <c r="B1607">
        <v>999.8</v>
      </c>
      <c r="C1607">
        <v>1000</v>
      </c>
      <c r="D1607" t="s">
        <v>5963</v>
      </c>
    </row>
    <row r="1608" spans="1:4" x14ac:dyDescent="0.2">
      <c r="A1608">
        <v>39</v>
      </c>
      <c r="B1608">
        <v>999.7</v>
      </c>
      <c r="C1608">
        <v>1000</v>
      </c>
      <c r="D1608" t="s">
        <v>5963</v>
      </c>
    </row>
    <row r="1609" spans="1:4" x14ac:dyDescent="0.2">
      <c r="A1609">
        <v>40</v>
      </c>
      <c r="B1609">
        <v>999.8</v>
      </c>
      <c r="C1609">
        <v>1000</v>
      </c>
      <c r="D1609" t="s">
        <v>5963</v>
      </c>
    </row>
    <row r="1610" spans="1:4" x14ac:dyDescent="0.2">
      <c r="A1610">
        <v>1</v>
      </c>
      <c r="B1610">
        <v>-99.9</v>
      </c>
      <c r="C1610">
        <v>-100</v>
      </c>
      <c r="D1610" t="s">
        <v>5964</v>
      </c>
    </row>
    <row r="1611" spans="1:4" x14ac:dyDescent="0.2">
      <c r="A1611">
        <v>2</v>
      </c>
      <c r="B1611">
        <v>-99.8</v>
      </c>
      <c r="C1611">
        <v>-100</v>
      </c>
      <c r="D1611" t="s">
        <v>5964</v>
      </c>
    </row>
    <row r="1612" spans="1:4" x14ac:dyDescent="0.2">
      <c r="A1612">
        <v>3</v>
      </c>
      <c r="B1612">
        <v>-100.1</v>
      </c>
      <c r="C1612">
        <v>-100</v>
      </c>
      <c r="D1612" t="s">
        <v>5964</v>
      </c>
    </row>
    <row r="1613" spans="1:4" x14ac:dyDescent="0.2">
      <c r="A1613">
        <v>4</v>
      </c>
      <c r="B1613">
        <v>-100.1</v>
      </c>
      <c r="C1613">
        <v>-100</v>
      </c>
      <c r="D1613" t="s">
        <v>5964</v>
      </c>
    </row>
    <row r="1614" spans="1:4" x14ac:dyDescent="0.2">
      <c r="A1614">
        <v>5</v>
      </c>
      <c r="B1614">
        <v>-100.2</v>
      </c>
      <c r="C1614">
        <v>-100</v>
      </c>
      <c r="D1614" t="s">
        <v>5964</v>
      </c>
    </row>
    <row r="1615" spans="1:4" x14ac:dyDescent="0.2">
      <c r="A1615">
        <v>6</v>
      </c>
      <c r="B1615">
        <v>-99.9</v>
      </c>
      <c r="C1615">
        <v>-100</v>
      </c>
      <c r="D1615" t="s">
        <v>5964</v>
      </c>
    </row>
    <row r="1616" spans="1:4" x14ac:dyDescent="0.2">
      <c r="A1616">
        <v>1</v>
      </c>
      <c r="B1616">
        <v>499.8</v>
      </c>
      <c r="C1616">
        <v>500</v>
      </c>
      <c r="D1616" t="s">
        <v>5964</v>
      </c>
    </row>
    <row r="1617" spans="1:4" x14ac:dyDescent="0.2">
      <c r="A1617">
        <v>2</v>
      </c>
      <c r="B1617">
        <v>500.1</v>
      </c>
      <c r="C1617">
        <v>500</v>
      </c>
      <c r="D1617" t="s">
        <v>5964</v>
      </c>
    </row>
    <row r="1618" spans="1:4" x14ac:dyDescent="0.2">
      <c r="A1618">
        <v>3</v>
      </c>
      <c r="B1618">
        <v>500</v>
      </c>
      <c r="C1618">
        <v>500</v>
      </c>
      <c r="D1618" t="s">
        <v>5964</v>
      </c>
    </row>
    <row r="1619" spans="1:4" x14ac:dyDescent="0.2">
      <c r="A1619">
        <v>4</v>
      </c>
      <c r="B1619">
        <v>500.1</v>
      </c>
      <c r="C1619">
        <v>500</v>
      </c>
      <c r="D1619" t="s">
        <v>5964</v>
      </c>
    </row>
    <row r="1620" spans="1:4" x14ac:dyDescent="0.2">
      <c r="A1620">
        <v>5</v>
      </c>
      <c r="B1620">
        <v>499.8</v>
      </c>
      <c r="C1620">
        <v>500</v>
      </c>
      <c r="D1620" t="s">
        <v>5964</v>
      </c>
    </row>
    <row r="1621" spans="1:4" x14ac:dyDescent="0.2">
      <c r="A1621">
        <v>6</v>
      </c>
      <c r="B1621">
        <v>500.1</v>
      </c>
      <c r="C1621">
        <v>500</v>
      </c>
      <c r="D1621" t="s">
        <v>5964</v>
      </c>
    </row>
    <row r="1622" spans="1:4" x14ac:dyDescent="0.2">
      <c r="A1622">
        <v>1</v>
      </c>
      <c r="B1622">
        <v>999.8</v>
      </c>
      <c r="C1622">
        <v>1000</v>
      </c>
      <c r="D1622" t="s">
        <v>5964</v>
      </c>
    </row>
    <row r="1623" spans="1:4" x14ac:dyDescent="0.2">
      <c r="A1623">
        <v>2</v>
      </c>
      <c r="B1623">
        <v>1000.1</v>
      </c>
      <c r="C1623">
        <v>1000</v>
      </c>
      <c r="D1623" t="s">
        <v>5964</v>
      </c>
    </row>
    <row r="1624" spans="1:4" x14ac:dyDescent="0.2">
      <c r="A1624">
        <v>3</v>
      </c>
      <c r="B1624">
        <v>1000</v>
      </c>
      <c r="C1624">
        <v>1000</v>
      </c>
      <c r="D1624" t="s">
        <v>5964</v>
      </c>
    </row>
    <row r="1625" spans="1:4" x14ac:dyDescent="0.2">
      <c r="A1625">
        <v>4</v>
      </c>
      <c r="B1625">
        <v>1000.1</v>
      </c>
      <c r="C1625">
        <v>1000</v>
      </c>
      <c r="D1625" t="s">
        <v>5964</v>
      </c>
    </row>
    <row r="1626" spans="1:4" x14ac:dyDescent="0.2">
      <c r="A1626">
        <v>5</v>
      </c>
      <c r="B1626">
        <v>999.8</v>
      </c>
      <c r="C1626">
        <v>1000</v>
      </c>
      <c r="D1626" t="s">
        <v>5964</v>
      </c>
    </row>
    <row r="1627" spans="1:4" x14ac:dyDescent="0.2">
      <c r="A1627">
        <v>6</v>
      </c>
      <c r="B1627">
        <v>1000.1</v>
      </c>
      <c r="C1627">
        <v>1000</v>
      </c>
      <c r="D1627" t="s">
        <v>5964</v>
      </c>
    </row>
    <row r="1628" spans="1:4" x14ac:dyDescent="0.2">
      <c r="A1628">
        <v>1</v>
      </c>
      <c r="B1628">
        <v>1499.6</v>
      </c>
      <c r="C1628">
        <v>1500</v>
      </c>
      <c r="D1628" t="s">
        <v>5964</v>
      </c>
    </row>
    <row r="1629" spans="1:4" x14ac:dyDescent="0.2">
      <c r="A1629">
        <v>2</v>
      </c>
      <c r="B1629">
        <v>1500.1</v>
      </c>
      <c r="C1629">
        <v>1500</v>
      </c>
      <c r="D1629" t="s">
        <v>5964</v>
      </c>
    </row>
    <row r="1630" spans="1:4" x14ac:dyDescent="0.2">
      <c r="A1630">
        <v>3</v>
      </c>
      <c r="B1630">
        <v>1500</v>
      </c>
      <c r="C1630">
        <v>1500</v>
      </c>
      <c r="D1630" t="s">
        <v>5964</v>
      </c>
    </row>
    <row r="1631" spans="1:4" x14ac:dyDescent="0.2">
      <c r="A1631">
        <v>4</v>
      </c>
      <c r="B1631">
        <v>1500.1</v>
      </c>
      <c r="C1631">
        <v>1500</v>
      </c>
      <c r="D1631" t="s">
        <v>5964</v>
      </c>
    </row>
    <row r="1632" spans="1:4" x14ac:dyDescent="0.2">
      <c r="A1632">
        <v>5</v>
      </c>
      <c r="B1632">
        <v>1499.8</v>
      </c>
      <c r="C1632">
        <v>1500</v>
      </c>
      <c r="D1632" t="s">
        <v>5964</v>
      </c>
    </row>
    <row r="1633" spans="1:4" x14ac:dyDescent="0.2">
      <c r="A1633">
        <v>6</v>
      </c>
      <c r="B1633">
        <v>1500</v>
      </c>
      <c r="C1633">
        <v>1500</v>
      </c>
      <c r="D1633" t="s">
        <v>5964</v>
      </c>
    </row>
    <row r="1634" spans="1:4" x14ac:dyDescent="0.2">
      <c r="A1634">
        <v>1</v>
      </c>
      <c r="B1634">
        <v>1999.6</v>
      </c>
      <c r="C1634">
        <v>2000</v>
      </c>
      <c r="D1634" t="s">
        <v>5964</v>
      </c>
    </row>
    <row r="1635" spans="1:4" x14ac:dyDescent="0.2">
      <c r="A1635">
        <v>2</v>
      </c>
      <c r="B1635">
        <v>2000.1</v>
      </c>
      <c r="C1635">
        <v>2000</v>
      </c>
      <c r="D1635" t="s">
        <v>5964</v>
      </c>
    </row>
    <row r="1636" spans="1:4" x14ac:dyDescent="0.2">
      <c r="A1636">
        <v>3</v>
      </c>
      <c r="B1636">
        <v>1999.9</v>
      </c>
      <c r="C1636">
        <v>2000</v>
      </c>
      <c r="D1636" t="s">
        <v>5964</v>
      </c>
    </row>
    <row r="1637" spans="1:4" x14ac:dyDescent="0.2">
      <c r="A1637">
        <v>4</v>
      </c>
      <c r="B1637">
        <v>2000.1</v>
      </c>
      <c r="C1637">
        <v>2000</v>
      </c>
      <c r="D1637" t="s">
        <v>5964</v>
      </c>
    </row>
    <row r="1638" spans="1:4" x14ac:dyDescent="0.2">
      <c r="A1638">
        <v>5</v>
      </c>
      <c r="B1638">
        <v>1999.9</v>
      </c>
      <c r="C1638">
        <v>2000</v>
      </c>
      <c r="D1638" t="s">
        <v>5964</v>
      </c>
    </row>
    <row r="1639" spans="1:4" x14ac:dyDescent="0.2">
      <c r="A1639">
        <v>6</v>
      </c>
      <c r="B1639">
        <v>2000.1</v>
      </c>
      <c r="C1639">
        <v>2000</v>
      </c>
      <c r="D1639" t="s">
        <v>5964</v>
      </c>
    </row>
    <row r="1640" spans="1:4" x14ac:dyDescent="0.2">
      <c r="A1640">
        <v>1</v>
      </c>
      <c r="B1640">
        <v>2279.6</v>
      </c>
      <c r="C1640">
        <v>2280</v>
      </c>
      <c r="D1640" t="s">
        <v>5964</v>
      </c>
    </row>
    <row r="1641" spans="1:4" x14ac:dyDescent="0.2">
      <c r="A1641">
        <v>2</v>
      </c>
      <c r="B1641">
        <v>2280.1</v>
      </c>
      <c r="C1641">
        <v>2280</v>
      </c>
      <c r="D1641" t="s">
        <v>5964</v>
      </c>
    </row>
    <row r="1642" spans="1:4" x14ac:dyDescent="0.2">
      <c r="A1642">
        <v>3</v>
      </c>
      <c r="B1642">
        <v>2280.1</v>
      </c>
      <c r="C1642">
        <v>2280</v>
      </c>
      <c r="D1642" t="s">
        <v>5964</v>
      </c>
    </row>
    <row r="1643" spans="1:4" x14ac:dyDescent="0.2">
      <c r="A1643">
        <v>4</v>
      </c>
      <c r="B1643">
        <v>2280.1999999999998</v>
      </c>
      <c r="C1643">
        <v>2280</v>
      </c>
      <c r="D1643" t="s">
        <v>5964</v>
      </c>
    </row>
    <row r="1644" spans="1:4" x14ac:dyDescent="0.2">
      <c r="A1644">
        <v>5</v>
      </c>
      <c r="B1644">
        <v>2280</v>
      </c>
      <c r="C1644">
        <v>2280</v>
      </c>
      <c r="D1644" t="s">
        <v>5964</v>
      </c>
    </row>
    <row r="1645" spans="1:4" x14ac:dyDescent="0.2">
      <c r="A1645">
        <v>6</v>
      </c>
      <c r="B1645">
        <v>2280.1</v>
      </c>
      <c r="C1645">
        <v>2280</v>
      </c>
      <c r="D1645" t="s">
        <v>5964</v>
      </c>
    </row>
    <row r="1646" spans="1:4" x14ac:dyDescent="0.2">
      <c r="A1646">
        <v>7</v>
      </c>
      <c r="B1646">
        <v>-99.8</v>
      </c>
      <c r="C1646">
        <v>-100</v>
      </c>
      <c r="D1646" t="s">
        <v>5964</v>
      </c>
    </row>
    <row r="1647" spans="1:4" x14ac:dyDescent="0.2">
      <c r="A1647">
        <v>8</v>
      </c>
      <c r="B1647">
        <v>-99.7</v>
      </c>
      <c r="C1647">
        <v>-100</v>
      </c>
      <c r="D1647" t="s">
        <v>5964</v>
      </c>
    </row>
    <row r="1648" spans="1:4" x14ac:dyDescent="0.2">
      <c r="A1648">
        <v>9</v>
      </c>
      <c r="B1648">
        <v>-99.8</v>
      </c>
      <c r="C1648">
        <v>-100</v>
      </c>
      <c r="D1648" t="s">
        <v>5964</v>
      </c>
    </row>
    <row r="1649" spans="1:4" x14ac:dyDescent="0.2">
      <c r="A1649">
        <v>10</v>
      </c>
      <c r="B1649">
        <v>-99.9</v>
      </c>
      <c r="C1649">
        <v>-100</v>
      </c>
      <c r="D1649" t="s">
        <v>5964</v>
      </c>
    </row>
    <row r="1650" spans="1:4" x14ac:dyDescent="0.2">
      <c r="A1650">
        <v>11</v>
      </c>
      <c r="B1650">
        <v>-99.9</v>
      </c>
      <c r="C1650">
        <v>-100</v>
      </c>
      <c r="D1650" t="s">
        <v>5964</v>
      </c>
    </row>
    <row r="1651" spans="1:4" x14ac:dyDescent="0.2">
      <c r="A1651">
        <v>12</v>
      </c>
      <c r="B1651">
        <v>-99.9</v>
      </c>
      <c r="C1651">
        <v>-100</v>
      </c>
      <c r="D1651" t="s">
        <v>5964</v>
      </c>
    </row>
    <row r="1652" spans="1:4" x14ac:dyDescent="0.2">
      <c r="A1652">
        <v>7</v>
      </c>
      <c r="B1652">
        <v>500.2</v>
      </c>
      <c r="C1652">
        <v>500</v>
      </c>
      <c r="D1652" t="s">
        <v>5964</v>
      </c>
    </row>
    <row r="1653" spans="1:4" x14ac:dyDescent="0.2">
      <c r="A1653">
        <v>8</v>
      </c>
      <c r="B1653">
        <v>500.2</v>
      </c>
      <c r="C1653">
        <v>500</v>
      </c>
      <c r="D1653" t="s">
        <v>5964</v>
      </c>
    </row>
    <row r="1654" spans="1:4" x14ac:dyDescent="0.2">
      <c r="A1654">
        <v>9</v>
      </c>
      <c r="B1654">
        <v>500</v>
      </c>
      <c r="C1654">
        <v>500</v>
      </c>
      <c r="D1654" t="s">
        <v>5964</v>
      </c>
    </row>
    <row r="1655" spans="1:4" x14ac:dyDescent="0.2">
      <c r="A1655">
        <v>10</v>
      </c>
      <c r="B1655">
        <v>499.8</v>
      </c>
      <c r="C1655">
        <v>500</v>
      </c>
      <c r="D1655" t="s">
        <v>5964</v>
      </c>
    </row>
    <row r="1656" spans="1:4" x14ac:dyDescent="0.2">
      <c r="A1656">
        <v>11</v>
      </c>
      <c r="B1656">
        <v>500.2</v>
      </c>
      <c r="C1656">
        <v>500</v>
      </c>
      <c r="D1656" t="s">
        <v>5964</v>
      </c>
    </row>
    <row r="1657" spans="1:4" x14ac:dyDescent="0.2">
      <c r="A1657">
        <v>12</v>
      </c>
      <c r="B1657">
        <v>500.1</v>
      </c>
      <c r="C1657">
        <v>500</v>
      </c>
      <c r="D1657" t="s">
        <v>5964</v>
      </c>
    </row>
    <row r="1658" spans="1:4" x14ac:dyDescent="0.2">
      <c r="A1658">
        <v>7</v>
      </c>
      <c r="B1658">
        <v>1000.1</v>
      </c>
      <c r="C1658">
        <v>1000</v>
      </c>
      <c r="D1658" t="s">
        <v>5964</v>
      </c>
    </row>
    <row r="1659" spans="1:4" x14ac:dyDescent="0.2">
      <c r="A1659">
        <v>8</v>
      </c>
      <c r="B1659">
        <v>1000.2</v>
      </c>
      <c r="C1659">
        <v>1000</v>
      </c>
      <c r="D1659" t="s">
        <v>5964</v>
      </c>
    </row>
    <row r="1660" spans="1:4" x14ac:dyDescent="0.2">
      <c r="A1660">
        <v>9</v>
      </c>
      <c r="B1660">
        <v>1000</v>
      </c>
      <c r="C1660">
        <v>1000</v>
      </c>
      <c r="D1660" t="s">
        <v>5964</v>
      </c>
    </row>
    <row r="1661" spans="1:4" x14ac:dyDescent="0.2">
      <c r="A1661">
        <v>10</v>
      </c>
      <c r="B1661">
        <v>999.8</v>
      </c>
      <c r="C1661">
        <v>1000</v>
      </c>
      <c r="D1661" t="s">
        <v>5964</v>
      </c>
    </row>
    <row r="1662" spans="1:4" x14ac:dyDescent="0.2">
      <c r="A1662">
        <v>11</v>
      </c>
      <c r="B1662">
        <v>1000.2</v>
      </c>
      <c r="C1662">
        <v>1000</v>
      </c>
      <c r="D1662" t="s">
        <v>5964</v>
      </c>
    </row>
    <row r="1663" spans="1:4" x14ac:dyDescent="0.2">
      <c r="A1663">
        <v>12</v>
      </c>
      <c r="B1663">
        <v>1000.1</v>
      </c>
      <c r="C1663">
        <v>1000</v>
      </c>
      <c r="D1663" t="s">
        <v>5964</v>
      </c>
    </row>
    <row r="1664" spans="1:4" x14ac:dyDescent="0.2">
      <c r="A1664">
        <v>7</v>
      </c>
      <c r="B1664">
        <v>1500</v>
      </c>
      <c r="C1664">
        <v>1500</v>
      </c>
      <c r="D1664" t="s">
        <v>5964</v>
      </c>
    </row>
    <row r="1665" spans="1:4" x14ac:dyDescent="0.2">
      <c r="A1665">
        <v>8</v>
      </c>
      <c r="B1665">
        <v>1500</v>
      </c>
      <c r="C1665">
        <v>1500</v>
      </c>
      <c r="D1665" t="s">
        <v>5964</v>
      </c>
    </row>
    <row r="1666" spans="1:4" x14ac:dyDescent="0.2">
      <c r="A1666">
        <v>9</v>
      </c>
      <c r="B1666">
        <v>1500</v>
      </c>
      <c r="C1666">
        <v>1500</v>
      </c>
      <c r="D1666" t="s">
        <v>5964</v>
      </c>
    </row>
    <row r="1667" spans="1:4" x14ac:dyDescent="0.2">
      <c r="A1667">
        <v>10</v>
      </c>
      <c r="B1667">
        <v>1499.7</v>
      </c>
      <c r="C1667">
        <v>1500</v>
      </c>
      <c r="D1667" t="s">
        <v>5964</v>
      </c>
    </row>
    <row r="1668" spans="1:4" x14ac:dyDescent="0.2">
      <c r="A1668">
        <v>11</v>
      </c>
      <c r="B1668">
        <v>1500.2</v>
      </c>
      <c r="C1668">
        <v>1500</v>
      </c>
      <c r="D1668" t="s">
        <v>5964</v>
      </c>
    </row>
    <row r="1669" spans="1:4" x14ac:dyDescent="0.2">
      <c r="A1669">
        <v>12</v>
      </c>
      <c r="B1669">
        <v>1500</v>
      </c>
      <c r="C1669">
        <v>1500</v>
      </c>
      <c r="D1669" t="s">
        <v>5964</v>
      </c>
    </row>
    <row r="1670" spans="1:4" x14ac:dyDescent="0.2">
      <c r="A1670">
        <v>7</v>
      </c>
      <c r="B1670">
        <v>2000</v>
      </c>
      <c r="C1670">
        <v>2000</v>
      </c>
      <c r="D1670" t="s">
        <v>5964</v>
      </c>
    </row>
    <row r="1671" spans="1:4" x14ac:dyDescent="0.2">
      <c r="A1671">
        <v>8</v>
      </c>
      <c r="B1671">
        <v>2000</v>
      </c>
      <c r="C1671">
        <v>2000</v>
      </c>
      <c r="D1671" t="s">
        <v>5964</v>
      </c>
    </row>
    <row r="1672" spans="1:4" x14ac:dyDescent="0.2">
      <c r="A1672">
        <v>9</v>
      </c>
      <c r="B1672">
        <v>2000</v>
      </c>
      <c r="C1672">
        <v>2000</v>
      </c>
      <c r="D1672" t="s">
        <v>5964</v>
      </c>
    </row>
    <row r="1673" spans="1:4" x14ac:dyDescent="0.2">
      <c r="A1673">
        <v>10</v>
      </c>
      <c r="B1673">
        <v>1999.7</v>
      </c>
      <c r="C1673">
        <v>2000</v>
      </c>
      <c r="D1673" t="s">
        <v>5964</v>
      </c>
    </row>
    <row r="1674" spans="1:4" x14ac:dyDescent="0.2">
      <c r="A1674">
        <v>11</v>
      </c>
      <c r="B1674">
        <v>2000.1</v>
      </c>
      <c r="C1674">
        <v>2000</v>
      </c>
      <c r="D1674" t="s">
        <v>5964</v>
      </c>
    </row>
    <row r="1675" spans="1:4" x14ac:dyDescent="0.2">
      <c r="A1675">
        <v>12</v>
      </c>
      <c r="B1675">
        <v>1999.9</v>
      </c>
      <c r="C1675">
        <v>2000</v>
      </c>
      <c r="D1675" t="s">
        <v>5964</v>
      </c>
    </row>
    <row r="1676" spans="1:4" x14ac:dyDescent="0.2">
      <c r="A1676">
        <v>7</v>
      </c>
      <c r="B1676">
        <v>2280.1</v>
      </c>
      <c r="C1676">
        <v>2280</v>
      </c>
      <c r="D1676" t="s">
        <v>5964</v>
      </c>
    </row>
    <row r="1677" spans="1:4" x14ac:dyDescent="0.2">
      <c r="A1677">
        <v>8</v>
      </c>
      <c r="B1677">
        <v>2280</v>
      </c>
      <c r="C1677">
        <v>2280</v>
      </c>
      <c r="D1677" t="s">
        <v>5964</v>
      </c>
    </row>
    <row r="1678" spans="1:4" x14ac:dyDescent="0.2">
      <c r="A1678">
        <v>9</v>
      </c>
      <c r="B1678">
        <v>2280.1</v>
      </c>
      <c r="C1678">
        <v>2280</v>
      </c>
      <c r="D1678" t="s">
        <v>5964</v>
      </c>
    </row>
    <row r="1679" spans="1:4" x14ac:dyDescent="0.2">
      <c r="A1679">
        <v>10</v>
      </c>
      <c r="B1679">
        <v>2279.8000000000002</v>
      </c>
      <c r="C1679">
        <v>2280</v>
      </c>
      <c r="D1679" t="s">
        <v>5964</v>
      </c>
    </row>
    <row r="1680" spans="1:4" x14ac:dyDescent="0.2">
      <c r="A1680">
        <v>11</v>
      </c>
      <c r="B1680">
        <v>2280.1</v>
      </c>
      <c r="C1680">
        <v>2280</v>
      </c>
      <c r="D1680" t="s">
        <v>5964</v>
      </c>
    </row>
    <row r="1681" spans="1:4" x14ac:dyDescent="0.2">
      <c r="A1681">
        <v>12</v>
      </c>
      <c r="B1681">
        <v>2280.1</v>
      </c>
      <c r="C1681">
        <v>2280</v>
      </c>
      <c r="D1681" t="s">
        <v>5964</v>
      </c>
    </row>
    <row r="1682" spans="1:4" x14ac:dyDescent="0.2">
      <c r="A1682">
        <v>13</v>
      </c>
      <c r="B1682">
        <v>-100.2</v>
      </c>
      <c r="C1682">
        <v>-100</v>
      </c>
      <c r="D1682" t="s">
        <v>5964</v>
      </c>
    </row>
    <row r="1683" spans="1:4" x14ac:dyDescent="0.2">
      <c r="A1683">
        <v>14</v>
      </c>
      <c r="B1683">
        <v>-100.2</v>
      </c>
      <c r="C1683">
        <v>-100</v>
      </c>
      <c r="D1683" t="s">
        <v>5964</v>
      </c>
    </row>
    <row r="1684" spans="1:4" x14ac:dyDescent="0.2">
      <c r="A1684">
        <v>15</v>
      </c>
      <c r="B1684">
        <v>-99.8</v>
      </c>
      <c r="C1684">
        <v>-100</v>
      </c>
      <c r="D1684" t="s">
        <v>5964</v>
      </c>
    </row>
    <row r="1685" spans="1:4" x14ac:dyDescent="0.2">
      <c r="A1685">
        <v>16</v>
      </c>
      <c r="B1685">
        <v>-99.8</v>
      </c>
      <c r="C1685">
        <v>-100</v>
      </c>
      <c r="D1685" t="s">
        <v>5964</v>
      </c>
    </row>
    <row r="1686" spans="1:4" x14ac:dyDescent="0.2">
      <c r="A1686">
        <v>17</v>
      </c>
      <c r="B1686">
        <v>-99.8</v>
      </c>
      <c r="C1686">
        <v>-100</v>
      </c>
      <c r="D1686" t="s">
        <v>5964</v>
      </c>
    </row>
    <row r="1687" spans="1:4" x14ac:dyDescent="0.2">
      <c r="A1687">
        <v>18</v>
      </c>
      <c r="B1687">
        <v>-99.8</v>
      </c>
      <c r="C1687">
        <v>-100</v>
      </c>
      <c r="D1687" t="s">
        <v>5964</v>
      </c>
    </row>
    <row r="1688" spans="1:4" x14ac:dyDescent="0.2">
      <c r="A1688">
        <v>13</v>
      </c>
      <c r="B1688">
        <v>499.8</v>
      </c>
      <c r="C1688">
        <v>500</v>
      </c>
      <c r="D1688" t="s">
        <v>5964</v>
      </c>
    </row>
    <row r="1689" spans="1:4" x14ac:dyDescent="0.2">
      <c r="A1689">
        <v>14</v>
      </c>
      <c r="B1689">
        <v>499.7</v>
      </c>
      <c r="C1689">
        <v>500</v>
      </c>
      <c r="D1689" t="s">
        <v>5964</v>
      </c>
    </row>
    <row r="1690" spans="1:4" x14ac:dyDescent="0.2">
      <c r="A1690">
        <v>15</v>
      </c>
      <c r="B1690">
        <v>500.2</v>
      </c>
      <c r="C1690">
        <v>500</v>
      </c>
      <c r="D1690" t="s">
        <v>5964</v>
      </c>
    </row>
    <row r="1691" spans="1:4" x14ac:dyDescent="0.2">
      <c r="A1691">
        <v>16</v>
      </c>
      <c r="B1691">
        <v>500.2</v>
      </c>
      <c r="C1691">
        <v>500</v>
      </c>
      <c r="D1691" t="s">
        <v>5964</v>
      </c>
    </row>
    <row r="1692" spans="1:4" x14ac:dyDescent="0.2">
      <c r="A1692">
        <v>17</v>
      </c>
      <c r="B1692">
        <v>500.1</v>
      </c>
      <c r="C1692">
        <v>500</v>
      </c>
      <c r="D1692" t="s">
        <v>5964</v>
      </c>
    </row>
    <row r="1693" spans="1:4" x14ac:dyDescent="0.2">
      <c r="A1693">
        <v>18</v>
      </c>
      <c r="B1693">
        <v>500</v>
      </c>
      <c r="C1693">
        <v>500</v>
      </c>
      <c r="D1693" t="s">
        <v>5964</v>
      </c>
    </row>
    <row r="1694" spans="1:4" x14ac:dyDescent="0.2">
      <c r="A1694">
        <v>13</v>
      </c>
      <c r="B1694">
        <v>999.9</v>
      </c>
      <c r="C1694">
        <v>1000</v>
      </c>
      <c r="D1694" t="s">
        <v>5964</v>
      </c>
    </row>
    <row r="1695" spans="1:4" x14ac:dyDescent="0.2">
      <c r="A1695">
        <v>14</v>
      </c>
      <c r="B1695">
        <v>999.7</v>
      </c>
      <c r="C1695">
        <v>1000</v>
      </c>
      <c r="D1695" t="s">
        <v>5964</v>
      </c>
    </row>
    <row r="1696" spans="1:4" x14ac:dyDescent="0.2">
      <c r="A1696">
        <v>15</v>
      </c>
      <c r="B1696">
        <v>1000.2</v>
      </c>
      <c r="C1696">
        <v>1000</v>
      </c>
      <c r="D1696" t="s">
        <v>5964</v>
      </c>
    </row>
    <row r="1697" spans="1:4" x14ac:dyDescent="0.2">
      <c r="A1697">
        <v>16</v>
      </c>
      <c r="B1697">
        <v>1000.2</v>
      </c>
      <c r="C1697">
        <v>1000</v>
      </c>
      <c r="D1697" t="s">
        <v>5964</v>
      </c>
    </row>
    <row r="1698" spans="1:4" x14ac:dyDescent="0.2">
      <c r="A1698">
        <v>17</v>
      </c>
      <c r="B1698">
        <v>1000.1</v>
      </c>
      <c r="C1698">
        <v>1000</v>
      </c>
      <c r="D1698" t="s">
        <v>5964</v>
      </c>
    </row>
    <row r="1699" spans="1:4" x14ac:dyDescent="0.2">
      <c r="A1699">
        <v>18</v>
      </c>
      <c r="B1699">
        <v>1000</v>
      </c>
      <c r="C1699">
        <v>1000</v>
      </c>
      <c r="D1699" t="s">
        <v>5964</v>
      </c>
    </row>
    <row r="1700" spans="1:4" x14ac:dyDescent="0.2">
      <c r="A1700">
        <v>13</v>
      </c>
      <c r="B1700">
        <v>1499.8</v>
      </c>
      <c r="C1700">
        <v>1500</v>
      </c>
      <c r="D1700" t="s">
        <v>5964</v>
      </c>
    </row>
    <row r="1701" spans="1:4" x14ac:dyDescent="0.2">
      <c r="A1701">
        <v>14</v>
      </c>
      <c r="B1701">
        <v>1499.7</v>
      </c>
      <c r="C1701">
        <v>1500</v>
      </c>
      <c r="D1701" t="s">
        <v>5964</v>
      </c>
    </row>
    <row r="1702" spans="1:4" x14ac:dyDescent="0.2">
      <c r="A1702">
        <v>15</v>
      </c>
      <c r="B1702">
        <v>1500.1</v>
      </c>
      <c r="C1702">
        <v>1500</v>
      </c>
      <c r="D1702" t="s">
        <v>5964</v>
      </c>
    </row>
    <row r="1703" spans="1:4" x14ac:dyDescent="0.2">
      <c r="A1703">
        <v>16</v>
      </c>
      <c r="B1703">
        <v>1500.1</v>
      </c>
      <c r="C1703">
        <v>1500</v>
      </c>
      <c r="D1703" t="s">
        <v>5964</v>
      </c>
    </row>
    <row r="1704" spans="1:4" x14ac:dyDescent="0.2">
      <c r="A1704">
        <v>17</v>
      </c>
      <c r="B1704">
        <v>1500.1</v>
      </c>
      <c r="C1704">
        <v>1500</v>
      </c>
      <c r="D1704" t="s">
        <v>5964</v>
      </c>
    </row>
    <row r="1705" spans="1:4" x14ac:dyDescent="0.2">
      <c r="A1705">
        <v>18</v>
      </c>
      <c r="B1705">
        <v>1500</v>
      </c>
      <c r="C1705">
        <v>1500</v>
      </c>
      <c r="D1705" t="s">
        <v>5964</v>
      </c>
    </row>
    <row r="1706" spans="1:4" x14ac:dyDescent="0.2">
      <c r="A1706">
        <v>13</v>
      </c>
      <c r="B1706">
        <v>1999.7</v>
      </c>
      <c r="C1706">
        <v>2000</v>
      </c>
      <c r="D1706" t="s">
        <v>5964</v>
      </c>
    </row>
    <row r="1707" spans="1:4" x14ac:dyDescent="0.2">
      <c r="A1707">
        <v>14</v>
      </c>
      <c r="B1707">
        <v>1999.8</v>
      </c>
      <c r="C1707">
        <v>2000</v>
      </c>
      <c r="D1707" t="s">
        <v>5964</v>
      </c>
    </row>
    <row r="1708" spans="1:4" x14ac:dyDescent="0.2">
      <c r="A1708">
        <v>15</v>
      </c>
      <c r="B1708">
        <v>2000.1</v>
      </c>
      <c r="C1708">
        <v>2000</v>
      </c>
      <c r="D1708" t="s">
        <v>5964</v>
      </c>
    </row>
    <row r="1709" spans="1:4" x14ac:dyDescent="0.2">
      <c r="A1709">
        <v>16</v>
      </c>
      <c r="B1709">
        <v>2000.1</v>
      </c>
      <c r="C1709">
        <v>2000</v>
      </c>
      <c r="D1709" t="s">
        <v>5964</v>
      </c>
    </row>
    <row r="1710" spans="1:4" x14ac:dyDescent="0.2">
      <c r="A1710">
        <v>17</v>
      </c>
      <c r="B1710">
        <v>2000.1</v>
      </c>
      <c r="C1710">
        <v>2000</v>
      </c>
      <c r="D1710" t="s">
        <v>5964</v>
      </c>
    </row>
    <row r="1711" spans="1:4" x14ac:dyDescent="0.2">
      <c r="A1711">
        <v>18</v>
      </c>
      <c r="B1711">
        <v>2000</v>
      </c>
      <c r="C1711">
        <v>2000</v>
      </c>
      <c r="D1711" t="s">
        <v>5964</v>
      </c>
    </row>
    <row r="1712" spans="1:4" x14ac:dyDescent="0.2">
      <c r="A1712">
        <v>13</v>
      </c>
      <c r="B1712">
        <v>2280</v>
      </c>
      <c r="C1712">
        <v>2280</v>
      </c>
      <c r="D1712" t="s">
        <v>5964</v>
      </c>
    </row>
    <row r="1713" spans="1:4" x14ac:dyDescent="0.2">
      <c r="A1713">
        <v>14</v>
      </c>
      <c r="B1713">
        <v>2279.9</v>
      </c>
      <c r="C1713">
        <v>2280</v>
      </c>
      <c r="D1713" t="s">
        <v>5964</v>
      </c>
    </row>
    <row r="1714" spans="1:4" x14ac:dyDescent="0.2">
      <c r="A1714">
        <v>15</v>
      </c>
      <c r="B1714">
        <v>2280.1999999999998</v>
      </c>
      <c r="C1714">
        <v>2280</v>
      </c>
      <c r="D1714" t="s">
        <v>5964</v>
      </c>
    </row>
    <row r="1715" spans="1:4" x14ac:dyDescent="0.2">
      <c r="A1715">
        <v>16</v>
      </c>
      <c r="B1715">
        <v>2280.1</v>
      </c>
      <c r="C1715">
        <v>2280</v>
      </c>
      <c r="D1715" t="s">
        <v>5964</v>
      </c>
    </row>
    <row r="1716" spans="1:4" x14ac:dyDescent="0.2">
      <c r="A1716">
        <v>17</v>
      </c>
      <c r="B1716">
        <v>2280.1</v>
      </c>
      <c r="C1716">
        <v>2280</v>
      </c>
      <c r="D1716" t="s">
        <v>5964</v>
      </c>
    </row>
    <row r="1717" spans="1:4" x14ac:dyDescent="0.2">
      <c r="A1717">
        <v>18</v>
      </c>
      <c r="B1717">
        <v>2280.1</v>
      </c>
      <c r="C1717">
        <v>2280</v>
      </c>
      <c r="D1717" t="s">
        <v>5964</v>
      </c>
    </row>
    <row r="1718" spans="1:4" x14ac:dyDescent="0.2">
      <c r="A1718">
        <v>19</v>
      </c>
      <c r="B1718">
        <v>-99.7</v>
      </c>
      <c r="C1718">
        <v>-100</v>
      </c>
      <c r="D1718" t="s">
        <v>5964</v>
      </c>
    </row>
    <row r="1719" spans="1:4" x14ac:dyDescent="0.2">
      <c r="A1719">
        <v>20</v>
      </c>
      <c r="B1719">
        <v>-99.8</v>
      </c>
      <c r="C1719">
        <v>-100</v>
      </c>
      <c r="D1719" t="s">
        <v>5964</v>
      </c>
    </row>
    <row r="1720" spans="1:4" x14ac:dyDescent="0.2">
      <c r="A1720">
        <v>21</v>
      </c>
      <c r="B1720">
        <v>-100.2</v>
      </c>
      <c r="C1720">
        <v>-100</v>
      </c>
      <c r="D1720" t="s">
        <v>5964</v>
      </c>
    </row>
    <row r="1721" spans="1:4" x14ac:dyDescent="0.2">
      <c r="A1721">
        <v>22</v>
      </c>
      <c r="B1721">
        <v>-99.7</v>
      </c>
      <c r="C1721">
        <v>-100</v>
      </c>
      <c r="D1721" t="s">
        <v>5964</v>
      </c>
    </row>
    <row r="1722" spans="1:4" x14ac:dyDescent="0.2">
      <c r="A1722">
        <v>23</v>
      </c>
      <c r="B1722">
        <v>-99.8</v>
      </c>
      <c r="C1722">
        <v>-100</v>
      </c>
      <c r="D1722" t="s">
        <v>5964</v>
      </c>
    </row>
    <row r="1723" spans="1:4" x14ac:dyDescent="0.2">
      <c r="A1723">
        <v>24</v>
      </c>
      <c r="B1723">
        <v>-99.7</v>
      </c>
      <c r="C1723">
        <v>-100</v>
      </c>
      <c r="D1723" t="s">
        <v>5964</v>
      </c>
    </row>
    <row r="1724" spans="1:4" x14ac:dyDescent="0.2">
      <c r="A1724">
        <v>19</v>
      </c>
      <c r="B1724">
        <v>500</v>
      </c>
      <c r="C1724">
        <v>500</v>
      </c>
      <c r="D1724" t="s">
        <v>5964</v>
      </c>
    </row>
    <row r="1725" spans="1:4" x14ac:dyDescent="0.2">
      <c r="A1725">
        <v>20</v>
      </c>
      <c r="B1725">
        <v>500</v>
      </c>
      <c r="C1725">
        <v>500</v>
      </c>
      <c r="D1725" t="s">
        <v>5964</v>
      </c>
    </row>
    <row r="1726" spans="1:4" x14ac:dyDescent="0.2">
      <c r="A1726">
        <v>21</v>
      </c>
      <c r="B1726">
        <v>499.8</v>
      </c>
      <c r="C1726">
        <v>500</v>
      </c>
      <c r="D1726" t="s">
        <v>5964</v>
      </c>
    </row>
    <row r="1727" spans="1:4" x14ac:dyDescent="0.2">
      <c r="A1727">
        <v>22</v>
      </c>
      <c r="B1727">
        <v>500</v>
      </c>
      <c r="C1727">
        <v>500</v>
      </c>
      <c r="D1727" t="s">
        <v>5964</v>
      </c>
    </row>
    <row r="1728" spans="1:4" x14ac:dyDescent="0.2">
      <c r="A1728">
        <v>23</v>
      </c>
      <c r="B1728">
        <v>500.1</v>
      </c>
      <c r="C1728">
        <v>500</v>
      </c>
      <c r="D1728" t="s">
        <v>5964</v>
      </c>
    </row>
    <row r="1729" spans="1:4" x14ac:dyDescent="0.2">
      <c r="A1729">
        <v>24</v>
      </c>
      <c r="B1729">
        <v>500</v>
      </c>
      <c r="C1729">
        <v>500</v>
      </c>
      <c r="D1729" t="s">
        <v>5964</v>
      </c>
    </row>
    <row r="1730" spans="1:4" x14ac:dyDescent="0.2">
      <c r="A1730">
        <v>19</v>
      </c>
      <c r="B1730">
        <v>1000</v>
      </c>
      <c r="C1730">
        <v>1000</v>
      </c>
      <c r="D1730" t="s">
        <v>5964</v>
      </c>
    </row>
    <row r="1731" spans="1:4" x14ac:dyDescent="0.2">
      <c r="A1731">
        <v>20</v>
      </c>
      <c r="B1731">
        <v>999.9</v>
      </c>
      <c r="C1731">
        <v>1000</v>
      </c>
      <c r="D1731" t="s">
        <v>5964</v>
      </c>
    </row>
    <row r="1732" spans="1:4" x14ac:dyDescent="0.2">
      <c r="A1732">
        <v>21</v>
      </c>
      <c r="B1732">
        <v>999.8</v>
      </c>
      <c r="C1732">
        <v>1000</v>
      </c>
      <c r="D1732" t="s">
        <v>5964</v>
      </c>
    </row>
    <row r="1733" spans="1:4" x14ac:dyDescent="0.2">
      <c r="A1733">
        <v>22</v>
      </c>
      <c r="B1733">
        <v>1000</v>
      </c>
      <c r="C1733">
        <v>1000</v>
      </c>
      <c r="D1733" t="s">
        <v>5964</v>
      </c>
    </row>
    <row r="1734" spans="1:4" x14ac:dyDescent="0.2">
      <c r="A1734">
        <v>23</v>
      </c>
      <c r="B1734">
        <v>1000.1</v>
      </c>
      <c r="C1734">
        <v>1000</v>
      </c>
      <c r="D1734" t="s">
        <v>5964</v>
      </c>
    </row>
    <row r="1735" spans="1:4" x14ac:dyDescent="0.2">
      <c r="A1735">
        <v>24</v>
      </c>
      <c r="B1735">
        <v>999.9</v>
      </c>
      <c r="C1735">
        <v>1000</v>
      </c>
      <c r="D1735" t="s">
        <v>5964</v>
      </c>
    </row>
    <row r="1736" spans="1:4" x14ac:dyDescent="0.2">
      <c r="A1736">
        <v>19</v>
      </c>
      <c r="B1736">
        <v>1499.8</v>
      </c>
      <c r="C1736">
        <v>1500</v>
      </c>
      <c r="D1736" t="s">
        <v>5964</v>
      </c>
    </row>
    <row r="1737" spans="1:4" x14ac:dyDescent="0.2">
      <c r="A1737">
        <v>20</v>
      </c>
      <c r="B1737">
        <v>1499.8</v>
      </c>
      <c r="C1737">
        <v>1500</v>
      </c>
      <c r="D1737" t="s">
        <v>5964</v>
      </c>
    </row>
    <row r="1738" spans="1:4" x14ac:dyDescent="0.2">
      <c r="A1738">
        <v>21</v>
      </c>
      <c r="B1738">
        <v>1499.7</v>
      </c>
      <c r="C1738">
        <v>1500</v>
      </c>
      <c r="D1738" t="s">
        <v>5964</v>
      </c>
    </row>
    <row r="1739" spans="1:4" x14ac:dyDescent="0.2">
      <c r="A1739">
        <v>22</v>
      </c>
      <c r="B1739">
        <v>1500</v>
      </c>
      <c r="C1739">
        <v>1500</v>
      </c>
      <c r="D1739" t="s">
        <v>5964</v>
      </c>
    </row>
    <row r="1740" spans="1:4" x14ac:dyDescent="0.2">
      <c r="A1740">
        <v>23</v>
      </c>
      <c r="B1740">
        <v>1499.9</v>
      </c>
      <c r="C1740">
        <v>1500</v>
      </c>
      <c r="D1740" t="s">
        <v>5964</v>
      </c>
    </row>
    <row r="1741" spans="1:4" x14ac:dyDescent="0.2">
      <c r="A1741">
        <v>24</v>
      </c>
      <c r="B1741">
        <v>1499.7</v>
      </c>
      <c r="C1741">
        <v>1500</v>
      </c>
      <c r="D1741" t="s">
        <v>5964</v>
      </c>
    </row>
    <row r="1742" spans="1:4" x14ac:dyDescent="0.2">
      <c r="A1742">
        <v>19</v>
      </c>
      <c r="B1742">
        <v>1999.8</v>
      </c>
      <c r="C1742">
        <v>2000</v>
      </c>
      <c r="D1742" t="s">
        <v>5964</v>
      </c>
    </row>
    <row r="1743" spans="1:4" x14ac:dyDescent="0.2">
      <c r="A1743">
        <v>20</v>
      </c>
      <c r="B1743">
        <v>1999.8</v>
      </c>
      <c r="C1743">
        <v>2000</v>
      </c>
      <c r="D1743" t="s">
        <v>5964</v>
      </c>
    </row>
    <row r="1744" spans="1:4" x14ac:dyDescent="0.2">
      <c r="A1744">
        <v>21</v>
      </c>
      <c r="B1744">
        <v>1999.7</v>
      </c>
      <c r="C1744">
        <v>2000</v>
      </c>
      <c r="D1744" t="s">
        <v>5964</v>
      </c>
    </row>
    <row r="1745" spans="1:4" x14ac:dyDescent="0.2">
      <c r="A1745">
        <v>22</v>
      </c>
      <c r="B1745">
        <v>2000.1</v>
      </c>
      <c r="C1745">
        <v>2000</v>
      </c>
      <c r="D1745" t="s">
        <v>5964</v>
      </c>
    </row>
    <row r="1746" spans="1:4" x14ac:dyDescent="0.2">
      <c r="A1746">
        <v>23</v>
      </c>
      <c r="B1746">
        <v>2000</v>
      </c>
      <c r="C1746">
        <v>2000</v>
      </c>
      <c r="D1746" t="s">
        <v>5964</v>
      </c>
    </row>
    <row r="1747" spans="1:4" x14ac:dyDescent="0.2">
      <c r="A1747">
        <v>24</v>
      </c>
      <c r="B1747">
        <v>1999.7</v>
      </c>
      <c r="C1747">
        <v>2000</v>
      </c>
      <c r="D1747" t="s">
        <v>5964</v>
      </c>
    </row>
    <row r="1748" spans="1:4" x14ac:dyDescent="0.2">
      <c r="A1748">
        <v>19</v>
      </c>
      <c r="B1748">
        <v>2279.8000000000002</v>
      </c>
      <c r="C1748">
        <v>2280</v>
      </c>
      <c r="D1748" t="s">
        <v>5964</v>
      </c>
    </row>
    <row r="1749" spans="1:4" x14ac:dyDescent="0.2">
      <c r="A1749">
        <v>20</v>
      </c>
      <c r="B1749">
        <v>2279.8000000000002</v>
      </c>
      <c r="C1749">
        <v>2280</v>
      </c>
      <c r="D1749" t="s">
        <v>5964</v>
      </c>
    </row>
    <row r="1750" spans="1:4" x14ac:dyDescent="0.2">
      <c r="A1750">
        <v>21</v>
      </c>
      <c r="B1750">
        <v>2279.6</v>
      </c>
      <c r="C1750">
        <v>2280</v>
      </c>
      <c r="D1750" t="s">
        <v>5964</v>
      </c>
    </row>
    <row r="1751" spans="1:4" x14ac:dyDescent="0.2">
      <c r="A1751">
        <v>22</v>
      </c>
      <c r="B1751">
        <v>2280.3000000000002</v>
      </c>
      <c r="C1751">
        <v>2280</v>
      </c>
      <c r="D1751" t="s">
        <v>5964</v>
      </c>
    </row>
    <row r="1752" spans="1:4" x14ac:dyDescent="0.2">
      <c r="A1752">
        <v>23</v>
      </c>
      <c r="B1752">
        <v>2280.1</v>
      </c>
      <c r="C1752">
        <v>2280</v>
      </c>
      <c r="D1752" t="s">
        <v>5964</v>
      </c>
    </row>
    <row r="1753" spans="1:4" x14ac:dyDescent="0.2">
      <c r="A1753">
        <v>24</v>
      </c>
      <c r="B1753">
        <v>2279.6999999999998</v>
      </c>
      <c r="C1753">
        <v>2280</v>
      </c>
      <c r="D1753" t="s">
        <v>5964</v>
      </c>
    </row>
    <row r="1754" spans="1:4" x14ac:dyDescent="0.2">
      <c r="A1754">
        <v>25</v>
      </c>
      <c r="B1754">
        <v>-99.8</v>
      </c>
      <c r="C1754">
        <v>-100</v>
      </c>
      <c r="D1754" t="s">
        <v>5964</v>
      </c>
    </row>
    <row r="1755" spans="1:4" x14ac:dyDescent="0.2">
      <c r="A1755">
        <v>26</v>
      </c>
      <c r="B1755">
        <v>-99.9</v>
      </c>
      <c r="C1755">
        <v>-100</v>
      </c>
      <c r="D1755" t="s">
        <v>5964</v>
      </c>
    </row>
    <row r="1756" spans="1:4" x14ac:dyDescent="0.2">
      <c r="A1756">
        <v>27</v>
      </c>
      <c r="B1756">
        <v>-99.8</v>
      </c>
      <c r="C1756">
        <v>-100</v>
      </c>
      <c r="D1756" t="s">
        <v>5964</v>
      </c>
    </row>
    <row r="1757" spans="1:4" x14ac:dyDescent="0.2">
      <c r="A1757">
        <v>28</v>
      </c>
      <c r="B1757">
        <v>-99.9</v>
      </c>
      <c r="C1757">
        <v>-100</v>
      </c>
      <c r="D1757" t="s">
        <v>5964</v>
      </c>
    </row>
    <row r="1758" spans="1:4" x14ac:dyDescent="0.2">
      <c r="A1758">
        <v>29</v>
      </c>
      <c r="B1758">
        <v>0</v>
      </c>
      <c r="C1758">
        <v>-100</v>
      </c>
      <c r="D1758" t="s">
        <v>5964</v>
      </c>
    </row>
    <row r="1759" spans="1:4" x14ac:dyDescent="0.2">
      <c r="A1759">
        <v>30</v>
      </c>
      <c r="B1759">
        <v>0</v>
      </c>
      <c r="C1759">
        <v>-100</v>
      </c>
      <c r="D1759" t="s">
        <v>5964</v>
      </c>
    </row>
    <row r="1760" spans="1:4" x14ac:dyDescent="0.2">
      <c r="A1760">
        <v>25</v>
      </c>
      <c r="B1760">
        <v>500</v>
      </c>
      <c r="C1760">
        <v>500</v>
      </c>
      <c r="D1760" t="s">
        <v>5964</v>
      </c>
    </row>
    <row r="1761" spans="1:4" x14ac:dyDescent="0.2">
      <c r="A1761">
        <v>26</v>
      </c>
      <c r="B1761">
        <v>499.7</v>
      </c>
      <c r="C1761">
        <v>500</v>
      </c>
      <c r="D1761" t="s">
        <v>5964</v>
      </c>
    </row>
    <row r="1762" spans="1:4" x14ac:dyDescent="0.2">
      <c r="A1762">
        <v>27</v>
      </c>
      <c r="B1762">
        <v>500</v>
      </c>
      <c r="C1762">
        <v>500</v>
      </c>
      <c r="D1762" t="s">
        <v>5964</v>
      </c>
    </row>
    <row r="1763" spans="1:4" x14ac:dyDescent="0.2">
      <c r="A1763">
        <v>28</v>
      </c>
      <c r="B1763">
        <v>499.8</v>
      </c>
      <c r="C1763">
        <v>500</v>
      </c>
      <c r="D1763" t="s">
        <v>5964</v>
      </c>
    </row>
    <row r="1764" spans="1:4" x14ac:dyDescent="0.2">
      <c r="A1764">
        <v>29</v>
      </c>
      <c r="B1764">
        <v>0</v>
      </c>
      <c r="C1764">
        <v>500</v>
      </c>
      <c r="D1764" t="s">
        <v>5964</v>
      </c>
    </row>
    <row r="1765" spans="1:4" x14ac:dyDescent="0.2">
      <c r="A1765">
        <v>30</v>
      </c>
      <c r="B1765">
        <v>0</v>
      </c>
      <c r="C1765">
        <v>500</v>
      </c>
      <c r="D1765" t="s">
        <v>5964</v>
      </c>
    </row>
    <row r="1766" spans="1:4" x14ac:dyDescent="0.2">
      <c r="A1766">
        <v>25</v>
      </c>
      <c r="B1766">
        <v>1000</v>
      </c>
      <c r="C1766">
        <v>1000</v>
      </c>
      <c r="D1766" t="s">
        <v>5964</v>
      </c>
    </row>
    <row r="1767" spans="1:4" x14ac:dyDescent="0.2">
      <c r="A1767">
        <v>26</v>
      </c>
      <c r="B1767">
        <v>999.7</v>
      </c>
      <c r="C1767">
        <v>1000</v>
      </c>
      <c r="D1767" t="s">
        <v>5964</v>
      </c>
    </row>
    <row r="1768" spans="1:4" x14ac:dyDescent="0.2">
      <c r="A1768">
        <v>27</v>
      </c>
      <c r="B1768">
        <v>1000</v>
      </c>
      <c r="C1768">
        <v>1000</v>
      </c>
      <c r="D1768" t="s">
        <v>5964</v>
      </c>
    </row>
    <row r="1769" spans="1:4" x14ac:dyDescent="0.2">
      <c r="A1769">
        <v>28</v>
      </c>
      <c r="B1769">
        <v>999.8</v>
      </c>
      <c r="C1769">
        <v>1000</v>
      </c>
      <c r="D1769" t="s">
        <v>5964</v>
      </c>
    </row>
    <row r="1770" spans="1:4" x14ac:dyDescent="0.2">
      <c r="A1770">
        <v>29</v>
      </c>
      <c r="B1770">
        <v>0</v>
      </c>
      <c r="C1770">
        <v>1000</v>
      </c>
      <c r="D1770" t="s">
        <v>5964</v>
      </c>
    </row>
    <row r="1771" spans="1:4" x14ac:dyDescent="0.2">
      <c r="A1771">
        <v>30</v>
      </c>
      <c r="B1771">
        <v>0</v>
      </c>
      <c r="C1771">
        <v>1000</v>
      </c>
      <c r="D1771" t="s">
        <v>5964</v>
      </c>
    </row>
    <row r="1772" spans="1:4" x14ac:dyDescent="0.2">
      <c r="A1772">
        <v>25</v>
      </c>
      <c r="B1772">
        <v>1499.9</v>
      </c>
      <c r="C1772">
        <v>1500</v>
      </c>
      <c r="D1772" t="s">
        <v>5964</v>
      </c>
    </row>
    <row r="1773" spans="1:4" x14ac:dyDescent="0.2">
      <c r="A1773">
        <v>26</v>
      </c>
      <c r="B1773">
        <v>1499.6</v>
      </c>
      <c r="C1773">
        <v>1500</v>
      </c>
      <c r="D1773" t="s">
        <v>5964</v>
      </c>
    </row>
    <row r="1774" spans="1:4" x14ac:dyDescent="0.2">
      <c r="A1774">
        <v>27</v>
      </c>
      <c r="B1774">
        <v>1500</v>
      </c>
      <c r="C1774">
        <v>1500</v>
      </c>
      <c r="D1774" t="s">
        <v>5964</v>
      </c>
    </row>
    <row r="1775" spans="1:4" x14ac:dyDescent="0.2">
      <c r="A1775">
        <v>28</v>
      </c>
      <c r="B1775">
        <v>1499.7</v>
      </c>
      <c r="C1775">
        <v>1500</v>
      </c>
      <c r="D1775" t="s">
        <v>5964</v>
      </c>
    </row>
    <row r="1776" spans="1:4" x14ac:dyDescent="0.2">
      <c r="A1776">
        <v>29</v>
      </c>
      <c r="B1776">
        <v>0</v>
      </c>
      <c r="C1776">
        <v>1500</v>
      </c>
      <c r="D1776" t="s">
        <v>5964</v>
      </c>
    </row>
    <row r="1777" spans="1:4" x14ac:dyDescent="0.2">
      <c r="A1777">
        <v>30</v>
      </c>
      <c r="B1777">
        <v>0</v>
      </c>
      <c r="C1777">
        <v>1500</v>
      </c>
      <c r="D1777" t="s">
        <v>5964</v>
      </c>
    </row>
    <row r="1778" spans="1:4" x14ac:dyDescent="0.2">
      <c r="A1778">
        <v>25</v>
      </c>
      <c r="B1778">
        <v>2000</v>
      </c>
      <c r="C1778">
        <v>2000</v>
      </c>
      <c r="D1778" t="s">
        <v>5964</v>
      </c>
    </row>
    <row r="1779" spans="1:4" x14ac:dyDescent="0.2">
      <c r="A1779">
        <v>26</v>
      </c>
      <c r="B1779">
        <v>1999.8</v>
      </c>
      <c r="C1779">
        <v>2000</v>
      </c>
      <c r="D1779" t="s">
        <v>5964</v>
      </c>
    </row>
    <row r="1780" spans="1:4" x14ac:dyDescent="0.2">
      <c r="A1780">
        <v>27</v>
      </c>
      <c r="B1780">
        <v>2000</v>
      </c>
      <c r="C1780">
        <v>2000</v>
      </c>
      <c r="D1780" t="s">
        <v>5964</v>
      </c>
    </row>
    <row r="1781" spans="1:4" x14ac:dyDescent="0.2">
      <c r="A1781">
        <v>28</v>
      </c>
      <c r="B1781">
        <v>1999.7</v>
      </c>
      <c r="C1781">
        <v>2000</v>
      </c>
      <c r="D1781" t="s">
        <v>5964</v>
      </c>
    </row>
    <row r="1782" spans="1:4" x14ac:dyDescent="0.2">
      <c r="A1782">
        <v>29</v>
      </c>
      <c r="B1782">
        <v>0</v>
      </c>
      <c r="C1782">
        <v>2000</v>
      </c>
      <c r="D1782" t="s">
        <v>5964</v>
      </c>
    </row>
    <row r="1783" spans="1:4" x14ac:dyDescent="0.2">
      <c r="A1783">
        <v>30</v>
      </c>
      <c r="B1783">
        <v>0</v>
      </c>
      <c r="C1783">
        <v>2000</v>
      </c>
      <c r="D1783" t="s">
        <v>5964</v>
      </c>
    </row>
    <row r="1784" spans="1:4" x14ac:dyDescent="0.2">
      <c r="A1784">
        <v>25</v>
      </c>
      <c r="B1784">
        <v>2280.1</v>
      </c>
      <c r="C1784">
        <v>2280</v>
      </c>
      <c r="D1784" t="s">
        <v>5964</v>
      </c>
    </row>
    <row r="1785" spans="1:4" x14ac:dyDescent="0.2">
      <c r="A1785">
        <v>26</v>
      </c>
      <c r="B1785">
        <v>2279.9</v>
      </c>
      <c r="C1785">
        <v>2280</v>
      </c>
      <c r="D1785" t="s">
        <v>5964</v>
      </c>
    </row>
    <row r="1786" spans="1:4" x14ac:dyDescent="0.2">
      <c r="A1786">
        <v>27</v>
      </c>
      <c r="B1786">
        <v>2280.1</v>
      </c>
      <c r="C1786">
        <v>2280</v>
      </c>
      <c r="D1786" t="s">
        <v>5964</v>
      </c>
    </row>
    <row r="1787" spans="1:4" x14ac:dyDescent="0.2">
      <c r="A1787">
        <v>28</v>
      </c>
      <c r="B1787">
        <v>2279.6999999999998</v>
      </c>
      <c r="C1787">
        <v>2280</v>
      </c>
      <c r="D1787" t="s">
        <v>5964</v>
      </c>
    </row>
    <row r="1788" spans="1:4" x14ac:dyDescent="0.2">
      <c r="A1788">
        <v>29</v>
      </c>
      <c r="B1788">
        <v>0</v>
      </c>
      <c r="C1788">
        <v>2280</v>
      </c>
      <c r="D1788" t="s">
        <v>5964</v>
      </c>
    </row>
    <row r="1789" spans="1:4" x14ac:dyDescent="0.2">
      <c r="A1789">
        <v>30</v>
      </c>
      <c r="B1789">
        <v>0</v>
      </c>
      <c r="C1789">
        <v>2280</v>
      </c>
      <c r="D1789" t="s">
        <v>5964</v>
      </c>
    </row>
    <row r="1790" spans="1:4" x14ac:dyDescent="0.2">
      <c r="A1790">
        <v>31</v>
      </c>
      <c r="B1790">
        <v>0</v>
      </c>
      <c r="C1790">
        <v>-100</v>
      </c>
      <c r="D1790" t="s">
        <v>5964</v>
      </c>
    </row>
    <row r="1791" spans="1:4" x14ac:dyDescent="0.2">
      <c r="A1791">
        <v>32</v>
      </c>
      <c r="B1791">
        <v>0</v>
      </c>
      <c r="C1791">
        <v>-100</v>
      </c>
      <c r="D1791" t="s">
        <v>5964</v>
      </c>
    </row>
    <row r="1792" spans="1:4" x14ac:dyDescent="0.2">
      <c r="A1792">
        <v>33</v>
      </c>
      <c r="B1792">
        <v>0</v>
      </c>
      <c r="C1792">
        <v>-100</v>
      </c>
      <c r="D1792" t="s">
        <v>5964</v>
      </c>
    </row>
    <row r="1793" spans="1:4" x14ac:dyDescent="0.2">
      <c r="A1793">
        <v>34</v>
      </c>
      <c r="B1793">
        <v>0</v>
      </c>
      <c r="C1793">
        <v>-100</v>
      </c>
      <c r="D1793" t="s">
        <v>5964</v>
      </c>
    </row>
    <row r="1794" spans="1:4" x14ac:dyDescent="0.2">
      <c r="A1794">
        <v>35</v>
      </c>
      <c r="B1794">
        <v>0</v>
      </c>
      <c r="C1794">
        <v>-100</v>
      </c>
      <c r="D1794" t="s">
        <v>5964</v>
      </c>
    </row>
    <row r="1795" spans="1:4" x14ac:dyDescent="0.2">
      <c r="A1795">
        <v>36</v>
      </c>
      <c r="B1795">
        <v>0</v>
      </c>
      <c r="C1795">
        <v>-100</v>
      </c>
      <c r="D1795" t="s">
        <v>5964</v>
      </c>
    </row>
    <row r="1796" spans="1:4" x14ac:dyDescent="0.2">
      <c r="A1796">
        <v>31</v>
      </c>
      <c r="B1796">
        <v>0</v>
      </c>
      <c r="C1796">
        <v>500</v>
      </c>
      <c r="D1796" t="s">
        <v>5964</v>
      </c>
    </row>
    <row r="1797" spans="1:4" x14ac:dyDescent="0.2">
      <c r="A1797">
        <v>32</v>
      </c>
      <c r="B1797">
        <v>0</v>
      </c>
      <c r="C1797">
        <v>500</v>
      </c>
      <c r="D1797" t="s">
        <v>5964</v>
      </c>
    </row>
    <row r="1798" spans="1:4" x14ac:dyDescent="0.2">
      <c r="A1798">
        <v>33</v>
      </c>
      <c r="B1798">
        <v>0</v>
      </c>
      <c r="C1798">
        <v>500</v>
      </c>
      <c r="D1798" t="s">
        <v>5964</v>
      </c>
    </row>
    <row r="1799" spans="1:4" x14ac:dyDescent="0.2">
      <c r="A1799">
        <v>34</v>
      </c>
      <c r="B1799">
        <v>0</v>
      </c>
      <c r="C1799">
        <v>500</v>
      </c>
      <c r="D1799" t="s">
        <v>5964</v>
      </c>
    </row>
    <row r="1800" spans="1:4" x14ac:dyDescent="0.2">
      <c r="A1800">
        <v>35</v>
      </c>
      <c r="B1800">
        <v>0</v>
      </c>
      <c r="C1800">
        <v>500</v>
      </c>
      <c r="D1800" t="s">
        <v>5964</v>
      </c>
    </row>
    <row r="1801" spans="1:4" x14ac:dyDescent="0.2">
      <c r="A1801">
        <v>36</v>
      </c>
      <c r="B1801">
        <v>0</v>
      </c>
      <c r="C1801">
        <v>500</v>
      </c>
      <c r="D1801" t="s">
        <v>5964</v>
      </c>
    </row>
    <row r="1802" spans="1:4" x14ac:dyDescent="0.2">
      <c r="A1802">
        <v>31</v>
      </c>
      <c r="B1802">
        <v>0</v>
      </c>
      <c r="C1802">
        <v>1000</v>
      </c>
      <c r="D1802" t="s">
        <v>5964</v>
      </c>
    </row>
    <row r="1803" spans="1:4" x14ac:dyDescent="0.2">
      <c r="A1803">
        <v>32</v>
      </c>
      <c r="B1803">
        <v>0</v>
      </c>
      <c r="C1803">
        <v>1000</v>
      </c>
      <c r="D1803" t="s">
        <v>5964</v>
      </c>
    </row>
    <row r="1804" spans="1:4" x14ac:dyDescent="0.2">
      <c r="A1804">
        <v>33</v>
      </c>
      <c r="B1804">
        <v>0</v>
      </c>
      <c r="C1804">
        <v>1000</v>
      </c>
      <c r="D1804" t="s">
        <v>5964</v>
      </c>
    </row>
    <row r="1805" spans="1:4" x14ac:dyDescent="0.2">
      <c r="A1805">
        <v>34</v>
      </c>
      <c r="B1805">
        <v>0</v>
      </c>
      <c r="C1805">
        <v>1000</v>
      </c>
      <c r="D1805" t="s">
        <v>5964</v>
      </c>
    </row>
    <row r="1806" spans="1:4" x14ac:dyDescent="0.2">
      <c r="A1806">
        <v>35</v>
      </c>
      <c r="B1806">
        <v>0</v>
      </c>
      <c r="C1806">
        <v>1000</v>
      </c>
      <c r="D1806" t="s">
        <v>5964</v>
      </c>
    </row>
    <row r="1807" spans="1:4" x14ac:dyDescent="0.2">
      <c r="A1807">
        <v>36</v>
      </c>
      <c r="B1807">
        <v>0</v>
      </c>
      <c r="C1807">
        <v>1000</v>
      </c>
      <c r="D1807" t="s">
        <v>5964</v>
      </c>
    </row>
    <row r="1808" spans="1:4" x14ac:dyDescent="0.2">
      <c r="A1808">
        <v>31</v>
      </c>
      <c r="B1808">
        <v>0</v>
      </c>
      <c r="C1808">
        <v>1500</v>
      </c>
      <c r="D1808" t="s">
        <v>5964</v>
      </c>
    </row>
    <row r="1809" spans="1:4" x14ac:dyDescent="0.2">
      <c r="A1809">
        <v>32</v>
      </c>
      <c r="B1809">
        <v>0</v>
      </c>
      <c r="C1809">
        <v>1500</v>
      </c>
      <c r="D1809" t="s">
        <v>5964</v>
      </c>
    </row>
    <row r="1810" spans="1:4" x14ac:dyDescent="0.2">
      <c r="A1810">
        <v>33</v>
      </c>
      <c r="B1810">
        <v>0</v>
      </c>
      <c r="C1810">
        <v>1500</v>
      </c>
      <c r="D1810" t="s">
        <v>5964</v>
      </c>
    </row>
    <row r="1811" spans="1:4" x14ac:dyDescent="0.2">
      <c r="A1811">
        <v>34</v>
      </c>
      <c r="B1811">
        <v>0</v>
      </c>
      <c r="C1811">
        <v>1500</v>
      </c>
      <c r="D1811" t="s">
        <v>5964</v>
      </c>
    </row>
    <row r="1812" spans="1:4" x14ac:dyDescent="0.2">
      <c r="A1812">
        <v>35</v>
      </c>
      <c r="B1812">
        <v>0</v>
      </c>
      <c r="C1812">
        <v>1500</v>
      </c>
      <c r="D1812" t="s">
        <v>5964</v>
      </c>
    </row>
    <row r="1813" spans="1:4" x14ac:dyDescent="0.2">
      <c r="A1813">
        <v>36</v>
      </c>
      <c r="B1813">
        <v>0</v>
      </c>
      <c r="C1813">
        <v>1500</v>
      </c>
      <c r="D1813" t="s">
        <v>5964</v>
      </c>
    </row>
    <row r="1814" spans="1:4" x14ac:dyDescent="0.2">
      <c r="A1814">
        <v>32</v>
      </c>
      <c r="B1814">
        <v>0</v>
      </c>
      <c r="C1814">
        <v>2000</v>
      </c>
      <c r="D1814" t="s">
        <v>5964</v>
      </c>
    </row>
    <row r="1815" spans="1:4" x14ac:dyDescent="0.2">
      <c r="A1815">
        <v>33</v>
      </c>
      <c r="B1815">
        <v>0</v>
      </c>
      <c r="C1815">
        <v>2000</v>
      </c>
      <c r="D1815" t="s">
        <v>5964</v>
      </c>
    </row>
    <row r="1816" spans="1:4" x14ac:dyDescent="0.2">
      <c r="A1816">
        <v>34</v>
      </c>
      <c r="B1816">
        <v>0</v>
      </c>
      <c r="C1816">
        <v>2000</v>
      </c>
      <c r="D1816" t="s">
        <v>5964</v>
      </c>
    </row>
    <row r="1817" spans="1:4" x14ac:dyDescent="0.2">
      <c r="A1817">
        <v>35</v>
      </c>
      <c r="B1817">
        <v>0</v>
      </c>
      <c r="C1817">
        <v>2000</v>
      </c>
      <c r="D1817" t="s">
        <v>5964</v>
      </c>
    </row>
    <row r="1818" spans="1:4" x14ac:dyDescent="0.2">
      <c r="A1818">
        <v>36</v>
      </c>
      <c r="B1818">
        <v>0</v>
      </c>
      <c r="C1818">
        <v>2000</v>
      </c>
      <c r="D1818" t="s">
        <v>5964</v>
      </c>
    </row>
    <row r="1819" spans="1:4" x14ac:dyDescent="0.2">
      <c r="A1819">
        <v>31</v>
      </c>
      <c r="B1819">
        <v>0</v>
      </c>
      <c r="C1819">
        <v>2280</v>
      </c>
      <c r="D1819" t="s">
        <v>5964</v>
      </c>
    </row>
    <row r="1820" spans="1:4" x14ac:dyDescent="0.2">
      <c r="A1820">
        <v>32</v>
      </c>
      <c r="B1820">
        <v>0</v>
      </c>
      <c r="C1820">
        <v>2280</v>
      </c>
      <c r="D1820" t="s">
        <v>5964</v>
      </c>
    </row>
    <row r="1821" spans="1:4" x14ac:dyDescent="0.2">
      <c r="A1821">
        <v>33</v>
      </c>
      <c r="B1821">
        <v>0</v>
      </c>
      <c r="C1821">
        <v>2280</v>
      </c>
      <c r="D1821" t="s">
        <v>5964</v>
      </c>
    </row>
    <row r="1822" spans="1:4" x14ac:dyDescent="0.2">
      <c r="A1822">
        <v>34</v>
      </c>
      <c r="B1822">
        <v>0</v>
      </c>
      <c r="C1822">
        <v>2280</v>
      </c>
      <c r="D1822" t="s">
        <v>5964</v>
      </c>
    </row>
    <row r="1823" spans="1:4" x14ac:dyDescent="0.2">
      <c r="A1823">
        <v>35</v>
      </c>
      <c r="B1823">
        <v>0</v>
      </c>
      <c r="C1823">
        <v>2280</v>
      </c>
      <c r="D1823" t="s">
        <v>5964</v>
      </c>
    </row>
    <row r="1824" spans="1:4" x14ac:dyDescent="0.2">
      <c r="A1824">
        <v>36</v>
      </c>
      <c r="B1824">
        <v>0</v>
      </c>
      <c r="C1824">
        <v>2280</v>
      </c>
      <c r="D1824" t="s">
        <v>5964</v>
      </c>
    </row>
    <row r="1825" spans="1:4" x14ac:dyDescent="0.2">
      <c r="A1825">
        <v>37</v>
      </c>
      <c r="B1825">
        <v>0</v>
      </c>
      <c r="C1825">
        <v>-100</v>
      </c>
      <c r="D1825" t="s">
        <v>5964</v>
      </c>
    </row>
    <row r="1826" spans="1:4" x14ac:dyDescent="0.2">
      <c r="A1826">
        <v>38</v>
      </c>
      <c r="B1826">
        <v>0</v>
      </c>
      <c r="C1826">
        <v>-100</v>
      </c>
      <c r="D1826" t="s">
        <v>5964</v>
      </c>
    </row>
    <row r="1827" spans="1:4" x14ac:dyDescent="0.2">
      <c r="A1827">
        <v>39</v>
      </c>
      <c r="B1827">
        <v>0</v>
      </c>
      <c r="C1827">
        <v>-100</v>
      </c>
      <c r="D1827" t="s">
        <v>5964</v>
      </c>
    </row>
    <row r="1828" spans="1:4" x14ac:dyDescent="0.2">
      <c r="A1828">
        <v>40</v>
      </c>
      <c r="B1828">
        <v>0</v>
      </c>
      <c r="C1828">
        <v>-100</v>
      </c>
      <c r="D1828" t="s">
        <v>5964</v>
      </c>
    </row>
    <row r="1829" spans="1:4" x14ac:dyDescent="0.2">
      <c r="A1829">
        <v>37</v>
      </c>
      <c r="B1829">
        <v>0</v>
      </c>
      <c r="C1829">
        <v>500</v>
      </c>
      <c r="D1829" t="s">
        <v>5964</v>
      </c>
    </row>
    <row r="1830" spans="1:4" x14ac:dyDescent="0.2">
      <c r="A1830">
        <v>38</v>
      </c>
      <c r="B1830">
        <v>0</v>
      </c>
      <c r="C1830">
        <v>500</v>
      </c>
      <c r="D1830" t="s">
        <v>5964</v>
      </c>
    </row>
    <row r="1831" spans="1:4" x14ac:dyDescent="0.2">
      <c r="A1831">
        <v>39</v>
      </c>
      <c r="B1831">
        <v>0</v>
      </c>
      <c r="C1831">
        <v>500</v>
      </c>
      <c r="D1831" t="s">
        <v>5964</v>
      </c>
    </row>
    <row r="1832" spans="1:4" x14ac:dyDescent="0.2">
      <c r="A1832">
        <v>40</v>
      </c>
      <c r="B1832">
        <v>0</v>
      </c>
      <c r="C1832">
        <v>500</v>
      </c>
      <c r="D1832" t="s">
        <v>5964</v>
      </c>
    </row>
    <row r="1833" spans="1:4" x14ac:dyDescent="0.2">
      <c r="A1833">
        <v>37</v>
      </c>
      <c r="B1833">
        <v>0</v>
      </c>
      <c r="C1833">
        <v>1000</v>
      </c>
      <c r="D1833" t="s">
        <v>5964</v>
      </c>
    </row>
    <row r="1834" spans="1:4" x14ac:dyDescent="0.2">
      <c r="A1834">
        <v>38</v>
      </c>
      <c r="B1834">
        <v>0</v>
      </c>
      <c r="C1834">
        <v>1000</v>
      </c>
      <c r="D1834" t="s">
        <v>5964</v>
      </c>
    </row>
    <row r="1835" spans="1:4" x14ac:dyDescent="0.2">
      <c r="A1835">
        <v>39</v>
      </c>
      <c r="B1835">
        <v>0</v>
      </c>
      <c r="C1835">
        <v>1000</v>
      </c>
      <c r="D1835" t="s">
        <v>5964</v>
      </c>
    </row>
    <row r="1836" spans="1:4" x14ac:dyDescent="0.2">
      <c r="A1836">
        <v>40</v>
      </c>
      <c r="B1836">
        <v>0</v>
      </c>
      <c r="C1836">
        <v>1000</v>
      </c>
      <c r="D1836" t="s">
        <v>5964</v>
      </c>
    </row>
    <row r="1837" spans="1:4" x14ac:dyDescent="0.2">
      <c r="A1837">
        <v>37</v>
      </c>
      <c r="B1837">
        <v>0</v>
      </c>
      <c r="C1837">
        <v>1500</v>
      </c>
      <c r="D1837" t="s">
        <v>5964</v>
      </c>
    </row>
    <row r="1838" spans="1:4" x14ac:dyDescent="0.2">
      <c r="A1838">
        <v>38</v>
      </c>
      <c r="B1838">
        <v>0</v>
      </c>
      <c r="C1838">
        <v>1500</v>
      </c>
      <c r="D1838" t="s">
        <v>5964</v>
      </c>
    </row>
    <row r="1839" spans="1:4" x14ac:dyDescent="0.2">
      <c r="A1839">
        <v>39</v>
      </c>
      <c r="B1839">
        <v>0</v>
      </c>
      <c r="C1839">
        <v>1500</v>
      </c>
      <c r="D1839" t="s">
        <v>5964</v>
      </c>
    </row>
    <row r="1840" spans="1:4" x14ac:dyDescent="0.2">
      <c r="A1840">
        <v>40</v>
      </c>
      <c r="B1840">
        <v>0</v>
      </c>
      <c r="C1840">
        <v>1500</v>
      </c>
      <c r="D1840" t="s">
        <v>5964</v>
      </c>
    </row>
    <row r="1841" spans="1:4" x14ac:dyDescent="0.2">
      <c r="A1841">
        <v>37</v>
      </c>
      <c r="B1841">
        <v>0</v>
      </c>
      <c r="C1841">
        <v>2000</v>
      </c>
      <c r="D1841" t="s">
        <v>5964</v>
      </c>
    </row>
    <row r="1842" spans="1:4" x14ac:dyDescent="0.2">
      <c r="A1842">
        <v>38</v>
      </c>
      <c r="B1842">
        <v>0</v>
      </c>
      <c r="C1842">
        <v>2000</v>
      </c>
      <c r="D1842" t="s">
        <v>5964</v>
      </c>
    </row>
    <row r="1843" spans="1:4" x14ac:dyDescent="0.2">
      <c r="A1843">
        <v>39</v>
      </c>
      <c r="B1843">
        <v>0</v>
      </c>
      <c r="C1843">
        <v>2000</v>
      </c>
      <c r="D1843" t="s">
        <v>5964</v>
      </c>
    </row>
    <row r="1844" spans="1:4" x14ac:dyDescent="0.2">
      <c r="A1844">
        <v>40</v>
      </c>
      <c r="B1844">
        <v>0</v>
      </c>
      <c r="C1844">
        <v>2000</v>
      </c>
      <c r="D1844" t="s">
        <v>5964</v>
      </c>
    </row>
    <row r="1845" spans="1:4" x14ac:dyDescent="0.2">
      <c r="A1845">
        <v>37</v>
      </c>
      <c r="B1845">
        <v>0</v>
      </c>
      <c r="C1845">
        <v>2280</v>
      </c>
      <c r="D1845" t="s">
        <v>5964</v>
      </c>
    </row>
    <row r="1846" spans="1:4" x14ac:dyDescent="0.2">
      <c r="A1846">
        <v>38</v>
      </c>
      <c r="B1846">
        <v>0</v>
      </c>
      <c r="C1846">
        <v>2280</v>
      </c>
      <c r="D1846" t="s">
        <v>5964</v>
      </c>
    </row>
    <row r="1847" spans="1:4" x14ac:dyDescent="0.2">
      <c r="A1847">
        <v>39</v>
      </c>
      <c r="B1847">
        <v>0</v>
      </c>
      <c r="C1847">
        <v>2280</v>
      </c>
      <c r="D1847" t="s">
        <v>5964</v>
      </c>
    </row>
    <row r="1848" spans="1:4" x14ac:dyDescent="0.2">
      <c r="A1848">
        <v>40</v>
      </c>
      <c r="B1848">
        <v>0</v>
      </c>
      <c r="C1848">
        <v>2280</v>
      </c>
      <c r="D1848" t="s">
        <v>5964</v>
      </c>
    </row>
    <row r="1849" spans="1:4" x14ac:dyDescent="0.2">
      <c r="A1849">
        <v>1</v>
      </c>
      <c r="B1849">
        <v>-99.8</v>
      </c>
      <c r="C1849">
        <v>-100</v>
      </c>
      <c r="D1849" t="s">
        <v>5965</v>
      </c>
    </row>
    <row r="1850" spans="1:4" x14ac:dyDescent="0.2">
      <c r="A1850">
        <v>2</v>
      </c>
      <c r="B1850">
        <v>-99.9</v>
      </c>
      <c r="C1850">
        <v>-100</v>
      </c>
      <c r="D1850" t="s">
        <v>5965</v>
      </c>
    </row>
    <row r="1851" spans="1:4" x14ac:dyDescent="0.2">
      <c r="A1851">
        <v>3</v>
      </c>
      <c r="B1851">
        <v>-99.8</v>
      </c>
      <c r="C1851">
        <v>-100</v>
      </c>
      <c r="D1851" t="s">
        <v>5965</v>
      </c>
    </row>
    <row r="1852" spans="1:4" x14ac:dyDescent="0.2">
      <c r="A1852">
        <v>4</v>
      </c>
      <c r="B1852">
        <v>-99.9</v>
      </c>
      <c r="C1852">
        <v>-100</v>
      </c>
      <c r="D1852" t="s">
        <v>5965</v>
      </c>
    </row>
    <row r="1853" spans="1:4" x14ac:dyDescent="0.2">
      <c r="A1853">
        <v>5</v>
      </c>
      <c r="B1853">
        <v>-100</v>
      </c>
      <c r="C1853">
        <v>-100</v>
      </c>
      <c r="D1853" t="s">
        <v>5965</v>
      </c>
    </row>
    <row r="1854" spans="1:4" x14ac:dyDescent="0.2">
      <c r="A1854">
        <v>6</v>
      </c>
      <c r="B1854">
        <v>-99.9</v>
      </c>
      <c r="C1854">
        <v>-100</v>
      </c>
      <c r="D1854" t="s">
        <v>5965</v>
      </c>
    </row>
    <row r="1855" spans="1:4" x14ac:dyDescent="0.2">
      <c r="A1855">
        <v>1</v>
      </c>
      <c r="B1855">
        <v>-49.8</v>
      </c>
      <c r="C1855">
        <v>-50</v>
      </c>
      <c r="D1855" t="s">
        <v>5965</v>
      </c>
    </row>
    <row r="1856" spans="1:4" x14ac:dyDescent="0.2">
      <c r="A1856">
        <v>2</v>
      </c>
      <c r="B1856">
        <v>-49.9</v>
      </c>
      <c r="C1856">
        <v>-50</v>
      </c>
      <c r="D1856" t="s">
        <v>5965</v>
      </c>
    </row>
    <row r="1857" spans="1:4" x14ac:dyDescent="0.2">
      <c r="A1857">
        <v>3</v>
      </c>
      <c r="B1857">
        <v>-49.8</v>
      </c>
      <c r="C1857">
        <v>-50</v>
      </c>
      <c r="D1857" t="s">
        <v>5965</v>
      </c>
    </row>
    <row r="1858" spans="1:4" x14ac:dyDescent="0.2">
      <c r="A1858">
        <v>4</v>
      </c>
      <c r="B1858">
        <v>-49.9</v>
      </c>
      <c r="C1858">
        <v>-50</v>
      </c>
      <c r="D1858" t="s">
        <v>5965</v>
      </c>
    </row>
    <row r="1859" spans="1:4" x14ac:dyDescent="0.2">
      <c r="A1859">
        <v>5</v>
      </c>
      <c r="B1859">
        <v>-50</v>
      </c>
      <c r="C1859">
        <v>-50</v>
      </c>
      <c r="D1859" t="s">
        <v>5965</v>
      </c>
    </row>
    <row r="1860" spans="1:4" x14ac:dyDescent="0.2">
      <c r="A1860">
        <v>6</v>
      </c>
      <c r="B1860">
        <v>-49.9</v>
      </c>
      <c r="C1860">
        <v>-50</v>
      </c>
      <c r="D1860" t="s">
        <v>5965</v>
      </c>
    </row>
    <row r="1861" spans="1:4" x14ac:dyDescent="0.2">
      <c r="A1861">
        <v>1</v>
      </c>
      <c r="B1861">
        <v>-0.1</v>
      </c>
      <c r="C1861">
        <v>0</v>
      </c>
      <c r="D1861" t="s">
        <v>5965</v>
      </c>
    </row>
    <row r="1862" spans="1:4" x14ac:dyDescent="0.2">
      <c r="A1862">
        <v>2</v>
      </c>
      <c r="B1862">
        <v>0</v>
      </c>
      <c r="C1862">
        <v>0</v>
      </c>
      <c r="D1862" t="s">
        <v>5965</v>
      </c>
    </row>
    <row r="1863" spans="1:4" x14ac:dyDescent="0.2">
      <c r="A1863">
        <v>3</v>
      </c>
      <c r="B1863">
        <v>-0.2</v>
      </c>
      <c r="C1863">
        <v>0</v>
      </c>
      <c r="D1863" t="s">
        <v>5965</v>
      </c>
    </row>
    <row r="1864" spans="1:4" x14ac:dyDescent="0.2">
      <c r="A1864">
        <v>4</v>
      </c>
      <c r="B1864">
        <v>0</v>
      </c>
      <c r="C1864">
        <v>0</v>
      </c>
      <c r="D1864" t="s">
        <v>5965</v>
      </c>
    </row>
    <row r="1865" spans="1:4" x14ac:dyDescent="0.2">
      <c r="A1865">
        <v>5</v>
      </c>
      <c r="B1865">
        <v>0</v>
      </c>
      <c r="C1865">
        <v>0</v>
      </c>
      <c r="D1865" t="s">
        <v>5965</v>
      </c>
    </row>
    <row r="1866" spans="1:4" x14ac:dyDescent="0.2">
      <c r="A1866">
        <v>6</v>
      </c>
      <c r="B1866">
        <v>0</v>
      </c>
      <c r="C1866">
        <v>0</v>
      </c>
      <c r="D1866" t="s">
        <v>5965</v>
      </c>
    </row>
    <row r="1867" spans="1:4" x14ac:dyDescent="0.2">
      <c r="A1867">
        <v>1</v>
      </c>
      <c r="B1867">
        <v>249.8</v>
      </c>
      <c r="C1867">
        <v>250</v>
      </c>
      <c r="D1867" t="s">
        <v>5965</v>
      </c>
    </row>
    <row r="1868" spans="1:4" x14ac:dyDescent="0.2">
      <c r="A1868">
        <v>2</v>
      </c>
      <c r="B1868">
        <v>249.9</v>
      </c>
      <c r="C1868">
        <v>250</v>
      </c>
      <c r="D1868" t="s">
        <v>5965</v>
      </c>
    </row>
    <row r="1869" spans="1:4" x14ac:dyDescent="0.2">
      <c r="A1869">
        <v>3</v>
      </c>
      <c r="B1869">
        <v>249.9</v>
      </c>
      <c r="C1869">
        <v>250</v>
      </c>
      <c r="D1869" t="s">
        <v>5965</v>
      </c>
    </row>
    <row r="1870" spans="1:4" x14ac:dyDescent="0.2">
      <c r="A1870">
        <v>4</v>
      </c>
      <c r="B1870">
        <v>250</v>
      </c>
      <c r="C1870">
        <v>250</v>
      </c>
      <c r="D1870" t="s">
        <v>5965</v>
      </c>
    </row>
    <row r="1871" spans="1:4" x14ac:dyDescent="0.2">
      <c r="A1871">
        <v>5</v>
      </c>
      <c r="B1871">
        <v>249.9</v>
      </c>
      <c r="C1871">
        <v>250</v>
      </c>
      <c r="D1871" t="s">
        <v>5965</v>
      </c>
    </row>
    <row r="1872" spans="1:4" x14ac:dyDescent="0.2">
      <c r="A1872">
        <v>6</v>
      </c>
      <c r="B1872">
        <v>250</v>
      </c>
      <c r="C1872">
        <v>250</v>
      </c>
      <c r="D1872" t="s">
        <v>5965</v>
      </c>
    </row>
    <row r="1873" spans="1:4" x14ac:dyDescent="0.2">
      <c r="A1873">
        <v>1</v>
      </c>
      <c r="B1873">
        <v>499.8</v>
      </c>
      <c r="C1873">
        <v>500</v>
      </c>
      <c r="D1873" t="s">
        <v>5965</v>
      </c>
    </row>
    <row r="1874" spans="1:4" x14ac:dyDescent="0.2">
      <c r="A1874">
        <v>2</v>
      </c>
      <c r="B1874">
        <v>499.9</v>
      </c>
      <c r="C1874">
        <v>500</v>
      </c>
      <c r="D1874" t="s">
        <v>5965</v>
      </c>
    </row>
    <row r="1875" spans="1:4" x14ac:dyDescent="0.2">
      <c r="A1875">
        <v>3</v>
      </c>
      <c r="B1875">
        <v>499.9</v>
      </c>
      <c r="C1875">
        <v>500</v>
      </c>
      <c r="D1875" t="s">
        <v>5965</v>
      </c>
    </row>
    <row r="1876" spans="1:4" x14ac:dyDescent="0.2">
      <c r="A1876">
        <v>4</v>
      </c>
      <c r="B1876">
        <v>499.9</v>
      </c>
      <c r="C1876">
        <v>500</v>
      </c>
      <c r="D1876" t="s">
        <v>5965</v>
      </c>
    </row>
    <row r="1877" spans="1:4" x14ac:dyDescent="0.2">
      <c r="A1877">
        <v>5</v>
      </c>
      <c r="B1877">
        <v>499.9</v>
      </c>
      <c r="C1877">
        <v>500</v>
      </c>
      <c r="D1877" t="s">
        <v>5965</v>
      </c>
    </row>
    <row r="1878" spans="1:4" x14ac:dyDescent="0.2">
      <c r="A1878">
        <v>6</v>
      </c>
      <c r="B1878">
        <v>499.9</v>
      </c>
      <c r="C1878">
        <v>500</v>
      </c>
      <c r="D1878" t="s">
        <v>5965</v>
      </c>
    </row>
    <row r="1879" spans="1:4" x14ac:dyDescent="0.2">
      <c r="A1879">
        <v>1</v>
      </c>
      <c r="B1879">
        <v>999.9</v>
      </c>
      <c r="C1879">
        <v>1000</v>
      </c>
      <c r="D1879" t="s">
        <v>5965</v>
      </c>
    </row>
    <row r="1880" spans="1:4" x14ac:dyDescent="0.2">
      <c r="A1880">
        <v>2</v>
      </c>
      <c r="B1880">
        <v>999.8</v>
      </c>
      <c r="C1880">
        <v>1000</v>
      </c>
      <c r="D1880" t="s">
        <v>5965</v>
      </c>
    </row>
    <row r="1881" spans="1:4" x14ac:dyDescent="0.2">
      <c r="A1881">
        <v>3</v>
      </c>
      <c r="B1881">
        <v>999.9</v>
      </c>
      <c r="C1881">
        <v>1000</v>
      </c>
      <c r="D1881" t="s">
        <v>5965</v>
      </c>
    </row>
    <row r="1882" spans="1:4" x14ac:dyDescent="0.2">
      <c r="A1882">
        <v>4</v>
      </c>
      <c r="B1882">
        <v>999.9</v>
      </c>
      <c r="C1882">
        <v>1000</v>
      </c>
      <c r="D1882" t="s">
        <v>5965</v>
      </c>
    </row>
    <row r="1883" spans="1:4" x14ac:dyDescent="0.2">
      <c r="A1883">
        <v>5</v>
      </c>
      <c r="B1883">
        <v>999.8</v>
      </c>
      <c r="C1883">
        <v>1000</v>
      </c>
      <c r="D1883" t="s">
        <v>5965</v>
      </c>
    </row>
    <row r="1884" spans="1:4" x14ac:dyDescent="0.2">
      <c r="A1884">
        <v>6</v>
      </c>
      <c r="B1884">
        <v>999.9</v>
      </c>
      <c r="C1884">
        <v>1000</v>
      </c>
      <c r="D1884" t="s">
        <v>5965</v>
      </c>
    </row>
    <row r="1885" spans="1:4" x14ac:dyDescent="0.2">
      <c r="A1885">
        <v>7</v>
      </c>
      <c r="B1885">
        <v>-99.9</v>
      </c>
      <c r="C1885">
        <v>-100</v>
      </c>
      <c r="D1885" t="s">
        <v>5965</v>
      </c>
    </row>
    <row r="1886" spans="1:4" x14ac:dyDescent="0.2">
      <c r="A1886">
        <v>8</v>
      </c>
      <c r="B1886">
        <v>-100</v>
      </c>
      <c r="C1886">
        <v>-100</v>
      </c>
      <c r="D1886" t="s">
        <v>5965</v>
      </c>
    </row>
    <row r="1887" spans="1:4" x14ac:dyDescent="0.2">
      <c r="A1887">
        <v>9</v>
      </c>
      <c r="B1887">
        <v>-99.7</v>
      </c>
      <c r="C1887">
        <v>-100</v>
      </c>
      <c r="D1887" t="s">
        <v>5965</v>
      </c>
    </row>
    <row r="1888" spans="1:4" x14ac:dyDescent="0.2">
      <c r="A1888">
        <v>10</v>
      </c>
      <c r="B1888">
        <v>-100.1</v>
      </c>
      <c r="C1888">
        <v>-100</v>
      </c>
      <c r="D1888" t="s">
        <v>5965</v>
      </c>
    </row>
    <row r="1889" spans="1:4" x14ac:dyDescent="0.2">
      <c r="A1889">
        <v>11</v>
      </c>
      <c r="B1889">
        <v>-99.8</v>
      </c>
      <c r="C1889">
        <v>-100</v>
      </c>
      <c r="D1889" t="s">
        <v>5965</v>
      </c>
    </row>
    <row r="1890" spans="1:4" x14ac:dyDescent="0.2">
      <c r="A1890">
        <v>12</v>
      </c>
      <c r="B1890">
        <v>-100.1</v>
      </c>
      <c r="C1890">
        <v>-100</v>
      </c>
      <c r="D1890" t="s">
        <v>5965</v>
      </c>
    </row>
    <row r="1891" spans="1:4" x14ac:dyDescent="0.2">
      <c r="A1891">
        <v>7</v>
      </c>
      <c r="B1891">
        <v>-50</v>
      </c>
      <c r="C1891">
        <v>-50</v>
      </c>
      <c r="D1891" t="s">
        <v>5965</v>
      </c>
    </row>
    <row r="1892" spans="1:4" x14ac:dyDescent="0.2">
      <c r="A1892">
        <v>8</v>
      </c>
      <c r="B1892">
        <v>-50</v>
      </c>
      <c r="C1892">
        <v>-50</v>
      </c>
      <c r="D1892" t="s">
        <v>5965</v>
      </c>
    </row>
    <row r="1893" spans="1:4" x14ac:dyDescent="0.2">
      <c r="A1893">
        <v>9</v>
      </c>
      <c r="B1893">
        <v>-49.7</v>
      </c>
      <c r="C1893">
        <v>-50</v>
      </c>
      <c r="D1893" t="s">
        <v>5965</v>
      </c>
    </row>
    <row r="1894" spans="1:4" x14ac:dyDescent="0.2">
      <c r="A1894">
        <v>10</v>
      </c>
      <c r="B1894">
        <v>-50.1</v>
      </c>
      <c r="C1894">
        <v>-50</v>
      </c>
      <c r="D1894" t="s">
        <v>5965</v>
      </c>
    </row>
    <row r="1895" spans="1:4" x14ac:dyDescent="0.2">
      <c r="A1895">
        <v>11</v>
      </c>
      <c r="B1895">
        <v>-49.8</v>
      </c>
      <c r="C1895">
        <v>-50</v>
      </c>
      <c r="D1895" t="s">
        <v>5965</v>
      </c>
    </row>
    <row r="1896" spans="1:4" x14ac:dyDescent="0.2">
      <c r="A1896">
        <v>12</v>
      </c>
      <c r="B1896">
        <v>-50.1</v>
      </c>
      <c r="C1896">
        <v>-50</v>
      </c>
      <c r="D1896" t="s">
        <v>5965</v>
      </c>
    </row>
    <row r="1897" spans="1:4" x14ac:dyDescent="0.2">
      <c r="A1897">
        <v>7</v>
      </c>
      <c r="B1897">
        <v>0</v>
      </c>
      <c r="C1897">
        <v>0</v>
      </c>
      <c r="D1897" t="s">
        <v>5965</v>
      </c>
    </row>
    <row r="1898" spans="1:4" x14ac:dyDescent="0.2">
      <c r="A1898">
        <v>8</v>
      </c>
      <c r="B1898">
        <v>0.1</v>
      </c>
      <c r="C1898">
        <v>0</v>
      </c>
      <c r="D1898" t="s">
        <v>5965</v>
      </c>
    </row>
    <row r="1899" spans="1:4" x14ac:dyDescent="0.2">
      <c r="A1899">
        <v>9</v>
      </c>
      <c r="B1899">
        <v>-0.3</v>
      </c>
      <c r="C1899">
        <v>0</v>
      </c>
      <c r="D1899" t="s">
        <v>5965</v>
      </c>
    </row>
    <row r="1900" spans="1:4" x14ac:dyDescent="0.2">
      <c r="A1900">
        <v>10</v>
      </c>
      <c r="B1900">
        <v>0.1</v>
      </c>
      <c r="C1900">
        <v>0</v>
      </c>
      <c r="D1900" t="s">
        <v>5965</v>
      </c>
    </row>
    <row r="1901" spans="1:4" x14ac:dyDescent="0.2">
      <c r="A1901">
        <v>11</v>
      </c>
      <c r="B1901">
        <v>-0.2</v>
      </c>
      <c r="C1901">
        <v>0</v>
      </c>
      <c r="D1901" t="s">
        <v>5965</v>
      </c>
    </row>
    <row r="1902" spans="1:4" x14ac:dyDescent="0.2">
      <c r="A1902">
        <v>12</v>
      </c>
      <c r="B1902">
        <v>-0.1</v>
      </c>
      <c r="C1902">
        <v>0</v>
      </c>
      <c r="D1902" t="s">
        <v>5965</v>
      </c>
    </row>
    <row r="1903" spans="1:4" x14ac:dyDescent="0.2">
      <c r="A1903">
        <v>7</v>
      </c>
      <c r="B1903">
        <v>249.9</v>
      </c>
      <c r="C1903">
        <v>250</v>
      </c>
      <c r="D1903" t="s">
        <v>5965</v>
      </c>
    </row>
    <row r="1904" spans="1:4" x14ac:dyDescent="0.2">
      <c r="A1904">
        <v>8</v>
      </c>
      <c r="B1904">
        <v>249.9</v>
      </c>
      <c r="C1904">
        <v>250</v>
      </c>
      <c r="D1904" t="s">
        <v>5965</v>
      </c>
    </row>
    <row r="1905" spans="1:4" x14ac:dyDescent="0.2">
      <c r="A1905">
        <v>9</v>
      </c>
      <c r="B1905">
        <v>249.8</v>
      </c>
      <c r="C1905">
        <v>250</v>
      </c>
      <c r="D1905" t="s">
        <v>5965</v>
      </c>
    </row>
    <row r="1906" spans="1:4" x14ac:dyDescent="0.2">
      <c r="A1906">
        <v>10</v>
      </c>
      <c r="B1906">
        <v>249.9</v>
      </c>
      <c r="C1906">
        <v>250</v>
      </c>
      <c r="D1906" t="s">
        <v>5965</v>
      </c>
    </row>
    <row r="1907" spans="1:4" x14ac:dyDescent="0.2">
      <c r="A1907">
        <v>11</v>
      </c>
      <c r="B1907">
        <v>249.9</v>
      </c>
      <c r="C1907">
        <v>250</v>
      </c>
      <c r="D1907" t="s">
        <v>5965</v>
      </c>
    </row>
    <row r="1908" spans="1:4" x14ac:dyDescent="0.2">
      <c r="A1908">
        <v>12</v>
      </c>
      <c r="B1908">
        <v>249.8</v>
      </c>
      <c r="C1908">
        <v>250</v>
      </c>
      <c r="D1908" t="s">
        <v>5965</v>
      </c>
    </row>
    <row r="1909" spans="1:4" x14ac:dyDescent="0.2">
      <c r="A1909">
        <v>7</v>
      </c>
      <c r="B1909">
        <v>499.8</v>
      </c>
      <c r="C1909">
        <v>500</v>
      </c>
      <c r="D1909" t="s">
        <v>5965</v>
      </c>
    </row>
    <row r="1910" spans="1:4" x14ac:dyDescent="0.2">
      <c r="A1910">
        <v>8</v>
      </c>
      <c r="B1910">
        <v>499.8</v>
      </c>
      <c r="C1910">
        <v>500</v>
      </c>
      <c r="D1910" t="s">
        <v>5965</v>
      </c>
    </row>
    <row r="1911" spans="1:4" x14ac:dyDescent="0.2">
      <c r="A1911">
        <v>9</v>
      </c>
      <c r="B1911">
        <v>499.8</v>
      </c>
      <c r="C1911">
        <v>500</v>
      </c>
      <c r="D1911" t="s">
        <v>5965</v>
      </c>
    </row>
    <row r="1912" spans="1:4" x14ac:dyDescent="0.2">
      <c r="A1912">
        <v>10</v>
      </c>
      <c r="B1912">
        <v>499.8</v>
      </c>
      <c r="C1912">
        <v>500</v>
      </c>
      <c r="D1912" t="s">
        <v>5965</v>
      </c>
    </row>
    <row r="1913" spans="1:4" x14ac:dyDescent="0.2">
      <c r="A1913">
        <v>11</v>
      </c>
      <c r="B1913">
        <v>499.9</v>
      </c>
      <c r="C1913">
        <v>500</v>
      </c>
      <c r="D1913" t="s">
        <v>5965</v>
      </c>
    </row>
    <row r="1914" spans="1:4" x14ac:dyDescent="0.2">
      <c r="A1914">
        <v>12</v>
      </c>
      <c r="B1914">
        <v>499.8</v>
      </c>
      <c r="C1914">
        <v>500</v>
      </c>
      <c r="D1914" t="s">
        <v>5965</v>
      </c>
    </row>
    <row r="1915" spans="1:4" x14ac:dyDescent="0.2">
      <c r="A1915">
        <v>7</v>
      </c>
      <c r="B1915">
        <v>999.6</v>
      </c>
      <c r="C1915">
        <v>1000</v>
      </c>
      <c r="D1915" t="s">
        <v>5965</v>
      </c>
    </row>
    <row r="1916" spans="1:4" x14ac:dyDescent="0.2">
      <c r="A1916">
        <v>8</v>
      </c>
      <c r="B1916">
        <v>999.8</v>
      </c>
      <c r="C1916">
        <v>1000</v>
      </c>
      <c r="D1916" t="s">
        <v>5965</v>
      </c>
    </row>
    <row r="1917" spans="1:4" x14ac:dyDescent="0.2">
      <c r="A1917">
        <v>9</v>
      </c>
      <c r="B1917">
        <v>999.9</v>
      </c>
      <c r="C1917">
        <v>1000</v>
      </c>
      <c r="D1917" t="s">
        <v>5965</v>
      </c>
    </row>
    <row r="1918" spans="1:4" x14ac:dyDescent="0.2">
      <c r="A1918">
        <v>10</v>
      </c>
      <c r="B1918">
        <v>999.7</v>
      </c>
      <c r="C1918">
        <v>1000</v>
      </c>
      <c r="D1918" t="s">
        <v>5965</v>
      </c>
    </row>
    <row r="1919" spans="1:4" x14ac:dyDescent="0.2">
      <c r="A1919">
        <v>11</v>
      </c>
      <c r="B1919">
        <v>999.8</v>
      </c>
      <c r="C1919">
        <v>1000</v>
      </c>
      <c r="D1919" t="s">
        <v>5965</v>
      </c>
    </row>
    <row r="1920" spans="1:4" x14ac:dyDescent="0.2">
      <c r="A1920">
        <v>12</v>
      </c>
      <c r="B1920">
        <v>999.8</v>
      </c>
      <c r="C1920">
        <v>1000</v>
      </c>
      <c r="D1920" t="s">
        <v>5965</v>
      </c>
    </row>
    <row r="1921" spans="1:4" x14ac:dyDescent="0.2">
      <c r="A1921">
        <v>13</v>
      </c>
      <c r="B1921">
        <v>-100</v>
      </c>
      <c r="C1921">
        <v>-100</v>
      </c>
      <c r="D1921" t="s">
        <v>5965</v>
      </c>
    </row>
    <row r="1922" spans="1:4" x14ac:dyDescent="0.2">
      <c r="A1922">
        <v>14</v>
      </c>
      <c r="B1922">
        <v>-100.1</v>
      </c>
      <c r="C1922">
        <v>-100</v>
      </c>
      <c r="D1922" t="s">
        <v>5965</v>
      </c>
    </row>
    <row r="1923" spans="1:4" x14ac:dyDescent="0.2">
      <c r="A1923">
        <v>15</v>
      </c>
      <c r="B1923">
        <v>-100.1</v>
      </c>
      <c r="C1923">
        <v>-100</v>
      </c>
      <c r="D1923" t="s">
        <v>5965</v>
      </c>
    </row>
    <row r="1924" spans="1:4" x14ac:dyDescent="0.2">
      <c r="A1924">
        <v>16</v>
      </c>
      <c r="B1924">
        <v>-100</v>
      </c>
      <c r="C1924">
        <v>-100</v>
      </c>
      <c r="D1924" t="s">
        <v>5965</v>
      </c>
    </row>
    <row r="1925" spans="1:4" x14ac:dyDescent="0.2">
      <c r="A1925">
        <v>17</v>
      </c>
      <c r="B1925">
        <v>-100.2</v>
      </c>
      <c r="C1925">
        <v>-100</v>
      </c>
      <c r="D1925" t="s">
        <v>5965</v>
      </c>
    </row>
    <row r="1926" spans="1:4" x14ac:dyDescent="0.2">
      <c r="A1926">
        <v>18</v>
      </c>
      <c r="B1926">
        <v>-99.8</v>
      </c>
      <c r="C1926">
        <v>-100</v>
      </c>
      <c r="D1926" t="s">
        <v>5965</v>
      </c>
    </row>
    <row r="1927" spans="1:4" x14ac:dyDescent="0.2">
      <c r="A1927">
        <v>13</v>
      </c>
      <c r="B1927">
        <v>-50.1</v>
      </c>
      <c r="C1927">
        <v>-50</v>
      </c>
      <c r="D1927" t="s">
        <v>5965</v>
      </c>
    </row>
    <row r="1928" spans="1:4" x14ac:dyDescent="0.2">
      <c r="A1928">
        <v>14</v>
      </c>
      <c r="B1928">
        <v>-50.1</v>
      </c>
      <c r="C1928">
        <v>-50</v>
      </c>
      <c r="D1928" t="s">
        <v>5965</v>
      </c>
    </row>
    <row r="1929" spans="1:4" x14ac:dyDescent="0.2">
      <c r="A1929">
        <v>15</v>
      </c>
      <c r="B1929">
        <v>-50.1</v>
      </c>
      <c r="C1929">
        <v>-50</v>
      </c>
      <c r="D1929" t="s">
        <v>5965</v>
      </c>
    </row>
    <row r="1930" spans="1:4" x14ac:dyDescent="0.2">
      <c r="A1930">
        <v>16</v>
      </c>
      <c r="B1930">
        <v>-49.9</v>
      </c>
      <c r="C1930">
        <v>-50</v>
      </c>
      <c r="D1930" t="s">
        <v>5965</v>
      </c>
    </row>
    <row r="1931" spans="1:4" x14ac:dyDescent="0.2">
      <c r="A1931">
        <v>17</v>
      </c>
      <c r="B1931">
        <v>-49.9</v>
      </c>
      <c r="C1931">
        <v>-50</v>
      </c>
      <c r="D1931" t="s">
        <v>5965</v>
      </c>
    </row>
    <row r="1932" spans="1:4" x14ac:dyDescent="0.2">
      <c r="A1932">
        <v>18</v>
      </c>
      <c r="B1932">
        <v>-49.9</v>
      </c>
      <c r="C1932">
        <v>-50</v>
      </c>
      <c r="D1932" t="s">
        <v>5965</v>
      </c>
    </row>
    <row r="1933" spans="1:4" x14ac:dyDescent="0.2">
      <c r="A1933">
        <v>13</v>
      </c>
      <c r="B1933">
        <v>0.1</v>
      </c>
      <c r="C1933">
        <v>0</v>
      </c>
      <c r="D1933" t="s">
        <v>5965</v>
      </c>
    </row>
    <row r="1934" spans="1:4" x14ac:dyDescent="0.2">
      <c r="A1934">
        <v>14</v>
      </c>
      <c r="B1934">
        <v>-0.2</v>
      </c>
      <c r="C1934">
        <v>0</v>
      </c>
      <c r="D1934" t="s">
        <v>5965</v>
      </c>
    </row>
    <row r="1935" spans="1:4" x14ac:dyDescent="0.2">
      <c r="A1935">
        <v>15</v>
      </c>
      <c r="B1935">
        <v>-0.2</v>
      </c>
      <c r="C1935">
        <v>0</v>
      </c>
      <c r="D1935" t="s">
        <v>5965</v>
      </c>
    </row>
    <row r="1936" spans="1:4" x14ac:dyDescent="0.2">
      <c r="A1936">
        <v>16</v>
      </c>
      <c r="B1936">
        <v>0.1</v>
      </c>
      <c r="C1936">
        <v>0</v>
      </c>
      <c r="D1936" t="s">
        <v>5965</v>
      </c>
    </row>
    <row r="1937" spans="1:4" x14ac:dyDescent="0.2">
      <c r="A1937">
        <v>17</v>
      </c>
      <c r="B1937">
        <v>-0.1</v>
      </c>
      <c r="C1937">
        <v>0</v>
      </c>
      <c r="D1937" t="s">
        <v>5965</v>
      </c>
    </row>
    <row r="1938" spans="1:4" x14ac:dyDescent="0.2">
      <c r="A1938">
        <v>18</v>
      </c>
      <c r="B1938">
        <v>0.1</v>
      </c>
      <c r="C1938">
        <v>0</v>
      </c>
      <c r="D1938" t="s">
        <v>5965</v>
      </c>
    </row>
    <row r="1939" spans="1:4" x14ac:dyDescent="0.2">
      <c r="A1939">
        <v>13</v>
      </c>
      <c r="B1939">
        <v>250.1</v>
      </c>
      <c r="C1939">
        <v>250</v>
      </c>
      <c r="D1939" t="s">
        <v>5965</v>
      </c>
    </row>
    <row r="1940" spans="1:4" x14ac:dyDescent="0.2">
      <c r="A1940">
        <v>14</v>
      </c>
      <c r="B1940">
        <v>249.8</v>
      </c>
      <c r="C1940">
        <v>250</v>
      </c>
      <c r="D1940" t="s">
        <v>5965</v>
      </c>
    </row>
    <row r="1941" spans="1:4" x14ac:dyDescent="0.2">
      <c r="A1941">
        <v>15</v>
      </c>
      <c r="B1941">
        <v>249.8</v>
      </c>
      <c r="C1941">
        <v>250</v>
      </c>
      <c r="D1941" t="s">
        <v>5965</v>
      </c>
    </row>
    <row r="1942" spans="1:4" x14ac:dyDescent="0.2">
      <c r="A1942">
        <v>16</v>
      </c>
      <c r="B1942">
        <v>250.2</v>
      </c>
      <c r="C1942">
        <v>250</v>
      </c>
      <c r="D1942" t="s">
        <v>5965</v>
      </c>
    </row>
    <row r="1943" spans="1:4" x14ac:dyDescent="0.2">
      <c r="A1943">
        <v>17</v>
      </c>
      <c r="B1943">
        <v>250</v>
      </c>
      <c r="C1943">
        <v>250</v>
      </c>
      <c r="D1943" t="s">
        <v>5965</v>
      </c>
    </row>
    <row r="1944" spans="1:4" x14ac:dyDescent="0.2">
      <c r="A1944">
        <v>18</v>
      </c>
      <c r="B1944">
        <v>250.1</v>
      </c>
      <c r="C1944">
        <v>250</v>
      </c>
      <c r="D1944" t="s">
        <v>5965</v>
      </c>
    </row>
    <row r="1945" spans="1:4" x14ac:dyDescent="0.2">
      <c r="A1945">
        <v>13</v>
      </c>
      <c r="B1945">
        <v>500.1</v>
      </c>
      <c r="C1945">
        <v>500</v>
      </c>
      <c r="D1945" t="s">
        <v>5965</v>
      </c>
    </row>
    <row r="1946" spans="1:4" x14ac:dyDescent="0.2">
      <c r="A1946">
        <v>14</v>
      </c>
      <c r="B1946">
        <v>499.8</v>
      </c>
      <c r="C1946">
        <v>500</v>
      </c>
      <c r="D1946" t="s">
        <v>5965</v>
      </c>
    </row>
    <row r="1947" spans="1:4" x14ac:dyDescent="0.2">
      <c r="A1947">
        <v>15</v>
      </c>
      <c r="B1947">
        <v>499.7</v>
      </c>
      <c r="C1947">
        <v>500</v>
      </c>
      <c r="D1947" t="s">
        <v>5965</v>
      </c>
    </row>
    <row r="1948" spans="1:4" x14ac:dyDescent="0.2">
      <c r="A1948">
        <v>16</v>
      </c>
      <c r="B1948">
        <v>500.1</v>
      </c>
      <c r="C1948">
        <v>500</v>
      </c>
      <c r="D1948" t="s">
        <v>5965</v>
      </c>
    </row>
    <row r="1949" spans="1:4" x14ac:dyDescent="0.2">
      <c r="A1949">
        <v>17</v>
      </c>
      <c r="B1949">
        <v>500</v>
      </c>
      <c r="C1949">
        <v>500</v>
      </c>
      <c r="D1949" t="s">
        <v>5965</v>
      </c>
    </row>
    <row r="1950" spans="1:4" x14ac:dyDescent="0.2">
      <c r="A1950">
        <v>18</v>
      </c>
      <c r="B1950">
        <v>500.1</v>
      </c>
      <c r="C1950">
        <v>500</v>
      </c>
      <c r="D1950" t="s">
        <v>5965</v>
      </c>
    </row>
    <row r="1951" spans="1:4" x14ac:dyDescent="0.2">
      <c r="A1951">
        <v>13</v>
      </c>
      <c r="B1951">
        <v>1000.1</v>
      </c>
      <c r="C1951">
        <v>1000</v>
      </c>
      <c r="D1951" t="s">
        <v>5965</v>
      </c>
    </row>
    <row r="1952" spans="1:4" x14ac:dyDescent="0.2">
      <c r="A1952">
        <v>14</v>
      </c>
      <c r="B1952">
        <v>999.8</v>
      </c>
      <c r="C1952">
        <v>1000</v>
      </c>
      <c r="D1952" t="s">
        <v>5965</v>
      </c>
    </row>
    <row r="1953" spans="1:4" x14ac:dyDescent="0.2">
      <c r="A1953">
        <v>15</v>
      </c>
      <c r="B1953">
        <v>999.7</v>
      </c>
      <c r="C1953">
        <v>1000</v>
      </c>
      <c r="D1953" t="s">
        <v>5965</v>
      </c>
    </row>
    <row r="1954" spans="1:4" x14ac:dyDescent="0.2">
      <c r="A1954">
        <v>16</v>
      </c>
      <c r="B1954">
        <v>1000.1</v>
      </c>
      <c r="C1954">
        <v>1000</v>
      </c>
      <c r="D1954" t="s">
        <v>5965</v>
      </c>
    </row>
    <row r="1955" spans="1:4" x14ac:dyDescent="0.2">
      <c r="A1955">
        <v>17</v>
      </c>
      <c r="B1955">
        <v>1000</v>
      </c>
      <c r="C1955">
        <v>1000</v>
      </c>
      <c r="D1955" t="s">
        <v>5965</v>
      </c>
    </row>
    <row r="1956" spans="1:4" x14ac:dyDescent="0.2">
      <c r="A1956">
        <v>18</v>
      </c>
      <c r="B1956">
        <v>1000.1</v>
      </c>
      <c r="C1956">
        <v>1000</v>
      </c>
      <c r="D1956" t="s">
        <v>5965</v>
      </c>
    </row>
    <row r="1957" spans="1:4" x14ac:dyDescent="0.2">
      <c r="A1957">
        <v>19</v>
      </c>
      <c r="B1957">
        <v>-100.1</v>
      </c>
      <c r="C1957">
        <v>-100</v>
      </c>
      <c r="D1957" t="s">
        <v>5965</v>
      </c>
    </row>
    <row r="1958" spans="1:4" x14ac:dyDescent="0.2">
      <c r="A1958">
        <v>20</v>
      </c>
      <c r="B1958">
        <v>-100.1</v>
      </c>
      <c r="C1958">
        <v>-100</v>
      </c>
      <c r="D1958" t="s">
        <v>5965</v>
      </c>
    </row>
    <row r="1959" spans="1:4" x14ac:dyDescent="0.2">
      <c r="A1959">
        <v>21</v>
      </c>
      <c r="B1959">
        <v>-100.1</v>
      </c>
      <c r="C1959">
        <v>-100</v>
      </c>
      <c r="D1959" t="s">
        <v>5965</v>
      </c>
    </row>
    <row r="1960" spans="1:4" x14ac:dyDescent="0.2">
      <c r="A1960">
        <v>22</v>
      </c>
      <c r="B1960">
        <v>-100</v>
      </c>
      <c r="C1960">
        <v>-100</v>
      </c>
      <c r="D1960" t="s">
        <v>5965</v>
      </c>
    </row>
    <row r="1961" spans="1:4" x14ac:dyDescent="0.2">
      <c r="A1961">
        <v>23</v>
      </c>
      <c r="B1961">
        <v>-100.2</v>
      </c>
      <c r="C1961">
        <v>-100</v>
      </c>
      <c r="D1961" t="s">
        <v>5965</v>
      </c>
    </row>
    <row r="1962" spans="1:4" x14ac:dyDescent="0.2">
      <c r="A1962">
        <v>24</v>
      </c>
      <c r="B1962">
        <v>-99.8</v>
      </c>
      <c r="C1962">
        <v>-100</v>
      </c>
      <c r="D1962" t="s">
        <v>5965</v>
      </c>
    </row>
    <row r="1963" spans="1:4" x14ac:dyDescent="0.2">
      <c r="A1963">
        <v>19</v>
      </c>
      <c r="B1963">
        <v>-49.9</v>
      </c>
      <c r="C1963">
        <v>-50</v>
      </c>
      <c r="D1963" t="s">
        <v>5965</v>
      </c>
    </row>
    <row r="1964" spans="1:4" x14ac:dyDescent="0.2">
      <c r="A1964">
        <v>20</v>
      </c>
      <c r="B1964">
        <v>-50.1</v>
      </c>
      <c r="C1964">
        <v>-50</v>
      </c>
      <c r="D1964" t="s">
        <v>5965</v>
      </c>
    </row>
    <row r="1965" spans="1:4" x14ac:dyDescent="0.2">
      <c r="A1965">
        <v>21</v>
      </c>
      <c r="B1965">
        <v>-49.9</v>
      </c>
      <c r="C1965">
        <v>-50</v>
      </c>
      <c r="D1965" t="s">
        <v>5965</v>
      </c>
    </row>
    <row r="1966" spans="1:4" x14ac:dyDescent="0.2">
      <c r="A1966">
        <v>22</v>
      </c>
      <c r="B1966">
        <v>-49.9</v>
      </c>
      <c r="C1966">
        <v>-50</v>
      </c>
      <c r="D1966" t="s">
        <v>5965</v>
      </c>
    </row>
    <row r="1967" spans="1:4" x14ac:dyDescent="0.2">
      <c r="A1967">
        <v>23</v>
      </c>
      <c r="B1967">
        <v>-50.2</v>
      </c>
      <c r="C1967">
        <v>-50</v>
      </c>
      <c r="D1967" t="s">
        <v>5965</v>
      </c>
    </row>
    <row r="1968" spans="1:4" x14ac:dyDescent="0.2">
      <c r="A1968">
        <v>24</v>
      </c>
      <c r="B1968">
        <v>-49.8</v>
      </c>
      <c r="C1968">
        <v>-50</v>
      </c>
      <c r="D1968" t="s">
        <v>5965</v>
      </c>
    </row>
    <row r="1969" spans="1:4" x14ac:dyDescent="0.2">
      <c r="A1969">
        <v>19</v>
      </c>
      <c r="B1969">
        <v>0</v>
      </c>
      <c r="C1969">
        <v>0</v>
      </c>
      <c r="D1969" t="s">
        <v>5965</v>
      </c>
    </row>
    <row r="1970" spans="1:4" x14ac:dyDescent="0.2">
      <c r="A1970">
        <v>20</v>
      </c>
      <c r="B1970">
        <v>-0.1</v>
      </c>
      <c r="C1970">
        <v>0</v>
      </c>
      <c r="D1970" t="s">
        <v>5965</v>
      </c>
    </row>
    <row r="1971" spans="1:4" x14ac:dyDescent="0.2">
      <c r="A1971">
        <v>21</v>
      </c>
      <c r="B1971">
        <v>0</v>
      </c>
      <c r="C1971">
        <v>0</v>
      </c>
      <c r="D1971" t="s">
        <v>5965</v>
      </c>
    </row>
    <row r="1972" spans="1:4" x14ac:dyDescent="0.2">
      <c r="A1972">
        <v>22</v>
      </c>
      <c r="B1972">
        <v>0.1</v>
      </c>
      <c r="C1972">
        <v>0</v>
      </c>
      <c r="D1972" t="s">
        <v>5965</v>
      </c>
    </row>
    <row r="1973" spans="1:4" x14ac:dyDescent="0.2">
      <c r="A1973">
        <v>23</v>
      </c>
      <c r="B1973">
        <v>-0.1</v>
      </c>
      <c r="C1973">
        <v>0</v>
      </c>
      <c r="D1973" t="s">
        <v>5965</v>
      </c>
    </row>
    <row r="1974" spans="1:4" x14ac:dyDescent="0.2">
      <c r="A1974">
        <v>24</v>
      </c>
      <c r="B1974">
        <v>0</v>
      </c>
      <c r="C1974">
        <v>0</v>
      </c>
      <c r="D1974" t="s">
        <v>5965</v>
      </c>
    </row>
    <row r="1975" spans="1:4" x14ac:dyDescent="0.2">
      <c r="A1975">
        <v>19</v>
      </c>
      <c r="B1975">
        <v>250</v>
      </c>
      <c r="C1975">
        <v>250</v>
      </c>
      <c r="D1975" t="s">
        <v>5965</v>
      </c>
    </row>
    <row r="1976" spans="1:4" x14ac:dyDescent="0.2">
      <c r="A1976">
        <v>20</v>
      </c>
      <c r="B1976">
        <v>249.9</v>
      </c>
      <c r="C1976">
        <v>250</v>
      </c>
      <c r="D1976" t="s">
        <v>5965</v>
      </c>
    </row>
    <row r="1977" spans="1:4" x14ac:dyDescent="0.2">
      <c r="A1977">
        <v>21</v>
      </c>
      <c r="B1977">
        <v>250.1</v>
      </c>
      <c r="C1977">
        <v>250</v>
      </c>
      <c r="D1977" t="s">
        <v>5965</v>
      </c>
    </row>
    <row r="1978" spans="1:4" x14ac:dyDescent="0.2">
      <c r="A1978">
        <v>22</v>
      </c>
      <c r="B1978">
        <v>250.1</v>
      </c>
      <c r="C1978">
        <v>250</v>
      </c>
      <c r="D1978" t="s">
        <v>5965</v>
      </c>
    </row>
    <row r="1979" spans="1:4" x14ac:dyDescent="0.2">
      <c r="A1979">
        <v>23</v>
      </c>
      <c r="B1979">
        <v>249.9</v>
      </c>
      <c r="C1979">
        <v>250</v>
      </c>
      <c r="D1979" t="s">
        <v>5965</v>
      </c>
    </row>
    <row r="1980" spans="1:4" x14ac:dyDescent="0.2">
      <c r="A1980">
        <v>24</v>
      </c>
      <c r="B1980">
        <v>250.1</v>
      </c>
      <c r="C1980">
        <v>250</v>
      </c>
      <c r="D1980" t="s">
        <v>5965</v>
      </c>
    </row>
    <row r="1981" spans="1:4" x14ac:dyDescent="0.2">
      <c r="A1981">
        <v>19</v>
      </c>
      <c r="B1981">
        <v>499.9</v>
      </c>
      <c r="C1981">
        <v>500</v>
      </c>
      <c r="D1981" t="s">
        <v>5965</v>
      </c>
    </row>
    <row r="1982" spans="1:4" x14ac:dyDescent="0.2">
      <c r="A1982">
        <v>20</v>
      </c>
      <c r="B1982">
        <v>499.8</v>
      </c>
      <c r="C1982">
        <v>500</v>
      </c>
      <c r="D1982" t="s">
        <v>5965</v>
      </c>
    </row>
    <row r="1983" spans="1:4" x14ac:dyDescent="0.2">
      <c r="A1983">
        <v>21</v>
      </c>
      <c r="B1983">
        <v>500.1</v>
      </c>
      <c r="C1983">
        <v>500</v>
      </c>
      <c r="D1983" t="s">
        <v>5965</v>
      </c>
    </row>
    <row r="1984" spans="1:4" x14ac:dyDescent="0.2">
      <c r="A1984">
        <v>22</v>
      </c>
      <c r="B1984">
        <v>500.1</v>
      </c>
      <c r="C1984">
        <v>500</v>
      </c>
      <c r="D1984" t="s">
        <v>5965</v>
      </c>
    </row>
    <row r="1985" spans="1:4" x14ac:dyDescent="0.2">
      <c r="A1985">
        <v>23</v>
      </c>
      <c r="B1985">
        <v>499.9</v>
      </c>
      <c r="C1985">
        <v>500</v>
      </c>
      <c r="D1985" t="s">
        <v>5965</v>
      </c>
    </row>
    <row r="1986" spans="1:4" x14ac:dyDescent="0.2">
      <c r="A1986">
        <v>24</v>
      </c>
      <c r="B1986">
        <v>499.9</v>
      </c>
      <c r="C1986">
        <v>500</v>
      </c>
      <c r="D1986" t="s">
        <v>5965</v>
      </c>
    </row>
    <row r="1987" spans="1:4" x14ac:dyDescent="0.2">
      <c r="A1987">
        <v>19</v>
      </c>
      <c r="B1987">
        <v>1000</v>
      </c>
      <c r="C1987">
        <v>1000</v>
      </c>
      <c r="D1987" t="s">
        <v>5965</v>
      </c>
    </row>
    <row r="1988" spans="1:4" x14ac:dyDescent="0.2">
      <c r="A1988">
        <v>20</v>
      </c>
      <c r="B1988">
        <v>999.7</v>
      </c>
      <c r="C1988">
        <v>1000</v>
      </c>
      <c r="D1988" t="s">
        <v>5965</v>
      </c>
    </row>
    <row r="1989" spans="1:4" x14ac:dyDescent="0.2">
      <c r="A1989">
        <v>21</v>
      </c>
      <c r="B1989">
        <v>1000.2</v>
      </c>
      <c r="C1989">
        <v>1000</v>
      </c>
      <c r="D1989" t="s">
        <v>5965</v>
      </c>
    </row>
    <row r="1990" spans="1:4" x14ac:dyDescent="0.2">
      <c r="A1990">
        <v>22</v>
      </c>
      <c r="B1990">
        <v>1000.1</v>
      </c>
      <c r="C1990">
        <v>1000</v>
      </c>
      <c r="D1990" t="s">
        <v>5965</v>
      </c>
    </row>
    <row r="1991" spans="1:4" x14ac:dyDescent="0.2">
      <c r="A1991">
        <v>23</v>
      </c>
      <c r="B1991">
        <v>999.9</v>
      </c>
      <c r="C1991">
        <v>1000</v>
      </c>
      <c r="D1991" t="s">
        <v>5965</v>
      </c>
    </row>
    <row r="1992" spans="1:4" x14ac:dyDescent="0.2">
      <c r="A1992">
        <v>24</v>
      </c>
      <c r="B1992">
        <v>999.8</v>
      </c>
      <c r="C1992">
        <v>1000</v>
      </c>
      <c r="D1992" t="s">
        <v>5965</v>
      </c>
    </row>
    <row r="1993" spans="1:4" x14ac:dyDescent="0.2">
      <c r="A1993">
        <v>25</v>
      </c>
      <c r="B1993">
        <v>-99.9</v>
      </c>
      <c r="C1993">
        <v>-100</v>
      </c>
      <c r="D1993" t="s">
        <v>5965</v>
      </c>
    </row>
    <row r="1994" spans="1:4" x14ac:dyDescent="0.2">
      <c r="A1994">
        <v>26</v>
      </c>
      <c r="B1994">
        <v>-100</v>
      </c>
      <c r="C1994">
        <v>-100</v>
      </c>
      <c r="D1994" t="s">
        <v>5965</v>
      </c>
    </row>
    <row r="1995" spans="1:4" x14ac:dyDescent="0.2">
      <c r="A1995">
        <v>27</v>
      </c>
      <c r="B1995">
        <v>-100.2</v>
      </c>
      <c r="C1995">
        <v>-100</v>
      </c>
      <c r="D1995" t="s">
        <v>5965</v>
      </c>
    </row>
    <row r="1996" spans="1:4" x14ac:dyDescent="0.2">
      <c r="A1996">
        <v>28</v>
      </c>
      <c r="B1996">
        <v>-100.1</v>
      </c>
      <c r="C1996">
        <v>-100</v>
      </c>
      <c r="D1996" t="s">
        <v>5965</v>
      </c>
    </row>
    <row r="1997" spans="1:4" x14ac:dyDescent="0.2">
      <c r="A1997">
        <v>29</v>
      </c>
      <c r="B1997">
        <v>-100.2</v>
      </c>
      <c r="C1997">
        <v>-100</v>
      </c>
      <c r="D1997" t="s">
        <v>5965</v>
      </c>
    </row>
    <row r="1998" spans="1:4" x14ac:dyDescent="0.2">
      <c r="A1998">
        <v>30</v>
      </c>
      <c r="B1998">
        <v>-100.2</v>
      </c>
      <c r="C1998">
        <v>-100</v>
      </c>
      <c r="D1998" t="s">
        <v>5965</v>
      </c>
    </row>
    <row r="1999" spans="1:4" x14ac:dyDescent="0.2">
      <c r="A1999">
        <v>25</v>
      </c>
      <c r="B1999">
        <v>-49.9</v>
      </c>
      <c r="C1999">
        <v>-50</v>
      </c>
      <c r="D1999" t="s">
        <v>5965</v>
      </c>
    </row>
    <row r="2000" spans="1:4" x14ac:dyDescent="0.2">
      <c r="A2000">
        <v>26</v>
      </c>
      <c r="B2000">
        <v>-49.8</v>
      </c>
      <c r="C2000">
        <v>-50</v>
      </c>
      <c r="D2000" t="s">
        <v>5965</v>
      </c>
    </row>
    <row r="2001" spans="1:4" x14ac:dyDescent="0.2">
      <c r="A2001">
        <v>27</v>
      </c>
      <c r="B2001">
        <v>-50.1</v>
      </c>
      <c r="C2001">
        <v>-50</v>
      </c>
      <c r="D2001" t="s">
        <v>5965</v>
      </c>
    </row>
    <row r="2002" spans="1:4" x14ac:dyDescent="0.2">
      <c r="A2002">
        <v>28</v>
      </c>
      <c r="B2002">
        <v>-50.1</v>
      </c>
      <c r="C2002">
        <v>-50</v>
      </c>
      <c r="D2002" t="s">
        <v>5965</v>
      </c>
    </row>
    <row r="2003" spans="1:4" x14ac:dyDescent="0.2">
      <c r="A2003">
        <v>29</v>
      </c>
      <c r="B2003">
        <v>-50.1</v>
      </c>
      <c r="C2003">
        <v>-50</v>
      </c>
      <c r="D2003" t="s">
        <v>5965</v>
      </c>
    </row>
    <row r="2004" spans="1:4" x14ac:dyDescent="0.2">
      <c r="A2004">
        <v>30</v>
      </c>
      <c r="B2004">
        <v>-50</v>
      </c>
      <c r="C2004">
        <v>-50</v>
      </c>
      <c r="D2004" t="s">
        <v>5965</v>
      </c>
    </row>
    <row r="2005" spans="1:4" x14ac:dyDescent="0.2">
      <c r="A2005">
        <v>25</v>
      </c>
      <c r="B2005">
        <v>0</v>
      </c>
      <c r="C2005">
        <v>0</v>
      </c>
      <c r="D2005" t="s">
        <v>5965</v>
      </c>
    </row>
    <row r="2006" spans="1:4" x14ac:dyDescent="0.2">
      <c r="A2006">
        <v>26</v>
      </c>
      <c r="B2006">
        <v>0.1</v>
      </c>
      <c r="C2006">
        <v>0</v>
      </c>
      <c r="D2006" t="s">
        <v>5965</v>
      </c>
    </row>
    <row r="2007" spans="1:4" x14ac:dyDescent="0.2">
      <c r="A2007">
        <v>27</v>
      </c>
      <c r="B2007">
        <v>-0.1</v>
      </c>
      <c r="C2007">
        <v>0</v>
      </c>
      <c r="D2007" t="s">
        <v>5965</v>
      </c>
    </row>
    <row r="2008" spans="1:4" x14ac:dyDescent="0.2">
      <c r="A2008">
        <v>28</v>
      </c>
      <c r="B2008">
        <v>0</v>
      </c>
      <c r="C2008">
        <v>0</v>
      </c>
      <c r="D2008" t="s">
        <v>5965</v>
      </c>
    </row>
    <row r="2009" spans="1:4" x14ac:dyDescent="0.2">
      <c r="A2009">
        <v>29</v>
      </c>
      <c r="B2009">
        <v>0.1</v>
      </c>
      <c r="C2009">
        <v>0</v>
      </c>
      <c r="D2009" t="s">
        <v>5965</v>
      </c>
    </row>
    <row r="2010" spans="1:4" x14ac:dyDescent="0.2">
      <c r="A2010">
        <v>30</v>
      </c>
      <c r="B2010">
        <v>0.1</v>
      </c>
      <c r="C2010">
        <v>0</v>
      </c>
      <c r="D2010" t="s">
        <v>5965</v>
      </c>
    </row>
    <row r="2011" spans="1:4" x14ac:dyDescent="0.2">
      <c r="A2011">
        <v>25</v>
      </c>
      <c r="B2011">
        <v>250.1</v>
      </c>
      <c r="C2011">
        <v>250</v>
      </c>
      <c r="D2011" t="s">
        <v>5965</v>
      </c>
    </row>
    <row r="2012" spans="1:4" x14ac:dyDescent="0.2">
      <c r="A2012">
        <v>26</v>
      </c>
      <c r="B2012">
        <v>250.1</v>
      </c>
      <c r="C2012">
        <v>250</v>
      </c>
      <c r="D2012" t="s">
        <v>5965</v>
      </c>
    </row>
    <row r="2013" spans="1:4" x14ac:dyDescent="0.2">
      <c r="A2013">
        <v>27</v>
      </c>
      <c r="B2013">
        <v>250.2</v>
      </c>
      <c r="C2013">
        <v>250</v>
      </c>
      <c r="D2013" t="s">
        <v>5965</v>
      </c>
    </row>
    <row r="2014" spans="1:4" x14ac:dyDescent="0.2">
      <c r="A2014">
        <v>28</v>
      </c>
      <c r="B2014">
        <v>250.1</v>
      </c>
      <c r="C2014">
        <v>250</v>
      </c>
      <c r="D2014" t="s">
        <v>5965</v>
      </c>
    </row>
    <row r="2015" spans="1:4" x14ac:dyDescent="0.2">
      <c r="A2015">
        <v>29</v>
      </c>
      <c r="B2015">
        <v>249.8</v>
      </c>
      <c r="C2015">
        <v>250</v>
      </c>
      <c r="D2015" t="s">
        <v>5965</v>
      </c>
    </row>
    <row r="2016" spans="1:4" x14ac:dyDescent="0.2">
      <c r="A2016">
        <v>30</v>
      </c>
      <c r="B2016">
        <v>249.9</v>
      </c>
      <c r="C2016">
        <v>250</v>
      </c>
      <c r="D2016" t="s">
        <v>5965</v>
      </c>
    </row>
    <row r="2017" spans="1:4" x14ac:dyDescent="0.2">
      <c r="A2017">
        <v>25</v>
      </c>
      <c r="B2017">
        <v>500.1</v>
      </c>
      <c r="C2017">
        <v>500</v>
      </c>
      <c r="D2017" t="s">
        <v>5965</v>
      </c>
    </row>
    <row r="2018" spans="1:4" x14ac:dyDescent="0.2">
      <c r="A2018">
        <v>26</v>
      </c>
      <c r="B2018">
        <v>500.1</v>
      </c>
      <c r="C2018">
        <v>500</v>
      </c>
      <c r="D2018" t="s">
        <v>5965</v>
      </c>
    </row>
    <row r="2019" spans="1:4" x14ac:dyDescent="0.2">
      <c r="A2019">
        <v>27</v>
      </c>
      <c r="B2019">
        <v>500.2</v>
      </c>
      <c r="C2019">
        <v>500</v>
      </c>
      <c r="D2019" t="s">
        <v>5965</v>
      </c>
    </row>
    <row r="2020" spans="1:4" x14ac:dyDescent="0.2">
      <c r="A2020">
        <v>28</v>
      </c>
      <c r="B2020">
        <v>500.1</v>
      </c>
      <c r="C2020">
        <v>500</v>
      </c>
      <c r="D2020" t="s">
        <v>5965</v>
      </c>
    </row>
    <row r="2021" spans="1:4" x14ac:dyDescent="0.2">
      <c r="A2021">
        <v>29</v>
      </c>
      <c r="B2021">
        <v>499.9</v>
      </c>
      <c r="C2021">
        <v>500</v>
      </c>
      <c r="D2021" t="s">
        <v>5965</v>
      </c>
    </row>
    <row r="2022" spans="1:4" x14ac:dyDescent="0.2">
      <c r="A2022">
        <v>30</v>
      </c>
      <c r="B2022">
        <v>500</v>
      </c>
      <c r="C2022">
        <v>500</v>
      </c>
      <c r="D2022" t="s">
        <v>5965</v>
      </c>
    </row>
    <row r="2023" spans="1:4" x14ac:dyDescent="0.2">
      <c r="A2023">
        <v>25</v>
      </c>
      <c r="B2023">
        <v>1000.2</v>
      </c>
      <c r="C2023">
        <v>1000</v>
      </c>
      <c r="D2023" t="s">
        <v>5965</v>
      </c>
    </row>
    <row r="2024" spans="1:4" x14ac:dyDescent="0.2">
      <c r="A2024">
        <v>26</v>
      </c>
      <c r="B2024">
        <v>1000.1</v>
      </c>
      <c r="C2024">
        <v>1000</v>
      </c>
      <c r="D2024" t="s">
        <v>5965</v>
      </c>
    </row>
    <row r="2025" spans="1:4" x14ac:dyDescent="0.2">
      <c r="A2025">
        <v>27</v>
      </c>
      <c r="B2025">
        <v>1000.3</v>
      </c>
      <c r="C2025">
        <v>1000</v>
      </c>
      <c r="D2025" t="s">
        <v>5965</v>
      </c>
    </row>
    <row r="2026" spans="1:4" x14ac:dyDescent="0.2">
      <c r="A2026">
        <v>28</v>
      </c>
      <c r="B2026">
        <v>1000.2</v>
      </c>
      <c r="C2026">
        <v>1000</v>
      </c>
      <c r="D2026" t="s">
        <v>5965</v>
      </c>
    </row>
    <row r="2027" spans="1:4" x14ac:dyDescent="0.2">
      <c r="A2027">
        <v>29</v>
      </c>
      <c r="B2027">
        <v>999.9</v>
      </c>
      <c r="C2027">
        <v>1000</v>
      </c>
      <c r="D2027" t="s">
        <v>5965</v>
      </c>
    </row>
    <row r="2028" spans="1:4" x14ac:dyDescent="0.2">
      <c r="A2028">
        <v>30</v>
      </c>
      <c r="B2028">
        <v>1000</v>
      </c>
      <c r="C2028">
        <v>1000</v>
      </c>
      <c r="D2028" t="s">
        <v>5965</v>
      </c>
    </row>
    <row r="2029" spans="1:4" x14ac:dyDescent="0.2">
      <c r="A2029">
        <v>31</v>
      </c>
      <c r="B2029">
        <v>-100.1</v>
      </c>
      <c r="C2029">
        <v>-100</v>
      </c>
      <c r="D2029" t="s">
        <v>5965</v>
      </c>
    </row>
    <row r="2030" spans="1:4" x14ac:dyDescent="0.2">
      <c r="A2030">
        <v>32</v>
      </c>
      <c r="B2030">
        <v>-100</v>
      </c>
      <c r="C2030">
        <v>-100</v>
      </c>
      <c r="D2030" t="s">
        <v>5965</v>
      </c>
    </row>
    <row r="2031" spans="1:4" x14ac:dyDescent="0.2">
      <c r="A2031">
        <v>33</v>
      </c>
      <c r="B2031">
        <v>-100.2</v>
      </c>
      <c r="C2031">
        <v>-100</v>
      </c>
      <c r="D2031" t="s">
        <v>5965</v>
      </c>
    </row>
    <row r="2032" spans="1:4" x14ac:dyDescent="0.2">
      <c r="A2032">
        <v>34</v>
      </c>
      <c r="B2032">
        <v>-100.2</v>
      </c>
      <c r="C2032">
        <v>-100</v>
      </c>
      <c r="D2032" t="s">
        <v>5965</v>
      </c>
    </row>
    <row r="2033" spans="1:4" x14ac:dyDescent="0.2">
      <c r="A2033">
        <v>35</v>
      </c>
      <c r="B2033">
        <v>-100.2</v>
      </c>
      <c r="C2033">
        <v>-100</v>
      </c>
      <c r="D2033" t="s">
        <v>5965</v>
      </c>
    </row>
    <row r="2034" spans="1:4" x14ac:dyDescent="0.2">
      <c r="A2034">
        <v>36</v>
      </c>
      <c r="B2034">
        <v>-100.3</v>
      </c>
      <c r="C2034">
        <v>-100</v>
      </c>
      <c r="D2034" t="s">
        <v>5965</v>
      </c>
    </row>
    <row r="2035" spans="1:4" x14ac:dyDescent="0.2">
      <c r="A2035">
        <v>31</v>
      </c>
      <c r="B2035">
        <v>-49.9</v>
      </c>
      <c r="C2035">
        <v>-50</v>
      </c>
      <c r="D2035" t="s">
        <v>5965</v>
      </c>
    </row>
    <row r="2036" spans="1:4" x14ac:dyDescent="0.2">
      <c r="A2036">
        <v>32</v>
      </c>
      <c r="B2036">
        <v>-50</v>
      </c>
      <c r="C2036">
        <v>-50</v>
      </c>
      <c r="D2036" t="s">
        <v>5965</v>
      </c>
    </row>
    <row r="2037" spans="1:4" x14ac:dyDescent="0.2">
      <c r="A2037">
        <v>33</v>
      </c>
      <c r="B2037">
        <v>-50.1</v>
      </c>
      <c r="C2037">
        <v>-50</v>
      </c>
      <c r="D2037" t="s">
        <v>5965</v>
      </c>
    </row>
    <row r="2038" spans="1:4" x14ac:dyDescent="0.2">
      <c r="A2038">
        <v>34</v>
      </c>
      <c r="B2038">
        <v>-50.2</v>
      </c>
      <c r="C2038">
        <v>-50</v>
      </c>
      <c r="D2038" t="s">
        <v>5965</v>
      </c>
    </row>
    <row r="2039" spans="1:4" x14ac:dyDescent="0.2">
      <c r="A2039">
        <v>35</v>
      </c>
      <c r="B2039">
        <v>-50.1</v>
      </c>
      <c r="C2039">
        <v>-50</v>
      </c>
      <c r="D2039" t="s">
        <v>5965</v>
      </c>
    </row>
    <row r="2040" spans="1:4" x14ac:dyDescent="0.2">
      <c r="A2040">
        <v>36</v>
      </c>
      <c r="B2040">
        <v>-50.2</v>
      </c>
      <c r="C2040">
        <v>-50</v>
      </c>
      <c r="D2040" t="s">
        <v>5965</v>
      </c>
    </row>
    <row r="2041" spans="1:4" x14ac:dyDescent="0.2">
      <c r="A2041">
        <v>31</v>
      </c>
      <c r="B2041">
        <v>0.2</v>
      </c>
      <c r="C2041">
        <v>0</v>
      </c>
      <c r="D2041" t="s">
        <v>5965</v>
      </c>
    </row>
    <row r="2042" spans="1:4" x14ac:dyDescent="0.2">
      <c r="A2042">
        <v>32</v>
      </c>
      <c r="B2042">
        <v>0.2</v>
      </c>
      <c r="C2042">
        <v>0</v>
      </c>
      <c r="D2042" t="s">
        <v>5965</v>
      </c>
    </row>
    <row r="2043" spans="1:4" x14ac:dyDescent="0.2">
      <c r="A2043">
        <v>33</v>
      </c>
      <c r="B2043">
        <v>0.1</v>
      </c>
      <c r="C2043">
        <v>0</v>
      </c>
      <c r="D2043" t="s">
        <v>5965</v>
      </c>
    </row>
    <row r="2044" spans="1:4" x14ac:dyDescent="0.2">
      <c r="A2044">
        <v>34</v>
      </c>
      <c r="B2044">
        <v>0.1</v>
      </c>
      <c r="C2044">
        <v>0</v>
      </c>
      <c r="D2044" t="s">
        <v>5965</v>
      </c>
    </row>
    <row r="2045" spans="1:4" x14ac:dyDescent="0.2">
      <c r="A2045">
        <v>35</v>
      </c>
      <c r="B2045">
        <v>0.1</v>
      </c>
      <c r="C2045">
        <v>0</v>
      </c>
      <c r="D2045" t="s">
        <v>5965</v>
      </c>
    </row>
    <row r="2046" spans="1:4" x14ac:dyDescent="0.2">
      <c r="A2046">
        <v>36</v>
      </c>
      <c r="B2046">
        <v>0.1</v>
      </c>
      <c r="C2046">
        <v>0</v>
      </c>
      <c r="D2046" t="s">
        <v>5965</v>
      </c>
    </row>
    <row r="2047" spans="1:4" x14ac:dyDescent="0.2">
      <c r="A2047">
        <v>31</v>
      </c>
      <c r="B2047">
        <v>250</v>
      </c>
      <c r="C2047">
        <v>250</v>
      </c>
      <c r="D2047" t="s">
        <v>5965</v>
      </c>
    </row>
    <row r="2048" spans="1:4" x14ac:dyDescent="0.2">
      <c r="A2048">
        <v>32</v>
      </c>
      <c r="B2048">
        <v>250.1</v>
      </c>
      <c r="C2048">
        <v>250</v>
      </c>
      <c r="D2048" t="s">
        <v>5965</v>
      </c>
    </row>
    <row r="2049" spans="1:4" x14ac:dyDescent="0.2">
      <c r="A2049">
        <v>33</v>
      </c>
      <c r="B2049">
        <v>249.8</v>
      </c>
      <c r="C2049">
        <v>250</v>
      </c>
      <c r="D2049" t="s">
        <v>5965</v>
      </c>
    </row>
    <row r="2050" spans="1:4" x14ac:dyDescent="0.2">
      <c r="A2050">
        <v>34</v>
      </c>
      <c r="B2050">
        <v>249.7</v>
      </c>
      <c r="C2050">
        <v>250</v>
      </c>
      <c r="D2050" t="s">
        <v>5965</v>
      </c>
    </row>
    <row r="2051" spans="1:4" x14ac:dyDescent="0.2">
      <c r="A2051">
        <v>35</v>
      </c>
      <c r="B2051">
        <v>249.8</v>
      </c>
      <c r="C2051">
        <v>250</v>
      </c>
      <c r="D2051" t="s">
        <v>5965</v>
      </c>
    </row>
    <row r="2052" spans="1:4" x14ac:dyDescent="0.2">
      <c r="A2052">
        <v>36</v>
      </c>
      <c r="B2052">
        <v>250</v>
      </c>
      <c r="C2052">
        <v>250</v>
      </c>
      <c r="D2052" t="s">
        <v>5965</v>
      </c>
    </row>
    <row r="2053" spans="1:4" x14ac:dyDescent="0.2">
      <c r="A2053">
        <v>31</v>
      </c>
      <c r="B2053">
        <v>500.1</v>
      </c>
      <c r="C2053">
        <v>500</v>
      </c>
      <c r="D2053" t="s">
        <v>5965</v>
      </c>
    </row>
    <row r="2054" spans="1:4" x14ac:dyDescent="0.2">
      <c r="A2054">
        <v>32</v>
      </c>
      <c r="B2054">
        <v>500.1</v>
      </c>
      <c r="C2054">
        <v>500</v>
      </c>
      <c r="D2054" t="s">
        <v>5965</v>
      </c>
    </row>
    <row r="2055" spans="1:4" x14ac:dyDescent="0.2">
      <c r="A2055">
        <v>33</v>
      </c>
      <c r="B2055">
        <v>500</v>
      </c>
      <c r="C2055">
        <v>500</v>
      </c>
      <c r="D2055" t="s">
        <v>5965</v>
      </c>
    </row>
    <row r="2056" spans="1:4" x14ac:dyDescent="0.2">
      <c r="A2056">
        <v>34</v>
      </c>
      <c r="B2056">
        <v>500.1</v>
      </c>
      <c r="C2056">
        <v>500</v>
      </c>
      <c r="D2056" t="s">
        <v>5965</v>
      </c>
    </row>
    <row r="2057" spans="1:4" x14ac:dyDescent="0.2">
      <c r="A2057">
        <v>35</v>
      </c>
      <c r="B2057">
        <v>500</v>
      </c>
      <c r="C2057">
        <v>500</v>
      </c>
      <c r="D2057" t="s">
        <v>5965</v>
      </c>
    </row>
    <row r="2058" spans="1:4" x14ac:dyDescent="0.2">
      <c r="A2058">
        <v>36</v>
      </c>
      <c r="B2058">
        <v>500.2</v>
      </c>
      <c r="C2058">
        <v>500</v>
      </c>
      <c r="D2058" t="s">
        <v>5965</v>
      </c>
    </row>
    <row r="2059" spans="1:4" x14ac:dyDescent="0.2">
      <c r="A2059">
        <v>31</v>
      </c>
      <c r="B2059">
        <v>1000</v>
      </c>
      <c r="C2059">
        <v>1000</v>
      </c>
      <c r="D2059" t="s">
        <v>5965</v>
      </c>
    </row>
    <row r="2060" spans="1:4" x14ac:dyDescent="0.2">
      <c r="A2060">
        <v>32</v>
      </c>
      <c r="B2060">
        <v>1000.2</v>
      </c>
      <c r="C2060">
        <v>1000</v>
      </c>
      <c r="D2060" t="s">
        <v>5965</v>
      </c>
    </row>
    <row r="2061" spans="1:4" x14ac:dyDescent="0.2">
      <c r="A2061">
        <v>33</v>
      </c>
      <c r="B2061">
        <v>1000.1</v>
      </c>
      <c r="C2061">
        <v>1000</v>
      </c>
      <c r="D2061" t="s">
        <v>5965</v>
      </c>
    </row>
    <row r="2062" spans="1:4" x14ac:dyDescent="0.2">
      <c r="A2062">
        <v>34</v>
      </c>
      <c r="B2062">
        <v>1000.3</v>
      </c>
      <c r="C2062">
        <v>1000</v>
      </c>
      <c r="D2062" t="s">
        <v>5965</v>
      </c>
    </row>
    <row r="2063" spans="1:4" x14ac:dyDescent="0.2">
      <c r="A2063">
        <v>35</v>
      </c>
      <c r="B2063">
        <v>1000.1</v>
      </c>
      <c r="C2063">
        <v>1000</v>
      </c>
      <c r="D2063" t="s">
        <v>5965</v>
      </c>
    </row>
    <row r="2064" spans="1:4" x14ac:dyDescent="0.2">
      <c r="A2064">
        <v>36</v>
      </c>
      <c r="B2064">
        <v>1000.2</v>
      </c>
      <c r="C2064">
        <v>1000</v>
      </c>
      <c r="D2064" t="s">
        <v>5965</v>
      </c>
    </row>
    <row r="2065" spans="1:4" x14ac:dyDescent="0.2">
      <c r="A2065">
        <v>37</v>
      </c>
      <c r="B2065">
        <v>-100.5</v>
      </c>
      <c r="C2065">
        <v>-100</v>
      </c>
      <c r="D2065" t="s">
        <v>5965</v>
      </c>
    </row>
    <row r="2066" spans="1:4" x14ac:dyDescent="0.2">
      <c r="A2066">
        <v>38</v>
      </c>
      <c r="B2066">
        <v>-100.1</v>
      </c>
      <c r="C2066">
        <v>-100</v>
      </c>
      <c r="D2066" t="s">
        <v>5965</v>
      </c>
    </row>
    <row r="2067" spans="1:4" x14ac:dyDescent="0.2">
      <c r="A2067">
        <v>39</v>
      </c>
      <c r="B2067">
        <v>-99.8</v>
      </c>
      <c r="C2067">
        <v>-100</v>
      </c>
      <c r="D2067" t="s">
        <v>5965</v>
      </c>
    </row>
    <row r="2068" spans="1:4" x14ac:dyDescent="0.2">
      <c r="A2068">
        <v>40</v>
      </c>
      <c r="B2068">
        <v>-99.9</v>
      </c>
      <c r="C2068">
        <v>-100</v>
      </c>
      <c r="D2068" t="s">
        <v>5965</v>
      </c>
    </row>
    <row r="2069" spans="1:4" x14ac:dyDescent="0.2">
      <c r="A2069">
        <v>37</v>
      </c>
      <c r="B2069">
        <v>-50.3</v>
      </c>
      <c r="C2069">
        <v>-50</v>
      </c>
      <c r="D2069" t="s">
        <v>5965</v>
      </c>
    </row>
    <row r="2070" spans="1:4" x14ac:dyDescent="0.2">
      <c r="A2070">
        <v>38</v>
      </c>
      <c r="B2070">
        <v>-49.8</v>
      </c>
      <c r="C2070">
        <v>-50</v>
      </c>
      <c r="D2070" t="s">
        <v>5965</v>
      </c>
    </row>
    <row r="2071" spans="1:4" x14ac:dyDescent="0.2">
      <c r="A2071">
        <v>39</v>
      </c>
      <c r="B2071">
        <v>-50</v>
      </c>
      <c r="C2071">
        <v>-50</v>
      </c>
      <c r="D2071" t="s">
        <v>5965</v>
      </c>
    </row>
    <row r="2072" spans="1:4" x14ac:dyDescent="0.2">
      <c r="A2072">
        <v>40</v>
      </c>
      <c r="B2072">
        <v>-50</v>
      </c>
      <c r="C2072">
        <v>-50</v>
      </c>
      <c r="D2072" t="s">
        <v>5965</v>
      </c>
    </row>
    <row r="2073" spans="1:4" x14ac:dyDescent="0.2">
      <c r="A2073">
        <v>37</v>
      </c>
      <c r="B2073">
        <v>0.3</v>
      </c>
      <c r="C2073">
        <v>0</v>
      </c>
      <c r="D2073" t="s">
        <v>5965</v>
      </c>
    </row>
    <row r="2074" spans="1:4" x14ac:dyDescent="0.2">
      <c r="A2074">
        <v>38</v>
      </c>
      <c r="B2074">
        <v>0.2</v>
      </c>
      <c r="C2074">
        <v>0</v>
      </c>
      <c r="D2074" t="s">
        <v>5965</v>
      </c>
    </row>
    <row r="2075" spans="1:4" x14ac:dyDescent="0.2">
      <c r="A2075">
        <v>39</v>
      </c>
      <c r="B2075">
        <v>0.2</v>
      </c>
      <c r="C2075">
        <v>0</v>
      </c>
      <c r="D2075" t="s">
        <v>5965</v>
      </c>
    </row>
    <row r="2076" spans="1:4" x14ac:dyDescent="0.2">
      <c r="A2076">
        <v>40</v>
      </c>
      <c r="B2076">
        <v>0.2</v>
      </c>
      <c r="C2076">
        <v>0</v>
      </c>
      <c r="D2076" t="s">
        <v>5965</v>
      </c>
    </row>
    <row r="2077" spans="1:4" x14ac:dyDescent="0.2">
      <c r="A2077">
        <v>37</v>
      </c>
      <c r="B2077">
        <v>250.3</v>
      </c>
      <c r="C2077">
        <v>250</v>
      </c>
      <c r="D2077" t="s">
        <v>5965</v>
      </c>
    </row>
    <row r="2078" spans="1:4" x14ac:dyDescent="0.2">
      <c r="A2078">
        <v>38</v>
      </c>
      <c r="B2078">
        <v>250.2</v>
      </c>
      <c r="C2078">
        <v>250</v>
      </c>
      <c r="D2078" t="s">
        <v>5965</v>
      </c>
    </row>
    <row r="2079" spans="1:4" x14ac:dyDescent="0.2">
      <c r="A2079">
        <v>39</v>
      </c>
      <c r="B2079">
        <v>250.3</v>
      </c>
      <c r="C2079">
        <v>250</v>
      </c>
      <c r="D2079" t="s">
        <v>5965</v>
      </c>
    </row>
    <row r="2080" spans="1:4" x14ac:dyDescent="0.2">
      <c r="A2080">
        <v>40</v>
      </c>
      <c r="B2080">
        <v>250.1</v>
      </c>
      <c r="C2080">
        <v>250</v>
      </c>
      <c r="D2080" t="s">
        <v>5965</v>
      </c>
    </row>
    <row r="2081" spans="1:4" x14ac:dyDescent="0.2">
      <c r="A2081">
        <v>37</v>
      </c>
      <c r="B2081">
        <v>500.4</v>
      </c>
      <c r="C2081">
        <v>500</v>
      </c>
      <c r="D2081" t="s">
        <v>5965</v>
      </c>
    </row>
    <row r="2082" spans="1:4" x14ac:dyDescent="0.2">
      <c r="A2082">
        <v>38</v>
      </c>
      <c r="B2082">
        <v>500.3</v>
      </c>
      <c r="C2082">
        <v>500</v>
      </c>
      <c r="D2082" t="s">
        <v>5965</v>
      </c>
    </row>
    <row r="2083" spans="1:4" x14ac:dyDescent="0.2">
      <c r="A2083">
        <v>39</v>
      </c>
      <c r="B2083">
        <v>500</v>
      </c>
      <c r="C2083">
        <v>500</v>
      </c>
      <c r="D2083" t="s">
        <v>5965</v>
      </c>
    </row>
    <row r="2084" spans="1:4" x14ac:dyDescent="0.2">
      <c r="A2084">
        <v>40</v>
      </c>
      <c r="B2084">
        <v>500.1</v>
      </c>
      <c r="C2084">
        <v>500</v>
      </c>
      <c r="D2084" t="s">
        <v>5965</v>
      </c>
    </row>
    <row r="2085" spans="1:4" x14ac:dyDescent="0.2">
      <c r="A2085">
        <v>37</v>
      </c>
      <c r="B2085">
        <v>1000.5</v>
      </c>
      <c r="C2085">
        <v>1000</v>
      </c>
      <c r="D2085" t="s">
        <v>5965</v>
      </c>
    </row>
    <row r="2086" spans="1:4" x14ac:dyDescent="0.2">
      <c r="A2086">
        <v>38</v>
      </c>
      <c r="B2086">
        <v>1000.3</v>
      </c>
      <c r="C2086">
        <v>1000</v>
      </c>
      <c r="D2086" t="s">
        <v>5965</v>
      </c>
    </row>
    <row r="2087" spans="1:4" x14ac:dyDescent="0.2">
      <c r="A2087">
        <v>39</v>
      </c>
      <c r="B2087">
        <v>1000.1</v>
      </c>
      <c r="C2087">
        <v>1000</v>
      </c>
      <c r="D2087" t="s">
        <v>5965</v>
      </c>
    </row>
    <row r="2088" spans="1:4" x14ac:dyDescent="0.2">
      <c r="A2088">
        <v>40</v>
      </c>
      <c r="B2088">
        <v>1000.1</v>
      </c>
      <c r="C2088">
        <v>1000</v>
      </c>
      <c r="D2088" t="s">
        <v>5965</v>
      </c>
    </row>
    <row r="2089" spans="1:4" x14ac:dyDescent="0.2">
      <c r="A2089">
        <v>1</v>
      </c>
      <c r="B2089">
        <v>-99.8</v>
      </c>
      <c r="C2089">
        <v>-100</v>
      </c>
      <c r="D2089" t="s">
        <v>5966</v>
      </c>
    </row>
    <row r="2090" spans="1:4" x14ac:dyDescent="0.2">
      <c r="A2090">
        <v>2</v>
      </c>
      <c r="B2090">
        <v>-100.1</v>
      </c>
      <c r="C2090">
        <v>-100</v>
      </c>
      <c r="D2090" t="s">
        <v>5966</v>
      </c>
    </row>
    <row r="2091" spans="1:4" x14ac:dyDescent="0.2">
      <c r="A2091">
        <v>3</v>
      </c>
      <c r="B2091">
        <v>-99.9</v>
      </c>
      <c r="C2091">
        <v>-100</v>
      </c>
      <c r="D2091" t="s">
        <v>5966</v>
      </c>
    </row>
    <row r="2092" spans="1:4" x14ac:dyDescent="0.2">
      <c r="A2092">
        <v>4</v>
      </c>
      <c r="B2092">
        <v>-99.8</v>
      </c>
      <c r="C2092">
        <v>-100</v>
      </c>
      <c r="D2092" t="s">
        <v>5966</v>
      </c>
    </row>
    <row r="2093" spans="1:4" x14ac:dyDescent="0.2">
      <c r="A2093">
        <v>5</v>
      </c>
      <c r="B2093">
        <v>-100</v>
      </c>
      <c r="C2093">
        <v>-100</v>
      </c>
      <c r="D2093" t="s">
        <v>5966</v>
      </c>
    </row>
    <row r="2094" spans="1:4" x14ac:dyDescent="0.2">
      <c r="A2094">
        <v>6</v>
      </c>
      <c r="B2094">
        <v>-99.9</v>
      </c>
      <c r="C2094">
        <v>-100</v>
      </c>
      <c r="D2094" t="s">
        <v>5966</v>
      </c>
    </row>
    <row r="2095" spans="1:4" x14ac:dyDescent="0.2">
      <c r="A2095">
        <v>1</v>
      </c>
      <c r="B2095">
        <v>-49.8</v>
      </c>
      <c r="C2095">
        <v>-50</v>
      </c>
      <c r="D2095" t="s">
        <v>5966</v>
      </c>
    </row>
    <row r="2096" spans="1:4" x14ac:dyDescent="0.2">
      <c r="A2096">
        <v>2</v>
      </c>
      <c r="B2096">
        <v>-50.1</v>
      </c>
      <c r="C2096">
        <v>-50</v>
      </c>
      <c r="D2096" t="s">
        <v>5966</v>
      </c>
    </row>
    <row r="2097" spans="1:4" x14ac:dyDescent="0.2">
      <c r="A2097">
        <v>3</v>
      </c>
      <c r="B2097">
        <v>-49.9</v>
      </c>
      <c r="C2097">
        <v>-50</v>
      </c>
      <c r="D2097" t="s">
        <v>5966</v>
      </c>
    </row>
    <row r="2098" spans="1:4" x14ac:dyDescent="0.2">
      <c r="A2098">
        <v>4</v>
      </c>
      <c r="B2098">
        <v>-49.8</v>
      </c>
      <c r="C2098">
        <v>-50</v>
      </c>
      <c r="D2098" t="s">
        <v>5966</v>
      </c>
    </row>
    <row r="2099" spans="1:4" x14ac:dyDescent="0.2">
      <c r="A2099">
        <v>5</v>
      </c>
      <c r="B2099">
        <v>-50</v>
      </c>
      <c r="C2099">
        <v>-50</v>
      </c>
      <c r="D2099" t="s">
        <v>5966</v>
      </c>
    </row>
    <row r="2100" spans="1:4" x14ac:dyDescent="0.2">
      <c r="A2100">
        <v>6</v>
      </c>
      <c r="B2100">
        <v>-49.9</v>
      </c>
      <c r="C2100">
        <v>-50</v>
      </c>
      <c r="D2100" t="s">
        <v>5966</v>
      </c>
    </row>
    <row r="2101" spans="1:4" x14ac:dyDescent="0.2">
      <c r="A2101">
        <v>1</v>
      </c>
      <c r="B2101">
        <v>0.2</v>
      </c>
      <c r="C2101">
        <v>0</v>
      </c>
      <c r="D2101" t="s">
        <v>5966</v>
      </c>
    </row>
    <row r="2102" spans="1:4" x14ac:dyDescent="0.2">
      <c r="A2102">
        <v>2</v>
      </c>
      <c r="B2102">
        <v>-0.1</v>
      </c>
      <c r="C2102">
        <v>0</v>
      </c>
      <c r="D2102" t="s">
        <v>5966</v>
      </c>
    </row>
    <row r="2103" spans="1:4" x14ac:dyDescent="0.2">
      <c r="A2103">
        <v>3</v>
      </c>
      <c r="B2103">
        <v>0.1</v>
      </c>
      <c r="C2103">
        <v>0</v>
      </c>
      <c r="D2103" t="s">
        <v>5966</v>
      </c>
    </row>
    <row r="2104" spans="1:4" x14ac:dyDescent="0.2">
      <c r="A2104">
        <v>4</v>
      </c>
      <c r="B2104">
        <v>0.3</v>
      </c>
      <c r="C2104">
        <v>0</v>
      </c>
      <c r="D2104" t="s">
        <v>5966</v>
      </c>
    </row>
    <row r="2105" spans="1:4" x14ac:dyDescent="0.2">
      <c r="A2105">
        <v>5</v>
      </c>
      <c r="B2105">
        <v>0.1</v>
      </c>
      <c r="C2105">
        <v>0</v>
      </c>
      <c r="D2105" t="s">
        <v>5966</v>
      </c>
    </row>
    <row r="2106" spans="1:4" x14ac:dyDescent="0.2">
      <c r="A2106">
        <v>6</v>
      </c>
      <c r="B2106">
        <v>0.1</v>
      </c>
      <c r="C2106">
        <v>0</v>
      </c>
      <c r="D2106" t="s">
        <v>5966</v>
      </c>
    </row>
    <row r="2107" spans="1:4" x14ac:dyDescent="0.2">
      <c r="A2107">
        <v>1</v>
      </c>
      <c r="B2107">
        <v>250.2</v>
      </c>
      <c r="C2107">
        <v>250</v>
      </c>
      <c r="D2107" t="s">
        <v>5966</v>
      </c>
    </row>
    <row r="2108" spans="1:4" x14ac:dyDescent="0.2">
      <c r="A2108">
        <v>2</v>
      </c>
      <c r="B2108">
        <v>250</v>
      </c>
      <c r="C2108">
        <v>250</v>
      </c>
      <c r="D2108" t="s">
        <v>5966</v>
      </c>
    </row>
    <row r="2109" spans="1:4" x14ac:dyDescent="0.2">
      <c r="A2109">
        <v>3</v>
      </c>
      <c r="B2109">
        <v>250.1</v>
      </c>
      <c r="C2109">
        <v>250</v>
      </c>
      <c r="D2109" t="s">
        <v>5966</v>
      </c>
    </row>
    <row r="2110" spans="1:4" x14ac:dyDescent="0.2">
      <c r="A2110">
        <v>4</v>
      </c>
      <c r="B2110">
        <v>250.3</v>
      </c>
      <c r="C2110">
        <v>250</v>
      </c>
      <c r="D2110" t="s">
        <v>5966</v>
      </c>
    </row>
    <row r="2111" spans="1:4" x14ac:dyDescent="0.2">
      <c r="A2111">
        <v>5</v>
      </c>
      <c r="B2111">
        <v>250.1</v>
      </c>
      <c r="C2111">
        <v>250</v>
      </c>
      <c r="D2111" t="s">
        <v>5966</v>
      </c>
    </row>
    <row r="2112" spans="1:4" x14ac:dyDescent="0.2">
      <c r="A2112">
        <v>6</v>
      </c>
      <c r="B2112">
        <v>250.2</v>
      </c>
      <c r="C2112">
        <v>250</v>
      </c>
      <c r="D2112" t="s">
        <v>5966</v>
      </c>
    </row>
    <row r="2113" spans="1:4" x14ac:dyDescent="0.2">
      <c r="A2113">
        <v>1</v>
      </c>
      <c r="B2113">
        <v>500.3</v>
      </c>
      <c r="C2113">
        <v>500</v>
      </c>
      <c r="D2113" t="s">
        <v>5966</v>
      </c>
    </row>
    <row r="2114" spans="1:4" x14ac:dyDescent="0.2">
      <c r="A2114">
        <v>2</v>
      </c>
      <c r="B2114">
        <v>500</v>
      </c>
      <c r="C2114">
        <v>500</v>
      </c>
      <c r="D2114" t="s">
        <v>5966</v>
      </c>
    </row>
    <row r="2115" spans="1:4" x14ac:dyDescent="0.2">
      <c r="A2115">
        <v>3</v>
      </c>
      <c r="B2115">
        <v>500.2</v>
      </c>
      <c r="C2115">
        <v>500</v>
      </c>
      <c r="D2115" t="s">
        <v>5966</v>
      </c>
    </row>
    <row r="2116" spans="1:4" x14ac:dyDescent="0.2">
      <c r="A2116">
        <v>4</v>
      </c>
      <c r="B2116">
        <v>500.3</v>
      </c>
      <c r="C2116">
        <v>500</v>
      </c>
      <c r="D2116" t="s">
        <v>5966</v>
      </c>
    </row>
    <row r="2117" spans="1:4" x14ac:dyDescent="0.2">
      <c r="A2117">
        <v>5</v>
      </c>
      <c r="B2117">
        <v>500.1</v>
      </c>
      <c r="C2117">
        <v>500</v>
      </c>
      <c r="D2117" t="s">
        <v>5966</v>
      </c>
    </row>
    <row r="2118" spans="1:4" x14ac:dyDescent="0.2">
      <c r="A2118">
        <v>6</v>
      </c>
      <c r="B2118">
        <v>500.2</v>
      </c>
      <c r="C2118">
        <v>500</v>
      </c>
      <c r="D2118" t="s">
        <v>5966</v>
      </c>
    </row>
    <row r="2119" spans="1:4" x14ac:dyDescent="0.2">
      <c r="A2119">
        <v>1</v>
      </c>
      <c r="B2119">
        <v>1000.3</v>
      </c>
      <c r="C2119">
        <v>1000</v>
      </c>
      <c r="D2119" t="s">
        <v>5966</v>
      </c>
    </row>
    <row r="2120" spans="1:4" x14ac:dyDescent="0.2">
      <c r="A2120">
        <v>2</v>
      </c>
      <c r="B2120">
        <v>1000.1</v>
      </c>
      <c r="C2120">
        <v>1000</v>
      </c>
      <c r="D2120" t="s">
        <v>5966</v>
      </c>
    </row>
    <row r="2121" spans="1:4" x14ac:dyDescent="0.2">
      <c r="A2121">
        <v>3</v>
      </c>
      <c r="B2121">
        <v>1000.3</v>
      </c>
      <c r="C2121">
        <v>1000</v>
      </c>
      <c r="D2121" t="s">
        <v>5966</v>
      </c>
    </row>
    <row r="2122" spans="1:4" x14ac:dyDescent="0.2">
      <c r="A2122">
        <v>4</v>
      </c>
      <c r="B2122">
        <v>1000.3</v>
      </c>
      <c r="C2122">
        <v>1000</v>
      </c>
      <c r="D2122" t="s">
        <v>5966</v>
      </c>
    </row>
    <row r="2123" spans="1:4" x14ac:dyDescent="0.2">
      <c r="A2123">
        <v>5</v>
      </c>
      <c r="B2123">
        <v>1000.2</v>
      </c>
      <c r="C2123">
        <v>1000</v>
      </c>
      <c r="D2123" t="s">
        <v>5966</v>
      </c>
    </row>
    <row r="2124" spans="1:4" x14ac:dyDescent="0.2">
      <c r="A2124">
        <v>6</v>
      </c>
      <c r="B2124">
        <v>1000.2</v>
      </c>
      <c r="C2124">
        <v>1000</v>
      </c>
      <c r="D2124" t="s">
        <v>5966</v>
      </c>
    </row>
    <row r="2125" spans="1:4" x14ac:dyDescent="0.2">
      <c r="A2125">
        <v>7</v>
      </c>
      <c r="B2125">
        <v>-100</v>
      </c>
      <c r="C2125">
        <v>-100</v>
      </c>
      <c r="D2125" t="s">
        <v>5966</v>
      </c>
    </row>
    <row r="2126" spans="1:4" x14ac:dyDescent="0.2">
      <c r="A2126">
        <v>8</v>
      </c>
      <c r="B2126">
        <v>-100.2</v>
      </c>
      <c r="C2126">
        <v>-100</v>
      </c>
      <c r="D2126" t="s">
        <v>5966</v>
      </c>
    </row>
    <row r="2127" spans="1:4" x14ac:dyDescent="0.2">
      <c r="A2127">
        <v>9</v>
      </c>
      <c r="B2127">
        <v>-99.8</v>
      </c>
      <c r="C2127">
        <v>-100</v>
      </c>
      <c r="D2127" t="s">
        <v>5966</v>
      </c>
    </row>
    <row r="2128" spans="1:4" x14ac:dyDescent="0.2">
      <c r="A2128">
        <v>10</v>
      </c>
      <c r="B2128">
        <v>-100.1</v>
      </c>
      <c r="C2128">
        <v>-100</v>
      </c>
      <c r="D2128" t="s">
        <v>5966</v>
      </c>
    </row>
    <row r="2129" spans="1:4" x14ac:dyDescent="0.2">
      <c r="A2129">
        <v>11</v>
      </c>
      <c r="B2129">
        <v>-99.8</v>
      </c>
      <c r="C2129">
        <v>-100</v>
      </c>
      <c r="D2129" t="s">
        <v>5966</v>
      </c>
    </row>
    <row r="2130" spans="1:4" x14ac:dyDescent="0.2">
      <c r="A2130">
        <v>12</v>
      </c>
      <c r="B2130">
        <v>-100.2</v>
      </c>
      <c r="C2130">
        <v>-100</v>
      </c>
      <c r="D2130" t="s">
        <v>5966</v>
      </c>
    </row>
    <row r="2131" spans="1:4" x14ac:dyDescent="0.2">
      <c r="A2131">
        <v>7</v>
      </c>
      <c r="B2131">
        <v>-49.9</v>
      </c>
      <c r="C2131">
        <v>-50</v>
      </c>
      <c r="D2131" t="s">
        <v>5966</v>
      </c>
    </row>
    <row r="2132" spans="1:4" x14ac:dyDescent="0.2">
      <c r="A2132">
        <v>8</v>
      </c>
      <c r="B2132">
        <v>-50.2</v>
      </c>
      <c r="C2132">
        <v>-50</v>
      </c>
      <c r="D2132" t="s">
        <v>5966</v>
      </c>
    </row>
    <row r="2133" spans="1:4" x14ac:dyDescent="0.2">
      <c r="A2133">
        <v>9</v>
      </c>
      <c r="B2133">
        <v>-49.8</v>
      </c>
      <c r="C2133">
        <v>-50</v>
      </c>
      <c r="D2133" t="s">
        <v>5966</v>
      </c>
    </row>
    <row r="2134" spans="1:4" x14ac:dyDescent="0.2">
      <c r="A2134">
        <v>10</v>
      </c>
      <c r="B2134">
        <v>-50.1</v>
      </c>
      <c r="C2134">
        <v>-50</v>
      </c>
      <c r="D2134" t="s">
        <v>5966</v>
      </c>
    </row>
    <row r="2135" spans="1:4" x14ac:dyDescent="0.2">
      <c r="A2135">
        <v>11</v>
      </c>
      <c r="B2135">
        <v>-49.8</v>
      </c>
      <c r="C2135">
        <v>-50</v>
      </c>
      <c r="D2135" t="s">
        <v>5966</v>
      </c>
    </row>
    <row r="2136" spans="1:4" x14ac:dyDescent="0.2">
      <c r="A2136">
        <v>12</v>
      </c>
      <c r="B2136">
        <v>-50.2</v>
      </c>
      <c r="C2136">
        <v>-50</v>
      </c>
      <c r="D2136" t="s">
        <v>5966</v>
      </c>
    </row>
    <row r="2137" spans="1:4" x14ac:dyDescent="0.2">
      <c r="A2137">
        <v>7</v>
      </c>
      <c r="B2137">
        <v>0.1</v>
      </c>
      <c r="C2137">
        <v>0</v>
      </c>
      <c r="D2137" t="s">
        <v>5966</v>
      </c>
    </row>
    <row r="2138" spans="1:4" x14ac:dyDescent="0.2">
      <c r="A2138">
        <v>8</v>
      </c>
      <c r="B2138">
        <v>-0.1</v>
      </c>
      <c r="C2138">
        <v>0</v>
      </c>
      <c r="D2138" t="s">
        <v>5966</v>
      </c>
    </row>
    <row r="2139" spans="1:4" x14ac:dyDescent="0.2">
      <c r="A2139">
        <v>9</v>
      </c>
      <c r="B2139">
        <v>0.3</v>
      </c>
      <c r="C2139">
        <v>0</v>
      </c>
      <c r="D2139" t="s">
        <v>5966</v>
      </c>
    </row>
    <row r="2140" spans="1:4" x14ac:dyDescent="0.2">
      <c r="A2140">
        <v>10</v>
      </c>
      <c r="B2140">
        <v>0</v>
      </c>
      <c r="C2140">
        <v>0</v>
      </c>
      <c r="D2140" t="s">
        <v>5966</v>
      </c>
    </row>
    <row r="2141" spans="1:4" x14ac:dyDescent="0.2">
      <c r="A2141">
        <v>11</v>
      </c>
      <c r="B2141">
        <v>0.2</v>
      </c>
      <c r="C2141">
        <v>0</v>
      </c>
      <c r="D2141" t="s">
        <v>5966</v>
      </c>
    </row>
    <row r="2142" spans="1:4" x14ac:dyDescent="0.2">
      <c r="A2142">
        <v>12</v>
      </c>
      <c r="B2142">
        <v>-0.1</v>
      </c>
      <c r="C2142">
        <v>0</v>
      </c>
      <c r="D2142" t="s">
        <v>5966</v>
      </c>
    </row>
    <row r="2143" spans="1:4" x14ac:dyDescent="0.2">
      <c r="A2143">
        <v>7</v>
      </c>
      <c r="B2143">
        <v>250.1</v>
      </c>
      <c r="C2143">
        <v>250</v>
      </c>
      <c r="D2143" t="s">
        <v>5966</v>
      </c>
    </row>
    <row r="2144" spans="1:4" x14ac:dyDescent="0.2">
      <c r="A2144">
        <v>8</v>
      </c>
      <c r="B2144">
        <v>249.8</v>
      </c>
      <c r="C2144">
        <v>250</v>
      </c>
      <c r="D2144" t="s">
        <v>5966</v>
      </c>
    </row>
    <row r="2145" spans="1:4" x14ac:dyDescent="0.2">
      <c r="A2145">
        <v>9</v>
      </c>
      <c r="B2145">
        <v>250.3</v>
      </c>
      <c r="C2145">
        <v>250</v>
      </c>
      <c r="D2145" t="s">
        <v>5966</v>
      </c>
    </row>
    <row r="2146" spans="1:4" x14ac:dyDescent="0.2">
      <c r="A2146">
        <v>10</v>
      </c>
      <c r="B2146">
        <v>250</v>
      </c>
      <c r="C2146">
        <v>250</v>
      </c>
      <c r="D2146" t="s">
        <v>5966</v>
      </c>
    </row>
    <row r="2147" spans="1:4" x14ac:dyDescent="0.2">
      <c r="A2147">
        <v>11</v>
      </c>
      <c r="B2147">
        <v>250.2</v>
      </c>
      <c r="C2147">
        <v>250</v>
      </c>
      <c r="D2147" t="s">
        <v>5966</v>
      </c>
    </row>
    <row r="2148" spans="1:4" x14ac:dyDescent="0.2">
      <c r="A2148">
        <v>12</v>
      </c>
      <c r="B2148">
        <v>250</v>
      </c>
      <c r="C2148">
        <v>250</v>
      </c>
      <c r="D2148" t="s">
        <v>5966</v>
      </c>
    </row>
    <row r="2149" spans="1:4" x14ac:dyDescent="0.2">
      <c r="A2149">
        <v>7</v>
      </c>
      <c r="B2149">
        <v>500.2</v>
      </c>
      <c r="C2149">
        <v>500</v>
      </c>
      <c r="D2149" t="s">
        <v>5966</v>
      </c>
    </row>
    <row r="2150" spans="1:4" x14ac:dyDescent="0.2">
      <c r="A2150">
        <v>8</v>
      </c>
      <c r="B2150">
        <v>499.8</v>
      </c>
      <c r="C2150">
        <v>500</v>
      </c>
      <c r="D2150" t="s">
        <v>5966</v>
      </c>
    </row>
    <row r="2151" spans="1:4" x14ac:dyDescent="0.2">
      <c r="A2151">
        <v>9</v>
      </c>
      <c r="B2151">
        <v>500.3</v>
      </c>
      <c r="C2151">
        <v>500</v>
      </c>
      <c r="D2151" t="s">
        <v>5966</v>
      </c>
    </row>
    <row r="2152" spans="1:4" x14ac:dyDescent="0.2">
      <c r="A2152">
        <v>10</v>
      </c>
      <c r="B2152">
        <v>500</v>
      </c>
      <c r="C2152">
        <v>500</v>
      </c>
      <c r="D2152" t="s">
        <v>5966</v>
      </c>
    </row>
    <row r="2153" spans="1:4" x14ac:dyDescent="0.2">
      <c r="A2153">
        <v>11</v>
      </c>
      <c r="B2153">
        <v>500.2</v>
      </c>
      <c r="C2153">
        <v>500</v>
      </c>
      <c r="D2153" t="s">
        <v>5966</v>
      </c>
    </row>
    <row r="2154" spans="1:4" x14ac:dyDescent="0.2">
      <c r="A2154">
        <v>12</v>
      </c>
      <c r="B2154">
        <v>500</v>
      </c>
      <c r="C2154">
        <v>500</v>
      </c>
      <c r="D2154" t="s">
        <v>5966</v>
      </c>
    </row>
    <row r="2155" spans="1:4" x14ac:dyDescent="0.2">
      <c r="A2155">
        <v>7</v>
      </c>
      <c r="B2155">
        <v>1000.2</v>
      </c>
      <c r="C2155">
        <v>1000</v>
      </c>
      <c r="D2155" t="s">
        <v>5966</v>
      </c>
    </row>
    <row r="2156" spans="1:4" x14ac:dyDescent="0.2">
      <c r="A2156">
        <v>8</v>
      </c>
      <c r="B2156">
        <v>999.8</v>
      </c>
      <c r="C2156">
        <v>1000</v>
      </c>
      <c r="D2156" t="s">
        <v>5966</v>
      </c>
    </row>
    <row r="2157" spans="1:4" x14ac:dyDescent="0.2">
      <c r="A2157">
        <v>9</v>
      </c>
      <c r="B2157">
        <v>1000.3</v>
      </c>
      <c r="C2157">
        <v>1000</v>
      </c>
      <c r="D2157" t="s">
        <v>5966</v>
      </c>
    </row>
    <row r="2158" spans="1:4" x14ac:dyDescent="0.2">
      <c r="A2158">
        <v>10</v>
      </c>
      <c r="B2158">
        <v>1000</v>
      </c>
      <c r="C2158">
        <v>1000</v>
      </c>
      <c r="D2158" t="s">
        <v>5966</v>
      </c>
    </row>
    <row r="2159" spans="1:4" x14ac:dyDescent="0.2">
      <c r="A2159">
        <v>11</v>
      </c>
      <c r="B2159">
        <v>1000.2</v>
      </c>
      <c r="C2159">
        <v>1000</v>
      </c>
      <c r="D2159" t="s">
        <v>5966</v>
      </c>
    </row>
    <row r="2160" spans="1:4" x14ac:dyDescent="0.2">
      <c r="A2160">
        <v>12</v>
      </c>
      <c r="B2160">
        <v>1000.1</v>
      </c>
      <c r="C2160">
        <v>1000</v>
      </c>
      <c r="D2160" t="s">
        <v>5966</v>
      </c>
    </row>
    <row r="2161" spans="1:4" x14ac:dyDescent="0.2">
      <c r="A2161">
        <v>13</v>
      </c>
      <c r="B2161">
        <v>-99.8</v>
      </c>
      <c r="C2161">
        <v>-100</v>
      </c>
      <c r="D2161" t="s">
        <v>5966</v>
      </c>
    </row>
    <row r="2162" spans="1:4" x14ac:dyDescent="0.2">
      <c r="A2162">
        <v>14</v>
      </c>
      <c r="B2162">
        <v>-99.5</v>
      </c>
      <c r="C2162">
        <v>-100</v>
      </c>
      <c r="D2162" t="s">
        <v>5966</v>
      </c>
    </row>
    <row r="2163" spans="1:4" x14ac:dyDescent="0.2">
      <c r="A2163">
        <v>15</v>
      </c>
      <c r="B2163">
        <v>-100.1</v>
      </c>
      <c r="C2163">
        <v>-100</v>
      </c>
      <c r="D2163" t="s">
        <v>5966</v>
      </c>
    </row>
    <row r="2164" spans="1:4" x14ac:dyDescent="0.2">
      <c r="A2164">
        <v>16</v>
      </c>
      <c r="B2164">
        <v>-100.2</v>
      </c>
      <c r="C2164">
        <v>-100</v>
      </c>
      <c r="D2164" t="s">
        <v>5966</v>
      </c>
    </row>
    <row r="2165" spans="1:4" x14ac:dyDescent="0.2">
      <c r="A2165">
        <v>17</v>
      </c>
      <c r="B2165">
        <v>-100.2</v>
      </c>
      <c r="C2165">
        <v>-100</v>
      </c>
      <c r="D2165" t="s">
        <v>5966</v>
      </c>
    </row>
    <row r="2166" spans="1:4" x14ac:dyDescent="0.2">
      <c r="A2166">
        <v>18</v>
      </c>
      <c r="B2166">
        <v>-100.2</v>
      </c>
      <c r="C2166">
        <v>-100</v>
      </c>
      <c r="D2166" t="s">
        <v>5966</v>
      </c>
    </row>
    <row r="2167" spans="1:4" x14ac:dyDescent="0.2">
      <c r="A2167">
        <v>13</v>
      </c>
      <c r="B2167">
        <v>-49.8</v>
      </c>
      <c r="C2167">
        <v>-50</v>
      </c>
      <c r="D2167" t="s">
        <v>5966</v>
      </c>
    </row>
    <row r="2168" spans="1:4" x14ac:dyDescent="0.2">
      <c r="A2168">
        <v>14</v>
      </c>
      <c r="B2168">
        <v>-49.5</v>
      </c>
      <c r="C2168">
        <v>-50</v>
      </c>
      <c r="D2168" t="s">
        <v>5966</v>
      </c>
    </row>
    <row r="2169" spans="1:4" x14ac:dyDescent="0.2">
      <c r="A2169">
        <v>15</v>
      </c>
      <c r="B2169">
        <v>-50.1</v>
      </c>
      <c r="C2169">
        <v>-50</v>
      </c>
      <c r="D2169" t="s">
        <v>5966</v>
      </c>
    </row>
    <row r="2170" spans="1:4" x14ac:dyDescent="0.2">
      <c r="A2170">
        <v>16</v>
      </c>
      <c r="B2170">
        <v>-50.2</v>
      </c>
      <c r="C2170">
        <v>-50</v>
      </c>
      <c r="D2170" t="s">
        <v>5966</v>
      </c>
    </row>
    <row r="2171" spans="1:4" x14ac:dyDescent="0.2">
      <c r="A2171">
        <v>17</v>
      </c>
      <c r="B2171">
        <v>-50.1</v>
      </c>
      <c r="C2171">
        <v>-50</v>
      </c>
      <c r="D2171" t="s">
        <v>5966</v>
      </c>
    </row>
    <row r="2172" spans="1:4" x14ac:dyDescent="0.2">
      <c r="A2172">
        <v>18</v>
      </c>
      <c r="B2172">
        <v>-50.1</v>
      </c>
      <c r="C2172">
        <v>-50</v>
      </c>
      <c r="D2172" t="s">
        <v>5966</v>
      </c>
    </row>
    <row r="2173" spans="1:4" x14ac:dyDescent="0.2">
      <c r="A2173">
        <v>13</v>
      </c>
      <c r="B2173">
        <v>0.2</v>
      </c>
      <c r="C2173">
        <v>0</v>
      </c>
      <c r="D2173" t="s">
        <v>5966</v>
      </c>
    </row>
    <row r="2174" spans="1:4" x14ac:dyDescent="0.2">
      <c r="A2174">
        <v>14</v>
      </c>
      <c r="B2174">
        <v>0.5</v>
      </c>
      <c r="C2174">
        <v>0</v>
      </c>
      <c r="D2174" t="s">
        <v>5966</v>
      </c>
    </row>
    <row r="2175" spans="1:4" x14ac:dyDescent="0.2">
      <c r="A2175">
        <v>15</v>
      </c>
      <c r="B2175">
        <v>-0.1</v>
      </c>
      <c r="C2175">
        <v>0</v>
      </c>
      <c r="D2175" t="s">
        <v>5966</v>
      </c>
    </row>
    <row r="2176" spans="1:4" x14ac:dyDescent="0.2">
      <c r="A2176">
        <v>16</v>
      </c>
      <c r="B2176">
        <v>-0.1</v>
      </c>
      <c r="C2176">
        <v>0</v>
      </c>
      <c r="D2176" t="s">
        <v>5966</v>
      </c>
    </row>
    <row r="2177" spans="1:4" x14ac:dyDescent="0.2">
      <c r="A2177">
        <v>17</v>
      </c>
      <c r="B2177">
        <v>-0.1</v>
      </c>
      <c r="C2177">
        <v>0</v>
      </c>
      <c r="D2177" t="s">
        <v>5966</v>
      </c>
    </row>
    <row r="2178" spans="1:4" x14ac:dyDescent="0.2">
      <c r="A2178">
        <v>18</v>
      </c>
      <c r="B2178">
        <v>0</v>
      </c>
      <c r="C2178">
        <v>0</v>
      </c>
      <c r="D2178" t="s">
        <v>5966</v>
      </c>
    </row>
    <row r="2179" spans="1:4" x14ac:dyDescent="0.2">
      <c r="A2179">
        <v>13</v>
      </c>
      <c r="B2179">
        <v>250.4</v>
      </c>
      <c r="C2179">
        <v>250</v>
      </c>
      <c r="D2179" t="s">
        <v>5966</v>
      </c>
    </row>
    <row r="2180" spans="1:4" x14ac:dyDescent="0.2">
      <c r="A2180">
        <v>14</v>
      </c>
      <c r="B2180">
        <v>250.5</v>
      </c>
      <c r="C2180">
        <v>250</v>
      </c>
      <c r="D2180" t="s">
        <v>5966</v>
      </c>
    </row>
    <row r="2181" spans="1:4" x14ac:dyDescent="0.2">
      <c r="A2181">
        <v>15</v>
      </c>
      <c r="B2181">
        <v>249.9</v>
      </c>
      <c r="C2181">
        <v>250</v>
      </c>
      <c r="D2181" t="s">
        <v>5966</v>
      </c>
    </row>
    <row r="2182" spans="1:4" x14ac:dyDescent="0.2">
      <c r="A2182">
        <v>16</v>
      </c>
      <c r="B2182">
        <v>250</v>
      </c>
      <c r="C2182">
        <v>250</v>
      </c>
      <c r="D2182" t="s">
        <v>5966</v>
      </c>
    </row>
    <row r="2183" spans="1:4" x14ac:dyDescent="0.2">
      <c r="A2183">
        <v>17</v>
      </c>
      <c r="B2183">
        <v>250</v>
      </c>
      <c r="C2183">
        <v>250</v>
      </c>
      <c r="D2183" t="s">
        <v>5966</v>
      </c>
    </row>
    <row r="2184" spans="1:4" x14ac:dyDescent="0.2">
      <c r="A2184">
        <v>18</v>
      </c>
      <c r="B2184">
        <v>250</v>
      </c>
      <c r="C2184">
        <v>250</v>
      </c>
      <c r="D2184" t="s">
        <v>5966</v>
      </c>
    </row>
    <row r="2185" spans="1:4" x14ac:dyDescent="0.2">
      <c r="A2185">
        <v>13</v>
      </c>
      <c r="B2185">
        <v>500.4</v>
      </c>
      <c r="C2185">
        <v>500</v>
      </c>
      <c r="D2185" t="s">
        <v>5966</v>
      </c>
    </row>
    <row r="2186" spans="1:4" x14ac:dyDescent="0.2">
      <c r="A2186">
        <v>14</v>
      </c>
      <c r="B2186">
        <v>500.5</v>
      </c>
      <c r="C2186">
        <v>500</v>
      </c>
      <c r="D2186" t="s">
        <v>5966</v>
      </c>
    </row>
    <row r="2187" spans="1:4" x14ac:dyDescent="0.2">
      <c r="A2187">
        <v>15</v>
      </c>
      <c r="B2187">
        <v>500</v>
      </c>
      <c r="C2187">
        <v>500</v>
      </c>
      <c r="D2187" t="s">
        <v>5966</v>
      </c>
    </row>
    <row r="2188" spans="1:4" x14ac:dyDescent="0.2">
      <c r="A2188">
        <v>16</v>
      </c>
      <c r="B2188">
        <v>500.1</v>
      </c>
      <c r="C2188">
        <v>500</v>
      </c>
      <c r="D2188" t="s">
        <v>5966</v>
      </c>
    </row>
    <row r="2189" spans="1:4" x14ac:dyDescent="0.2">
      <c r="A2189">
        <v>17</v>
      </c>
      <c r="B2189">
        <v>500</v>
      </c>
      <c r="C2189">
        <v>500</v>
      </c>
      <c r="D2189" t="s">
        <v>5966</v>
      </c>
    </row>
    <row r="2190" spans="1:4" x14ac:dyDescent="0.2">
      <c r="A2190">
        <v>18</v>
      </c>
      <c r="B2190">
        <v>500.1</v>
      </c>
      <c r="C2190">
        <v>500</v>
      </c>
      <c r="D2190" t="s">
        <v>5966</v>
      </c>
    </row>
    <row r="2191" spans="1:4" x14ac:dyDescent="0.2">
      <c r="A2191">
        <v>13</v>
      </c>
      <c r="B2191">
        <v>1000.5</v>
      </c>
      <c r="C2191">
        <v>1000</v>
      </c>
      <c r="D2191" t="s">
        <v>5966</v>
      </c>
    </row>
    <row r="2192" spans="1:4" x14ac:dyDescent="0.2">
      <c r="A2192">
        <v>14</v>
      </c>
      <c r="B2192">
        <v>1000.5</v>
      </c>
      <c r="C2192">
        <v>1000</v>
      </c>
      <c r="D2192" t="s">
        <v>5966</v>
      </c>
    </row>
    <row r="2193" spans="1:4" x14ac:dyDescent="0.2">
      <c r="A2193">
        <v>15</v>
      </c>
      <c r="B2193">
        <v>1000.1</v>
      </c>
      <c r="C2193">
        <v>1000</v>
      </c>
      <c r="D2193" t="s">
        <v>5966</v>
      </c>
    </row>
    <row r="2194" spans="1:4" x14ac:dyDescent="0.2">
      <c r="A2194">
        <v>16</v>
      </c>
      <c r="B2194">
        <v>1000.2</v>
      </c>
      <c r="C2194">
        <v>1000</v>
      </c>
      <c r="D2194" t="s">
        <v>5966</v>
      </c>
    </row>
    <row r="2195" spans="1:4" x14ac:dyDescent="0.2">
      <c r="A2195">
        <v>17</v>
      </c>
      <c r="B2195">
        <v>1000</v>
      </c>
      <c r="C2195">
        <v>1000</v>
      </c>
      <c r="D2195" t="s">
        <v>5966</v>
      </c>
    </row>
    <row r="2196" spans="1:4" x14ac:dyDescent="0.2">
      <c r="A2196">
        <v>18</v>
      </c>
      <c r="B2196">
        <v>1000.1</v>
      </c>
      <c r="C2196">
        <v>1000</v>
      </c>
      <c r="D2196" t="s">
        <v>5966</v>
      </c>
    </row>
    <row r="2197" spans="1:4" x14ac:dyDescent="0.2">
      <c r="A2197">
        <v>19</v>
      </c>
      <c r="B2197">
        <v>-99.9</v>
      </c>
      <c r="C2197">
        <v>-100</v>
      </c>
      <c r="D2197" t="s">
        <v>5966</v>
      </c>
    </row>
    <row r="2198" spans="1:4" x14ac:dyDescent="0.2">
      <c r="A2198">
        <v>20</v>
      </c>
      <c r="B2198">
        <v>-100.2</v>
      </c>
      <c r="C2198">
        <v>-100</v>
      </c>
      <c r="D2198" t="s">
        <v>5966</v>
      </c>
    </row>
    <row r="2199" spans="1:4" x14ac:dyDescent="0.2">
      <c r="A2199">
        <v>21</v>
      </c>
      <c r="B2199">
        <v>-100.2</v>
      </c>
      <c r="C2199">
        <v>-100</v>
      </c>
      <c r="D2199" t="s">
        <v>5966</v>
      </c>
    </row>
    <row r="2200" spans="1:4" x14ac:dyDescent="0.2">
      <c r="A2200">
        <v>22</v>
      </c>
      <c r="B2200">
        <v>-100.3</v>
      </c>
      <c r="C2200">
        <v>-100</v>
      </c>
      <c r="D2200" t="s">
        <v>5966</v>
      </c>
    </row>
    <row r="2201" spans="1:4" x14ac:dyDescent="0.2">
      <c r="A2201">
        <v>23</v>
      </c>
      <c r="B2201">
        <v>-100.2</v>
      </c>
      <c r="C2201">
        <v>-100</v>
      </c>
      <c r="D2201" t="s">
        <v>5966</v>
      </c>
    </row>
    <row r="2202" spans="1:4" x14ac:dyDescent="0.2">
      <c r="A2202">
        <v>24</v>
      </c>
      <c r="B2202">
        <v>-100.1</v>
      </c>
      <c r="C2202">
        <v>-100</v>
      </c>
      <c r="D2202" t="s">
        <v>5966</v>
      </c>
    </row>
    <row r="2203" spans="1:4" x14ac:dyDescent="0.2">
      <c r="A2203">
        <v>19</v>
      </c>
      <c r="B2203">
        <v>-49.9</v>
      </c>
      <c r="C2203">
        <v>-50</v>
      </c>
      <c r="D2203" t="s">
        <v>5966</v>
      </c>
    </row>
    <row r="2204" spans="1:4" x14ac:dyDescent="0.2">
      <c r="A2204">
        <v>20</v>
      </c>
      <c r="B2204">
        <v>-50.1</v>
      </c>
      <c r="C2204">
        <v>-50</v>
      </c>
      <c r="D2204" t="s">
        <v>5966</v>
      </c>
    </row>
    <row r="2205" spans="1:4" x14ac:dyDescent="0.2">
      <c r="A2205">
        <v>21</v>
      </c>
      <c r="B2205">
        <v>-50.2</v>
      </c>
      <c r="C2205">
        <v>-50</v>
      </c>
      <c r="D2205" t="s">
        <v>5966</v>
      </c>
    </row>
    <row r="2206" spans="1:4" x14ac:dyDescent="0.2">
      <c r="A2206">
        <v>22</v>
      </c>
      <c r="B2206">
        <v>-50.3</v>
      </c>
      <c r="C2206">
        <v>-50</v>
      </c>
      <c r="D2206" t="s">
        <v>5966</v>
      </c>
    </row>
    <row r="2207" spans="1:4" x14ac:dyDescent="0.2">
      <c r="A2207">
        <v>23</v>
      </c>
      <c r="B2207">
        <v>-50.2</v>
      </c>
      <c r="C2207">
        <v>-50</v>
      </c>
      <c r="D2207" t="s">
        <v>5966</v>
      </c>
    </row>
    <row r="2208" spans="1:4" x14ac:dyDescent="0.2">
      <c r="A2208">
        <v>24</v>
      </c>
      <c r="B2208">
        <v>-50.1</v>
      </c>
      <c r="C2208">
        <v>-50</v>
      </c>
      <c r="D2208" t="s">
        <v>5966</v>
      </c>
    </row>
    <row r="2209" spans="1:4" x14ac:dyDescent="0.2">
      <c r="A2209">
        <v>19</v>
      </c>
      <c r="B2209">
        <v>0.1</v>
      </c>
      <c r="C2209">
        <v>0</v>
      </c>
      <c r="D2209" t="s">
        <v>5966</v>
      </c>
    </row>
    <row r="2210" spans="1:4" x14ac:dyDescent="0.2">
      <c r="A2210">
        <v>20</v>
      </c>
      <c r="B2210">
        <v>0</v>
      </c>
      <c r="C2210">
        <v>0</v>
      </c>
      <c r="D2210" t="s">
        <v>5966</v>
      </c>
    </row>
    <row r="2211" spans="1:4" x14ac:dyDescent="0.2">
      <c r="A2211">
        <v>21</v>
      </c>
      <c r="B2211">
        <v>0</v>
      </c>
      <c r="C2211">
        <v>0</v>
      </c>
      <c r="D2211" t="s">
        <v>5966</v>
      </c>
    </row>
    <row r="2212" spans="1:4" x14ac:dyDescent="0.2">
      <c r="A2212">
        <v>22</v>
      </c>
      <c r="B2212">
        <v>-0.1</v>
      </c>
      <c r="C2212">
        <v>0</v>
      </c>
      <c r="D2212" t="s">
        <v>5966</v>
      </c>
    </row>
    <row r="2213" spans="1:4" x14ac:dyDescent="0.2">
      <c r="A2213">
        <v>23</v>
      </c>
      <c r="B2213">
        <v>-0.2</v>
      </c>
      <c r="C2213">
        <v>0</v>
      </c>
      <c r="D2213" t="s">
        <v>5966</v>
      </c>
    </row>
    <row r="2214" spans="1:4" x14ac:dyDescent="0.2">
      <c r="A2214">
        <v>24</v>
      </c>
      <c r="B2214">
        <v>0.1</v>
      </c>
      <c r="C2214">
        <v>0</v>
      </c>
      <c r="D2214" t="s">
        <v>5966</v>
      </c>
    </row>
    <row r="2215" spans="1:4" x14ac:dyDescent="0.2">
      <c r="A2215">
        <v>19</v>
      </c>
      <c r="B2215">
        <v>250.1</v>
      </c>
      <c r="C2215">
        <v>250</v>
      </c>
      <c r="D2215" t="s">
        <v>5966</v>
      </c>
    </row>
    <row r="2216" spans="1:4" x14ac:dyDescent="0.2">
      <c r="A2216">
        <v>20</v>
      </c>
      <c r="B2216">
        <v>249.9</v>
      </c>
      <c r="C2216">
        <v>250</v>
      </c>
      <c r="D2216" t="s">
        <v>5966</v>
      </c>
    </row>
    <row r="2217" spans="1:4" x14ac:dyDescent="0.2">
      <c r="A2217">
        <v>21</v>
      </c>
      <c r="B2217">
        <v>249.9</v>
      </c>
      <c r="C2217">
        <v>250</v>
      </c>
      <c r="D2217" t="s">
        <v>5966</v>
      </c>
    </row>
    <row r="2218" spans="1:4" x14ac:dyDescent="0.2">
      <c r="A2218">
        <v>22</v>
      </c>
      <c r="B2218">
        <v>249.9</v>
      </c>
      <c r="C2218">
        <v>250</v>
      </c>
      <c r="D2218" t="s">
        <v>5966</v>
      </c>
    </row>
    <row r="2219" spans="1:4" x14ac:dyDescent="0.2">
      <c r="A2219">
        <v>23</v>
      </c>
      <c r="B2219">
        <v>250.1</v>
      </c>
      <c r="C2219">
        <v>250</v>
      </c>
      <c r="D2219" t="s">
        <v>5966</v>
      </c>
    </row>
    <row r="2220" spans="1:4" x14ac:dyDescent="0.2">
      <c r="A2220">
        <v>24</v>
      </c>
      <c r="B2220">
        <v>250.2</v>
      </c>
      <c r="C2220">
        <v>250</v>
      </c>
      <c r="D2220" t="s">
        <v>5966</v>
      </c>
    </row>
    <row r="2221" spans="1:4" x14ac:dyDescent="0.2">
      <c r="A2221">
        <v>19</v>
      </c>
      <c r="B2221">
        <v>500.2</v>
      </c>
      <c r="C2221">
        <v>500</v>
      </c>
      <c r="D2221" t="s">
        <v>5966</v>
      </c>
    </row>
    <row r="2222" spans="1:4" x14ac:dyDescent="0.2">
      <c r="A2222">
        <v>20</v>
      </c>
      <c r="B2222">
        <v>500</v>
      </c>
      <c r="C2222">
        <v>500</v>
      </c>
      <c r="D2222" t="s">
        <v>5966</v>
      </c>
    </row>
    <row r="2223" spans="1:4" x14ac:dyDescent="0.2">
      <c r="A2223">
        <v>21</v>
      </c>
      <c r="B2223">
        <v>499.9</v>
      </c>
      <c r="C2223">
        <v>500</v>
      </c>
      <c r="D2223" t="s">
        <v>5966</v>
      </c>
    </row>
    <row r="2224" spans="1:4" x14ac:dyDescent="0.2">
      <c r="A2224">
        <v>22</v>
      </c>
      <c r="B2224">
        <v>499.9</v>
      </c>
      <c r="C2224">
        <v>500</v>
      </c>
      <c r="D2224" t="s">
        <v>5966</v>
      </c>
    </row>
    <row r="2225" spans="1:4" x14ac:dyDescent="0.2">
      <c r="A2225">
        <v>23</v>
      </c>
      <c r="B2225">
        <v>500</v>
      </c>
      <c r="C2225">
        <v>500</v>
      </c>
      <c r="D2225" t="s">
        <v>5966</v>
      </c>
    </row>
    <row r="2226" spans="1:4" x14ac:dyDescent="0.2">
      <c r="A2226">
        <v>24</v>
      </c>
      <c r="B2226">
        <v>500.2</v>
      </c>
      <c r="C2226">
        <v>500</v>
      </c>
      <c r="D2226" t="s">
        <v>5966</v>
      </c>
    </row>
    <row r="2227" spans="1:4" x14ac:dyDescent="0.2">
      <c r="A2227">
        <v>19</v>
      </c>
      <c r="B2227">
        <v>1000.2</v>
      </c>
      <c r="C2227">
        <v>1000</v>
      </c>
      <c r="D2227" t="s">
        <v>5966</v>
      </c>
    </row>
    <row r="2228" spans="1:4" x14ac:dyDescent="0.2">
      <c r="A2228">
        <v>20</v>
      </c>
      <c r="B2228">
        <v>999.8</v>
      </c>
      <c r="C2228">
        <v>1000</v>
      </c>
      <c r="D2228" t="s">
        <v>5966</v>
      </c>
    </row>
    <row r="2229" spans="1:4" x14ac:dyDescent="0.2">
      <c r="A2229">
        <v>21</v>
      </c>
      <c r="B2229">
        <v>999.8</v>
      </c>
      <c r="C2229">
        <v>1000</v>
      </c>
      <c r="D2229" t="s">
        <v>5966</v>
      </c>
    </row>
    <row r="2230" spans="1:4" x14ac:dyDescent="0.2">
      <c r="A2230">
        <v>22</v>
      </c>
      <c r="B2230">
        <v>1000</v>
      </c>
      <c r="C2230">
        <v>1000</v>
      </c>
      <c r="D2230" t="s">
        <v>5966</v>
      </c>
    </row>
    <row r="2231" spans="1:4" x14ac:dyDescent="0.2">
      <c r="A2231">
        <v>23</v>
      </c>
      <c r="B2231">
        <v>1000</v>
      </c>
      <c r="C2231">
        <v>1000</v>
      </c>
      <c r="D2231" t="s">
        <v>5966</v>
      </c>
    </row>
    <row r="2232" spans="1:4" x14ac:dyDescent="0.2">
      <c r="A2232">
        <v>24</v>
      </c>
      <c r="B2232">
        <v>1000.2</v>
      </c>
      <c r="C2232">
        <v>1000</v>
      </c>
      <c r="D2232" t="s">
        <v>5966</v>
      </c>
    </row>
    <row r="2233" spans="1:4" x14ac:dyDescent="0.2">
      <c r="A2233">
        <v>25</v>
      </c>
      <c r="B2233">
        <v>-99.9</v>
      </c>
      <c r="C2233">
        <v>-100</v>
      </c>
      <c r="D2233" t="s">
        <v>5966</v>
      </c>
    </row>
    <row r="2234" spans="1:4" x14ac:dyDescent="0.2">
      <c r="A2234">
        <v>26</v>
      </c>
      <c r="B2234">
        <v>-100.2</v>
      </c>
      <c r="C2234">
        <v>-100</v>
      </c>
      <c r="D2234" t="s">
        <v>5966</v>
      </c>
    </row>
    <row r="2235" spans="1:4" x14ac:dyDescent="0.2">
      <c r="A2235">
        <v>27</v>
      </c>
      <c r="B2235">
        <v>-100.4</v>
      </c>
      <c r="C2235">
        <v>-100</v>
      </c>
      <c r="D2235" t="s">
        <v>5966</v>
      </c>
    </row>
    <row r="2236" spans="1:4" x14ac:dyDescent="0.2">
      <c r="A2236">
        <v>28</v>
      </c>
      <c r="B2236">
        <v>-100.1</v>
      </c>
      <c r="C2236">
        <v>-100</v>
      </c>
      <c r="D2236" t="s">
        <v>5966</v>
      </c>
    </row>
    <row r="2237" spans="1:4" x14ac:dyDescent="0.2">
      <c r="A2237">
        <v>29</v>
      </c>
      <c r="B2237">
        <v>-99.7</v>
      </c>
      <c r="C2237">
        <v>-100</v>
      </c>
      <c r="D2237" t="s">
        <v>5966</v>
      </c>
    </row>
    <row r="2238" spans="1:4" x14ac:dyDescent="0.2">
      <c r="A2238">
        <v>30</v>
      </c>
      <c r="B2238">
        <v>-100.3</v>
      </c>
      <c r="C2238">
        <v>-100</v>
      </c>
      <c r="D2238" t="s">
        <v>5966</v>
      </c>
    </row>
    <row r="2239" spans="1:4" x14ac:dyDescent="0.2">
      <c r="A2239">
        <v>25</v>
      </c>
      <c r="B2239">
        <v>-49.9</v>
      </c>
      <c r="C2239">
        <v>-50</v>
      </c>
      <c r="D2239" t="s">
        <v>5966</v>
      </c>
    </row>
    <row r="2240" spans="1:4" x14ac:dyDescent="0.2">
      <c r="A2240">
        <v>26</v>
      </c>
      <c r="B2240">
        <v>-50.2</v>
      </c>
      <c r="C2240">
        <v>-50</v>
      </c>
      <c r="D2240" t="s">
        <v>5966</v>
      </c>
    </row>
    <row r="2241" spans="1:4" x14ac:dyDescent="0.2">
      <c r="A2241">
        <v>27</v>
      </c>
      <c r="B2241">
        <v>-50.4</v>
      </c>
      <c r="C2241">
        <v>-50</v>
      </c>
      <c r="D2241" t="s">
        <v>5966</v>
      </c>
    </row>
    <row r="2242" spans="1:4" x14ac:dyDescent="0.2">
      <c r="A2242">
        <v>28</v>
      </c>
      <c r="B2242">
        <v>-49.8</v>
      </c>
      <c r="C2242">
        <v>-50</v>
      </c>
      <c r="D2242" t="s">
        <v>5966</v>
      </c>
    </row>
    <row r="2243" spans="1:4" x14ac:dyDescent="0.2">
      <c r="A2243">
        <v>29</v>
      </c>
      <c r="B2243">
        <v>-49.7</v>
      </c>
      <c r="C2243">
        <v>-50</v>
      </c>
      <c r="D2243" t="s">
        <v>5966</v>
      </c>
    </row>
    <row r="2244" spans="1:4" x14ac:dyDescent="0.2">
      <c r="A2244">
        <v>30</v>
      </c>
      <c r="B2244">
        <v>-50.3</v>
      </c>
      <c r="C2244">
        <v>-50</v>
      </c>
      <c r="D2244" t="s">
        <v>5966</v>
      </c>
    </row>
    <row r="2245" spans="1:4" x14ac:dyDescent="0.2">
      <c r="A2245">
        <v>25</v>
      </c>
      <c r="B2245">
        <v>0.1</v>
      </c>
      <c r="C2245">
        <v>0</v>
      </c>
      <c r="D2245" t="s">
        <v>5966</v>
      </c>
    </row>
    <row r="2246" spans="1:4" x14ac:dyDescent="0.2">
      <c r="A2246">
        <v>26</v>
      </c>
      <c r="B2246">
        <v>0</v>
      </c>
      <c r="C2246">
        <v>0</v>
      </c>
      <c r="D2246" t="s">
        <v>5966</v>
      </c>
    </row>
    <row r="2247" spans="1:4" x14ac:dyDescent="0.2">
      <c r="A2247">
        <v>27</v>
      </c>
      <c r="B2247">
        <v>-0.3</v>
      </c>
      <c r="C2247">
        <v>0</v>
      </c>
      <c r="D2247" t="s">
        <v>5966</v>
      </c>
    </row>
    <row r="2248" spans="1:4" x14ac:dyDescent="0.2">
      <c r="A2248">
        <v>28</v>
      </c>
      <c r="B2248">
        <v>0.3</v>
      </c>
      <c r="C2248">
        <v>0</v>
      </c>
      <c r="D2248" t="s">
        <v>5966</v>
      </c>
    </row>
    <row r="2249" spans="1:4" x14ac:dyDescent="0.2">
      <c r="A2249">
        <v>29</v>
      </c>
      <c r="B2249">
        <v>0.2</v>
      </c>
      <c r="C2249">
        <v>0</v>
      </c>
      <c r="D2249" t="s">
        <v>5966</v>
      </c>
    </row>
    <row r="2250" spans="1:4" x14ac:dyDescent="0.2">
      <c r="A2250">
        <v>30</v>
      </c>
      <c r="B2250">
        <v>-0.3</v>
      </c>
      <c r="C2250">
        <v>0</v>
      </c>
      <c r="D2250" t="s">
        <v>5966</v>
      </c>
    </row>
    <row r="2251" spans="1:4" x14ac:dyDescent="0.2">
      <c r="A2251">
        <v>25</v>
      </c>
      <c r="B2251">
        <v>250</v>
      </c>
      <c r="C2251">
        <v>250</v>
      </c>
      <c r="D2251" t="s">
        <v>5966</v>
      </c>
    </row>
    <row r="2252" spans="1:4" x14ac:dyDescent="0.2">
      <c r="A2252">
        <v>26</v>
      </c>
      <c r="B2252">
        <v>250</v>
      </c>
      <c r="C2252">
        <v>250</v>
      </c>
      <c r="D2252" t="s">
        <v>5966</v>
      </c>
    </row>
    <row r="2253" spans="1:4" x14ac:dyDescent="0.2">
      <c r="A2253">
        <v>27</v>
      </c>
      <c r="B2253">
        <v>250</v>
      </c>
      <c r="C2253">
        <v>250</v>
      </c>
      <c r="D2253" t="s">
        <v>5966</v>
      </c>
    </row>
    <row r="2254" spans="1:4" x14ac:dyDescent="0.2">
      <c r="A2254">
        <v>28</v>
      </c>
      <c r="B2254">
        <v>250.2</v>
      </c>
      <c r="C2254">
        <v>250</v>
      </c>
      <c r="D2254" t="s">
        <v>5966</v>
      </c>
    </row>
    <row r="2255" spans="1:4" x14ac:dyDescent="0.2">
      <c r="A2255">
        <v>29</v>
      </c>
      <c r="B2255">
        <v>250.2</v>
      </c>
      <c r="C2255">
        <v>250</v>
      </c>
      <c r="D2255" t="s">
        <v>5966</v>
      </c>
    </row>
    <row r="2256" spans="1:4" x14ac:dyDescent="0.2">
      <c r="A2256">
        <v>30</v>
      </c>
      <c r="B2256">
        <v>249.8</v>
      </c>
      <c r="C2256">
        <v>250</v>
      </c>
      <c r="D2256" t="s">
        <v>5966</v>
      </c>
    </row>
    <row r="2257" spans="1:4" x14ac:dyDescent="0.2">
      <c r="A2257">
        <v>25</v>
      </c>
      <c r="B2257">
        <v>500</v>
      </c>
      <c r="C2257">
        <v>500</v>
      </c>
      <c r="D2257" t="s">
        <v>5966</v>
      </c>
    </row>
    <row r="2258" spans="1:4" x14ac:dyDescent="0.2">
      <c r="A2258">
        <v>26</v>
      </c>
      <c r="B2258">
        <v>500.1</v>
      </c>
      <c r="C2258">
        <v>500</v>
      </c>
      <c r="D2258" t="s">
        <v>5966</v>
      </c>
    </row>
    <row r="2259" spans="1:4" x14ac:dyDescent="0.2">
      <c r="A2259">
        <v>27</v>
      </c>
      <c r="B2259">
        <v>500</v>
      </c>
      <c r="C2259">
        <v>500</v>
      </c>
      <c r="D2259" t="s">
        <v>5966</v>
      </c>
    </row>
    <row r="2260" spans="1:4" x14ac:dyDescent="0.2">
      <c r="A2260">
        <v>28</v>
      </c>
      <c r="B2260">
        <v>500.3</v>
      </c>
      <c r="C2260">
        <v>500</v>
      </c>
      <c r="D2260" t="s">
        <v>5966</v>
      </c>
    </row>
    <row r="2261" spans="1:4" x14ac:dyDescent="0.2">
      <c r="A2261">
        <v>29</v>
      </c>
      <c r="B2261">
        <v>500.3</v>
      </c>
      <c r="C2261">
        <v>500</v>
      </c>
      <c r="D2261" t="s">
        <v>5966</v>
      </c>
    </row>
    <row r="2262" spans="1:4" x14ac:dyDescent="0.2">
      <c r="A2262">
        <v>30</v>
      </c>
      <c r="B2262">
        <v>499.8</v>
      </c>
      <c r="C2262">
        <v>500</v>
      </c>
      <c r="D2262" t="s">
        <v>5966</v>
      </c>
    </row>
    <row r="2263" spans="1:4" x14ac:dyDescent="0.2">
      <c r="A2263">
        <v>25</v>
      </c>
      <c r="B2263">
        <v>999.9</v>
      </c>
      <c r="C2263">
        <v>1000</v>
      </c>
      <c r="D2263" t="s">
        <v>5966</v>
      </c>
    </row>
    <row r="2264" spans="1:4" x14ac:dyDescent="0.2">
      <c r="A2264">
        <v>26</v>
      </c>
      <c r="B2264">
        <v>1000.1</v>
      </c>
      <c r="C2264">
        <v>1000</v>
      </c>
      <c r="D2264" t="s">
        <v>5966</v>
      </c>
    </row>
    <row r="2265" spans="1:4" x14ac:dyDescent="0.2">
      <c r="A2265">
        <v>27</v>
      </c>
      <c r="B2265">
        <v>1000.2</v>
      </c>
      <c r="C2265">
        <v>1000</v>
      </c>
      <c r="D2265" t="s">
        <v>5966</v>
      </c>
    </row>
    <row r="2266" spans="1:4" x14ac:dyDescent="0.2">
      <c r="A2266">
        <v>28</v>
      </c>
      <c r="B2266">
        <v>1000.3</v>
      </c>
      <c r="C2266">
        <v>1000</v>
      </c>
      <c r="D2266" t="s">
        <v>5966</v>
      </c>
    </row>
    <row r="2267" spans="1:4" x14ac:dyDescent="0.2">
      <c r="A2267">
        <v>29</v>
      </c>
      <c r="B2267">
        <v>1000.3</v>
      </c>
      <c r="C2267">
        <v>1000</v>
      </c>
      <c r="D2267" t="s">
        <v>5966</v>
      </c>
    </row>
    <row r="2268" spans="1:4" x14ac:dyDescent="0.2">
      <c r="A2268">
        <v>30</v>
      </c>
      <c r="B2268">
        <v>999.8</v>
      </c>
      <c r="C2268">
        <v>1000</v>
      </c>
      <c r="D2268" t="s">
        <v>5966</v>
      </c>
    </row>
    <row r="2269" spans="1:4" x14ac:dyDescent="0.2">
      <c r="A2269">
        <v>31</v>
      </c>
      <c r="B2269">
        <v>-100.2</v>
      </c>
      <c r="C2269">
        <v>-100</v>
      </c>
      <c r="D2269" t="s">
        <v>5966</v>
      </c>
    </row>
    <row r="2270" spans="1:4" x14ac:dyDescent="0.2">
      <c r="A2270">
        <v>32</v>
      </c>
      <c r="B2270">
        <v>-99.9</v>
      </c>
      <c r="C2270">
        <v>-100</v>
      </c>
      <c r="D2270" t="s">
        <v>5966</v>
      </c>
    </row>
    <row r="2271" spans="1:4" x14ac:dyDescent="0.2">
      <c r="A2271">
        <v>33</v>
      </c>
      <c r="B2271">
        <v>-99.9</v>
      </c>
      <c r="C2271">
        <v>-100</v>
      </c>
      <c r="D2271" t="s">
        <v>5966</v>
      </c>
    </row>
    <row r="2272" spans="1:4" x14ac:dyDescent="0.2">
      <c r="A2272">
        <v>34</v>
      </c>
      <c r="B2272">
        <v>-99.8</v>
      </c>
      <c r="C2272">
        <v>-100</v>
      </c>
      <c r="D2272" t="s">
        <v>5966</v>
      </c>
    </row>
    <row r="2273" spans="1:4" x14ac:dyDescent="0.2">
      <c r="A2273">
        <v>35</v>
      </c>
      <c r="B2273">
        <v>-100.2</v>
      </c>
      <c r="C2273">
        <v>-100</v>
      </c>
      <c r="D2273" t="s">
        <v>5966</v>
      </c>
    </row>
    <row r="2274" spans="1:4" x14ac:dyDescent="0.2">
      <c r="A2274">
        <v>36</v>
      </c>
      <c r="B2274">
        <v>-100.1</v>
      </c>
      <c r="C2274">
        <v>-100</v>
      </c>
      <c r="D2274" t="s">
        <v>5966</v>
      </c>
    </row>
    <row r="2275" spans="1:4" x14ac:dyDescent="0.2">
      <c r="A2275">
        <v>31</v>
      </c>
      <c r="B2275">
        <v>-50.2</v>
      </c>
      <c r="C2275">
        <v>-50</v>
      </c>
      <c r="D2275" t="s">
        <v>5966</v>
      </c>
    </row>
    <row r="2276" spans="1:4" x14ac:dyDescent="0.2">
      <c r="A2276">
        <v>32</v>
      </c>
      <c r="B2276">
        <v>-49.9</v>
      </c>
      <c r="C2276">
        <v>-50</v>
      </c>
      <c r="D2276" t="s">
        <v>5966</v>
      </c>
    </row>
    <row r="2277" spans="1:4" x14ac:dyDescent="0.2">
      <c r="A2277">
        <v>33</v>
      </c>
      <c r="B2277">
        <v>-49.9</v>
      </c>
      <c r="C2277">
        <v>-50</v>
      </c>
      <c r="D2277" t="s">
        <v>5966</v>
      </c>
    </row>
    <row r="2278" spans="1:4" x14ac:dyDescent="0.2">
      <c r="A2278">
        <v>34</v>
      </c>
      <c r="B2278">
        <v>-49.8</v>
      </c>
      <c r="C2278">
        <v>-50</v>
      </c>
      <c r="D2278" t="s">
        <v>5966</v>
      </c>
    </row>
    <row r="2279" spans="1:4" x14ac:dyDescent="0.2">
      <c r="A2279">
        <v>35</v>
      </c>
      <c r="B2279">
        <v>-50.2</v>
      </c>
      <c r="C2279">
        <v>-50</v>
      </c>
      <c r="D2279" t="s">
        <v>5966</v>
      </c>
    </row>
    <row r="2280" spans="1:4" x14ac:dyDescent="0.2">
      <c r="A2280">
        <v>36</v>
      </c>
      <c r="B2280">
        <v>-50</v>
      </c>
      <c r="C2280">
        <v>-50</v>
      </c>
      <c r="D2280" t="s">
        <v>5966</v>
      </c>
    </row>
    <row r="2281" spans="1:4" x14ac:dyDescent="0.2">
      <c r="A2281">
        <v>31</v>
      </c>
      <c r="B2281">
        <v>-0.3</v>
      </c>
      <c r="C2281">
        <v>0</v>
      </c>
      <c r="D2281" t="s">
        <v>5966</v>
      </c>
    </row>
    <row r="2282" spans="1:4" x14ac:dyDescent="0.2">
      <c r="A2282">
        <v>32</v>
      </c>
      <c r="B2282">
        <v>0</v>
      </c>
      <c r="C2282">
        <v>0</v>
      </c>
      <c r="D2282" t="s">
        <v>5966</v>
      </c>
    </row>
    <row r="2283" spans="1:4" x14ac:dyDescent="0.2">
      <c r="A2283">
        <v>33</v>
      </c>
      <c r="B2283">
        <v>0.3</v>
      </c>
      <c r="C2283">
        <v>0</v>
      </c>
      <c r="D2283" t="s">
        <v>5966</v>
      </c>
    </row>
    <row r="2284" spans="1:4" x14ac:dyDescent="0.2">
      <c r="A2284">
        <v>34</v>
      </c>
      <c r="B2284">
        <v>0.2</v>
      </c>
      <c r="C2284">
        <v>0</v>
      </c>
      <c r="D2284" t="s">
        <v>5966</v>
      </c>
    </row>
    <row r="2285" spans="1:4" x14ac:dyDescent="0.2">
      <c r="A2285">
        <v>35</v>
      </c>
      <c r="B2285">
        <v>-0.3</v>
      </c>
      <c r="C2285">
        <v>0</v>
      </c>
      <c r="D2285" t="s">
        <v>5966</v>
      </c>
    </row>
    <row r="2286" spans="1:4" x14ac:dyDescent="0.2">
      <c r="A2286">
        <v>36</v>
      </c>
      <c r="B2286">
        <v>-0.1</v>
      </c>
      <c r="C2286">
        <v>0</v>
      </c>
      <c r="D2286" t="s">
        <v>5966</v>
      </c>
    </row>
    <row r="2287" spans="1:4" x14ac:dyDescent="0.2">
      <c r="A2287">
        <v>31</v>
      </c>
      <c r="B2287">
        <v>249.8</v>
      </c>
      <c r="C2287">
        <v>250</v>
      </c>
      <c r="D2287" t="s">
        <v>5966</v>
      </c>
    </row>
    <row r="2288" spans="1:4" x14ac:dyDescent="0.2">
      <c r="A2288">
        <v>32</v>
      </c>
      <c r="B2288">
        <v>250</v>
      </c>
      <c r="C2288">
        <v>250</v>
      </c>
      <c r="D2288" t="s">
        <v>5966</v>
      </c>
    </row>
    <row r="2289" spans="1:4" x14ac:dyDescent="0.2">
      <c r="A2289">
        <v>33</v>
      </c>
      <c r="B2289">
        <v>250.4</v>
      </c>
      <c r="C2289">
        <v>250</v>
      </c>
      <c r="D2289" t="s">
        <v>5966</v>
      </c>
    </row>
    <row r="2290" spans="1:4" x14ac:dyDescent="0.2">
      <c r="A2290">
        <v>34</v>
      </c>
      <c r="B2290">
        <v>250.5</v>
      </c>
      <c r="C2290">
        <v>250</v>
      </c>
      <c r="D2290" t="s">
        <v>5966</v>
      </c>
    </row>
    <row r="2291" spans="1:4" x14ac:dyDescent="0.2">
      <c r="A2291">
        <v>35</v>
      </c>
      <c r="B2291">
        <v>249.7</v>
      </c>
      <c r="C2291">
        <v>250</v>
      </c>
      <c r="D2291" t="s">
        <v>5966</v>
      </c>
    </row>
    <row r="2292" spans="1:4" x14ac:dyDescent="0.2">
      <c r="A2292">
        <v>36</v>
      </c>
      <c r="B2292">
        <v>249.9</v>
      </c>
      <c r="C2292">
        <v>250</v>
      </c>
      <c r="D2292" t="s">
        <v>5966</v>
      </c>
    </row>
    <row r="2293" spans="1:4" x14ac:dyDescent="0.2">
      <c r="A2293">
        <v>31</v>
      </c>
      <c r="B2293">
        <v>499.9</v>
      </c>
      <c r="C2293">
        <v>500</v>
      </c>
      <c r="D2293" t="s">
        <v>5966</v>
      </c>
    </row>
    <row r="2294" spans="1:4" x14ac:dyDescent="0.2">
      <c r="A2294">
        <v>32</v>
      </c>
      <c r="B2294">
        <v>500.2</v>
      </c>
      <c r="C2294">
        <v>500</v>
      </c>
      <c r="D2294" t="s">
        <v>5966</v>
      </c>
    </row>
    <row r="2295" spans="1:4" x14ac:dyDescent="0.2">
      <c r="A2295">
        <v>33</v>
      </c>
      <c r="B2295">
        <v>500.5</v>
      </c>
      <c r="C2295">
        <v>500</v>
      </c>
      <c r="D2295" t="s">
        <v>5966</v>
      </c>
    </row>
    <row r="2296" spans="1:4" x14ac:dyDescent="0.2">
      <c r="A2296">
        <v>34</v>
      </c>
      <c r="B2296">
        <v>500.5</v>
      </c>
      <c r="C2296">
        <v>500</v>
      </c>
      <c r="D2296" t="s">
        <v>5966</v>
      </c>
    </row>
    <row r="2297" spans="1:4" x14ac:dyDescent="0.2">
      <c r="A2297">
        <v>35</v>
      </c>
      <c r="B2297">
        <v>500</v>
      </c>
      <c r="C2297">
        <v>500</v>
      </c>
      <c r="D2297" t="s">
        <v>5966</v>
      </c>
    </row>
    <row r="2298" spans="1:4" x14ac:dyDescent="0.2">
      <c r="A2298">
        <v>36</v>
      </c>
      <c r="B2298">
        <v>500</v>
      </c>
      <c r="C2298">
        <v>500</v>
      </c>
      <c r="D2298" t="s">
        <v>5966</v>
      </c>
    </row>
    <row r="2299" spans="1:4" x14ac:dyDescent="0.2">
      <c r="A2299">
        <v>31</v>
      </c>
      <c r="B2299">
        <v>1000</v>
      </c>
      <c r="C2299">
        <v>1000</v>
      </c>
      <c r="D2299" t="s">
        <v>5966</v>
      </c>
    </row>
    <row r="2300" spans="1:4" x14ac:dyDescent="0.2">
      <c r="A2300">
        <v>32</v>
      </c>
      <c r="B2300">
        <v>1000.2</v>
      </c>
      <c r="C2300">
        <v>1000</v>
      </c>
      <c r="D2300" t="s">
        <v>5966</v>
      </c>
    </row>
    <row r="2301" spans="1:4" x14ac:dyDescent="0.2">
      <c r="A2301">
        <v>33</v>
      </c>
      <c r="B2301">
        <v>1000.4</v>
      </c>
      <c r="C2301">
        <v>1000</v>
      </c>
      <c r="D2301" t="s">
        <v>5966</v>
      </c>
    </row>
    <row r="2302" spans="1:4" x14ac:dyDescent="0.2">
      <c r="A2302">
        <v>34</v>
      </c>
      <c r="B2302">
        <v>1000.5</v>
      </c>
      <c r="C2302">
        <v>1000</v>
      </c>
      <c r="D2302" t="s">
        <v>5966</v>
      </c>
    </row>
    <row r="2303" spans="1:4" x14ac:dyDescent="0.2">
      <c r="A2303">
        <v>35</v>
      </c>
      <c r="B2303">
        <v>1000</v>
      </c>
      <c r="C2303">
        <v>1000</v>
      </c>
      <c r="D2303" t="s">
        <v>5966</v>
      </c>
    </row>
    <row r="2304" spans="1:4" x14ac:dyDescent="0.2">
      <c r="A2304">
        <v>36</v>
      </c>
      <c r="B2304">
        <v>1000.1</v>
      </c>
      <c r="C2304">
        <v>1000</v>
      </c>
      <c r="D2304" t="s">
        <v>5966</v>
      </c>
    </row>
    <row r="2305" spans="1:4" x14ac:dyDescent="0.2">
      <c r="A2305">
        <v>37</v>
      </c>
      <c r="B2305">
        <v>-99.9</v>
      </c>
      <c r="C2305">
        <v>-100</v>
      </c>
      <c r="D2305" t="s">
        <v>5966</v>
      </c>
    </row>
    <row r="2306" spans="1:4" x14ac:dyDescent="0.2">
      <c r="A2306">
        <v>38</v>
      </c>
      <c r="B2306">
        <v>-100</v>
      </c>
      <c r="C2306">
        <v>-100</v>
      </c>
      <c r="D2306" t="s">
        <v>5966</v>
      </c>
    </row>
    <row r="2307" spans="1:4" x14ac:dyDescent="0.2">
      <c r="A2307">
        <v>39</v>
      </c>
      <c r="B2307">
        <v>-100.2</v>
      </c>
      <c r="C2307">
        <v>-100</v>
      </c>
      <c r="D2307" t="s">
        <v>5966</v>
      </c>
    </row>
    <row r="2308" spans="1:4" x14ac:dyDescent="0.2">
      <c r="A2308">
        <v>40</v>
      </c>
      <c r="B2308">
        <v>-99.7</v>
      </c>
      <c r="C2308">
        <v>-100</v>
      </c>
      <c r="D2308" t="s">
        <v>5966</v>
      </c>
    </row>
    <row r="2309" spans="1:4" x14ac:dyDescent="0.2">
      <c r="A2309">
        <v>37</v>
      </c>
      <c r="B2309">
        <v>-49.9</v>
      </c>
      <c r="C2309">
        <v>-50</v>
      </c>
      <c r="D2309" t="s">
        <v>5966</v>
      </c>
    </row>
    <row r="2310" spans="1:4" x14ac:dyDescent="0.2">
      <c r="A2310">
        <v>38</v>
      </c>
      <c r="B2310">
        <v>-50</v>
      </c>
      <c r="C2310">
        <v>-50</v>
      </c>
      <c r="D2310" t="s">
        <v>5966</v>
      </c>
    </row>
    <row r="2311" spans="1:4" x14ac:dyDescent="0.2">
      <c r="A2311">
        <v>39</v>
      </c>
      <c r="B2311">
        <v>-50.2</v>
      </c>
      <c r="C2311">
        <v>-50</v>
      </c>
      <c r="D2311" t="s">
        <v>5966</v>
      </c>
    </row>
    <row r="2312" spans="1:4" x14ac:dyDescent="0.2">
      <c r="A2312">
        <v>40</v>
      </c>
      <c r="B2312">
        <v>-49.7</v>
      </c>
      <c r="C2312">
        <v>-50</v>
      </c>
      <c r="D2312" t="s">
        <v>5966</v>
      </c>
    </row>
    <row r="2313" spans="1:4" x14ac:dyDescent="0.2">
      <c r="A2313">
        <v>37</v>
      </c>
      <c r="B2313">
        <v>0.1</v>
      </c>
      <c r="C2313">
        <v>0</v>
      </c>
      <c r="D2313" t="s">
        <v>5966</v>
      </c>
    </row>
    <row r="2314" spans="1:4" x14ac:dyDescent="0.2">
      <c r="A2314">
        <v>38</v>
      </c>
      <c r="B2314">
        <v>0</v>
      </c>
      <c r="C2314">
        <v>0</v>
      </c>
      <c r="D2314" t="s">
        <v>5966</v>
      </c>
    </row>
    <row r="2315" spans="1:4" x14ac:dyDescent="0.2">
      <c r="A2315">
        <v>39</v>
      </c>
      <c r="B2315">
        <v>-0.2</v>
      </c>
      <c r="C2315">
        <v>0</v>
      </c>
      <c r="D2315" t="s">
        <v>5966</v>
      </c>
    </row>
    <row r="2316" spans="1:4" x14ac:dyDescent="0.2">
      <c r="A2316">
        <v>40</v>
      </c>
      <c r="B2316">
        <v>0.2</v>
      </c>
      <c r="C2316">
        <v>0</v>
      </c>
      <c r="D2316" t="s">
        <v>5966</v>
      </c>
    </row>
    <row r="2317" spans="1:4" x14ac:dyDescent="0.2">
      <c r="A2317">
        <v>37</v>
      </c>
      <c r="B2317">
        <v>250.1</v>
      </c>
      <c r="C2317">
        <v>250</v>
      </c>
      <c r="D2317" t="s">
        <v>5966</v>
      </c>
    </row>
    <row r="2318" spans="1:4" x14ac:dyDescent="0.2">
      <c r="A2318">
        <v>38</v>
      </c>
      <c r="B2318">
        <v>250</v>
      </c>
      <c r="C2318">
        <v>250</v>
      </c>
      <c r="D2318" t="s">
        <v>5966</v>
      </c>
    </row>
    <row r="2319" spans="1:4" x14ac:dyDescent="0.2">
      <c r="A2319">
        <v>39</v>
      </c>
      <c r="B2319">
        <v>249.8</v>
      </c>
      <c r="C2319">
        <v>250</v>
      </c>
      <c r="D2319" t="s">
        <v>5966</v>
      </c>
    </row>
    <row r="2320" spans="1:4" x14ac:dyDescent="0.2">
      <c r="A2320">
        <v>40</v>
      </c>
      <c r="B2320">
        <v>250.2</v>
      </c>
      <c r="C2320">
        <v>250</v>
      </c>
      <c r="D2320" t="s">
        <v>5966</v>
      </c>
    </row>
    <row r="2321" spans="1:4" x14ac:dyDescent="0.2">
      <c r="A2321">
        <v>37</v>
      </c>
      <c r="B2321">
        <v>500.1</v>
      </c>
      <c r="C2321">
        <v>500</v>
      </c>
      <c r="D2321" t="s">
        <v>5966</v>
      </c>
    </row>
    <row r="2322" spans="1:4" x14ac:dyDescent="0.2">
      <c r="A2322">
        <v>38</v>
      </c>
      <c r="B2322">
        <v>500</v>
      </c>
      <c r="C2322">
        <v>500</v>
      </c>
      <c r="D2322" t="s">
        <v>5966</v>
      </c>
    </row>
    <row r="2323" spans="1:4" x14ac:dyDescent="0.2">
      <c r="A2323">
        <v>39</v>
      </c>
      <c r="B2323">
        <v>499.9</v>
      </c>
      <c r="C2323">
        <v>500</v>
      </c>
      <c r="D2323" t="s">
        <v>5966</v>
      </c>
    </row>
    <row r="2324" spans="1:4" x14ac:dyDescent="0.2">
      <c r="A2324">
        <v>40</v>
      </c>
      <c r="B2324">
        <v>500.2</v>
      </c>
      <c r="C2324">
        <v>500</v>
      </c>
      <c r="D2324" t="s">
        <v>5966</v>
      </c>
    </row>
    <row r="2325" spans="1:4" x14ac:dyDescent="0.2">
      <c r="A2325">
        <v>37</v>
      </c>
      <c r="B2325">
        <v>1000.1</v>
      </c>
      <c r="C2325">
        <v>1000</v>
      </c>
      <c r="D2325" t="s">
        <v>5966</v>
      </c>
    </row>
    <row r="2326" spans="1:4" x14ac:dyDescent="0.2">
      <c r="A2326">
        <v>38</v>
      </c>
      <c r="B2326">
        <v>1000</v>
      </c>
      <c r="C2326">
        <v>1000</v>
      </c>
      <c r="D2326" t="s">
        <v>5966</v>
      </c>
    </row>
    <row r="2327" spans="1:4" x14ac:dyDescent="0.2">
      <c r="A2327">
        <v>39</v>
      </c>
      <c r="B2327">
        <v>999.9</v>
      </c>
      <c r="C2327">
        <v>1000</v>
      </c>
      <c r="D2327" t="s">
        <v>5966</v>
      </c>
    </row>
    <row r="2328" spans="1:4" x14ac:dyDescent="0.2">
      <c r="A2328">
        <v>40</v>
      </c>
      <c r="B2328">
        <v>1000.2</v>
      </c>
      <c r="C2328">
        <v>1000</v>
      </c>
      <c r="D2328" t="s">
        <v>5966</v>
      </c>
    </row>
    <row r="2329" spans="1:4" x14ac:dyDescent="0.2">
      <c r="A2329">
        <v>1</v>
      </c>
      <c r="B2329">
        <v>32.299999999999997</v>
      </c>
      <c r="C2329">
        <v>32</v>
      </c>
      <c r="D2329" t="s">
        <v>5967</v>
      </c>
    </row>
    <row r="2330" spans="1:4" x14ac:dyDescent="0.2">
      <c r="A2330">
        <v>2</v>
      </c>
      <c r="B2330">
        <v>31.8</v>
      </c>
      <c r="C2330">
        <v>32</v>
      </c>
      <c r="D2330" t="s">
        <v>5967</v>
      </c>
    </row>
    <row r="2331" spans="1:4" x14ac:dyDescent="0.2">
      <c r="A2331">
        <v>3</v>
      </c>
      <c r="B2331">
        <v>32.200000000000003</v>
      </c>
      <c r="C2331">
        <v>32</v>
      </c>
      <c r="D2331" t="s">
        <v>5967</v>
      </c>
    </row>
    <row r="2332" spans="1:4" x14ac:dyDescent="0.2">
      <c r="A2332">
        <v>4</v>
      </c>
      <c r="B2332">
        <v>32.1</v>
      </c>
      <c r="C2332">
        <v>32</v>
      </c>
      <c r="D2332" t="s">
        <v>5967</v>
      </c>
    </row>
    <row r="2333" spans="1:4" x14ac:dyDescent="0.2">
      <c r="A2333">
        <v>5</v>
      </c>
      <c r="B2333">
        <v>32.4</v>
      </c>
      <c r="C2333">
        <v>32</v>
      </c>
      <c r="D2333" t="s">
        <v>5967</v>
      </c>
    </row>
    <row r="2334" spans="1:4" x14ac:dyDescent="0.2">
      <c r="A2334">
        <v>6</v>
      </c>
      <c r="B2334">
        <v>32.299999999999997</v>
      </c>
      <c r="C2334">
        <v>32</v>
      </c>
      <c r="D2334" t="s">
        <v>5967</v>
      </c>
    </row>
    <row r="2335" spans="1:4" x14ac:dyDescent="0.2">
      <c r="A2335">
        <v>1</v>
      </c>
      <c r="B2335">
        <v>500.3</v>
      </c>
      <c r="C2335">
        <v>500</v>
      </c>
      <c r="D2335" t="s">
        <v>5967</v>
      </c>
    </row>
    <row r="2336" spans="1:4" x14ac:dyDescent="0.2">
      <c r="A2336">
        <v>2</v>
      </c>
      <c r="B2336">
        <v>499.8</v>
      </c>
      <c r="C2336">
        <v>500</v>
      </c>
      <c r="D2336" t="s">
        <v>5967</v>
      </c>
    </row>
    <row r="2337" spans="1:4" x14ac:dyDescent="0.2">
      <c r="A2337">
        <v>3</v>
      </c>
      <c r="B2337">
        <v>500.1</v>
      </c>
      <c r="C2337">
        <v>500</v>
      </c>
      <c r="D2337" t="s">
        <v>5967</v>
      </c>
    </row>
    <row r="2338" spans="1:4" x14ac:dyDescent="0.2">
      <c r="A2338">
        <v>4</v>
      </c>
      <c r="B2338">
        <v>500.1</v>
      </c>
      <c r="C2338">
        <v>500</v>
      </c>
      <c r="D2338" t="s">
        <v>5967</v>
      </c>
    </row>
    <row r="2339" spans="1:4" x14ac:dyDescent="0.2">
      <c r="A2339">
        <v>5</v>
      </c>
      <c r="B2339">
        <v>500.3</v>
      </c>
      <c r="C2339">
        <v>500</v>
      </c>
      <c r="D2339" t="s">
        <v>5967</v>
      </c>
    </row>
    <row r="2340" spans="1:4" x14ac:dyDescent="0.2">
      <c r="A2340">
        <v>6</v>
      </c>
      <c r="B2340">
        <v>500.2</v>
      </c>
      <c r="C2340">
        <v>500</v>
      </c>
      <c r="D2340" t="s">
        <v>5967</v>
      </c>
    </row>
    <row r="2341" spans="1:4" x14ac:dyDescent="0.2">
      <c r="A2341">
        <v>1</v>
      </c>
      <c r="B2341">
        <v>1000.3</v>
      </c>
      <c r="C2341">
        <v>1000</v>
      </c>
      <c r="D2341" t="s">
        <v>5967</v>
      </c>
    </row>
    <row r="2342" spans="1:4" x14ac:dyDescent="0.2">
      <c r="A2342">
        <v>2</v>
      </c>
      <c r="B2342">
        <v>999.9</v>
      </c>
      <c r="C2342">
        <v>1000</v>
      </c>
      <c r="D2342" t="s">
        <v>5967</v>
      </c>
    </row>
    <row r="2343" spans="1:4" x14ac:dyDescent="0.2">
      <c r="A2343">
        <v>3</v>
      </c>
      <c r="B2343">
        <v>1000.2</v>
      </c>
      <c r="C2343">
        <v>1000</v>
      </c>
      <c r="D2343" t="s">
        <v>5967</v>
      </c>
    </row>
    <row r="2344" spans="1:4" x14ac:dyDescent="0.2">
      <c r="A2344">
        <v>4</v>
      </c>
      <c r="B2344">
        <v>1000.2</v>
      </c>
      <c r="C2344">
        <v>1000</v>
      </c>
      <c r="D2344" t="s">
        <v>5967</v>
      </c>
    </row>
    <row r="2345" spans="1:4" x14ac:dyDescent="0.2">
      <c r="A2345">
        <v>5</v>
      </c>
      <c r="B2345">
        <v>1000.3</v>
      </c>
      <c r="C2345">
        <v>1000</v>
      </c>
      <c r="D2345" t="s">
        <v>5967</v>
      </c>
    </row>
    <row r="2346" spans="1:4" x14ac:dyDescent="0.2">
      <c r="A2346">
        <v>6</v>
      </c>
      <c r="B2346">
        <v>1000.3</v>
      </c>
      <c r="C2346">
        <v>1000</v>
      </c>
      <c r="D2346" t="s">
        <v>5967</v>
      </c>
    </row>
    <row r="2347" spans="1:4" x14ac:dyDescent="0.2">
      <c r="A2347">
        <v>1</v>
      </c>
      <c r="B2347">
        <v>1500.3</v>
      </c>
      <c r="C2347">
        <v>1500</v>
      </c>
      <c r="D2347" t="s">
        <v>5967</v>
      </c>
    </row>
    <row r="2348" spans="1:4" x14ac:dyDescent="0.2">
      <c r="A2348">
        <v>2</v>
      </c>
      <c r="B2348">
        <v>1499.9</v>
      </c>
      <c r="C2348">
        <v>1500</v>
      </c>
      <c r="D2348" t="s">
        <v>5967</v>
      </c>
    </row>
    <row r="2349" spans="1:4" x14ac:dyDescent="0.2">
      <c r="A2349">
        <v>3</v>
      </c>
      <c r="B2349">
        <v>1500.2</v>
      </c>
      <c r="C2349">
        <v>1500</v>
      </c>
      <c r="D2349" t="s">
        <v>5967</v>
      </c>
    </row>
    <row r="2350" spans="1:4" x14ac:dyDescent="0.2">
      <c r="A2350">
        <v>4</v>
      </c>
      <c r="B2350">
        <v>1500.2</v>
      </c>
      <c r="C2350">
        <v>1500</v>
      </c>
      <c r="D2350" t="s">
        <v>5967</v>
      </c>
    </row>
    <row r="2351" spans="1:4" x14ac:dyDescent="0.2">
      <c r="A2351">
        <v>5</v>
      </c>
      <c r="B2351">
        <v>1500.3</v>
      </c>
      <c r="C2351">
        <v>1500</v>
      </c>
      <c r="D2351" t="s">
        <v>5967</v>
      </c>
    </row>
    <row r="2352" spans="1:4" x14ac:dyDescent="0.2">
      <c r="A2352">
        <v>6</v>
      </c>
      <c r="B2352">
        <v>1500.3</v>
      </c>
      <c r="C2352">
        <v>1500</v>
      </c>
      <c r="D2352" t="s">
        <v>5967</v>
      </c>
    </row>
    <row r="2353" spans="1:4" x14ac:dyDescent="0.2">
      <c r="A2353">
        <v>1</v>
      </c>
      <c r="B2353">
        <v>2000.4</v>
      </c>
      <c r="C2353">
        <v>2000</v>
      </c>
      <c r="D2353" t="s">
        <v>5967</v>
      </c>
    </row>
    <row r="2354" spans="1:4" x14ac:dyDescent="0.2">
      <c r="A2354">
        <v>2</v>
      </c>
      <c r="B2354">
        <v>1999.9</v>
      </c>
      <c r="C2354">
        <v>2000</v>
      </c>
      <c r="D2354" t="s">
        <v>5967</v>
      </c>
    </row>
    <row r="2355" spans="1:4" x14ac:dyDescent="0.2">
      <c r="A2355">
        <v>3</v>
      </c>
      <c r="B2355">
        <v>2000.3</v>
      </c>
      <c r="C2355">
        <v>2000</v>
      </c>
      <c r="D2355" t="s">
        <v>5967</v>
      </c>
    </row>
    <row r="2356" spans="1:4" x14ac:dyDescent="0.2">
      <c r="A2356">
        <v>4</v>
      </c>
      <c r="B2356">
        <v>2000.4</v>
      </c>
      <c r="C2356">
        <v>2000</v>
      </c>
      <c r="D2356" t="s">
        <v>5967</v>
      </c>
    </row>
    <row r="2357" spans="1:4" x14ac:dyDescent="0.2">
      <c r="A2357">
        <v>5</v>
      </c>
      <c r="B2357">
        <v>2000.4</v>
      </c>
      <c r="C2357">
        <v>2000</v>
      </c>
      <c r="D2357" t="s">
        <v>5967</v>
      </c>
    </row>
    <row r="2358" spans="1:4" x14ac:dyDescent="0.2">
      <c r="A2358">
        <v>6</v>
      </c>
      <c r="B2358">
        <v>2000.5</v>
      </c>
      <c r="C2358">
        <v>2000</v>
      </c>
      <c r="D2358" t="s">
        <v>5967</v>
      </c>
    </row>
    <row r="2359" spans="1:4" x14ac:dyDescent="0.2">
      <c r="A2359">
        <v>1</v>
      </c>
      <c r="B2359">
        <v>2300.4</v>
      </c>
      <c r="C2359">
        <v>2300</v>
      </c>
      <c r="D2359" t="s">
        <v>5967</v>
      </c>
    </row>
    <row r="2360" spans="1:4" x14ac:dyDescent="0.2">
      <c r="A2360">
        <v>2</v>
      </c>
      <c r="B2360">
        <v>2300</v>
      </c>
      <c r="C2360">
        <v>2300</v>
      </c>
      <c r="D2360" t="s">
        <v>5967</v>
      </c>
    </row>
    <row r="2361" spans="1:4" x14ac:dyDescent="0.2">
      <c r="A2361">
        <v>3</v>
      </c>
      <c r="B2361">
        <v>2300.4</v>
      </c>
      <c r="C2361">
        <v>2300</v>
      </c>
      <c r="D2361" t="s">
        <v>5967</v>
      </c>
    </row>
    <row r="2362" spans="1:4" x14ac:dyDescent="0.2">
      <c r="A2362">
        <v>4</v>
      </c>
      <c r="B2362">
        <v>2300.5</v>
      </c>
      <c r="C2362">
        <v>2300</v>
      </c>
      <c r="D2362" t="s">
        <v>5967</v>
      </c>
    </row>
    <row r="2363" spans="1:4" x14ac:dyDescent="0.2">
      <c r="A2363">
        <v>5</v>
      </c>
      <c r="B2363">
        <v>2300.4</v>
      </c>
      <c r="C2363">
        <v>2300</v>
      </c>
      <c r="D2363" t="s">
        <v>5967</v>
      </c>
    </row>
    <row r="2364" spans="1:4" x14ac:dyDescent="0.2">
      <c r="A2364">
        <v>6</v>
      </c>
      <c r="B2364">
        <v>2300.5</v>
      </c>
      <c r="C2364">
        <v>2300</v>
      </c>
      <c r="D2364" t="s">
        <v>5967</v>
      </c>
    </row>
    <row r="2365" spans="1:4" x14ac:dyDescent="0.2">
      <c r="A2365">
        <v>7</v>
      </c>
      <c r="B2365">
        <v>32</v>
      </c>
      <c r="C2365">
        <v>32</v>
      </c>
      <c r="D2365" t="s">
        <v>5967</v>
      </c>
    </row>
    <row r="2366" spans="1:4" x14ac:dyDescent="0.2">
      <c r="A2366">
        <v>8</v>
      </c>
      <c r="B2366">
        <v>31.8</v>
      </c>
      <c r="C2366">
        <v>32</v>
      </c>
      <c r="D2366" t="s">
        <v>5967</v>
      </c>
    </row>
    <row r="2367" spans="1:4" x14ac:dyDescent="0.2">
      <c r="A2367">
        <v>9</v>
      </c>
      <c r="B2367">
        <v>32.5</v>
      </c>
      <c r="C2367">
        <v>32</v>
      </c>
      <c r="D2367" t="s">
        <v>5967</v>
      </c>
    </row>
    <row r="2368" spans="1:4" x14ac:dyDescent="0.2">
      <c r="A2368">
        <v>10</v>
      </c>
      <c r="B2368">
        <v>32.700000000000003</v>
      </c>
      <c r="C2368">
        <v>32</v>
      </c>
      <c r="D2368" t="s">
        <v>5967</v>
      </c>
    </row>
    <row r="2369" spans="1:4" x14ac:dyDescent="0.2">
      <c r="A2369">
        <v>11</v>
      </c>
      <c r="B2369">
        <v>31.3</v>
      </c>
      <c r="C2369">
        <v>32</v>
      </c>
      <c r="D2369" t="s">
        <v>5967</v>
      </c>
    </row>
    <row r="2370" spans="1:4" x14ac:dyDescent="0.2">
      <c r="A2370">
        <v>12</v>
      </c>
      <c r="B2370">
        <v>32</v>
      </c>
      <c r="C2370">
        <v>32</v>
      </c>
      <c r="D2370" t="s">
        <v>5967</v>
      </c>
    </row>
    <row r="2371" spans="1:4" x14ac:dyDescent="0.2">
      <c r="A2371">
        <v>7</v>
      </c>
      <c r="B2371">
        <v>500</v>
      </c>
      <c r="C2371">
        <v>500</v>
      </c>
      <c r="D2371" t="s">
        <v>5967</v>
      </c>
    </row>
    <row r="2372" spans="1:4" x14ac:dyDescent="0.2">
      <c r="A2372">
        <v>8</v>
      </c>
      <c r="B2372">
        <v>499.9</v>
      </c>
      <c r="C2372">
        <v>500</v>
      </c>
      <c r="D2372" t="s">
        <v>5967</v>
      </c>
    </row>
    <row r="2373" spans="1:4" x14ac:dyDescent="0.2">
      <c r="A2373">
        <v>9</v>
      </c>
      <c r="B2373">
        <v>500.4</v>
      </c>
      <c r="C2373">
        <v>500</v>
      </c>
      <c r="D2373" t="s">
        <v>5967</v>
      </c>
    </row>
    <row r="2374" spans="1:4" x14ac:dyDescent="0.2">
      <c r="A2374">
        <v>10</v>
      </c>
      <c r="B2374">
        <v>500.6</v>
      </c>
      <c r="C2374">
        <v>500</v>
      </c>
      <c r="D2374" t="s">
        <v>5967</v>
      </c>
    </row>
    <row r="2375" spans="1:4" x14ac:dyDescent="0.2">
      <c r="A2375">
        <v>11</v>
      </c>
      <c r="B2375">
        <v>499.5</v>
      </c>
      <c r="C2375">
        <v>500</v>
      </c>
      <c r="D2375" t="s">
        <v>5967</v>
      </c>
    </row>
    <row r="2376" spans="1:4" x14ac:dyDescent="0.2">
      <c r="A2376">
        <v>12</v>
      </c>
      <c r="B2376">
        <v>500</v>
      </c>
      <c r="C2376">
        <v>500</v>
      </c>
      <c r="D2376" t="s">
        <v>5967</v>
      </c>
    </row>
    <row r="2377" spans="1:4" x14ac:dyDescent="0.2">
      <c r="A2377">
        <v>7</v>
      </c>
      <c r="B2377">
        <v>1000.1</v>
      </c>
      <c r="C2377">
        <v>1000</v>
      </c>
      <c r="D2377" t="s">
        <v>5967</v>
      </c>
    </row>
    <row r="2378" spans="1:4" x14ac:dyDescent="0.2">
      <c r="A2378">
        <v>8</v>
      </c>
      <c r="B2378">
        <v>1000</v>
      </c>
      <c r="C2378">
        <v>1000</v>
      </c>
      <c r="D2378" t="s">
        <v>5967</v>
      </c>
    </row>
    <row r="2379" spans="1:4" x14ac:dyDescent="0.2">
      <c r="A2379">
        <v>9</v>
      </c>
      <c r="B2379">
        <v>1000.4</v>
      </c>
      <c r="C2379">
        <v>1000</v>
      </c>
      <c r="D2379" t="s">
        <v>5967</v>
      </c>
    </row>
    <row r="2380" spans="1:4" x14ac:dyDescent="0.2">
      <c r="A2380">
        <v>10</v>
      </c>
      <c r="B2380">
        <v>1000.7</v>
      </c>
      <c r="C2380">
        <v>1000</v>
      </c>
      <c r="D2380" t="s">
        <v>5967</v>
      </c>
    </row>
    <row r="2381" spans="1:4" x14ac:dyDescent="0.2">
      <c r="A2381">
        <v>11</v>
      </c>
      <c r="B2381">
        <v>999.7</v>
      </c>
      <c r="C2381">
        <v>1000</v>
      </c>
      <c r="D2381" t="s">
        <v>5967</v>
      </c>
    </row>
    <row r="2382" spans="1:4" x14ac:dyDescent="0.2">
      <c r="A2382">
        <v>12</v>
      </c>
      <c r="B2382">
        <v>1000.2</v>
      </c>
      <c r="C2382">
        <v>1000</v>
      </c>
      <c r="D2382" t="s">
        <v>5967</v>
      </c>
    </row>
    <row r="2383" spans="1:4" x14ac:dyDescent="0.2">
      <c r="A2383">
        <v>7</v>
      </c>
      <c r="B2383">
        <v>1500.2</v>
      </c>
      <c r="C2383">
        <v>1500</v>
      </c>
      <c r="D2383" t="s">
        <v>5967</v>
      </c>
    </row>
    <row r="2384" spans="1:4" x14ac:dyDescent="0.2">
      <c r="A2384">
        <v>8</v>
      </c>
      <c r="B2384">
        <v>1500</v>
      </c>
      <c r="C2384">
        <v>1500</v>
      </c>
      <c r="D2384" t="s">
        <v>5967</v>
      </c>
    </row>
    <row r="2385" spans="1:4" x14ac:dyDescent="0.2">
      <c r="A2385">
        <v>9</v>
      </c>
      <c r="B2385">
        <v>1500.5</v>
      </c>
      <c r="C2385">
        <v>1500</v>
      </c>
      <c r="D2385" t="s">
        <v>5967</v>
      </c>
    </row>
    <row r="2386" spans="1:4" x14ac:dyDescent="0.2">
      <c r="A2386">
        <v>10</v>
      </c>
      <c r="B2386">
        <v>1500.8</v>
      </c>
      <c r="C2386">
        <v>1500</v>
      </c>
      <c r="D2386" t="s">
        <v>5967</v>
      </c>
    </row>
    <row r="2387" spans="1:4" x14ac:dyDescent="0.2">
      <c r="A2387">
        <v>11</v>
      </c>
      <c r="B2387">
        <v>1499.7</v>
      </c>
      <c r="C2387">
        <v>1500</v>
      </c>
      <c r="D2387" t="s">
        <v>5967</v>
      </c>
    </row>
    <row r="2388" spans="1:4" x14ac:dyDescent="0.2">
      <c r="A2388">
        <v>12</v>
      </c>
      <c r="B2388">
        <v>1500.2</v>
      </c>
      <c r="C2388">
        <v>1500</v>
      </c>
      <c r="D2388" t="s">
        <v>5967</v>
      </c>
    </row>
    <row r="2389" spans="1:4" x14ac:dyDescent="0.2">
      <c r="A2389">
        <v>7</v>
      </c>
      <c r="B2389">
        <v>2000.5</v>
      </c>
      <c r="C2389">
        <v>2000</v>
      </c>
      <c r="D2389" t="s">
        <v>5967</v>
      </c>
    </row>
    <row r="2390" spans="1:4" x14ac:dyDescent="0.2">
      <c r="A2390">
        <v>8</v>
      </c>
      <c r="B2390">
        <v>2000.1</v>
      </c>
      <c r="C2390">
        <v>2000</v>
      </c>
      <c r="D2390" t="s">
        <v>5967</v>
      </c>
    </row>
    <row r="2391" spans="1:4" x14ac:dyDescent="0.2">
      <c r="A2391">
        <v>9</v>
      </c>
      <c r="B2391">
        <v>2000.6</v>
      </c>
      <c r="C2391">
        <v>2000</v>
      </c>
      <c r="D2391" t="s">
        <v>5967</v>
      </c>
    </row>
    <row r="2392" spans="1:4" x14ac:dyDescent="0.2">
      <c r="A2392">
        <v>10</v>
      </c>
      <c r="B2392">
        <v>2001</v>
      </c>
      <c r="C2392">
        <v>2000</v>
      </c>
      <c r="D2392" t="s">
        <v>5967</v>
      </c>
    </row>
    <row r="2393" spans="1:4" x14ac:dyDescent="0.2">
      <c r="A2393">
        <v>11</v>
      </c>
      <c r="B2393">
        <v>1999.8</v>
      </c>
      <c r="C2393">
        <v>2000</v>
      </c>
      <c r="D2393" t="s">
        <v>5967</v>
      </c>
    </row>
    <row r="2394" spans="1:4" x14ac:dyDescent="0.2">
      <c r="A2394">
        <v>12</v>
      </c>
      <c r="B2394">
        <v>2000.3</v>
      </c>
      <c r="C2394">
        <v>2000</v>
      </c>
      <c r="D2394" t="s">
        <v>5967</v>
      </c>
    </row>
    <row r="2395" spans="1:4" x14ac:dyDescent="0.2">
      <c r="A2395">
        <v>7</v>
      </c>
      <c r="B2395">
        <v>2300.5</v>
      </c>
      <c r="C2395">
        <v>2300</v>
      </c>
      <c r="D2395" t="s">
        <v>5967</v>
      </c>
    </row>
    <row r="2396" spans="1:4" x14ac:dyDescent="0.2">
      <c r="A2396">
        <v>8</v>
      </c>
      <c r="B2396">
        <v>2300.1</v>
      </c>
      <c r="C2396">
        <v>2300</v>
      </c>
      <c r="D2396" t="s">
        <v>5967</v>
      </c>
    </row>
    <row r="2397" spans="1:4" x14ac:dyDescent="0.2">
      <c r="A2397">
        <v>9</v>
      </c>
      <c r="B2397">
        <v>2300.6999999999998</v>
      </c>
      <c r="C2397">
        <v>2300</v>
      </c>
      <c r="D2397" t="s">
        <v>5967</v>
      </c>
    </row>
    <row r="2398" spans="1:4" x14ac:dyDescent="0.2">
      <c r="A2398">
        <v>10</v>
      </c>
      <c r="B2398">
        <v>2301</v>
      </c>
      <c r="C2398">
        <v>2300</v>
      </c>
      <c r="D2398" t="s">
        <v>5967</v>
      </c>
    </row>
    <row r="2399" spans="1:4" x14ac:dyDescent="0.2">
      <c r="A2399">
        <v>11</v>
      </c>
      <c r="B2399">
        <v>2299.9</v>
      </c>
      <c r="C2399">
        <v>2300</v>
      </c>
      <c r="D2399" t="s">
        <v>5967</v>
      </c>
    </row>
    <row r="2400" spans="1:4" x14ac:dyDescent="0.2">
      <c r="A2400">
        <v>12</v>
      </c>
      <c r="B2400">
        <v>2300.3000000000002</v>
      </c>
      <c r="C2400">
        <v>2300</v>
      </c>
      <c r="D2400" t="s">
        <v>5967</v>
      </c>
    </row>
    <row r="2401" spans="1:4" x14ac:dyDescent="0.2">
      <c r="A2401">
        <v>13</v>
      </c>
      <c r="B2401">
        <v>32.1</v>
      </c>
      <c r="C2401">
        <v>32</v>
      </c>
      <c r="D2401" t="s">
        <v>5967</v>
      </c>
    </row>
    <row r="2402" spans="1:4" x14ac:dyDescent="0.2">
      <c r="A2402">
        <v>14</v>
      </c>
      <c r="B2402">
        <v>32</v>
      </c>
      <c r="C2402">
        <v>32</v>
      </c>
      <c r="D2402" t="s">
        <v>5967</v>
      </c>
    </row>
    <row r="2403" spans="1:4" x14ac:dyDescent="0.2">
      <c r="A2403">
        <v>15</v>
      </c>
      <c r="B2403">
        <v>32.1</v>
      </c>
      <c r="C2403">
        <v>32</v>
      </c>
      <c r="D2403" t="s">
        <v>5967</v>
      </c>
    </row>
    <row r="2404" spans="1:4" x14ac:dyDescent="0.2">
      <c r="A2404">
        <v>16</v>
      </c>
      <c r="B2404">
        <v>32</v>
      </c>
      <c r="C2404">
        <v>32</v>
      </c>
      <c r="D2404" t="s">
        <v>5967</v>
      </c>
    </row>
    <row r="2405" spans="1:4" x14ac:dyDescent="0.2">
      <c r="A2405">
        <v>17</v>
      </c>
      <c r="B2405">
        <v>31.9</v>
      </c>
      <c r="C2405">
        <v>32</v>
      </c>
      <c r="D2405" t="s">
        <v>5967</v>
      </c>
    </row>
    <row r="2406" spans="1:4" x14ac:dyDescent="0.2">
      <c r="A2406">
        <v>18</v>
      </c>
      <c r="B2406">
        <v>32.299999999999997</v>
      </c>
      <c r="C2406">
        <v>32</v>
      </c>
      <c r="D2406" t="s">
        <v>5967</v>
      </c>
    </row>
    <row r="2407" spans="1:4" x14ac:dyDescent="0.2">
      <c r="A2407">
        <v>13</v>
      </c>
      <c r="B2407">
        <v>500.1</v>
      </c>
      <c r="C2407">
        <v>500</v>
      </c>
      <c r="D2407" t="s">
        <v>5967</v>
      </c>
    </row>
    <row r="2408" spans="1:4" x14ac:dyDescent="0.2">
      <c r="A2408">
        <v>14</v>
      </c>
      <c r="B2408">
        <v>500</v>
      </c>
      <c r="C2408">
        <v>500</v>
      </c>
      <c r="D2408" t="s">
        <v>5967</v>
      </c>
    </row>
    <row r="2409" spans="1:4" x14ac:dyDescent="0.2">
      <c r="A2409">
        <v>15</v>
      </c>
      <c r="B2409">
        <v>499.8</v>
      </c>
      <c r="C2409">
        <v>500</v>
      </c>
      <c r="D2409" t="s">
        <v>5967</v>
      </c>
    </row>
    <row r="2410" spans="1:4" x14ac:dyDescent="0.2">
      <c r="A2410">
        <v>16</v>
      </c>
      <c r="B2410">
        <v>499.9</v>
      </c>
      <c r="C2410">
        <v>500</v>
      </c>
      <c r="D2410" t="s">
        <v>5967</v>
      </c>
    </row>
    <row r="2411" spans="1:4" x14ac:dyDescent="0.2">
      <c r="A2411">
        <v>17</v>
      </c>
      <c r="B2411">
        <v>499.7</v>
      </c>
      <c r="C2411">
        <v>500</v>
      </c>
      <c r="D2411" t="s">
        <v>5967</v>
      </c>
    </row>
    <row r="2412" spans="1:4" x14ac:dyDescent="0.2">
      <c r="A2412">
        <v>18</v>
      </c>
      <c r="B2412">
        <v>500.2</v>
      </c>
      <c r="C2412">
        <v>500</v>
      </c>
      <c r="D2412" t="s">
        <v>5967</v>
      </c>
    </row>
    <row r="2413" spans="1:4" x14ac:dyDescent="0.2">
      <c r="A2413">
        <v>13</v>
      </c>
      <c r="B2413">
        <v>1000.2</v>
      </c>
      <c r="C2413">
        <v>1000</v>
      </c>
      <c r="D2413" t="s">
        <v>5967</v>
      </c>
    </row>
    <row r="2414" spans="1:4" x14ac:dyDescent="0.2">
      <c r="A2414">
        <v>14</v>
      </c>
      <c r="B2414">
        <v>1000.2</v>
      </c>
      <c r="C2414">
        <v>1000</v>
      </c>
      <c r="D2414" t="s">
        <v>5967</v>
      </c>
    </row>
    <row r="2415" spans="1:4" x14ac:dyDescent="0.2">
      <c r="A2415">
        <v>15</v>
      </c>
      <c r="B2415">
        <v>999.7</v>
      </c>
      <c r="C2415">
        <v>1000</v>
      </c>
      <c r="D2415" t="s">
        <v>5967</v>
      </c>
    </row>
    <row r="2416" spans="1:4" x14ac:dyDescent="0.2">
      <c r="A2416">
        <v>16</v>
      </c>
      <c r="B2416">
        <v>999.8</v>
      </c>
      <c r="C2416">
        <v>1000</v>
      </c>
      <c r="D2416" t="s">
        <v>5967</v>
      </c>
    </row>
    <row r="2417" spans="1:4" x14ac:dyDescent="0.2">
      <c r="A2417">
        <v>17</v>
      </c>
      <c r="B2417">
        <v>999.7</v>
      </c>
      <c r="C2417">
        <v>1000</v>
      </c>
      <c r="D2417" t="s">
        <v>5967</v>
      </c>
    </row>
    <row r="2418" spans="1:4" x14ac:dyDescent="0.2">
      <c r="A2418">
        <v>18</v>
      </c>
      <c r="B2418">
        <v>1000</v>
      </c>
      <c r="C2418">
        <v>1000</v>
      </c>
      <c r="D2418" t="s">
        <v>5967</v>
      </c>
    </row>
    <row r="2419" spans="1:4" x14ac:dyDescent="0.2">
      <c r="A2419">
        <v>13</v>
      </c>
      <c r="B2419">
        <v>1500.2</v>
      </c>
      <c r="C2419">
        <v>1500</v>
      </c>
      <c r="D2419" t="s">
        <v>5967</v>
      </c>
    </row>
    <row r="2420" spans="1:4" x14ac:dyDescent="0.2">
      <c r="A2420">
        <v>14</v>
      </c>
      <c r="B2420">
        <v>1500.3</v>
      </c>
      <c r="C2420">
        <v>1500</v>
      </c>
      <c r="D2420" t="s">
        <v>5967</v>
      </c>
    </row>
    <row r="2421" spans="1:4" x14ac:dyDescent="0.2">
      <c r="A2421">
        <v>15</v>
      </c>
      <c r="B2421">
        <v>1499.6</v>
      </c>
      <c r="C2421">
        <v>1500</v>
      </c>
      <c r="D2421" t="s">
        <v>5967</v>
      </c>
    </row>
    <row r="2422" spans="1:4" x14ac:dyDescent="0.2">
      <c r="A2422">
        <v>16</v>
      </c>
      <c r="B2422">
        <v>1499.8</v>
      </c>
      <c r="C2422">
        <v>1500</v>
      </c>
      <c r="D2422" t="s">
        <v>5967</v>
      </c>
    </row>
    <row r="2423" spans="1:4" x14ac:dyDescent="0.2">
      <c r="A2423">
        <v>17</v>
      </c>
      <c r="B2423">
        <v>1499.7</v>
      </c>
      <c r="C2423">
        <v>1500</v>
      </c>
      <c r="D2423" t="s">
        <v>5967</v>
      </c>
    </row>
    <row r="2424" spans="1:4" x14ac:dyDescent="0.2">
      <c r="A2424">
        <v>18</v>
      </c>
      <c r="B2424">
        <v>1499.9</v>
      </c>
      <c r="C2424">
        <v>1500</v>
      </c>
      <c r="D2424" t="s">
        <v>5967</v>
      </c>
    </row>
    <row r="2425" spans="1:4" x14ac:dyDescent="0.2">
      <c r="A2425">
        <v>13</v>
      </c>
      <c r="B2425">
        <v>2000.4</v>
      </c>
      <c r="C2425">
        <v>2000</v>
      </c>
      <c r="D2425" t="s">
        <v>5967</v>
      </c>
    </row>
    <row r="2426" spans="1:4" x14ac:dyDescent="0.2">
      <c r="A2426">
        <v>14</v>
      </c>
      <c r="B2426">
        <v>2000.5</v>
      </c>
      <c r="C2426">
        <v>2000</v>
      </c>
      <c r="D2426" t="s">
        <v>5967</v>
      </c>
    </row>
    <row r="2427" spans="1:4" x14ac:dyDescent="0.2">
      <c r="A2427">
        <v>15</v>
      </c>
      <c r="B2427">
        <v>1999.7</v>
      </c>
      <c r="C2427">
        <v>2000</v>
      </c>
      <c r="D2427" t="s">
        <v>5967</v>
      </c>
    </row>
    <row r="2428" spans="1:4" x14ac:dyDescent="0.2">
      <c r="A2428">
        <v>16</v>
      </c>
      <c r="B2428">
        <v>2000</v>
      </c>
      <c r="C2428">
        <v>2000</v>
      </c>
      <c r="D2428" t="s">
        <v>5967</v>
      </c>
    </row>
    <row r="2429" spans="1:4" x14ac:dyDescent="0.2">
      <c r="A2429">
        <v>17</v>
      </c>
      <c r="B2429">
        <v>1999.8</v>
      </c>
      <c r="C2429">
        <v>2000</v>
      </c>
      <c r="D2429" t="s">
        <v>5967</v>
      </c>
    </row>
    <row r="2430" spans="1:4" x14ac:dyDescent="0.2">
      <c r="A2430">
        <v>18</v>
      </c>
      <c r="B2430">
        <v>1999.9</v>
      </c>
      <c r="C2430">
        <v>2000</v>
      </c>
      <c r="D2430" t="s">
        <v>5967</v>
      </c>
    </row>
    <row r="2431" spans="1:4" x14ac:dyDescent="0.2">
      <c r="A2431">
        <v>13</v>
      </c>
      <c r="B2431">
        <v>2300.4</v>
      </c>
      <c r="C2431">
        <v>2300</v>
      </c>
      <c r="D2431" t="s">
        <v>5967</v>
      </c>
    </row>
    <row r="2432" spans="1:4" x14ac:dyDescent="0.2">
      <c r="A2432">
        <v>14</v>
      </c>
      <c r="B2432">
        <v>2300.5</v>
      </c>
      <c r="C2432">
        <v>2300</v>
      </c>
      <c r="D2432" t="s">
        <v>5967</v>
      </c>
    </row>
    <row r="2433" spans="1:4" x14ac:dyDescent="0.2">
      <c r="A2433">
        <v>15</v>
      </c>
      <c r="B2433">
        <v>2299.6999999999998</v>
      </c>
      <c r="C2433">
        <v>2300</v>
      </c>
      <c r="D2433" t="s">
        <v>5967</v>
      </c>
    </row>
    <row r="2434" spans="1:4" x14ac:dyDescent="0.2">
      <c r="A2434">
        <v>16</v>
      </c>
      <c r="B2434">
        <v>2300.1</v>
      </c>
      <c r="C2434">
        <v>2300</v>
      </c>
      <c r="D2434" t="s">
        <v>5967</v>
      </c>
    </row>
    <row r="2435" spans="1:4" x14ac:dyDescent="0.2">
      <c r="A2435">
        <v>17</v>
      </c>
      <c r="B2435">
        <v>2299.9</v>
      </c>
      <c r="C2435">
        <v>2300</v>
      </c>
      <c r="D2435" t="s">
        <v>5967</v>
      </c>
    </row>
    <row r="2436" spans="1:4" x14ac:dyDescent="0.2">
      <c r="A2436">
        <v>18</v>
      </c>
      <c r="B2436">
        <v>2299.9</v>
      </c>
      <c r="C2436">
        <v>2300</v>
      </c>
      <c r="D2436" t="s">
        <v>5967</v>
      </c>
    </row>
    <row r="2437" spans="1:4" x14ac:dyDescent="0.2">
      <c r="A2437">
        <v>19</v>
      </c>
      <c r="B2437">
        <v>31.9</v>
      </c>
      <c r="C2437">
        <v>32</v>
      </c>
      <c r="D2437" t="s">
        <v>5967</v>
      </c>
    </row>
    <row r="2438" spans="1:4" x14ac:dyDescent="0.2">
      <c r="A2438">
        <v>20</v>
      </c>
      <c r="B2438">
        <v>32</v>
      </c>
      <c r="C2438">
        <v>32</v>
      </c>
      <c r="D2438" t="s">
        <v>5967</v>
      </c>
    </row>
    <row r="2439" spans="1:4" x14ac:dyDescent="0.2">
      <c r="A2439">
        <v>21</v>
      </c>
      <c r="B2439">
        <v>31.9</v>
      </c>
      <c r="C2439">
        <v>32</v>
      </c>
      <c r="D2439" t="s">
        <v>5967</v>
      </c>
    </row>
    <row r="2440" spans="1:4" x14ac:dyDescent="0.2">
      <c r="A2440">
        <v>22</v>
      </c>
      <c r="B2440">
        <v>32.4</v>
      </c>
      <c r="C2440">
        <v>32</v>
      </c>
      <c r="D2440" t="s">
        <v>5967</v>
      </c>
    </row>
    <row r="2441" spans="1:4" x14ac:dyDescent="0.2">
      <c r="A2441">
        <v>23</v>
      </c>
      <c r="B2441">
        <v>32.1</v>
      </c>
      <c r="C2441">
        <v>32</v>
      </c>
      <c r="D2441" t="s">
        <v>5967</v>
      </c>
    </row>
    <row r="2442" spans="1:4" x14ac:dyDescent="0.2">
      <c r="A2442">
        <v>24</v>
      </c>
      <c r="B2442">
        <v>31.5</v>
      </c>
      <c r="C2442">
        <v>32</v>
      </c>
      <c r="D2442" t="s">
        <v>5967</v>
      </c>
    </row>
    <row r="2443" spans="1:4" x14ac:dyDescent="0.2">
      <c r="A2443">
        <v>19</v>
      </c>
      <c r="B2443">
        <v>499.7</v>
      </c>
      <c r="C2443">
        <v>500</v>
      </c>
      <c r="D2443" t="s">
        <v>5967</v>
      </c>
    </row>
    <row r="2444" spans="1:4" x14ac:dyDescent="0.2">
      <c r="A2444">
        <v>20</v>
      </c>
      <c r="B2444">
        <v>499.8</v>
      </c>
      <c r="C2444">
        <v>500</v>
      </c>
      <c r="D2444" t="s">
        <v>5967</v>
      </c>
    </row>
    <row r="2445" spans="1:4" x14ac:dyDescent="0.2">
      <c r="A2445">
        <v>21</v>
      </c>
      <c r="B2445">
        <v>499.7</v>
      </c>
      <c r="C2445">
        <v>500</v>
      </c>
      <c r="D2445" t="s">
        <v>5967</v>
      </c>
    </row>
    <row r="2446" spans="1:4" x14ac:dyDescent="0.2">
      <c r="A2446">
        <v>22</v>
      </c>
      <c r="B2446">
        <v>500.1</v>
      </c>
      <c r="C2446">
        <v>500</v>
      </c>
      <c r="D2446" t="s">
        <v>5967</v>
      </c>
    </row>
    <row r="2447" spans="1:4" x14ac:dyDescent="0.2">
      <c r="A2447">
        <v>23</v>
      </c>
      <c r="B2447">
        <v>499.9</v>
      </c>
      <c r="C2447">
        <v>500</v>
      </c>
      <c r="D2447" t="s">
        <v>5967</v>
      </c>
    </row>
    <row r="2448" spans="1:4" x14ac:dyDescent="0.2">
      <c r="A2448">
        <v>24</v>
      </c>
      <c r="B2448">
        <v>499.5</v>
      </c>
      <c r="C2448">
        <v>500</v>
      </c>
      <c r="D2448" t="s">
        <v>5967</v>
      </c>
    </row>
    <row r="2449" spans="1:4" x14ac:dyDescent="0.2">
      <c r="A2449">
        <v>19</v>
      </c>
      <c r="B2449">
        <v>999.6</v>
      </c>
      <c r="C2449">
        <v>1000</v>
      </c>
      <c r="D2449" t="s">
        <v>5967</v>
      </c>
    </row>
    <row r="2450" spans="1:4" x14ac:dyDescent="0.2">
      <c r="A2450">
        <v>20</v>
      </c>
      <c r="B2450">
        <v>999.7</v>
      </c>
      <c r="C2450">
        <v>1000</v>
      </c>
      <c r="D2450" t="s">
        <v>5967</v>
      </c>
    </row>
    <row r="2451" spans="1:4" x14ac:dyDescent="0.2">
      <c r="A2451">
        <v>21</v>
      </c>
      <c r="B2451">
        <v>999.7</v>
      </c>
      <c r="C2451">
        <v>1000</v>
      </c>
      <c r="D2451" t="s">
        <v>5967</v>
      </c>
    </row>
    <row r="2452" spans="1:4" x14ac:dyDescent="0.2">
      <c r="A2452">
        <v>22</v>
      </c>
      <c r="B2452">
        <v>1000</v>
      </c>
      <c r="C2452">
        <v>1000</v>
      </c>
      <c r="D2452" t="s">
        <v>5967</v>
      </c>
    </row>
    <row r="2453" spans="1:4" x14ac:dyDescent="0.2">
      <c r="A2453">
        <v>23</v>
      </c>
      <c r="B2453">
        <v>999.8</v>
      </c>
      <c r="C2453">
        <v>1000</v>
      </c>
      <c r="D2453" t="s">
        <v>5967</v>
      </c>
    </row>
    <row r="2454" spans="1:4" x14ac:dyDescent="0.2">
      <c r="A2454">
        <v>24</v>
      </c>
      <c r="B2454">
        <v>999.5</v>
      </c>
      <c r="C2454">
        <v>1000</v>
      </c>
      <c r="D2454" t="s">
        <v>5967</v>
      </c>
    </row>
    <row r="2455" spans="1:4" x14ac:dyDescent="0.2">
      <c r="A2455">
        <v>19</v>
      </c>
      <c r="B2455">
        <v>1499.5</v>
      </c>
      <c r="C2455">
        <v>1500</v>
      </c>
      <c r="D2455" t="s">
        <v>5967</v>
      </c>
    </row>
    <row r="2456" spans="1:4" x14ac:dyDescent="0.2">
      <c r="A2456">
        <v>20</v>
      </c>
      <c r="B2456">
        <v>1499.7</v>
      </c>
      <c r="C2456">
        <v>1500</v>
      </c>
      <c r="D2456" t="s">
        <v>5967</v>
      </c>
    </row>
    <row r="2457" spans="1:4" x14ac:dyDescent="0.2">
      <c r="A2457">
        <v>21</v>
      </c>
      <c r="B2457">
        <v>1499.7</v>
      </c>
      <c r="C2457">
        <v>1500</v>
      </c>
      <c r="D2457" t="s">
        <v>5967</v>
      </c>
    </row>
    <row r="2458" spans="1:4" x14ac:dyDescent="0.2">
      <c r="A2458">
        <v>22</v>
      </c>
      <c r="B2458">
        <v>1499.8</v>
      </c>
      <c r="C2458">
        <v>1500</v>
      </c>
      <c r="D2458" t="s">
        <v>5967</v>
      </c>
    </row>
    <row r="2459" spans="1:4" x14ac:dyDescent="0.2">
      <c r="A2459">
        <v>23</v>
      </c>
      <c r="B2459">
        <v>1499.8</v>
      </c>
      <c r="C2459">
        <v>1500</v>
      </c>
      <c r="D2459" t="s">
        <v>5967</v>
      </c>
    </row>
    <row r="2460" spans="1:4" x14ac:dyDescent="0.2">
      <c r="A2460">
        <v>24</v>
      </c>
      <c r="B2460">
        <v>1499.5</v>
      </c>
      <c r="C2460">
        <v>1500</v>
      </c>
      <c r="D2460" t="s">
        <v>5967</v>
      </c>
    </row>
    <row r="2461" spans="1:4" x14ac:dyDescent="0.2">
      <c r="A2461">
        <v>19</v>
      </c>
      <c r="B2461">
        <v>1999.7</v>
      </c>
      <c r="C2461">
        <v>2000</v>
      </c>
      <c r="D2461" t="s">
        <v>5967</v>
      </c>
    </row>
    <row r="2462" spans="1:4" x14ac:dyDescent="0.2">
      <c r="A2462">
        <v>20</v>
      </c>
      <c r="B2462">
        <v>1999.9</v>
      </c>
      <c r="C2462">
        <v>2000</v>
      </c>
      <c r="D2462" t="s">
        <v>5967</v>
      </c>
    </row>
    <row r="2463" spans="1:4" x14ac:dyDescent="0.2">
      <c r="A2463">
        <v>21</v>
      </c>
      <c r="B2463">
        <v>1999.9</v>
      </c>
      <c r="C2463">
        <v>2000</v>
      </c>
      <c r="D2463" t="s">
        <v>5967</v>
      </c>
    </row>
    <row r="2464" spans="1:4" x14ac:dyDescent="0.2">
      <c r="A2464">
        <v>22</v>
      </c>
      <c r="B2464">
        <v>1999.9</v>
      </c>
      <c r="C2464">
        <v>2000</v>
      </c>
      <c r="D2464" t="s">
        <v>5967</v>
      </c>
    </row>
    <row r="2465" spans="1:4" x14ac:dyDescent="0.2">
      <c r="A2465">
        <v>23</v>
      </c>
      <c r="B2465">
        <v>1999.9</v>
      </c>
      <c r="C2465">
        <v>2000</v>
      </c>
      <c r="D2465" t="s">
        <v>5967</v>
      </c>
    </row>
    <row r="2466" spans="1:4" x14ac:dyDescent="0.2">
      <c r="A2466">
        <v>24</v>
      </c>
      <c r="B2466">
        <v>1999.6</v>
      </c>
      <c r="C2466">
        <v>2000</v>
      </c>
      <c r="D2466" t="s">
        <v>5967</v>
      </c>
    </row>
    <row r="2467" spans="1:4" x14ac:dyDescent="0.2">
      <c r="A2467">
        <v>19</v>
      </c>
      <c r="B2467">
        <v>2299.6999999999998</v>
      </c>
      <c r="C2467">
        <v>2300</v>
      </c>
      <c r="D2467" t="s">
        <v>5967</v>
      </c>
    </row>
    <row r="2468" spans="1:4" x14ac:dyDescent="0.2">
      <c r="A2468">
        <v>20</v>
      </c>
      <c r="B2468">
        <v>2300</v>
      </c>
      <c r="C2468">
        <v>2300</v>
      </c>
      <c r="D2468" t="s">
        <v>5967</v>
      </c>
    </row>
    <row r="2469" spans="1:4" x14ac:dyDescent="0.2">
      <c r="A2469">
        <v>21</v>
      </c>
      <c r="B2469">
        <v>2300</v>
      </c>
      <c r="C2469">
        <v>2300</v>
      </c>
      <c r="D2469" t="s">
        <v>5967</v>
      </c>
    </row>
    <row r="2470" spans="1:4" x14ac:dyDescent="0.2">
      <c r="A2470">
        <v>22</v>
      </c>
      <c r="B2470">
        <v>2299.9</v>
      </c>
      <c r="C2470">
        <v>2300</v>
      </c>
      <c r="D2470" t="s">
        <v>5967</v>
      </c>
    </row>
    <row r="2471" spans="1:4" x14ac:dyDescent="0.2">
      <c r="A2471">
        <v>23</v>
      </c>
      <c r="B2471">
        <v>2300</v>
      </c>
      <c r="C2471">
        <v>2300</v>
      </c>
      <c r="D2471" t="s">
        <v>5967</v>
      </c>
    </row>
    <row r="2472" spans="1:4" x14ac:dyDescent="0.2">
      <c r="A2472">
        <v>24</v>
      </c>
      <c r="B2472">
        <v>2299.6</v>
      </c>
      <c r="C2472">
        <v>2300</v>
      </c>
      <c r="D2472" t="s">
        <v>5967</v>
      </c>
    </row>
    <row r="2473" spans="1:4" x14ac:dyDescent="0.2">
      <c r="A2473">
        <v>25</v>
      </c>
      <c r="B2473">
        <v>32.1</v>
      </c>
      <c r="C2473">
        <v>32</v>
      </c>
      <c r="D2473" t="s">
        <v>5967</v>
      </c>
    </row>
    <row r="2474" spans="1:4" x14ac:dyDescent="0.2">
      <c r="A2474">
        <v>26</v>
      </c>
      <c r="B2474">
        <v>32</v>
      </c>
      <c r="C2474">
        <v>32</v>
      </c>
      <c r="D2474" t="s">
        <v>5967</v>
      </c>
    </row>
    <row r="2475" spans="1:4" x14ac:dyDescent="0.2">
      <c r="A2475">
        <v>27</v>
      </c>
      <c r="B2475">
        <v>32</v>
      </c>
      <c r="C2475">
        <v>32</v>
      </c>
      <c r="D2475" t="s">
        <v>5967</v>
      </c>
    </row>
    <row r="2476" spans="1:4" x14ac:dyDescent="0.2">
      <c r="A2476">
        <v>28</v>
      </c>
      <c r="B2476">
        <v>32</v>
      </c>
      <c r="C2476">
        <v>32</v>
      </c>
      <c r="D2476" t="s">
        <v>5967</v>
      </c>
    </row>
    <row r="2477" spans="1:4" x14ac:dyDescent="0.2">
      <c r="A2477">
        <v>25</v>
      </c>
      <c r="B2477">
        <v>499.6</v>
      </c>
      <c r="C2477">
        <v>500</v>
      </c>
      <c r="D2477" t="s">
        <v>5967</v>
      </c>
    </row>
    <row r="2478" spans="1:4" x14ac:dyDescent="0.2">
      <c r="A2478">
        <v>26</v>
      </c>
      <c r="B2478">
        <v>500.1</v>
      </c>
      <c r="C2478">
        <v>500</v>
      </c>
      <c r="D2478" t="s">
        <v>5967</v>
      </c>
    </row>
    <row r="2479" spans="1:4" x14ac:dyDescent="0.2">
      <c r="A2479">
        <v>27</v>
      </c>
      <c r="B2479">
        <v>499.7</v>
      </c>
      <c r="C2479">
        <v>500</v>
      </c>
      <c r="D2479" t="s">
        <v>5967</v>
      </c>
    </row>
    <row r="2480" spans="1:4" x14ac:dyDescent="0.2">
      <c r="A2480">
        <v>28</v>
      </c>
      <c r="B2480">
        <v>500</v>
      </c>
      <c r="C2480">
        <v>500</v>
      </c>
      <c r="D2480" t="s">
        <v>5967</v>
      </c>
    </row>
    <row r="2481" spans="1:4" x14ac:dyDescent="0.2">
      <c r="A2481">
        <v>25</v>
      </c>
      <c r="B2481">
        <v>999.5</v>
      </c>
      <c r="C2481">
        <v>1000</v>
      </c>
      <c r="D2481" t="s">
        <v>5967</v>
      </c>
    </row>
    <row r="2482" spans="1:4" x14ac:dyDescent="0.2">
      <c r="A2482">
        <v>26</v>
      </c>
      <c r="B2482">
        <v>1000.1</v>
      </c>
      <c r="C2482">
        <v>1000</v>
      </c>
      <c r="D2482" t="s">
        <v>5967</v>
      </c>
    </row>
    <row r="2483" spans="1:4" x14ac:dyDescent="0.2">
      <c r="A2483">
        <v>27</v>
      </c>
      <c r="B2483">
        <v>999.7</v>
      </c>
      <c r="C2483">
        <v>1000</v>
      </c>
      <c r="D2483" t="s">
        <v>5967</v>
      </c>
    </row>
    <row r="2484" spans="1:4" x14ac:dyDescent="0.2">
      <c r="A2484">
        <v>28</v>
      </c>
      <c r="B2484">
        <v>999.9</v>
      </c>
      <c r="C2484">
        <v>1000</v>
      </c>
      <c r="D2484" t="s">
        <v>5967</v>
      </c>
    </row>
    <row r="2485" spans="1:4" x14ac:dyDescent="0.2">
      <c r="A2485">
        <v>25</v>
      </c>
      <c r="B2485">
        <v>1499.2</v>
      </c>
      <c r="C2485">
        <v>1500</v>
      </c>
      <c r="D2485" t="s">
        <v>5967</v>
      </c>
    </row>
    <row r="2486" spans="1:4" x14ac:dyDescent="0.2">
      <c r="A2486">
        <v>26</v>
      </c>
      <c r="B2486">
        <v>1500</v>
      </c>
      <c r="C2486">
        <v>1500</v>
      </c>
      <c r="D2486" t="s">
        <v>5967</v>
      </c>
    </row>
    <row r="2487" spans="1:4" x14ac:dyDescent="0.2">
      <c r="A2487">
        <v>27</v>
      </c>
      <c r="B2487">
        <v>1499.6</v>
      </c>
      <c r="C2487">
        <v>1500</v>
      </c>
      <c r="D2487" t="s">
        <v>5967</v>
      </c>
    </row>
    <row r="2488" spans="1:4" x14ac:dyDescent="0.2">
      <c r="A2488">
        <v>28</v>
      </c>
      <c r="B2488">
        <v>1499.8</v>
      </c>
      <c r="C2488">
        <v>1500</v>
      </c>
      <c r="D2488" t="s">
        <v>5967</v>
      </c>
    </row>
    <row r="2489" spans="1:4" x14ac:dyDescent="0.2">
      <c r="A2489">
        <v>25</v>
      </c>
      <c r="B2489">
        <v>1999.3</v>
      </c>
      <c r="C2489">
        <v>2000</v>
      </c>
      <c r="D2489" t="s">
        <v>5967</v>
      </c>
    </row>
    <row r="2490" spans="1:4" x14ac:dyDescent="0.2">
      <c r="A2490">
        <v>26</v>
      </c>
      <c r="B2490">
        <v>2000.1</v>
      </c>
      <c r="C2490">
        <v>2000</v>
      </c>
      <c r="D2490" t="s">
        <v>5967</v>
      </c>
    </row>
    <row r="2491" spans="1:4" x14ac:dyDescent="0.2">
      <c r="A2491">
        <v>27</v>
      </c>
      <c r="B2491">
        <v>1999.7</v>
      </c>
      <c r="C2491">
        <v>2000</v>
      </c>
      <c r="D2491" t="s">
        <v>5967</v>
      </c>
    </row>
    <row r="2492" spans="1:4" x14ac:dyDescent="0.2">
      <c r="A2492">
        <v>28</v>
      </c>
      <c r="B2492">
        <v>1999.9</v>
      </c>
      <c r="C2492">
        <v>2000</v>
      </c>
      <c r="D2492" t="s">
        <v>5967</v>
      </c>
    </row>
    <row r="2493" spans="1:4" x14ac:dyDescent="0.2">
      <c r="A2493">
        <v>25</v>
      </c>
      <c r="B2493">
        <v>2299.3000000000002</v>
      </c>
      <c r="C2493">
        <v>2300</v>
      </c>
      <c r="D2493" t="s">
        <v>5967</v>
      </c>
    </row>
    <row r="2494" spans="1:4" x14ac:dyDescent="0.2">
      <c r="A2494">
        <v>26</v>
      </c>
      <c r="B2494">
        <v>2300.1</v>
      </c>
      <c r="C2494">
        <v>2300</v>
      </c>
      <c r="D2494" t="s">
        <v>5967</v>
      </c>
    </row>
    <row r="2495" spans="1:4" x14ac:dyDescent="0.2">
      <c r="A2495">
        <v>27</v>
      </c>
      <c r="B2495">
        <v>2299.8000000000002</v>
      </c>
      <c r="C2495">
        <v>2300</v>
      </c>
      <c r="D2495" t="s">
        <v>5967</v>
      </c>
    </row>
    <row r="2496" spans="1:4" x14ac:dyDescent="0.2">
      <c r="A2496">
        <v>28</v>
      </c>
      <c r="B2496">
        <v>2300</v>
      </c>
      <c r="C2496">
        <v>2300</v>
      </c>
      <c r="D2496" t="s">
        <v>5967</v>
      </c>
    </row>
    <row r="2497" spans="1:4" x14ac:dyDescent="0.2">
      <c r="A2497">
        <v>1</v>
      </c>
      <c r="B2497">
        <v>10.1</v>
      </c>
      <c r="C2497">
        <v>10</v>
      </c>
      <c r="D2497" t="s">
        <v>5968</v>
      </c>
    </row>
    <row r="2498" spans="1:4" x14ac:dyDescent="0.2">
      <c r="A2498">
        <v>2</v>
      </c>
      <c r="B2498">
        <v>9.8000000000000007</v>
      </c>
      <c r="C2498">
        <v>10</v>
      </c>
      <c r="D2498" t="s">
        <v>5968</v>
      </c>
    </row>
    <row r="2499" spans="1:4" x14ac:dyDescent="0.2">
      <c r="A2499">
        <v>3</v>
      </c>
      <c r="B2499">
        <v>9.9</v>
      </c>
      <c r="C2499">
        <v>10</v>
      </c>
      <c r="D2499" t="s">
        <v>5968</v>
      </c>
    </row>
    <row r="2500" spans="1:4" x14ac:dyDescent="0.2">
      <c r="A2500">
        <v>4</v>
      </c>
      <c r="B2500">
        <v>10</v>
      </c>
      <c r="C2500">
        <v>10</v>
      </c>
      <c r="D2500" t="s">
        <v>5968</v>
      </c>
    </row>
    <row r="2501" spans="1:4" x14ac:dyDescent="0.2">
      <c r="A2501">
        <v>5</v>
      </c>
      <c r="B2501">
        <v>10</v>
      </c>
      <c r="C2501">
        <v>10</v>
      </c>
      <c r="D2501" t="s">
        <v>5968</v>
      </c>
    </row>
    <row r="2502" spans="1:4" x14ac:dyDescent="0.2">
      <c r="A2502">
        <v>6</v>
      </c>
      <c r="B2502">
        <v>10</v>
      </c>
      <c r="C2502">
        <v>10</v>
      </c>
      <c r="D2502" t="s">
        <v>5968</v>
      </c>
    </row>
    <row r="2503" spans="1:4" x14ac:dyDescent="0.2">
      <c r="A2503">
        <v>1</v>
      </c>
      <c r="B2503">
        <v>500</v>
      </c>
      <c r="C2503">
        <v>500</v>
      </c>
      <c r="D2503" t="s">
        <v>5968</v>
      </c>
    </row>
    <row r="2504" spans="1:4" x14ac:dyDescent="0.2">
      <c r="A2504">
        <v>2</v>
      </c>
      <c r="B2504">
        <v>499.8</v>
      </c>
      <c r="C2504">
        <v>500</v>
      </c>
      <c r="D2504" t="s">
        <v>5968</v>
      </c>
    </row>
    <row r="2505" spans="1:4" x14ac:dyDescent="0.2">
      <c r="A2505">
        <v>3</v>
      </c>
      <c r="B2505">
        <v>499.9</v>
      </c>
      <c r="C2505">
        <v>500</v>
      </c>
      <c r="D2505" t="s">
        <v>5968</v>
      </c>
    </row>
    <row r="2506" spans="1:4" x14ac:dyDescent="0.2">
      <c r="A2506">
        <v>4</v>
      </c>
      <c r="B2506">
        <v>500</v>
      </c>
      <c r="C2506">
        <v>500</v>
      </c>
      <c r="D2506" t="s">
        <v>5968</v>
      </c>
    </row>
    <row r="2507" spans="1:4" x14ac:dyDescent="0.2">
      <c r="A2507">
        <v>5</v>
      </c>
      <c r="B2507">
        <v>499.9</v>
      </c>
      <c r="C2507">
        <v>500</v>
      </c>
      <c r="D2507" t="s">
        <v>5968</v>
      </c>
    </row>
    <row r="2508" spans="1:4" x14ac:dyDescent="0.2">
      <c r="A2508">
        <v>6</v>
      </c>
      <c r="B2508">
        <v>500</v>
      </c>
      <c r="C2508">
        <v>500</v>
      </c>
      <c r="D2508" t="s">
        <v>5968</v>
      </c>
    </row>
    <row r="2509" spans="1:4" x14ac:dyDescent="0.2">
      <c r="A2509">
        <v>1</v>
      </c>
      <c r="B2509">
        <v>1000</v>
      </c>
      <c r="C2509">
        <v>1000</v>
      </c>
      <c r="D2509" t="s">
        <v>5968</v>
      </c>
    </row>
    <row r="2510" spans="1:4" x14ac:dyDescent="0.2">
      <c r="A2510">
        <v>2</v>
      </c>
      <c r="B2510">
        <v>999.9</v>
      </c>
      <c r="C2510">
        <v>1000</v>
      </c>
      <c r="D2510" t="s">
        <v>5968</v>
      </c>
    </row>
    <row r="2511" spans="1:4" x14ac:dyDescent="0.2">
      <c r="A2511">
        <v>3</v>
      </c>
      <c r="B2511">
        <v>1000</v>
      </c>
      <c r="C2511">
        <v>1000</v>
      </c>
      <c r="D2511" t="s">
        <v>5968</v>
      </c>
    </row>
    <row r="2512" spans="1:4" x14ac:dyDescent="0.2">
      <c r="A2512">
        <v>4</v>
      </c>
      <c r="B2512">
        <v>1000.1</v>
      </c>
      <c r="C2512">
        <v>1000</v>
      </c>
      <c r="D2512" t="s">
        <v>5968</v>
      </c>
    </row>
    <row r="2513" spans="1:4" x14ac:dyDescent="0.2">
      <c r="A2513">
        <v>5</v>
      </c>
      <c r="B2513">
        <v>999.9</v>
      </c>
      <c r="C2513">
        <v>1000</v>
      </c>
      <c r="D2513" t="s">
        <v>5968</v>
      </c>
    </row>
    <row r="2514" spans="1:4" x14ac:dyDescent="0.2">
      <c r="A2514">
        <v>6</v>
      </c>
      <c r="B2514">
        <v>1000.1</v>
      </c>
      <c r="C2514">
        <v>1000</v>
      </c>
      <c r="D2514" t="s">
        <v>5968</v>
      </c>
    </row>
    <row r="2515" spans="1:4" x14ac:dyDescent="0.2">
      <c r="A2515">
        <v>1</v>
      </c>
      <c r="B2515">
        <v>1500.1</v>
      </c>
      <c r="C2515">
        <v>1500</v>
      </c>
      <c r="D2515" t="s">
        <v>5968</v>
      </c>
    </row>
    <row r="2516" spans="1:4" x14ac:dyDescent="0.2">
      <c r="A2516">
        <v>2</v>
      </c>
      <c r="B2516">
        <v>1499.9</v>
      </c>
      <c r="C2516">
        <v>1500</v>
      </c>
      <c r="D2516" t="s">
        <v>5968</v>
      </c>
    </row>
    <row r="2517" spans="1:4" x14ac:dyDescent="0.2">
      <c r="A2517">
        <v>3</v>
      </c>
      <c r="B2517">
        <v>1500.1</v>
      </c>
      <c r="C2517">
        <v>1500</v>
      </c>
      <c r="D2517" t="s">
        <v>5968</v>
      </c>
    </row>
    <row r="2518" spans="1:4" x14ac:dyDescent="0.2">
      <c r="A2518">
        <v>4</v>
      </c>
      <c r="B2518">
        <v>1500.1</v>
      </c>
      <c r="C2518">
        <v>1500</v>
      </c>
      <c r="D2518" t="s">
        <v>5968</v>
      </c>
    </row>
    <row r="2519" spans="1:4" x14ac:dyDescent="0.2">
      <c r="A2519">
        <v>5</v>
      </c>
      <c r="B2519">
        <v>1499.8</v>
      </c>
      <c r="C2519">
        <v>1500</v>
      </c>
      <c r="D2519" t="s">
        <v>5968</v>
      </c>
    </row>
    <row r="2520" spans="1:4" x14ac:dyDescent="0.2">
      <c r="A2520">
        <v>6</v>
      </c>
      <c r="B2520">
        <v>1500.1</v>
      </c>
      <c r="C2520">
        <v>1500</v>
      </c>
      <c r="D2520" t="s">
        <v>5968</v>
      </c>
    </row>
    <row r="2521" spans="1:4" x14ac:dyDescent="0.2">
      <c r="A2521">
        <v>1</v>
      </c>
      <c r="B2521">
        <v>2000.1</v>
      </c>
      <c r="C2521">
        <v>2000</v>
      </c>
      <c r="D2521" t="s">
        <v>5968</v>
      </c>
    </row>
    <row r="2522" spans="1:4" x14ac:dyDescent="0.2">
      <c r="A2522">
        <v>2</v>
      </c>
      <c r="B2522">
        <v>1999.9</v>
      </c>
      <c r="C2522">
        <v>2000</v>
      </c>
      <c r="D2522" t="s">
        <v>5968</v>
      </c>
    </row>
    <row r="2523" spans="1:4" x14ac:dyDescent="0.2">
      <c r="A2523">
        <v>3</v>
      </c>
      <c r="B2523">
        <v>2000.1</v>
      </c>
      <c r="C2523">
        <v>2000</v>
      </c>
      <c r="D2523" t="s">
        <v>5968</v>
      </c>
    </row>
    <row r="2524" spans="1:4" x14ac:dyDescent="0.2">
      <c r="A2524">
        <v>4</v>
      </c>
      <c r="B2524">
        <v>2000.1</v>
      </c>
      <c r="C2524">
        <v>2000</v>
      </c>
      <c r="D2524" t="s">
        <v>5968</v>
      </c>
    </row>
    <row r="2525" spans="1:4" x14ac:dyDescent="0.2">
      <c r="A2525">
        <v>5</v>
      </c>
      <c r="B2525">
        <v>1999.8</v>
      </c>
      <c r="C2525">
        <v>2000</v>
      </c>
      <c r="D2525" t="s">
        <v>5968</v>
      </c>
    </row>
    <row r="2526" spans="1:4" x14ac:dyDescent="0.2">
      <c r="A2526">
        <v>6</v>
      </c>
      <c r="B2526">
        <v>2000.1</v>
      </c>
      <c r="C2526">
        <v>2000</v>
      </c>
      <c r="D2526" t="s">
        <v>5968</v>
      </c>
    </row>
    <row r="2527" spans="1:4" x14ac:dyDescent="0.2">
      <c r="A2527">
        <v>1</v>
      </c>
      <c r="B2527">
        <v>2250.1</v>
      </c>
      <c r="C2527">
        <v>2250</v>
      </c>
      <c r="D2527" t="s">
        <v>5968</v>
      </c>
    </row>
    <row r="2528" spans="1:4" x14ac:dyDescent="0.2">
      <c r="A2528">
        <v>2</v>
      </c>
      <c r="B2528">
        <v>2250</v>
      </c>
      <c r="C2528">
        <v>2250</v>
      </c>
      <c r="D2528" t="s">
        <v>5968</v>
      </c>
    </row>
    <row r="2529" spans="1:4" x14ac:dyDescent="0.2">
      <c r="A2529">
        <v>3</v>
      </c>
      <c r="B2529">
        <v>2250.1999999999998</v>
      </c>
      <c r="C2529">
        <v>2250</v>
      </c>
      <c r="D2529" t="s">
        <v>5968</v>
      </c>
    </row>
    <row r="2530" spans="1:4" x14ac:dyDescent="0.2">
      <c r="A2530">
        <v>4</v>
      </c>
      <c r="B2530">
        <v>2250.1999999999998</v>
      </c>
      <c r="C2530">
        <v>2250</v>
      </c>
      <c r="D2530" t="s">
        <v>5968</v>
      </c>
    </row>
    <row r="2531" spans="1:4" x14ac:dyDescent="0.2">
      <c r="A2531">
        <v>5</v>
      </c>
      <c r="B2531">
        <v>2249.9</v>
      </c>
      <c r="C2531">
        <v>2250</v>
      </c>
      <c r="D2531" t="s">
        <v>5968</v>
      </c>
    </row>
    <row r="2532" spans="1:4" x14ac:dyDescent="0.2">
      <c r="A2532">
        <v>6</v>
      </c>
      <c r="B2532">
        <v>2250.1999999999998</v>
      </c>
      <c r="C2532">
        <v>2250</v>
      </c>
      <c r="D2532" t="s">
        <v>5968</v>
      </c>
    </row>
    <row r="2533" spans="1:4" x14ac:dyDescent="0.2">
      <c r="A2533">
        <v>7</v>
      </c>
      <c r="B2533">
        <v>9.8000000000000007</v>
      </c>
      <c r="C2533">
        <v>10</v>
      </c>
      <c r="D2533" t="s">
        <v>5968</v>
      </c>
    </row>
    <row r="2534" spans="1:4" x14ac:dyDescent="0.2">
      <c r="A2534">
        <v>8</v>
      </c>
      <c r="B2534">
        <v>10</v>
      </c>
      <c r="C2534">
        <v>10</v>
      </c>
      <c r="D2534" t="s">
        <v>5968</v>
      </c>
    </row>
    <row r="2535" spans="1:4" x14ac:dyDescent="0.2">
      <c r="A2535">
        <v>9</v>
      </c>
      <c r="B2535">
        <v>9.9</v>
      </c>
      <c r="C2535">
        <v>10</v>
      </c>
      <c r="D2535" t="s">
        <v>5968</v>
      </c>
    </row>
    <row r="2536" spans="1:4" x14ac:dyDescent="0.2">
      <c r="A2536">
        <v>10</v>
      </c>
      <c r="B2536">
        <v>9.9</v>
      </c>
      <c r="C2536">
        <v>10</v>
      </c>
      <c r="D2536" t="s">
        <v>5968</v>
      </c>
    </row>
    <row r="2537" spans="1:4" x14ac:dyDescent="0.2">
      <c r="A2537">
        <v>11</v>
      </c>
      <c r="B2537">
        <v>9.9</v>
      </c>
      <c r="C2537">
        <v>10</v>
      </c>
      <c r="D2537" t="s">
        <v>5968</v>
      </c>
    </row>
    <row r="2538" spans="1:4" x14ac:dyDescent="0.2">
      <c r="A2538">
        <v>12</v>
      </c>
      <c r="B2538">
        <v>9.8000000000000007</v>
      </c>
      <c r="C2538">
        <v>10</v>
      </c>
      <c r="D2538" t="s">
        <v>5968</v>
      </c>
    </row>
    <row r="2539" spans="1:4" x14ac:dyDescent="0.2">
      <c r="A2539">
        <v>7</v>
      </c>
      <c r="B2539">
        <v>499.7</v>
      </c>
      <c r="C2539">
        <v>500</v>
      </c>
      <c r="D2539" t="s">
        <v>5968</v>
      </c>
    </row>
    <row r="2540" spans="1:4" x14ac:dyDescent="0.2">
      <c r="A2540">
        <v>8</v>
      </c>
      <c r="B2540">
        <v>500</v>
      </c>
      <c r="C2540">
        <v>500</v>
      </c>
      <c r="D2540" t="s">
        <v>5968</v>
      </c>
    </row>
    <row r="2541" spans="1:4" x14ac:dyDescent="0.2">
      <c r="A2541">
        <v>9</v>
      </c>
      <c r="B2541">
        <v>499.9</v>
      </c>
      <c r="C2541">
        <v>500</v>
      </c>
      <c r="D2541" t="s">
        <v>5968</v>
      </c>
    </row>
    <row r="2542" spans="1:4" x14ac:dyDescent="0.2">
      <c r="A2542">
        <v>10</v>
      </c>
      <c r="B2542">
        <v>499.9</v>
      </c>
      <c r="C2542">
        <v>500</v>
      </c>
      <c r="D2542" t="s">
        <v>5968</v>
      </c>
    </row>
    <row r="2543" spans="1:4" x14ac:dyDescent="0.2">
      <c r="A2543">
        <v>11</v>
      </c>
      <c r="B2543">
        <v>499.8</v>
      </c>
      <c r="C2543">
        <v>500</v>
      </c>
      <c r="D2543" t="s">
        <v>5968</v>
      </c>
    </row>
    <row r="2544" spans="1:4" x14ac:dyDescent="0.2">
      <c r="A2544">
        <v>12</v>
      </c>
      <c r="B2544">
        <v>499.7</v>
      </c>
      <c r="C2544">
        <v>500</v>
      </c>
      <c r="D2544" t="s">
        <v>5968</v>
      </c>
    </row>
    <row r="2545" spans="1:4" x14ac:dyDescent="0.2">
      <c r="A2545">
        <v>7</v>
      </c>
      <c r="B2545">
        <v>999.7</v>
      </c>
      <c r="C2545">
        <v>1000</v>
      </c>
      <c r="D2545" t="s">
        <v>5968</v>
      </c>
    </row>
    <row r="2546" spans="1:4" x14ac:dyDescent="0.2">
      <c r="A2546">
        <v>8</v>
      </c>
      <c r="B2546">
        <v>999.9</v>
      </c>
      <c r="C2546">
        <v>1000</v>
      </c>
      <c r="D2546" t="s">
        <v>5968</v>
      </c>
    </row>
    <row r="2547" spans="1:4" x14ac:dyDescent="0.2">
      <c r="A2547">
        <v>9</v>
      </c>
      <c r="B2547">
        <v>1000</v>
      </c>
      <c r="C2547">
        <v>1000</v>
      </c>
      <c r="D2547" t="s">
        <v>5968</v>
      </c>
    </row>
    <row r="2548" spans="1:4" x14ac:dyDescent="0.2">
      <c r="A2548">
        <v>10</v>
      </c>
      <c r="B2548">
        <v>1000.1</v>
      </c>
      <c r="C2548">
        <v>1000</v>
      </c>
      <c r="D2548" t="s">
        <v>5968</v>
      </c>
    </row>
    <row r="2549" spans="1:4" x14ac:dyDescent="0.2">
      <c r="A2549">
        <v>11</v>
      </c>
      <c r="B2549">
        <v>999.9</v>
      </c>
      <c r="C2549">
        <v>1000</v>
      </c>
      <c r="D2549" t="s">
        <v>5968</v>
      </c>
    </row>
    <row r="2550" spans="1:4" x14ac:dyDescent="0.2">
      <c r="A2550">
        <v>12</v>
      </c>
      <c r="B2550">
        <v>999.9</v>
      </c>
      <c r="C2550">
        <v>1000</v>
      </c>
      <c r="D2550" t="s">
        <v>5968</v>
      </c>
    </row>
    <row r="2551" spans="1:4" x14ac:dyDescent="0.2">
      <c r="A2551">
        <v>7</v>
      </c>
      <c r="B2551">
        <v>1499.7</v>
      </c>
      <c r="C2551">
        <v>1500</v>
      </c>
      <c r="D2551" t="s">
        <v>5968</v>
      </c>
    </row>
    <row r="2552" spans="1:4" x14ac:dyDescent="0.2">
      <c r="A2552">
        <v>8</v>
      </c>
      <c r="B2552">
        <v>1499.8</v>
      </c>
      <c r="C2552">
        <v>1500</v>
      </c>
      <c r="D2552" t="s">
        <v>5968</v>
      </c>
    </row>
    <row r="2553" spans="1:4" x14ac:dyDescent="0.2">
      <c r="A2553">
        <v>9</v>
      </c>
      <c r="B2553">
        <v>1500</v>
      </c>
      <c r="C2553">
        <v>1500</v>
      </c>
      <c r="D2553" t="s">
        <v>5968</v>
      </c>
    </row>
    <row r="2554" spans="1:4" x14ac:dyDescent="0.2">
      <c r="A2554">
        <v>10</v>
      </c>
      <c r="B2554">
        <v>1500.1</v>
      </c>
      <c r="C2554">
        <v>1500</v>
      </c>
      <c r="D2554" t="s">
        <v>5968</v>
      </c>
    </row>
    <row r="2555" spans="1:4" x14ac:dyDescent="0.2">
      <c r="A2555">
        <v>11</v>
      </c>
      <c r="B2555">
        <v>1499.9</v>
      </c>
      <c r="C2555">
        <v>1500</v>
      </c>
      <c r="D2555" t="s">
        <v>5968</v>
      </c>
    </row>
    <row r="2556" spans="1:4" x14ac:dyDescent="0.2">
      <c r="A2556">
        <v>12</v>
      </c>
      <c r="B2556">
        <v>1499.9</v>
      </c>
      <c r="C2556">
        <v>1500</v>
      </c>
      <c r="D2556" t="s">
        <v>5968</v>
      </c>
    </row>
    <row r="2557" spans="1:4" x14ac:dyDescent="0.2">
      <c r="A2557">
        <v>7</v>
      </c>
      <c r="B2557">
        <v>1999.7</v>
      </c>
      <c r="C2557">
        <v>2000</v>
      </c>
      <c r="D2557" t="s">
        <v>5968</v>
      </c>
    </row>
    <row r="2558" spans="1:4" x14ac:dyDescent="0.2">
      <c r="A2558">
        <v>8</v>
      </c>
      <c r="B2558">
        <v>1999.6</v>
      </c>
      <c r="C2558">
        <v>2000</v>
      </c>
      <c r="D2558" t="s">
        <v>5968</v>
      </c>
    </row>
    <row r="2559" spans="1:4" x14ac:dyDescent="0.2">
      <c r="A2559">
        <v>9</v>
      </c>
      <c r="B2559">
        <v>2000</v>
      </c>
      <c r="C2559">
        <v>2000</v>
      </c>
      <c r="D2559" t="s">
        <v>5968</v>
      </c>
    </row>
    <row r="2560" spans="1:4" x14ac:dyDescent="0.2">
      <c r="A2560">
        <v>10</v>
      </c>
      <c r="B2560">
        <v>2000.2</v>
      </c>
      <c r="C2560">
        <v>2000</v>
      </c>
      <c r="D2560" t="s">
        <v>5968</v>
      </c>
    </row>
    <row r="2561" spans="1:4" x14ac:dyDescent="0.2">
      <c r="A2561">
        <v>11</v>
      </c>
      <c r="B2561">
        <v>1999.9</v>
      </c>
      <c r="C2561">
        <v>2000</v>
      </c>
      <c r="D2561" t="s">
        <v>5968</v>
      </c>
    </row>
    <row r="2562" spans="1:4" x14ac:dyDescent="0.2">
      <c r="A2562">
        <v>12</v>
      </c>
      <c r="B2562">
        <v>1999.9</v>
      </c>
      <c r="C2562">
        <v>2000</v>
      </c>
      <c r="D2562" t="s">
        <v>5968</v>
      </c>
    </row>
    <row r="2563" spans="1:4" x14ac:dyDescent="0.2">
      <c r="A2563">
        <v>7</v>
      </c>
      <c r="B2563">
        <v>2249.6999999999998</v>
      </c>
      <c r="C2563">
        <v>2250</v>
      </c>
      <c r="D2563" t="s">
        <v>5968</v>
      </c>
    </row>
    <row r="2564" spans="1:4" x14ac:dyDescent="0.2">
      <c r="A2564">
        <v>8</v>
      </c>
      <c r="B2564">
        <v>2249.6</v>
      </c>
      <c r="C2564">
        <v>2250</v>
      </c>
      <c r="D2564" t="s">
        <v>5968</v>
      </c>
    </row>
    <row r="2565" spans="1:4" x14ac:dyDescent="0.2">
      <c r="A2565">
        <v>9</v>
      </c>
      <c r="B2565">
        <v>2250</v>
      </c>
      <c r="C2565">
        <v>2250</v>
      </c>
      <c r="D2565" t="s">
        <v>5968</v>
      </c>
    </row>
    <row r="2566" spans="1:4" x14ac:dyDescent="0.2">
      <c r="A2566">
        <v>10</v>
      </c>
      <c r="B2566">
        <v>2250.3000000000002</v>
      </c>
      <c r="C2566">
        <v>2250</v>
      </c>
      <c r="D2566" t="s">
        <v>5968</v>
      </c>
    </row>
    <row r="2567" spans="1:4" x14ac:dyDescent="0.2">
      <c r="A2567">
        <v>11</v>
      </c>
      <c r="B2567">
        <v>2250</v>
      </c>
      <c r="C2567">
        <v>2250</v>
      </c>
      <c r="D2567" t="s">
        <v>5968</v>
      </c>
    </row>
    <row r="2568" spans="1:4" x14ac:dyDescent="0.2">
      <c r="A2568">
        <v>12</v>
      </c>
      <c r="B2568">
        <v>2250</v>
      </c>
      <c r="C2568">
        <v>2250</v>
      </c>
      <c r="D2568" t="s">
        <v>5968</v>
      </c>
    </row>
    <row r="2569" spans="1:4" x14ac:dyDescent="0.2">
      <c r="A2569">
        <v>13</v>
      </c>
      <c r="B2569">
        <v>10</v>
      </c>
      <c r="C2569">
        <v>10</v>
      </c>
      <c r="D2569" t="s">
        <v>5968</v>
      </c>
    </row>
    <row r="2570" spans="1:4" x14ac:dyDescent="0.2">
      <c r="A2570">
        <v>14</v>
      </c>
      <c r="B2570">
        <v>10.1</v>
      </c>
      <c r="C2570">
        <v>10</v>
      </c>
      <c r="D2570" t="s">
        <v>5968</v>
      </c>
    </row>
    <row r="2571" spans="1:4" x14ac:dyDescent="0.2">
      <c r="A2571">
        <v>15</v>
      </c>
      <c r="B2571">
        <v>9.9</v>
      </c>
      <c r="C2571">
        <v>10</v>
      </c>
      <c r="D2571" t="s">
        <v>5968</v>
      </c>
    </row>
    <row r="2572" spans="1:4" x14ac:dyDescent="0.2">
      <c r="A2572">
        <v>16</v>
      </c>
      <c r="B2572">
        <v>9.8000000000000007</v>
      </c>
      <c r="C2572">
        <v>10</v>
      </c>
      <c r="D2572" t="s">
        <v>5968</v>
      </c>
    </row>
    <row r="2573" spans="1:4" x14ac:dyDescent="0.2">
      <c r="A2573">
        <v>17</v>
      </c>
      <c r="B2573">
        <v>10</v>
      </c>
      <c r="C2573">
        <v>10</v>
      </c>
      <c r="D2573" t="s">
        <v>5968</v>
      </c>
    </row>
    <row r="2574" spans="1:4" x14ac:dyDescent="0.2">
      <c r="A2574">
        <v>18</v>
      </c>
      <c r="B2574">
        <v>10</v>
      </c>
      <c r="C2574">
        <v>10</v>
      </c>
      <c r="D2574" t="s">
        <v>5968</v>
      </c>
    </row>
    <row r="2575" spans="1:4" x14ac:dyDescent="0.2">
      <c r="A2575">
        <v>13</v>
      </c>
      <c r="B2575">
        <v>499.9</v>
      </c>
      <c r="C2575">
        <v>500</v>
      </c>
      <c r="D2575" t="s">
        <v>5968</v>
      </c>
    </row>
    <row r="2576" spans="1:4" x14ac:dyDescent="0.2">
      <c r="A2576">
        <v>14</v>
      </c>
      <c r="B2576">
        <v>500</v>
      </c>
      <c r="C2576">
        <v>500</v>
      </c>
      <c r="D2576" t="s">
        <v>5968</v>
      </c>
    </row>
    <row r="2577" spans="1:4" x14ac:dyDescent="0.2">
      <c r="A2577">
        <v>15</v>
      </c>
      <c r="B2577">
        <v>499.7</v>
      </c>
      <c r="C2577">
        <v>500</v>
      </c>
      <c r="D2577" t="s">
        <v>5968</v>
      </c>
    </row>
    <row r="2578" spans="1:4" x14ac:dyDescent="0.2">
      <c r="A2578">
        <v>16</v>
      </c>
      <c r="B2578">
        <v>499.6</v>
      </c>
      <c r="C2578">
        <v>500</v>
      </c>
      <c r="D2578" t="s">
        <v>5968</v>
      </c>
    </row>
    <row r="2579" spans="1:4" x14ac:dyDescent="0.2">
      <c r="A2579">
        <v>17</v>
      </c>
      <c r="B2579">
        <v>499.8</v>
      </c>
      <c r="C2579">
        <v>500</v>
      </c>
      <c r="D2579" t="s">
        <v>5968</v>
      </c>
    </row>
    <row r="2580" spans="1:4" x14ac:dyDescent="0.2">
      <c r="A2580">
        <v>18</v>
      </c>
      <c r="B2580">
        <v>499.7</v>
      </c>
      <c r="C2580">
        <v>500</v>
      </c>
      <c r="D2580" t="s">
        <v>5968</v>
      </c>
    </row>
    <row r="2581" spans="1:4" x14ac:dyDescent="0.2">
      <c r="A2581">
        <v>13</v>
      </c>
      <c r="B2581">
        <v>1000</v>
      </c>
      <c r="C2581">
        <v>1000</v>
      </c>
      <c r="D2581" t="s">
        <v>5968</v>
      </c>
    </row>
    <row r="2582" spans="1:4" x14ac:dyDescent="0.2">
      <c r="A2582">
        <v>14</v>
      </c>
      <c r="B2582">
        <v>1000</v>
      </c>
      <c r="C2582">
        <v>1000</v>
      </c>
      <c r="D2582" t="s">
        <v>5968</v>
      </c>
    </row>
    <row r="2583" spans="1:4" x14ac:dyDescent="0.2">
      <c r="A2583">
        <v>15</v>
      </c>
      <c r="B2583">
        <v>999.7</v>
      </c>
      <c r="C2583">
        <v>1000</v>
      </c>
      <c r="D2583" t="s">
        <v>5968</v>
      </c>
    </row>
    <row r="2584" spans="1:4" x14ac:dyDescent="0.2">
      <c r="A2584">
        <v>16</v>
      </c>
      <c r="B2584">
        <v>999.7</v>
      </c>
      <c r="C2584">
        <v>1000</v>
      </c>
      <c r="D2584" t="s">
        <v>5968</v>
      </c>
    </row>
    <row r="2585" spans="1:4" x14ac:dyDescent="0.2">
      <c r="A2585">
        <v>17</v>
      </c>
      <c r="B2585">
        <v>999.9</v>
      </c>
      <c r="C2585">
        <v>1000</v>
      </c>
      <c r="D2585" t="s">
        <v>5968</v>
      </c>
    </row>
    <row r="2586" spans="1:4" x14ac:dyDescent="0.2">
      <c r="A2586">
        <v>18</v>
      </c>
      <c r="B2586">
        <v>999.8</v>
      </c>
      <c r="C2586">
        <v>1000</v>
      </c>
      <c r="D2586" t="s">
        <v>5968</v>
      </c>
    </row>
    <row r="2587" spans="1:4" x14ac:dyDescent="0.2">
      <c r="A2587">
        <v>13</v>
      </c>
      <c r="B2587">
        <v>1500.1</v>
      </c>
      <c r="C2587">
        <v>1500</v>
      </c>
      <c r="D2587" t="s">
        <v>5968</v>
      </c>
    </row>
    <row r="2588" spans="1:4" x14ac:dyDescent="0.2">
      <c r="A2588">
        <v>14</v>
      </c>
      <c r="B2588">
        <v>1500</v>
      </c>
      <c r="C2588">
        <v>1500</v>
      </c>
      <c r="D2588" t="s">
        <v>5968</v>
      </c>
    </row>
    <row r="2589" spans="1:4" x14ac:dyDescent="0.2">
      <c r="A2589">
        <v>15</v>
      </c>
      <c r="B2589">
        <v>1499.8</v>
      </c>
      <c r="C2589">
        <v>1500</v>
      </c>
      <c r="D2589" t="s">
        <v>5968</v>
      </c>
    </row>
    <row r="2590" spans="1:4" x14ac:dyDescent="0.2">
      <c r="A2590">
        <v>16</v>
      </c>
      <c r="B2590">
        <v>1499.7</v>
      </c>
      <c r="C2590">
        <v>1500</v>
      </c>
      <c r="D2590" t="s">
        <v>5968</v>
      </c>
    </row>
    <row r="2591" spans="1:4" x14ac:dyDescent="0.2">
      <c r="A2591">
        <v>17</v>
      </c>
      <c r="B2591">
        <v>1499.9</v>
      </c>
      <c r="C2591">
        <v>1500</v>
      </c>
      <c r="D2591" t="s">
        <v>5968</v>
      </c>
    </row>
    <row r="2592" spans="1:4" x14ac:dyDescent="0.2">
      <c r="A2592">
        <v>18</v>
      </c>
      <c r="B2592">
        <v>1499.8</v>
      </c>
      <c r="C2592">
        <v>1500</v>
      </c>
      <c r="D2592" t="s">
        <v>5968</v>
      </c>
    </row>
    <row r="2593" spans="1:4" x14ac:dyDescent="0.2">
      <c r="A2593">
        <v>13</v>
      </c>
      <c r="B2593">
        <v>2000.1</v>
      </c>
      <c r="C2593">
        <v>2000</v>
      </c>
      <c r="D2593" t="s">
        <v>5968</v>
      </c>
    </row>
    <row r="2594" spans="1:4" x14ac:dyDescent="0.2">
      <c r="A2594">
        <v>14</v>
      </c>
      <c r="B2594">
        <v>1999.9</v>
      </c>
      <c r="C2594">
        <v>2000</v>
      </c>
      <c r="D2594" t="s">
        <v>5968</v>
      </c>
    </row>
    <row r="2595" spans="1:4" x14ac:dyDescent="0.2">
      <c r="A2595">
        <v>15</v>
      </c>
      <c r="B2595">
        <v>1999.8</v>
      </c>
      <c r="C2595">
        <v>2000</v>
      </c>
      <c r="D2595" t="s">
        <v>5968</v>
      </c>
    </row>
    <row r="2596" spans="1:4" x14ac:dyDescent="0.2">
      <c r="A2596">
        <v>16</v>
      </c>
      <c r="B2596">
        <v>1999.8</v>
      </c>
      <c r="C2596">
        <v>2000</v>
      </c>
      <c r="D2596" t="s">
        <v>5968</v>
      </c>
    </row>
    <row r="2597" spans="1:4" x14ac:dyDescent="0.2">
      <c r="A2597">
        <v>17</v>
      </c>
      <c r="B2597">
        <v>1999.9</v>
      </c>
      <c r="C2597">
        <v>2000</v>
      </c>
      <c r="D2597" t="s">
        <v>5968</v>
      </c>
    </row>
    <row r="2598" spans="1:4" x14ac:dyDescent="0.2">
      <c r="A2598">
        <v>18</v>
      </c>
      <c r="B2598">
        <v>1999.8</v>
      </c>
      <c r="C2598">
        <v>2000</v>
      </c>
      <c r="D2598" t="s">
        <v>5968</v>
      </c>
    </row>
    <row r="2599" spans="1:4" x14ac:dyDescent="0.2">
      <c r="A2599">
        <v>13</v>
      </c>
      <c r="B2599">
        <v>2250.1999999999998</v>
      </c>
      <c r="C2599">
        <v>2250</v>
      </c>
      <c r="D2599" t="s">
        <v>5968</v>
      </c>
    </row>
    <row r="2600" spans="1:4" x14ac:dyDescent="0.2">
      <c r="A2600">
        <v>14</v>
      </c>
      <c r="B2600">
        <v>2250</v>
      </c>
      <c r="C2600">
        <v>2250</v>
      </c>
      <c r="D2600" t="s">
        <v>5968</v>
      </c>
    </row>
    <row r="2601" spans="1:4" x14ac:dyDescent="0.2">
      <c r="A2601">
        <v>15</v>
      </c>
      <c r="B2601">
        <v>2250</v>
      </c>
      <c r="C2601">
        <v>2250</v>
      </c>
      <c r="D2601" t="s">
        <v>5968</v>
      </c>
    </row>
    <row r="2602" spans="1:4" x14ac:dyDescent="0.2">
      <c r="A2602">
        <v>16</v>
      </c>
      <c r="B2602">
        <v>2249.9</v>
      </c>
      <c r="C2602">
        <v>2250</v>
      </c>
      <c r="D2602" t="s">
        <v>5968</v>
      </c>
    </row>
    <row r="2603" spans="1:4" x14ac:dyDescent="0.2">
      <c r="A2603">
        <v>17</v>
      </c>
      <c r="B2603">
        <v>2250</v>
      </c>
      <c r="C2603">
        <v>2250</v>
      </c>
      <c r="D2603" t="s">
        <v>5968</v>
      </c>
    </row>
    <row r="2604" spans="1:4" x14ac:dyDescent="0.2">
      <c r="A2604">
        <v>18</v>
      </c>
      <c r="B2604">
        <v>2249.9</v>
      </c>
      <c r="C2604">
        <v>2250</v>
      </c>
      <c r="D2604" t="s">
        <v>5968</v>
      </c>
    </row>
    <row r="2605" spans="1:4" x14ac:dyDescent="0.2">
      <c r="A2605">
        <v>19</v>
      </c>
      <c r="B2605">
        <v>9.9</v>
      </c>
      <c r="C2605">
        <v>10</v>
      </c>
      <c r="D2605" t="s">
        <v>5968</v>
      </c>
    </row>
    <row r="2606" spans="1:4" x14ac:dyDescent="0.2">
      <c r="A2606">
        <v>20</v>
      </c>
      <c r="B2606">
        <v>9.9</v>
      </c>
      <c r="C2606">
        <v>10</v>
      </c>
      <c r="D2606" t="s">
        <v>5968</v>
      </c>
    </row>
    <row r="2607" spans="1:4" x14ac:dyDescent="0.2">
      <c r="A2607">
        <v>21</v>
      </c>
      <c r="B2607">
        <v>9.9</v>
      </c>
      <c r="C2607">
        <v>10</v>
      </c>
      <c r="D2607" t="s">
        <v>5968</v>
      </c>
    </row>
    <row r="2608" spans="1:4" x14ac:dyDescent="0.2">
      <c r="A2608">
        <v>22</v>
      </c>
      <c r="B2608">
        <v>9.8000000000000007</v>
      </c>
      <c r="C2608">
        <v>10</v>
      </c>
      <c r="D2608" t="s">
        <v>5968</v>
      </c>
    </row>
    <row r="2609" spans="1:4" x14ac:dyDescent="0.2">
      <c r="A2609">
        <v>23</v>
      </c>
      <c r="B2609">
        <v>9.6999999999999993</v>
      </c>
      <c r="C2609">
        <v>10</v>
      </c>
      <c r="D2609" t="s">
        <v>5968</v>
      </c>
    </row>
    <row r="2610" spans="1:4" x14ac:dyDescent="0.2">
      <c r="A2610">
        <v>24</v>
      </c>
      <c r="B2610">
        <v>9.9</v>
      </c>
      <c r="C2610">
        <v>10</v>
      </c>
      <c r="D2610" t="s">
        <v>5968</v>
      </c>
    </row>
    <row r="2611" spans="1:4" x14ac:dyDescent="0.2">
      <c r="A2611">
        <v>19</v>
      </c>
      <c r="B2611">
        <v>499.7</v>
      </c>
      <c r="C2611">
        <v>500</v>
      </c>
      <c r="D2611" t="s">
        <v>5968</v>
      </c>
    </row>
    <row r="2612" spans="1:4" x14ac:dyDescent="0.2">
      <c r="A2612">
        <v>20</v>
      </c>
      <c r="B2612">
        <v>499.6</v>
      </c>
      <c r="C2612">
        <v>500</v>
      </c>
      <c r="D2612" t="s">
        <v>5968</v>
      </c>
    </row>
    <row r="2613" spans="1:4" x14ac:dyDescent="0.2">
      <c r="A2613">
        <v>21</v>
      </c>
      <c r="B2613">
        <v>499.7</v>
      </c>
      <c r="C2613">
        <v>500</v>
      </c>
      <c r="D2613" t="s">
        <v>5968</v>
      </c>
    </row>
    <row r="2614" spans="1:4" x14ac:dyDescent="0.2">
      <c r="A2614">
        <v>22</v>
      </c>
      <c r="B2614">
        <v>499.6</v>
      </c>
      <c r="C2614">
        <v>500</v>
      </c>
      <c r="D2614" t="s">
        <v>5968</v>
      </c>
    </row>
    <row r="2615" spans="1:4" x14ac:dyDescent="0.2">
      <c r="A2615">
        <v>23</v>
      </c>
      <c r="B2615">
        <v>499.6</v>
      </c>
      <c r="C2615">
        <v>500</v>
      </c>
      <c r="D2615" t="s">
        <v>5968</v>
      </c>
    </row>
    <row r="2616" spans="1:4" x14ac:dyDescent="0.2">
      <c r="A2616">
        <v>24</v>
      </c>
      <c r="B2616">
        <v>499.7</v>
      </c>
      <c r="C2616">
        <v>500</v>
      </c>
      <c r="D2616" t="s">
        <v>5968</v>
      </c>
    </row>
    <row r="2617" spans="1:4" x14ac:dyDescent="0.2">
      <c r="A2617">
        <v>19</v>
      </c>
      <c r="B2617">
        <v>999.8</v>
      </c>
      <c r="C2617">
        <v>1000</v>
      </c>
      <c r="D2617" t="s">
        <v>5968</v>
      </c>
    </row>
    <row r="2618" spans="1:4" x14ac:dyDescent="0.2">
      <c r="A2618">
        <v>20</v>
      </c>
      <c r="B2618">
        <v>999.7</v>
      </c>
      <c r="C2618">
        <v>1000</v>
      </c>
      <c r="D2618" t="s">
        <v>5968</v>
      </c>
    </row>
    <row r="2619" spans="1:4" x14ac:dyDescent="0.2">
      <c r="A2619">
        <v>21</v>
      </c>
      <c r="B2619">
        <v>999.7</v>
      </c>
      <c r="C2619">
        <v>1000</v>
      </c>
      <c r="D2619" t="s">
        <v>5968</v>
      </c>
    </row>
    <row r="2620" spans="1:4" x14ac:dyDescent="0.2">
      <c r="A2620">
        <v>22</v>
      </c>
      <c r="B2620">
        <v>999.7</v>
      </c>
      <c r="C2620">
        <v>1000</v>
      </c>
      <c r="D2620" t="s">
        <v>5968</v>
      </c>
    </row>
    <row r="2621" spans="1:4" x14ac:dyDescent="0.2">
      <c r="A2621">
        <v>23</v>
      </c>
      <c r="B2621">
        <v>999.6</v>
      </c>
      <c r="C2621">
        <v>1000</v>
      </c>
      <c r="D2621" t="s">
        <v>5968</v>
      </c>
    </row>
    <row r="2622" spans="1:4" x14ac:dyDescent="0.2">
      <c r="A2622">
        <v>24</v>
      </c>
      <c r="B2622">
        <v>999.7</v>
      </c>
      <c r="C2622">
        <v>1000</v>
      </c>
      <c r="D2622" t="s">
        <v>5968</v>
      </c>
    </row>
    <row r="2623" spans="1:4" x14ac:dyDescent="0.2">
      <c r="A2623">
        <v>19</v>
      </c>
      <c r="B2623">
        <v>1499.8</v>
      </c>
      <c r="C2623">
        <v>1500</v>
      </c>
      <c r="D2623" t="s">
        <v>5968</v>
      </c>
    </row>
    <row r="2624" spans="1:4" x14ac:dyDescent="0.2">
      <c r="A2624">
        <v>20</v>
      </c>
      <c r="B2624">
        <v>1499.7</v>
      </c>
      <c r="C2624">
        <v>1500</v>
      </c>
      <c r="D2624" t="s">
        <v>5968</v>
      </c>
    </row>
    <row r="2625" spans="1:4" x14ac:dyDescent="0.2">
      <c r="A2625">
        <v>21</v>
      </c>
      <c r="B2625">
        <v>1499.7</v>
      </c>
      <c r="C2625">
        <v>1500</v>
      </c>
      <c r="D2625" t="s">
        <v>5968</v>
      </c>
    </row>
    <row r="2626" spans="1:4" x14ac:dyDescent="0.2">
      <c r="A2626">
        <v>22</v>
      </c>
      <c r="B2626">
        <v>1499.7</v>
      </c>
      <c r="C2626">
        <v>1500</v>
      </c>
      <c r="D2626" t="s">
        <v>5968</v>
      </c>
    </row>
    <row r="2627" spans="1:4" x14ac:dyDescent="0.2">
      <c r="A2627">
        <v>23</v>
      </c>
      <c r="B2627">
        <v>1499.7</v>
      </c>
      <c r="C2627">
        <v>1500</v>
      </c>
      <c r="D2627" t="s">
        <v>5968</v>
      </c>
    </row>
    <row r="2628" spans="1:4" x14ac:dyDescent="0.2">
      <c r="A2628">
        <v>24</v>
      </c>
      <c r="B2628">
        <v>1499.8</v>
      </c>
      <c r="C2628">
        <v>1500</v>
      </c>
      <c r="D2628" t="s">
        <v>5968</v>
      </c>
    </row>
    <row r="2629" spans="1:4" x14ac:dyDescent="0.2">
      <c r="A2629">
        <v>19</v>
      </c>
      <c r="B2629">
        <v>1999.8</v>
      </c>
      <c r="C2629">
        <v>2000</v>
      </c>
      <c r="D2629" t="s">
        <v>5968</v>
      </c>
    </row>
    <row r="2630" spans="1:4" x14ac:dyDescent="0.2">
      <c r="A2630">
        <v>20</v>
      </c>
      <c r="B2630">
        <v>1999.7</v>
      </c>
      <c r="C2630">
        <v>2000</v>
      </c>
      <c r="D2630" t="s">
        <v>5968</v>
      </c>
    </row>
    <row r="2631" spans="1:4" x14ac:dyDescent="0.2">
      <c r="A2631">
        <v>21</v>
      </c>
      <c r="B2631">
        <v>1999.7</v>
      </c>
      <c r="C2631">
        <v>2000</v>
      </c>
      <c r="D2631" t="s">
        <v>5968</v>
      </c>
    </row>
    <row r="2632" spans="1:4" x14ac:dyDescent="0.2">
      <c r="A2632">
        <v>22</v>
      </c>
      <c r="B2632">
        <v>1999.7</v>
      </c>
      <c r="C2632">
        <v>2000</v>
      </c>
      <c r="D2632" t="s">
        <v>5968</v>
      </c>
    </row>
    <row r="2633" spans="1:4" x14ac:dyDescent="0.2">
      <c r="A2633">
        <v>23</v>
      </c>
      <c r="B2633">
        <v>1999.7</v>
      </c>
      <c r="C2633">
        <v>2000</v>
      </c>
      <c r="D2633" t="s">
        <v>5968</v>
      </c>
    </row>
    <row r="2634" spans="1:4" x14ac:dyDescent="0.2">
      <c r="A2634">
        <v>24</v>
      </c>
      <c r="B2634">
        <v>1999.8</v>
      </c>
      <c r="C2634">
        <v>2000</v>
      </c>
      <c r="D2634" t="s">
        <v>5968</v>
      </c>
    </row>
    <row r="2635" spans="1:4" x14ac:dyDescent="0.2">
      <c r="A2635">
        <v>19</v>
      </c>
      <c r="B2635">
        <v>2249.9</v>
      </c>
      <c r="C2635">
        <v>2250</v>
      </c>
      <c r="D2635" t="s">
        <v>5968</v>
      </c>
    </row>
    <row r="2636" spans="1:4" x14ac:dyDescent="0.2">
      <c r="A2636">
        <v>20</v>
      </c>
      <c r="B2636">
        <v>2249.8000000000002</v>
      </c>
      <c r="C2636">
        <v>2250</v>
      </c>
      <c r="D2636" t="s">
        <v>5968</v>
      </c>
    </row>
    <row r="2637" spans="1:4" x14ac:dyDescent="0.2">
      <c r="A2637">
        <v>21</v>
      </c>
      <c r="B2637">
        <v>2249.8000000000002</v>
      </c>
      <c r="C2637">
        <v>2250</v>
      </c>
      <c r="D2637" t="s">
        <v>5968</v>
      </c>
    </row>
    <row r="2638" spans="1:4" x14ac:dyDescent="0.2">
      <c r="A2638">
        <v>22</v>
      </c>
      <c r="B2638">
        <v>2249.8000000000002</v>
      </c>
      <c r="C2638">
        <v>2250</v>
      </c>
      <c r="D2638" t="s">
        <v>5968</v>
      </c>
    </row>
    <row r="2639" spans="1:4" x14ac:dyDescent="0.2">
      <c r="A2639">
        <v>23</v>
      </c>
      <c r="B2639">
        <v>2249.8000000000002</v>
      </c>
      <c r="C2639">
        <v>2250</v>
      </c>
      <c r="D2639" t="s">
        <v>5968</v>
      </c>
    </row>
    <row r="2640" spans="1:4" x14ac:dyDescent="0.2">
      <c r="A2640">
        <v>24</v>
      </c>
      <c r="B2640">
        <v>2249.9</v>
      </c>
      <c r="C2640">
        <v>2250</v>
      </c>
      <c r="D2640" t="s">
        <v>5968</v>
      </c>
    </row>
    <row r="2641" spans="1:4" x14ac:dyDescent="0.2">
      <c r="A2641">
        <v>25</v>
      </c>
      <c r="B2641">
        <v>9.8000000000000007</v>
      </c>
      <c r="C2641">
        <v>10</v>
      </c>
      <c r="D2641" t="s">
        <v>5968</v>
      </c>
    </row>
    <row r="2642" spans="1:4" x14ac:dyDescent="0.2">
      <c r="A2642">
        <v>26</v>
      </c>
      <c r="B2642">
        <v>9.9</v>
      </c>
      <c r="C2642">
        <v>10</v>
      </c>
      <c r="D2642" t="s">
        <v>5968</v>
      </c>
    </row>
    <row r="2643" spans="1:4" x14ac:dyDescent="0.2">
      <c r="A2643">
        <v>27</v>
      </c>
      <c r="B2643">
        <v>10</v>
      </c>
      <c r="C2643">
        <v>10</v>
      </c>
      <c r="D2643" t="s">
        <v>5968</v>
      </c>
    </row>
    <row r="2644" spans="1:4" x14ac:dyDescent="0.2">
      <c r="A2644">
        <v>28</v>
      </c>
      <c r="B2644">
        <v>10.1</v>
      </c>
      <c r="C2644">
        <v>10</v>
      </c>
      <c r="D2644" t="s">
        <v>5968</v>
      </c>
    </row>
    <row r="2645" spans="1:4" x14ac:dyDescent="0.2">
      <c r="A2645">
        <v>29</v>
      </c>
      <c r="B2645">
        <v>9.8000000000000007</v>
      </c>
      <c r="C2645">
        <v>10</v>
      </c>
      <c r="D2645" t="s">
        <v>5968</v>
      </c>
    </row>
    <row r="2646" spans="1:4" x14ac:dyDescent="0.2">
      <c r="A2646">
        <v>30</v>
      </c>
      <c r="B2646">
        <v>9.9</v>
      </c>
      <c r="C2646">
        <v>10</v>
      </c>
      <c r="D2646" t="s">
        <v>5968</v>
      </c>
    </row>
    <row r="2647" spans="1:4" x14ac:dyDescent="0.2">
      <c r="A2647">
        <v>25</v>
      </c>
      <c r="B2647">
        <v>499.6</v>
      </c>
      <c r="C2647">
        <v>500</v>
      </c>
      <c r="D2647" t="s">
        <v>5968</v>
      </c>
    </row>
    <row r="2648" spans="1:4" x14ac:dyDescent="0.2">
      <c r="A2648">
        <v>26</v>
      </c>
      <c r="B2648">
        <v>499.7</v>
      </c>
      <c r="C2648">
        <v>500</v>
      </c>
      <c r="D2648" t="s">
        <v>5968</v>
      </c>
    </row>
    <row r="2649" spans="1:4" x14ac:dyDescent="0.2">
      <c r="A2649">
        <v>27</v>
      </c>
      <c r="B2649">
        <v>499.8</v>
      </c>
      <c r="C2649">
        <v>500</v>
      </c>
      <c r="D2649" t="s">
        <v>5968</v>
      </c>
    </row>
    <row r="2650" spans="1:4" x14ac:dyDescent="0.2">
      <c r="A2650">
        <v>28</v>
      </c>
      <c r="B2650">
        <v>499.9</v>
      </c>
      <c r="C2650">
        <v>500</v>
      </c>
      <c r="D2650" t="s">
        <v>5968</v>
      </c>
    </row>
    <row r="2651" spans="1:4" x14ac:dyDescent="0.2">
      <c r="A2651">
        <v>29</v>
      </c>
      <c r="B2651">
        <v>499.6</v>
      </c>
      <c r="C2651">
        <v>500</v>
      </c>
      <c r="D2651" t="s">
        <v>5968</v>
      </c>
    </row>
    <row r="2652" spans="1:4" x14ac:dyDescent="0.2">
      <c r="A2652">
        <v>30</v>
      </c>
      <c r="B2652">
        <v>499.6</v>
      </c>
      <c r="C2652">
        <v>500</v>
      </c>
      <c r="D2652" t="s">
        <v>5968</v>
      </c>
    </row>
    <row r="2653" spans="1:4" x14ac:dyDescent="0.2">
      <c r="A2653">
        <v>25</v>
      </c>
      <c r="B2653">
        <v>999.7</v>
      </c>
      <c r="C2653">
        <v>1000</v>
      </c>
      <c r="D2653" t="s">
        <v>5968</v>
      </c>
    </row>
    <row r="2654" spans="1:4" x14ac:dyDescent="0.2">
      <c r="A2654">
        <v>26</v>
      </c>
      <c r="B2654">
        <v>999.7</v>
      </c>
      <c r="C2654">
        <v>1000</v>
      </c>
      <c r="D2654" t="s">
        <v>5968</v>
      </c>
    </row>
    <row r="2655" spans="1:4" x14ac:dyDescent="0.2">
      <c r="A2655">
        <v>27</v>
      </c>
      <c r="B2655">
        <v>999.8</v>
      </c>
      <c r="C2655">
        <v>1000</v>
      </c>
      <c r="D2655" t="s">
        <v>5968</v>
      </c>
    </row>
    <row r="2656" spans="1:4" x14ac:dyDescent="0.2">
      <c r="A2656">
        <v>28</v>
      </c>
      <c r="B2656">
        <v>999.9</v>
      </c>
      <c r="C2656">
        <v>1000</v>
      </c>
      <c r="D2656" t="s">
        <v>5968</v>
      </c>
    </row>
    <row r="2657" spans="1:4" x14ac:dyDescent="0.2">
      <c r="A2657">
        <v>29</v>
      </c>
      <c r="B2657">
        <v>999.5</v>
      </c>
      <c r="C2657">
        <v>1000</v>
      </c>
      <c r="D2657" t="s">
        <v>5968</v>
      </c>
    </row>
    <row r="2658" spans="1:4" x14ac:dyDescent="0.2">
      <c r="A2658">
        <v>30</v>
      </c>
      <c r="B2658">
        <v>999.5</v>
      </c>
      <c r="C2658">
        <v>1000</v>
      </c>
      <c r="D2658" t="s">
        <v>5968</v>
      </c>
    </row>
    <row r="2659" spans="1:4" x14ac:dyDescent="0.2">
      <c r="A2659">
        <v>25</v>
      </c>
      <c r="B2659">
        <v>1499.8</v>
      </c>
      <c r="C2659">
        <v>1500</v>
      </c>
      <c r="D2659" t="s">
        <v>5968</v>
      </c>
    </row>
    <row r="2660" spans="1:4" x14ac:dyDescent="0.2">
      <c r="A2660">
        <v>26</v>
      </c>
      <c r="B2660">
        <v>1499.8</v>
      </c>
      <c r="C2660">
        <v>1500</v>
      </c>
      <c r="D2660" t="s">
        <v>5968</v>
      </c>
    </row>
    <row r="2661" spans="1:4" x14ac:dyDescent="0.2">
      <c r="A2661">
        <v>27</v>
      </c>
      <c r="B2661">
        <v>1499.9</v>
      </c>
      <c r="C2661">
        <v>1500</v>
      </c>
      <c r="D2661" t="s">
        <v>5968</v>
      </c>
    </row>
    <row r="2662" spans="1:4" x14ac:dyDescent="0.2">
      <c r="A2662">
        <v>28</v>
      </c>
      <c r="B2662">
        <v>1500</v>
      </c>
      <c r="C2662">
        <v>1500</v>
      </c>
      <c r="D2662" t="s">
        <v>5968</v>
      </c>
    </row>
    <row r="2663" spans="1:4" x14ac:dyDescent="0.2">
      <c r="A2663">
        <v>29</v>
      </c>
      <c r="B2663">
        <v>1499.5</v>
      </c>
      <c r="C2663">
        <v>1500</v>
      </c>
      <c r="D2663" t="s">
        <v>5968</v>
      </c>
    </row>
    <row r="2664" spans="1:4" x14ac:dyDescent="0.2">
      <c r="A2664">
        <v>30</v>
      </c>
      <c r="B2664">
        <v>1499.5</v>
      </c>
      <c r="C2664">
        <v>1500</v>
      </c>
      <c r="D2664" t="s">
        <v>5968</v>
      </c>
    </row>
    <row r="2665" spans="1:4" x14ac:dyDescent="0.2">
      <c r="A2665">
        <v>25</v>
      </c>
      <c r="B2665">
        <v>1999.8</v>
      </c>
      <c r="C2665">
        <v>2000</v>
      </c>
      <c r="D2665" t="s">
        <v>5968</v>
      </c>
    </row>
    <row r="2666" spans="1:4" x14ac:dyDescent="0.2">
      <c r="A2666">
        <v>26</v>
      </c>
      <c r="B2666">
        <v>1999.8</v>
      </c>
      <c r="C2666">
        <v>2000</v>
      </c>
      <c r="D2666" t="s">
        <v>5968</v>
      </c>
    </row>
    <row r="2667" spans="1:4" x14ac:dyDescent="0.2">
      <c r="A2667">
        <v>27</v>
      </c>
      <c r="B2667">
        <v>1999.9</v>
      </c>
      <c r="C2667">
        <v>2000</v>
      </c>
      <c r="D2667" t="s">
        <v>5968</v>
      </c>
    </row>
    <row r="2668" spans="1:4" x14ac:dyDescent="0.2">
      <c r="A2668">
        <v>28</v>
      </c>
      <c r="B2668">
        <v>2000</v>
      </c>
      <c r="C2668">
        <v>2000</v>
      </c>
      <c r="D2668" t="s">
        <v>5968</v>
      </c>
    </row>
    <row r="2669" spans="1:4" x14ac:dyDescent="0.2">
      <c r="A2669">
        <v>29</v>
      </c>
      <c r="B2669">
        <v>1999.5</v>
      </c>
      <c r="C2669">
        <v>2000</v>
      </c>
      <c r="D2669" t="s">
        <v>5968</v>
      </c>
    </row>
    <row r="2670" spans="1:4" x14ac:dyDescent="0.2">
      <c r="A2670">
        <v>30</v>
      </c>
      <c r="B2670">
        <v>1999.5</v>
      </c>
      <c r="C2670">
        <v>2000</v>
      </c>
      <c r="D2670" t="s">
        <v>5968</v>
      </c>
    </row>
    <row r="2671" spans="1:4" x14ac:dyDescent="0.2">
      <c r="A2671">
        <v>25</v>
      </c>
      <c r="B2671">
        <v>2249.9</v>
      </c>
      <c r="C2671">
        <v>2250</v>
      </c>
      <c r="D2671" t="s">
        <v>5968</v>
      </c>
    </row>
    <row r="2672" spans="1:4" x14ac:dyDescent="0.2">
      <c r="A2672">
        <v>26</v>
      </c>
      <c r="B2672">
        <v>2249.8000000000002</v>
      </c>
      <c r="C2672">
        <v>2250</v>
      </c>
      <c r="D2672" t="s">
        <v>5968</v>
      </c>
    </row>
    <row r="2673" spans="1:4" x14ac:dyDescent="0.2">
      <c r="A2673">
        <v>27</v>
      </c>
      <c r="B2673">
        <v>2250</v>
      </c>
      <c r="C2673">
        <v>2250</v>
      </c>
      <c r="D2673" t="s">
        <v>5968</v>
      </c>
    </row>
    <row r="2674" spans="1:4" x14ac:dyDescent="0.2">
      <c r="A2674">
        <v>28</v>
      </c>
      <c r="B2674">
        <v>2250.1</v>
      </c>
      <c r="C2674">
        <v>2250</v>
      </c>
      <c r="D2674" t="s">
        <v>5968</v>
      </c>
    </row>
    <row r="2675" spans="1:4" x14ac:dyDescent="0.2">
      <c r="A2675">
        <v>29</v>
      </c>
      <c r="B2675">
        <v>2249.5</v>
      </c>
      <c r="C2675">
        <v>2250</v>
      </c>
      <c r="D2675" t="s">
        <v>5968</v>
      </c>
    </row>
    <row r="2676" spans="1:4" x14ac:dyDescent="0.2">
      <c r="A2676">
        <v>30</v>
      </c>
      <c r="B2676">
        <v>2249.5</v>
      </c>
      <c r="C2676">
        <v>2250</v>
      </c>
      <c r="D2676" t="s">
        <v>5968</v>
      </c>
    </row>
    <row r="2677" spans="1:4" x14ac:dyDescent="0.2">
      <c r="A2677">
        <v>31</v>
      </c>
      <c r="B2677">
        <v>9.6</v>
      </c>
      <c r="C2677">
        <v>10</v>
      </c>
      <c r="D2677" t="s">
        <v>5968</v>
      </c>
    </row>
    <row r="2678" spans="1:4" x14ac:dyDescent="0.2">
      <c r="A2678">
        <v>32</v>
      </c>
      <c r="B2678">
        <v>9.6999999999999993</v>
      </c>
      <c r="C2678">
        <v>10</v>
      </c>
      <c r="D2678" t="s">
        <v>5968</v>
      </c>
    </row>
    <row r="2679" spans="1:4" x14ac:dyDescent="0.2">
      <c r="A2679">
        <v>33</v>
      </c>
      <c r="B2679">
        <v>9.6999999999999993</v>
      </c>
      <c r="C2679">
        <v>10</v>
      </c>
      <c r="D2679" t="s">
        <v>5968</v>
      </c>
    </row>
    <row r="2680" spans="1:4" x14ac:dyDescent="0.2">
      <c r="A2680">
        <v>34</v>
      </c>
      <c r="B2680">
        <v>9.5</v>
      </c>
      <c r="C2680">
        <v>10</v>
      </c>
      <c r="D2680" t="s">
        <v>5968</v>
      </c>
    </row>
    <row r="2681" spans="1:4" x14ac:dyDescent="0.2">
      <c r="A2681">
        <v>35</v>
      </c>
      <c r="B2681">
        <v>9.8000000000000007</v>
      </c>
      <c r="C2681">
        <v>10</v>
      </c>
      <c r="D2681" t="s">
        <v>5968</v>
      </c>
    </row>
    <row r="2682" spans="1:4" x14ac:dyDescent="0.2">
      <c r="A2682">
        <v>36</v>
      </c>
      <c r="B2682">
        <v>9.5</v>
      </c>
      <c r="C2682">
        <v>10</v>
      </c>
      <c r="D2682" t="s">
        <v>5968</v>
      </c>
    </row>
    <row r="2683" spans="1:4" x14ac:dyDescent="0.2">
      <c r="A2683">
        <v>31</v>
      </c>
      <c r="B2683">
        <v>499.5</v>
      </c>
      <c r="C2683">
        <v>500</v>
      </c>
      <c r="D2683" t="s">
        <v>5968</v>
      </c>
    </row>
    <row r="2684" spans="1:4" x14ac:dyDescent="0.2">
      <c r="A2684">
        <v>32</v>
      </c>
      <c r="B2684">
        <v>499.6</v>
      </c>
      <c r="C2684">
        <v>500</v>
      </c>
      <c r="D2684" t="s">
        <v>5968</v>
      </c>
    </row>
    <row r="2685" spans="1:4" x14ac:dyDescent="0.2">
      <c r="A2685">
        <v>33</v>
      </c>
      <c r="B2685">
        <v>499.6</v>
      </c>
      <c r="C2685">
        <v>500</v>
      </c>
      <c r="D2685" t="s">
        <v>5968</v>
      </c>
    </row>
    <row r="2686" spans="1:4" x14ac:dyDescent="0.2">
      <c r="A2686">
        <v>34</v>
      </c>
      <c r="B2686">
        <v>499.5</v>
      </c>
      <c r="C2686">
        <v>500</v>
      </c>
      <c r="D2686" t="s">
        <v>5968</v>
      </c>
    </row>
    <row r="2687" spans="1:4" x14ac:dyDescent="0.2">
      <c r="A2687">
        <v>35</v>
      </c>
      <c r="B2687">
        <v>499.6</v>
      </c>
      <c r="C2687">
        <v>500</v>
      </c>
      <c r="D2687" t="s">
        <v>5968</v>
      </c>
    </row>
    <row r="2688" spans="1:4" x14ac:dyDescent="0.2">
      <c r="A2688">
        <v>36</v>
      </c>
      <c r="B2688">
        <v>499.5</v>
      </c>
      <c r="C2688">
        <v>500</v>
      </c>
      <c r="D2688" t="s">
        <v>5968</v>
      </c>
    </row>
    <row r="2689" spans="1:4" x14ac:dyDescent="0.2">
      <c r="A2689">
        <v>31</v>
      </c>
      <c r="B2689">
        <v>999.5</v>
      </c>
      <c r="C2689">
        <v>1000</v>
      </c>
      <c r="D2689" t="s">
        <v>5968</v>
      </c>
    </row>
    <row r="2690" spans="1:4" x14ac:dyDescent="0.2">
      <c r="A2690">
        <v>32</v>
      </c>
      <c r="B2690">
        <v>999.5</v>
      </c>
      <c r="C2690">
        <v>1000</v>
      </c>
      <c r="D2690" t="s">
        <v>5968</v>
      </c>
    </row>
    <row r="2691" spans="1:4" x14ac:dyDescent="0.2">
      <c r="A2691">
        <v>33</v>
      </c>
      <c r="B2691">
        <v>999.7</v>
      </c>
      <c r="C2691">
        <v>1000</v>
      </c>
      <c r="D2691" t="s">
        <v>5968</v>
      </c>
    </row>
    <row r="2692" spans="1:4" x14ac:dyDescent="0.2">
      <c r="A2692">
        <v>34</v>
      </c>
      <c r="B2692">
        <v>999.5</v>
      </c>
      <c r="C2692">
        <v>1000</v>
      </c>
      <c r="D2692" t="s">
        <v>5968</v>
      </c>
    </row>
    <row r="2693" spans="1:4" x14ac:dyDescent="0.2">
      <c r="A2693">
        <v>35</v>
      </c>
      <c r="B2693">
        <v>999.6</v>
      </c>
      <c r="C2693">
        <v>1000</v>
      </c>
      <c r="D2693" t="s">
        <v>5968</v>
      </c>
    </row>
    <row r="2694" spans="1:4" x14ac:dyDescent="0.2">
      <c r="A2694">
        <v>36</v>
      </c>
      <c r="B2694">
        <v>999.5</v>
      </c>
      <c r="C2694">
        <v>1000</v>
      </c>
      <c r="D2694" t="s">
        <v>5968</v>
      </c>
    </row>
    <row r="2695" spans="1:4" x14ac:dyDescent="0.2">
      <c r="A2695">
        <v>31</v>
      </c>
      <c r="B2695">
        <v>1499.5</v>
      </c>
      <c r="C2695">
        <v>1500</v>
      </c>
      <c r="D2695" t="s">
        <v>5968</v>
      </c>
    </row>
    <row r="2696" spans="1:4" x14ac:dyDescent="0.2">
      <c r="A2696">
        <v>32</v>
      </c>
      <c r="B2696">
        <v>1499.5</v>
      </c>
      <c r="C2696">
        <v>1500</v>
      </c>
      <c r="D2696" t="s">
        <v>5968</v>
      </c>
    </row>
    <row r="2697" spans="1:4" x14ac:dyDescent="0.2">
      <c r="A2697">
        <v>33</v>
      </c>
      <c r="B2697">
        <v>1499.7</v>
      </c>
      <c r="C2697">
        <v>1500</v>
      </c>
      <c r="D2697" t="s">
        <v>5968</v>
      </c>
    </row>
    <row r="2698" spans="1:4" x14ac:dyDescent="0.2">
      <c r="A2698">
        <v>34</v>
      </c>
      <c r="B2698">
        <v>1499.6</v>
      </c>
      <c r="C2698">
        <v>1500</v>
      </c>
      <c r="D2698" t="s">
        <v>5968</v>
      </c>
    </row>
    <row r="2699" spans="1:4" x14ac:dyDescent="0.2">
      <c r="A2699">
        <v>35</v>
      </c>
      <c r="B2699">
        <v>1499.6</v>
      </c>
      <c r="C2699">
        <v>1500</v>
      </c>
      <c r="D2699" t="s">
        <v>5968</v>
      </c>
    </row>
    <row r="2700" spans="1:4" x14ac:dyDescent="0.2">
      <c r="A2700">
        <v>36</v>
      </c>
      <c r="B2700">
        <v>1499.5</v>
      </c>
      <c r="C2700">
        <v>1500</v>
      </c>
      <c r="D2700" t="s">
        <v>5968</v>
      </c>
    </row>
    <row r="2701" spans="1:4" x14ac:dyDescent="0.2">
      <c r="A2701">
        <v>31</v>
      </c>
      <c r="B2701">
        <v>1999.5</v>
      </c>
      <c r="C2701">
        <v>2000</v>
      </c>
      <c r="D2701" t="s">
        <v>5968</v>
      </c>
    </row>
    <row r="2702" spans="1:4" x14ac:dyDescent="0.2">
      <c r="A2702">
        <v>32</v>
      </c>
      <c r="B2702">
        <v>1999.5</v>
      </c>
      <c r="C2702">
        <v>2000</v>
      </c>
      <c r="D2702" t="s">
        <v>5968</v>
      </c>
    </row>
    <row r="2703" spans="1:4" x14ac:dyDescent="0.2">
      <c r="A2703">
        <v>33</v>
      </c>
      <c r="B2703">
        <v>1999.8</v>
      </c>
      <c r="C2703">
        <v>2000</v>
      </c>
      <c r="D2703" t="s">
        <v>5968</v>
      </c>
    </row>
    <row r="2704" spans="1:4" x14ac:dyDescent="0.2">
      <c r="A2704">
        <v>34</v>
      </c>
      <c r="B2704">
        <v>1999.6</v>
      </c>
      <c r="C2704">
        <v>2000</v>
      </c>
      <c r="D2704" t="s">
        <v>5968</v>
      </c>
    </row>
    <row r="2705" spans="1:4" x14ac:dyDescent="0.2">
      <c r="A2705">
        <v>35</v>
      </c>
      <c r="B2705">
        <v>1999.6</v>
      </c>
      <c r="C2705">
        <v>2000</v>
      </c>
      <c r="D2705" t="s">
        <v>5968</v>
      </c>
    </row>
    <row r="2706" spans="1:4" x14ac:dyDescent="0.2">
      <c r="A2706">
        <v>36</v>
      </c>
      <c r="B2706">
        <v>1999.5</v>
      </c>
      <c r="C2706">
        <v>2000</v>
      </c>
      <c r="D2706" t="s">
        <v>5968</v>
      </c>
    </row>
    <row r="2707" spans="1:4" x14ac:dyDescent="0.2">
      <c r="A2707">
        <v>31</v>
      </c>
      <c r="B2707">
        <v>2249.5</v>
      </c>
      <c r="C2707">
        <v>2250</v>
      </c>
      <c r="D2707" t="s">
        <v>5968</v>
      </c>
    </row>
    <row r="2708" spans="1:4" x14ac:dyDescent="0.2">
      <c r="A2708">
        <v>32</v>
      </c>
      <c r="B2708">
        <v>2249.6999999999998</v>
      </c>
      <c r="C2708">
        <v>2250</v>
      </c>
      <c r="D2708" t="s">
        <v>5968</v>
      </c>
    </row>
    <row r="2709" spans="1:4" x14ac:dyDescent="0.2">
      <c r="A2709">
        <v>33</v>
      </c>
      <c r="B2709">
        <v>2249.9</v>
      </c>
      <c r="C2709">
        <v>2250</v>
      </c>
      <c r="D2709" t="s">
        <v>5968</v>
      </c>
    </row>
    <row r="2710" spans="1:4" x14ac:dyDescent="0.2">
      <c r="A2710">
        <v>34</v>
      </c>
      <c r="B2710">
        <v>2249.6999999999998</v>
      </c>
      <c r="C2710">
        <v>2250</v>
      </c>
      <c r="D2710" t="s">
        <v>5968</v>
      </c>
    </row>
    <row r="2711" spans="1:4" x14ac:dyDescent="0.2">
      <c r="A2711">
        <v>35</v>
      </c>
      <c r="B2711">
        <v>2249.6999999999998</v>
      </c>
      <c r="C2711">
        <v>2250</v>
      </c>
      <c r="D2711" t="s">
        <v>5968</v>
      </c>
    </row>
    <row r="2712" spans="1:4" x14ac:dyDescent="0.2">
      <c r="A2712">
        <v>36</v>
      </c>
      <c r="B2712">
        <v>2249.5</v>
      </c>
      <c r="C2712">
        <v>2250</v>
      </c>
      <c r="D2712" t="s">
        <v>5968</v>
      </c>
    </row>
    <row r="2713" spans="1:4" x14ac:dyDescent="0.2">
      <c r="A2713">
        <v>37</v>
      </c>
      <c r="B2713">
        <v>9.9</v>
      </c>
      <c r="C2713">
        <v>10</v>
      </c>
      <c r="D2713" t="s">
        <v>5968</v>
      </c>
    </row>
    <row r="2714" spans="1:4" x14ac:dyDescent="0.2">
      <c r="A2714">
        <v>38</v>
      </c>
      <c r="B2714">
        <v>9.6</v>
      </c>
      <c r="C2714">
        <v>10</v>
      </c>
      <c r="D2714" t="s">
        <v>5968</v>
      </c>
    </row>
    <row r="2715" spans="1:4" x14ac:dyDescent="0.2">
      <c r="A2715">
        <v>39</v>
      </c>
      <c r="B2715">
        <v>9.6999999999999993</v>
      </c>
      <c r="C2715">
        <v>10</v>
      </c>
      <c r="D2715" t="s">
        <v>5968</v>
      </c>
    </row>
    <row r="2716" spans="1:4" x14ac:dyDescent="0.2">
      <c r="A2716">
        <v>40</v>
      </c>
      <c r="B2716">
        <v>9.6999999999999993</v>
      </c>
      <c r="C2716">
        <v>10</v>
      </c>
      <c r="D2716" t="s">
        <v>5968</v>
      </c>
    </row>
    <row r="2717" spans="1:4" x14ac:dyDescent="0.2">
      <c r="A2717">
        <v>37</v>
      </c>
      <c r="B2717">
        <v>499.7</v>
      </c>
      <c r="C2717">
        <v>500</v>
      </c>
      <c r="D2717" t="s">
        <v>5968</v>
      </c>
    </row>
    <row r="2718" spans="1:4" x14ac:dyDescent="0.2">
      <c r="A2718">
        <v>38</v>
      </c>
      <c r="B2718">
        <v>499.5</v>
      </c>
      <c r="C2718">
        <v>500</v>
      </c>
      <c r="D2718" t="s">
        <v>5968</v>
      </c>
    </row>
    <row r="2719" spans="1:4" x14ac:dyDescent="0.2">
      <c r="A2719">
        <v>39</v>
      </c>
      <c r="B2719">
        <v>499.6</v>
      </c>
      <c r="C2719">
        <v>500</v>
      </c>
      <c r="D2719" t="s">
        <v>5968</v>
      </c>
    </row>
    <row r="2720" spans="1:4" x14ac:dyDescent="0.2">
      <c r="A2720">
        <v>40</v>
      </c>
      <c r="B2720">
        <v>499.6</v>
      </c>
      <c r="C2720">
        <v>500</v>
      </c>
      <c r="D2720" t="s">
        <v>5968</v>
      </c>
    </row>
    <row r="2721" spans="1:4" x14ac:dyDescent="0.2">
      <c r="A2721">
        <v>37</v>
      </c>
      <c r="B2721">
        <v>999.6</v>
      </c>
      <c r="C2721">
        <v>1000</v>
      </c>
      <c r="D2721" t="s">
        <v>5968</v>
      </c>
    </row>
    <row r="2722" spans="1:4" x14ac:dyDescent="0.2">
      <c r="A2722">
        <v>38</v>
      </c>
      <c r="B2722">
        <v>999.5</v>
      </c>
      <c r="C2722">
        <v>1000</v>
      </c>
      <c r="D2722" t="s">
        <v>5968</v>
      </c>
    </row>
    <row r="2723" spans="1:4" x14ac:dyDescent="0.2">
      <c r="A2723">
        <v>39</v>
      </c>
      <c r="B2723">
        <v>999.6</v>
      </c>
      <c r="C2723">
        <v>1000</v>
      </c>
      <c r="D2723" t="s">
        <v>5968</v>
      </c>
    </row>
    <row r="2724" spans="1:4" x14ac:dyDescent="0.2">
      <c r="A2724">
        <v>40</v>
      </c>
      <c r="B2724">
        <v>999.6</v>
      </c>
      <c r="C2724">
        <v>1000</v>
      </c>
      <c r="D2724" t="s">
        <v>5968</v>
      </c>
    </row>
    <row r="2725" spans="1:4" x14ac:dyDescent="0.2">
      <c r="A2725">
        <v>37</v>
      </c>
      <c r="B2725">
        <v>1499.5</v>
      </c>
      <c r="C2725">
        <v>1500</v>
      </c>
      <c r="D2725" t="s">
        <v>5968</v>
      </c>
    </row>
    <row r="2726" spans="1:4" x14ac:dyDescent="0.2">
      <c r="A2726">
        <v>38</v>
      </c>
      <c r="B2726">
        <v>1499.6</v>
      </c>
      <c r="C2726">
        <v>1500</v>
      </c>
      <c r="D2726" t="s">
        <v>5968</v>
      </c>
    </row>
    <row r="2727" spans="1:4" x14ac:dyDescent="0.2">
      <c r="A2727">
        <v>39</v>
      </c>
      <c r="B2727">
        <v>1499.5</v>
      </c>
      <c r="C2727">
        <v>1500</v>
      </c>
      <c r="D2727" t="s">
        <v>5968</v>
      </c>
    </row>
    <row r="2728" spans="1:4" x14ac:dyDescent="0.2">
      <c r="A2728">
        <v>40</v>
      </c>
      <c r="B2728">
        <v>1499.5</v>
      </c>
      <c r="C2728">
        <v>1500</v>
      </c>
      <c r="D2728" t="s">
        <v>5968</v>
      </c>
    </row>
    <row r="2729" spans="1:4" x14ac:dyDescent="0.2">
      <c r="A2729">
        <v>37</v>
      </c>
      <c r="B2729">
        <v>1999.5</v>
      </c>
      <c r="C2729">
        <v>2000</v>
      </c>
      <c r="D2729" t="s">
        <v>5968</v>
      </c>
    </row>
    <row r="2730" spans="1:4" x14ac:dyDescent="0.2">
      <c r="A2730">
        <v>38</v>
      </c>
      <c r="B2730">
        <v>1999.7</v>
      </c>
      <c r="C2730">
        <v>2000</v>
      </c>
      <c r="D2730" t="s">
        <v>5968</v>
      </c>
    </row>
    <row r="2731" spans="1:4" x14ac:dyDescent="0.2">
      <c r="A2731">
        <v>39</v>
      </c>
      <c r="B2731">
        <v>1999.5</v>
      </c>
      <c r="C2731">
        <v>2000</v>
      </c>
      <c r="D2731" t="s">
        <v>5968</v>
      </c>
    </row>
    <row r="2732" spans="1:4" x14ac:dyDescent="0.2">
      <c r="A2732">
        <v>40</v>
      </c>
      <c r="B2732">
        <v>1999.5</v>
      </c>
      <c r="C2732">
        <v>2000</v>
      </c>
      <c r="D2732" t="s">
        <v>5968</v>
      </c>
    </row>
    <row r="2733" spans="1:4" x14ac:dyDescent="0.2">
      <c r="A2733">
        <v>37</v>
      </c>
      <c r="B2733">
        <v>2249.5</v>
      </c>
      <c r="C2733">
        <v>2250</v>
      </c>
      <c r="D2733" t="s">
        <v>5968</v>
      </c>
    </row>
    <row r="2734" spans="1:4" x14ac:dyDescent="0.2">
      <c r="A2734">
        <v>38</v>
      </c>
      <c r="B2734">
        <v>2249.9</v>
      </c>
      <c r="C2734">
        <v>2250</v>
      </c>
      <c r="D2734" t="s">
        <v>5968</v>
      </c>
    </row>
    <row r="2735" spans="1:4" x14ac:dyDescent="0.2">
      <c r="A2735">
        <v>39</v>
      </c>
      <c r="B2735">
        <v>2249.5</v>
      </c>
      <c r="C2735">
        <v>2250</v>
      </c>
      <c r="D2735" t="s">
        <v>5968</v>
      </c>
    </row>
    <row r="2736" spans="1:4" x14ac:dyDescent="0.2">
      <c r="A2736">
        <v>40</v>
      </c>
      <c r="B2736">
        <v>2249.6</v>
      </c>
      <c r="C2736">
        <v>2250</v>
      </c>
      <c r="D2736" t="s">
        <v>5968</v>
      </c>
    </row>
    <row r="2737" spans="1:4" x14ac:dyDescent="0.2">
      <c r="A2737">
        <v>1</v>
      </c>
      <c r="B2737">
        <v>-99.9</v>
      </c>
      <c r="C2737">
        <v>-100</v>
      </c>
      <c r="D2737" t="s">
        <v>5969</v>
      </c>
    </row>
    <row r="2738" spans="1:4" x14ac:dyDescent="0.2">
      <c r="A2738">
        <v>2</v>
      </c>
      <c r="B2738">
        <v>-99.8</v>
      </c>
      <c r="C2738">
        <v>-100</v>
      </c>
      <c r="D2738" t="s">
        <v>5969</v>
      </c>
    </row>
    <row r="2739" spans="1:4" x14ac:dyDescent="0.2">
      <c r="A2739">
        <v>3</v>
      </c>
      <c r="B2739">
        <v>-100.1</v>
      </c>
      <c r="C2739">
        <v>-100</v>
      </c>
      <c r="D2739" t="s">
        <v>5969</v>
      </c>
    </row>
    <row r="2740" spans="1:4" x14ac:dyDescent="0.2">
      <c r="A2740">
        <v>4</v>
      </c>
      <c r="B2740">
        <v>-100.1</v>
      </c>
      <c r="C2740">
        <v>-100</v>
      </c>
      <c r="D2740" t="s">
        <v>5969</v>
      </c>
    </row>
    <row r="2741" spans="1:4" x14ac:dyDescent="0.2">
      <c r="A2741">
        <v>5</v>
      </c>
      <c r="B2741">
        <v>-100.2</v>
      </c>
      <c r="C2741">
        <v>-100</v>
      </c>
      <c r="D2741" t="s">
        <v>5969</v>
      </c>
    </row>
    <row r="2742" spans="1:4" x14ac:dyDescent="0.2">
      <c r="A2742">
        <v>6</v>
      </c>
      <c r="B2742">
        <v>-99.9</v>
      </c>
      <c r="C2742">
        <v>-100</v>
      </c>
      <c r="D2742" t="s">
        <v>5969</v>
      </c>
    </row>
    <row r="2743" spans="1:4" x14ac:dyDescent="0.2">
      <c r="A2743">
        <v>1</v>
      </c>
      <c r="B2743">
        <v>499.8</v>
      </c>
      <c r="C2743">
        <v>500</v>
      </c>
      <c r="D2743" t="s">
        <v>5969</v>
      </c>
    </row>
    <row r="2744" spans="1:4" x14ac:dyDescent="0.2">
      <c r="A2744">
        <v>2</v>
      </c>
      <c r="B2744">
        <v>500.1</v>
      </c>
      <c r="C2744">
        <v>500</v>
      </c>
      <c r="D2744" t="s">
        <v>5969</v>
      </c>
    </row>
    <row r="2745" spans="1:4" x14ac:dyDescent="0.2">
      <c r="A2745">
        <v>3</v>
      </c>
      <c r="B2745">
        <v>500</v>
      </c>
      <c r="C2745">
        <v>500</v>
      </c>
      <c r="D2745" t="s">
        <v>5969</v>
      </c>
    </row>
    <row r="2746" spans="1:4" x14ac:dyDescent="0.2">
      <c r="A2746">
        <v>4</v>
      </c>
      <c r="B2746">
        <v>500.1</v>
      </c>
      <c r="C2746">
        <v>500</v>
      </c>
      <c r="D2746" t="s">
        <v>5969</v>
      </c>
    </row>
    <row r="2747" spans="1:4" x14ac:dyDescent="0.2">
      <c r="A2747">
        <v>5</v>
      </c>
      <c r="B2747">
        <v>499.8</v>
      </c>
      <c r="C2747">
        <v>500</v>
      </c>
      <c r="D2747" t="s">
        <v>5969</v>
      </c>
    </row>
    <row r="2748" spans="1:4" x14ac:dyDescent="0.2">
      <c r="A2748">
        <v>6</v>
      </c>
      <c r="B2748">
        <v>500.1</v>
      </c>
      <c r="C2748">
        <v>500</v>
      </c>
      <c r="D2748" t="s">
        <v>5969</v>
      </c>
    </row>
    <row r="2749" spans="1:4" x14ac:dyDescent="0.2">
      <c r="A2749">
        <v>1</v>
      </c>
      <c r="B2749">
        <v>999.8</v>
      </c>
      <c r="C2749">
        <v>1000</v>
      </c>
      <c r="D2749" t="s">
        <v>5969</v>
      </c>
    </row>
    <row r="2750" spans="1:4" x14ac:dyDescent="0.2">
      <c r="A2750">
        <v>2</v>
      </c>
      <c r="B2750">
        <v>1000.1</v>
      </c>
      <c r="C2750">
        <v>1000</v>
      </c>
      <c r="D2750" t="s">
        <v>5969</v>
      </c>
    </row>
    <row r="2751" spans="1:4" x14ac:dyDescent="0.2">
      <c r="A2751">
        <v>3</v>
      </c>
      <c r="B2751">
        <v>1000</v>
      </c>
      <c r="C2751">
        <v>1000</v>
      </c>
      <c r="D2751" t="s">
        <v>5969</v>
      </c>
    </row>
    <row r="2752" spans="1:4" x14ac:dyDescent="0.2">
      <c r="A2752">
        <v>4</v>
      </c>
      <c r="B2752">
        <v>1000.1</v>
      </c>
      <c r="C2752">
        <v>1000</v>
      </c>
      <c r="D2752" t="s">
        <v>5969</v>
      </c>
    </row>
    <row r="2753" spans="1:4" x14ac:dyDescent="0.2">
      <c r="A2753">
        <v>5</v>
      </c>
      <c r="B2753">
        <v>999.8</v>
      </c>
      <c r="C2753">
        <v>1000</v>
      </c>
      <c r="D2753" t="s">
        <v>5969</v>
      </c>
    </row>
    <row r="2754" spans="1:4" x14ac:dyDescent="0.2">
      <c r="A2754">
        <v>6</v>
      </c>
      <c r="B2754">
        <v>1000.1</v>
      </c>
      <c r="C2754">
        <v>1000</v>
      </c>
      <c r="D2754" t="s">
        <v>5969</v>
      </c>
    </row>
    <row r="2755" spans="1:4" x14ac:dyDescent="0.2">
      <c r="A2755">
        <v>1</v>
      </c>
      <c r="B2755">
        <v>1499.6</v>
      </c>
      <c r="C2755">
        <v>1500</v>
      </c>
      <c r="D2755" t="s">
        <v>5969</v>
      </c>
    </row>
    <row r="2756" spans="1:4" x14ac:dyDescent="0.2">
      <c r="A2756">
        <v>2</v>
      </c>
      <c r="B2756">
        <v>1500.1</v>
      </c>
      <c r="C2756">
        <v>1500</v>
      </c>
      <c r="D2756" t="s">
        <v>5969</v>
      </c>
    </row>
    <row r="2757" spans="1:4" x14ac:dyDescent="0.2">
      <c r="A2757">
        <v>3</v>
      </c>
      <c r="B2757">
        <v>1500</v>
      </c>
      <c r="C2757">
        <v>1500</v>
      </c>
      <c r="D2757" t="s">
        <v>5969</v>
      </c>
    </row>
    <row r="2758" spans="1:4" x14ac:dyDescent="0.2">
      <c r="A2758">
        <v>4</v>
      </c>
      <c r="B2758">
        <v>1500.1</v>
      </c>
      <c r="C2758">
        <v>1500</v>
      </c>
      <c r="D2758" t="s">
        <v>5969</v>
      </c>
    </row>
    <row r="2759" spans="1:4" x14ac:dyDescent="0.2">
      <c r="A2759">
        <v>5</v>
      </c>
      <c r="B2759">
        <v>1499.8</v>
      </c>
      <c r="C2759">
        <v>1500</v>
      </c>
      <c r="D2759" t="s">
        <v>5969</v>
      </c>
    </row>
    <row r="2760" spans="1:4" x14ac:dyDescent="0.2">
      <c r="A2760">
        <v>6</v>
      </c>
      <c r="B2760">
        <v>1500</v>
      </c>
      <c r="C2760">
        <v>1500</v>
      </c>
      <c r="D2760" t="s">
        <v>5969</v>
      </c>
    </row>
    <row r="2761" spans="1:4" x14ac:dyDescent="0.2">
      <c r="A2761">
        <v>1</v>
      </c>
      <c r="B2761">
        <v>1999.6</v>
      </c>
      <c r="C2761">
        <v>2000</v>
      </c>
      <c r="D2761" t="s">
        <v>5969</v>
      </c>
    </row>
    <row r="2762" spans="1:4" x14ac:dyDescent="0.2">
      <c r="A2762">
        <v>2</v>
      </c>
      <c r="B2762">
        <v>2000.1</v>
      </c>
      <c r="C2762">
        <v>2000</v>
      </c>
      <c r="D2762" t="s">
        <v>5969</v>
      </c>
    </row>
    <row r="2763" spans="1:4" x14ac:dyDescent="0.2">
      <c r="A2763">
        <v>3</v>
      </c>
      <c r="B2763">
        <v>1999.9</v>
      </c>
      <c r="C2763">
        <v>2000</v>
      </c>
      <c r="D2763" t="s">
        <v>5969</v>
      </c>
    </row>
    <row r="2764" spans="1:4" x14ac:dyDescent="0.2">
      <c r="A2764">
        <v>4</v>
      </c>
      <c r="B2764">
        <v>2000.1</v>
      </c>
      <c r="C2764">
        <v>2000</v>
      </c>
      <c r="D2764" t="s">
        <v>5969</v>
      </c>
    </row>
    <row r="2765" spans="1:4" x14ac:dyDescent="0.2">
      <c r="A2765">
        <v>5</v>
      </c>
      <c r="B2765">
        <v>1999.9</v>
      </c>
      <c r="C2765">
        <v>2000</v>
      </c>
      <c r="D2765" t="s">
        <v>5969</v>
      </c>
    </row>
    <row r="2766" spans="1:4" x14ac:dyDescent="0.2">
      <c r="A2766">
        <v>6</v>
      </c>
      <c r="B2766">
        <v>2000.1</v>
      </c>
      <c r="C2766">
        <v>2000</v>
      </c>
      <c r="D2766" t="s">
        <v>5969</v>
      </c>
    </row>
    <row r="2767" spans="1:4" x14ac:dyDescent="0.2">
      <c r="A2767">
        <v>1</v>
      </c>
      <c r="B2767">
        <v>2279.6</v>
      </c>
      <c r="C2767">
        <v>2280</v>
      </c>
      <c r="D2767" t="s">
        <v>5969</v>
      </c>
    </row>
    <row r="2768" spans="1:4" x14ac:dyDescent="0.2">
      <c r="A2768">
        <v>2</v>
      </c>
      <c r="B2768">
        <v>2280.1</v>
      </c>
      <c r="C2768">
        <v>2280</v>
      </c>
      <c r="D2768" t="s">
        <v>5969</v>
      </c>
    </row>
    <row r="2769" spans="1:4" x14ac:dyDescent="0.2">
      <c r="A2769">
        <v>3</v>
      </c>
      <c r="B2769">
        <v>2280.1</v>
      </c>
      <c r="C2769">
        <v>2280</v>
      </c>
      <c r="D2769" t="s">
        <v>5969</v>
      </c>
    </row>
    <row r="2770" spans="1:4" x14ac:dyDescent="0.2">
      <c r="A2770">
        <v>4</v>
      </c>
      <c r="B2770">
        <v>2280.1999999999998</v>
      </c>
      <c r="C2770">
        <v>2280</v>
      </c>
      <c r="D2770" t="s">
        <v>5969</v>
      </c>
    </row>
    <row r="2771" spans="1:4" x14ac:dyDescent="0.2">
      <c r="A2771">
        <v>5</v>
      </c>
      <c r="B2771">
        <v>2280</v>
      </c>
      <c r="C2771">
        <v>2280</v>
      </c>
      <c r="D2771" t="s">
        <v>5969</v>
      </c>
    </row>
    <row r="2772" spans="1:4" x14ac:dyDescent="0.2">
      <c r="A2772">
        <v>6</v>
      </c>
      <c r="B2772">
        <v>2280.1</v>
      </c>
      <c r="C2772">
        <v>2280</v>
      </c>
      <c r="D2772" t="s">
        <v>5969</v>
      </c>
    </row>
    <row r="2773" spans="1:4" x14ac:dyDescent="0.2">
      <c r="A2773">
        <v>7</v>
      </c>
      <c r="B2773">
        <v>-99.8</v>
      </c>
      <c r="C2773">
        <v>-100</v>
      </c>
      <c r="D2773" t="s">
        <v>5969</v>
      </c>
    </row>
    <row r="2774" spans="1:4" x14ac:dyDescent="0.2">
      <c r="A2774">
        <v>8</v>
      </c>
      <c r="B2774">
        <v>-99.7</v>
      </c>
      <c r="C2774">
        <v>-100</v>
      </c>
      <c r="D2774" t="s">
        <v>5969</v>
      </c>
    </row>
    <row r="2775" spans="1:4" x14ac:dyDescent="0.2">
      <c r="A2775">
        <v>9</v>
      </c>
      <c r="B2775">
        <v>-99.8</v>
      </c>
      <c r="C2775">
        <v>-100</v>
      </c>
      <c r="D2775" t="s">
        <v>5969</v>
      </c>
    </row>
    <row r="2776" spans="1:4" x14ac:dyDescent="0.2">
      <c r="A2776">
        <v>10</v>
      </c>
      <c r="B2776">
        <v>-99.9</v>
      </c>
      <c r="C2776">
        <v>-100</v>
      </c>
      <c r="D2776" t="s">
        <v>5969</v>
      </c>
    </row>
    <row r="2777" spans="1:4" x14ac:dyDescent="0.2">
      <c r="A2777">
        <v>11</v>
      </c>
      <c r="B2777">
        <v>-99.9</v>
      </c>
      <c r="C2777">
        <v>-100</v>
      </c>
      <c r="D2777" t="s">
        <v>5969</v>
      </c>
    </row>
    <row r="2778" spans="1:4" x14ac:dyDescent="0.2">
      <c r="A2778">
        <v>12</v>
      </c>
      <c r="B2778">
        <v>-99.9</v>
      </c>
      <c r="C2778">
        <v>-100</v>
      </c>
      <c r="D2778" t="s">
        <v>5969</v>
      </c>
    </row>
    <row r="2779" spans="1:4" x14ac:dyDescent="0.2">
      <c r="A2779">
        <v>7</v>
      </c>
      <c r="B2779">
        <v>500.2</v>
      </c>
      <c r="C2779">
        <v>500</v>
      </c>
      <c r="D2779" t="s">
        <v>5969</v>
      </c>
    </row>
    <row r="2780" spans="1:4" x14ac:dyDescent="0.2">
      <c r="A2780">
        <v>8</v>
      </c>
      <c r="B2780">
        <v>500.2</v>
      </c>
      <c r="C2780">
        <v>500</v>
      </c>
      <c r="D2780" t="s">
        <v>5969</v>
      </c>
    </row>
    <row r="2781" spans="1:4" x14ac:dyDescent="0.2">
      <c r="A2781">
        <v>9</v>
      </c>
      <c r="B2781">
        <v>500</v>
      </c>
      <c r="C2781">
        <v>500</v>
      </c>
      <c r="D2781" t="s">
        <v>5969</v>
      </c>
    </row>
    <row r="2782" spans="1:4" x14ac:dyDescent="0.2">
      <c r="A2782">
        <v>10</v>
      </c>
      <c r="B2782">
        <v>499.8</v>
      </c>
      <c r="C2782">
        <v>500</v>
      </c>
      <c r="D2782" t="s">
        <v>5969</v>
      </c>
    </row>
    <row r="2783" spans="1:4" x14ac:dyDescent="0.2">
      <c r="A2783">
        <v>11</v>
      </c>
      <c r="B2783">
        <v>500.2</v>
      </c>
      <c r="C2783">
        <v>500</v>
      </c>
      <c r="D2783" t="s">
        <v>5969</v>
      </c>
    </row>
    <row r="2784" spans="1:4" x14ac:dyDescent="0.2">
      <c r="A2784">
        <v>12</v>
      </c>
      <c r="B2784">
        <v>500.1</v>
      </c>
      <c r="C2784">
        <v>500</v>
      </c>
      <c r="D2784" t="s">
        <v>5969</v>
      </c>
    </row>
    <row r="2785" spans="1:4" x14ac:dyDescent="0.2">
      <c r="A2785">
        <v>7</v>
      </c>
      <c r="B2785">
        <v>1000.1</v>
      </c>
      <c r="C2785">
        <v>1000</v>
      </c>
      <c r="D2785" t="s">
        <v>5969</v>
      </c>
    </row>
    <row r="2786" spans="1:4" x14ac:dyDescent="0.2">
      <c r="A2786">
        <v>8</v>
      </c>
      <c r="B2786">
        <v>1000.2</v>
      </c>
      <c r="C2786">
        <v>1000</v>
      </c>
      <c r="D2786" t="s">
        <v>5969</v>
      </c>
    </row>
    <row r="2787" spans="1:4" x14ac:dyDescent="0.2">
      <c r="A2787">
        <v>9</v>
      </c>
      <c r="B2787">
        <v>1000</v>
      </c>
      <c r="C2787">
        <v>1000</v>
      </c>
      <c r="D2787" t="s">
        <v>5969</v>
      </c>
    </row>
    <row r="2788" spans="1:4" x14ac:dyDescent="0.2">
      <c r="A2788">
        <v>10</v>
      </c>
      <c r="B2788">
        <v>999.8</v>
      </c>
      <c r="C2788">
        <v>1000</v>
      </c>
      <c r="D2788" t="s">
        <v>5969</v>
      </c>
    </row>
    <row r="2789" spans="1:4" x14ac:dyDescent="0.2">
      <c r="A2789">
        <v>11</v>
      </c>
      <c r="B2789">
        <v>1000.2</v>
      </c>
      <c r="C2789">
        <v>1000</v>
      </c>
      <c r="D2789" t="s">
        <v>5969</v>
      </c>
    </row>
    <row r="2790" spans="1:4" x14ac:dyDescent="0.2">
      <c r="A2790">
        <v>12</v>
      </c>
      <c r="B2790">
        <v>1000.1</v>
      </c>
      <c r="C2790">
        <v>1000</v>
      </c>
      <c r="D2790" t="s">
        <v>5969</v>
      </c>
    </row>
    <row r="2791" spans="1:4" x14ac:dyDescent="0.2">
      <c r="A2791">
        <v>7</v>
      </c>
      <c r="B2791">
        <v>1500</v>
      </c>
      <c r="C2791">
        <v>1500</v>
      </c>
      <c r="D2791" t="s">
        <v>5969</v>
      </c>
    </row>
    <row r="2792" spans="1:4" x14ac:dyDescent="0.2">
      <c r="A2792">
        <v>8</v>
      </c>
      <c r="B2792">
        <v>1500</v>
      </c>
      <c r="C2792">
        <v>1500</v>
      </c>
      <c r="D2792" t="s">
        <v>5969</v>
      </c>
    </row>
    <row r="2793" spans="1:4" x14ac:dyDescent="0.2">
      <c r="A2793">
        <v>9</v>
      </c>
      <c r="B2793">
        <v>1500</v>
      </c>
      <c r="C2793">
        <v>1500</v>
      </c>
      <c r="D2793" t="s">
        <v>5969</v>
      </c>
    </row>
    <row r="2794" spans="1:4" x14ac:dyDescent="0.2">
      <c r="A2794">
        <v>10</v>
      </c>
      <c r="B2794">
        <v>1499.7</v>
      </c>
      <c r="C2794">
        <v>1500</v>
      </c>
      <c r="D2794" t="s">
        <v>5969</v>
      </c>
    </row>
    <row r="2795" spans="1:4" x14ac:dyDescent="0.2">
      <c r="A2795">
        <v>11</v>
      </c>
      <c r="B2795">
        <v>1500.2</v>
      </c>
      <c r="C2795">
        <v>1500</v>
      </c>
      <c r="D2795" t="s">
        <v>5969</v>
      </c>
    </row>
    <row r="2796" spans="1:4" x14ac:dyDescent="0.2">
      <c r="A2796">
        <v>12</v>
      </c>
      <c r="B2796">
        <v>1500</v>
      </c>
      <c r="C2796">
        <v>1500</v>
      </c>
      <c r="D2796" t="s">
        <v>5969</v>
      </c>
    </row>
    <row r="2797" spans="1:4" x14ac:dyDescent="0.2">
      <c r="A2797">
        <v>7</v>
      </c>
      <c r="B2797">
        <v>2000</v>
      </c>
      <c r="C2797">
        <v>2000</v>
      </c>
      <c r="D2797" t="s">
        <v>5969</v>
      </c>
    </row>
    <row r="2798" spans="1:4" x14ac:dyDescent="0.2">
      <c r="A2798">
        <v>8</v>
      </c>
      <c r="B2798">
        <v>2000</v>
      </c>
      <c r="C2798">
        <v>2000</v>
      </c>
      <c r="D2798" t="s">
        <v>5969</v>
      </c>
    </row>
    <row r="2799" spans="1:4" x14ac:dyDescent="0.2">
      <c r="A2799">
        <v>9</v>
      </c>
      <c r="B2799">
        <v>2000</v>
      </c>
      <c r="C2799">
        <v>2000</v>
      </c>
      <c r="D2799" t="s">
        <v>5969</v>
      </c>
    </row>
    <row r="2800" spans="1:4" x14ac:dyDescent="0.2">
      <c r="A2800">
        <v>10</v>
      </c>
      <c r="B2800">
        <v>1999.7</v>
      </c>
      <c r="C2800">
        <v>2000</v>
      </c>
      <c r="D2800" t="s">
        <v>5969</v>
      </c>
    </row>
    <row r="2801" spans="1:4" x14ac:dyDescent="0.2">
      <c r="A2801">
        <v>11</v>
      </c>
      <c r="B2801">
        <v>2000.1</v>
      </c>
      <c r="C2801">
        <v>2000</v>
      </c>
      <c r="D2801" t="s">
        <v>5969</v>
      </c>
    </row>
    <row r="2802" spans="1:4" x14ac:dyDescent="0.2">
      <c r="A2802">
        <v>12</v>
      </c>
      <c r="B2802">
        <v>1999.9</v>
      </c>
      <c r="C2802">
        <v>2000</v>
      </c>
      <c r="D2802" t="s">
        <v>5969</v>
      </c>
    </row>
    <row r="2803" spans="1:4" x14ac:dyDescent="0.2">
      <c r="A2803">
        <v>7</v>
      </c>
      <c r="B2803">
        <v>2280.1</v>
      </c>
      <c r="C2803">
        <v>2280</v>
      </c>
      <c r="D2803" t="s">
        <v>5969</v>
      </c>
    </row>
    <row r="2804" spans="1:4" x14ac:dyDescent="0.2">
      <c r="A2804">
        <v>8</v>
      </c>
      <c r="B2804">
        <v>2280</v>
      </c>
      <c r="C2804">
        <v>2280</v>
      </c>
      <c r="D2804" t="s">
        <v>5969</v>
      </c>
    </row>
    <row r="2805" spans="1:4" x14ac:dyDescent="0.2">
      <c r="A2805">
        <v>9</v>
      </c>
      <c r="B2805">
        <v>2280.1</v>
      </c>
      <c r="C2805">
        <v>2280</v>
      </c>
      <c r="D2805" t="s">
        <v>5969</v>
      </c>
    </row>
    <row r="2806" spans="1:4" x14ac:dyDescent="0.2">
      <c r="A2806">
        <v>10</v>
      </c>
      <c r="B2806">
        <v>2279.8000000000002</v>
      </c>
      <c r="C2806">
        <v>2280</v>
      </c>
      <c r="D2806" t="s">
        <v>5969</v>
      </c>
    </row>
    <row r="2807" spans="1:4" x14ac:dyDescent="0.2">
      <c r="A2807">
        <v>11</v>
      </c>
      <c r="B2807">
        <v>2280.1</v>
      </c>
      <c r="C2807">
        <v>2280</v>
      </c>
      <c r="D2807" t="s">
        <v>5969</v>
      </c>
    </row>
    <row r="2808" spans="1:4" x14ac:dyDescent="0.2">
      <c r="A2808">
        <v>12</v>
      </c>
      <c r="B2808">
        <v>2280.1</v>
      </c>
      <c r="C2808">
        <v>2280</v>
      </c>
      <c r="D2808" t="s">
        <v>5969</v>
      </c>
    </row>
    <row r="2809" spans="1:4" x14ac:dyDescent="0.2">
      <c r="A2809">
        <v>13</v>
      </c>
      <c r="B2809">
        <v>-100.2</v>
      </c>
      <c r="C2809">
        <v>-100</v>
      </c>
      <c r="D2809" t="s">
        <v>5969</v>
      </c>
    </row>
    <row r="2810" spans="1:4" x14ac:dyDescent="0.2">
      <c r="A2810">
        <v>14</v>
      </c>
      <c r="B2810">
        <v>-100.2</v>
      </c>
      <c r="C2810">
        <v>-100</v>
      </c>
      <c r="D2810" t="s">
        <v>5969</v>
      </c>
    </row>
    <row r="2811" spans="1:4" x14ac:dyDescent="0.2">
      <c r="A2811">
        <v>15</v>
      </c>
      <c r="B2811">
        <v>-99.8</v>
      </c>
      <c r="C2811">
        <v>-100</v>
      </c>
      <c r="D2811" t="s">
        <v>5969</v>
      </c>
    </row>
    <row r="2812" spans="1:4" x14ac:dyDescent="0.2">
      <c r="A2812">
        <v>16</v>
      </c>
      <c r="B2812">
        <v>-99.8</v>
      </c>
      <c r="C2812">
        <v>-100</v>
      </c>
      <c r="D2812" t="s">
        <v>5969</v>
      </c>
    </row>
    <row r="2813" spans="1:4" x14ac:dyDescent="0.2">
      <c r="A2813">
        <v>17</v>
      </c>
      <c r="B2813">
        <v>-99.8</v>
      </c>
      <c r="C2813">
        <v>-100</v>
      </c>
      <c r="D2813" t="s">
        <v>5969</v>
      </c>
    </row>
    <row r="2814" spans="1:4" x14ac:dyDescent="0.2">
      <c r="A2814">
        <v>18</v>
      </c>
      <c r="B2814">
        <v>-99.8</v>
      </c>
      <c r="C2814">
        <v>-100</v>
      </c>
      <c r="D2814" t="s">
        <v>5969</v>
      </c>
    </row>
    <row r="2815" spans="1:4" x14ac:dyDescent="0.2">
      <c r="A2815">
        <v>13</v>
      </c>
      <c r="B2815">
        <v>499.8</v>
      </c>
      <c r="C2815">
        <v>500</v>
      </c>
      <c r="D2815" t="s">
        <v>5969</v>
      </c>
    </row>
    <row r="2816" spans="1:4" x14ac:dyDescent="0.2">
      <c r="A2816">
        <v>14</v>
      </c>
      <c r="B2816">
        <v>499.7</v>
      </c>
      <c r="C2816">
        <v>500</v>
      </c>
      <c r="D2816" t="s">
        <v>5969</v>
      </c>
    </row>
    <row r="2817" spans="1:4" x14ac:dyDescent="0.2">
      <c r="A2817">
        <v>15</v>
      </c>
      <c r="B2817">
        <v>500.2</v>
      </c>
      <c r="C2817">
        <v>500</v>
      </c>
      <c r="D2817" t="s">
        <v>5969</v>
      </c>
    </row>
    <row r="2818" spans="1:4" x14ac:dyDescent="0.2">
      <c r="A2818">
        <v>16</v>
      </c>
      <c r="B2818">
        <v>500.2</v>
      </c>
      <c r="C2818">
        <v>500</v>
      </c>
      <c r="D2818" t="s">
        <v>5969</v>
      </c>
    </row>
    <row r="2819" spans="1:4" x14ac:dyDescent="0.2">
      <c r="A2819">
        <v>17</v>
      </c>
      <c r="B2819">
        <v>500.1</v>
      </c>
      <c r="C2819">
        <v>500</v>
      </c>
      <c r="D2819" t="s">
        <v>5969</v>
      </c>
    </row>
    <row r="2820" spans="1:4" x14ac:dyDescent="0.2">
      <c r="A2820">
        <v>18</v>
      </c>
      <c r="B2820">
        <v>500</v>
      </c>
      <c r="C2820">
        <v>500</v>
      </c>
      <c r="D2820" t="s">
        <v>5969</v>
      </c>
    </row>
    <row r="2821" spans="1:4" x14ac:dyDescent="0.2">
      <c r="A2821">
        <v>13</v>
      </c>
      <c r="B2821">
        <v>999.9</v>
      </c>
      <c r="C2821">
        <v>1000</v>
      </c>
      <c r="D2821" t="s">
        <v>5969</v>
      </c>
    </row>
    <row r="2822" spans="1:4" x14ac:dyDescent="0.2">
      <c r="A2822">
        <v>14</v>
      </c>
      <c r="B2822">
        <v>999.7</v>
      </c>
      <c r="C2822">
        <v>1000</v>
      </c>
      <c r="D2822" t="s">
        <v>5969</v>
      </c>
    </row>
    <row r="2823" spans="1:4" x14ac:dyDescent="0.2">
      <c r="A2823">
        <v>15</v>
      </c>
      <c r="B2823">
        <v>1000.2</v>
      </c>
      <c r="C2823">
        <v>1000</v>
      </c>
      <c r="D2823" t="s">
        <v>5969</v>
      </c>
    </row>
    <row r="2824" spans="1:4" x14ac:dyDescent="0.2">
      <c r="A2824">
        <v>16</v>
      </c>
      <c r="B2824">
        <v>1000.2</v>
      </c>
      <c r="C2824">
        <v>1000</v>
      </c>
      <c r="D2824" t="s">
        <v>5969</v>
      </c>
    </row>
    <row r="2825" spans="1:4" x14ac:dyDescent="0.2">
      <c r="A2825">
        <v>17</v>
      </c>
      <c r="B2825">
        <v>1000.1</v>
      </c>
      <c r="C2825">
        <v>1000</v>
      </c>
      <c r="D2825" t="s">
        <v>5969</v>
      </c>
    </row>
    <row r="2826" spans="1:4" x14ac:dyDescent="0.2">
      <c r="A2826">
        <v>18</v>
      </c>
      <c r="B2826">
        <v>1000</v>
      </c>
      <c r="C2826">
        <v>1000</v>
      </c>
      <c r="D2826" t="s">
        <v>5969</v>
      </c>
    </row>
    <row r="2827" spans="1:4" x14ac:dyDescent="0.2">
      <c r="A2827">
        <v>13</v>
      </c>
      <c r="B2827">
        <v>1499.8</v>
      </c>
      <c r="C2827">
        <v>1500</v>
      </c>
      <c r="D2827" t="s">
        <v>5969</v>
      </c>
    </row>
    <row r="2828" spans="1:4" x14ac:dyDescent="0.2">
      <c r="A2828">
        <v>14</v>
      </c>
      <c r="B2828">
        <v>1499.7</v>
      </c>
      <c r="C2828">
        <v>1500</v>
      </c>
      <c r="D2828" t="s">
        <v>5969</v>
      </c>
    </row>
    <row r="2829" spans="1:4" x14ac:dyDescent="0.2">
      <c r="A2829">
        <v>15</v>
      </c>
      <c r="B2829">
        <v>1500.1</v>
      </c>
      <c r="C2829">
        <v>1500</v>
      </c>
      <c r="D2829" t="s">
        <v>5969</v>
      </c>
    </row>
    <row r="2830" spans="1:4" x14ac:dyDescent="0.2">
      <c r="A2830">
        <v>16</v>
      </c>
      <c r="B2830">
        <v>1500.1</v>
      </c>
      <c r="C2830">
        <v>1500</v>
      </c>
      <c r="D2830" t="s">
        <v>5969</v>
      </c>
    </row>
    <row r="2831" spans="1:4" x14ac:dyDescent="0.2">
      <c r="A2831">
        <v>17</v>
      </c>
      <c r="B2831">
        <v>1500.1</v>
      </c>
      <c r="C2831">
        <v>1500</v>
      </c>
      <c r="D2831" t="s">
        <v>5969</v>
      </c>
    </row>
    <row r="2832" spans="1:4" x14ac:dyDescent="0.2">
      <c r="A2832">
        <v>18</v>
      </c>
      <c r="B2832">
        <v>1500</v>
      </c>
      <c r="C2832">
        <v>1500</v>
      </c>
      <c r="D2832" t="s">
        <v>5969</v>
      </c>
    </row>
    <row r="2833" spans="1:4" x14ac:dyDescent="0.2">
      <c r="A2833">
        <v>13</v>
      </c>
      <c r="B2833">
        <v>1999.7</v>
      </c>
      <c r="C2833">
        <v>2000</v>
      </c>
      <c r="D2833" t="s">
        <v>5969</v>
      </c>
    </row>
    <row r="2834" spans="1:4" x14ac:dyDescent="0.2">
      <c r="A2834">
        <v>14</v>
      </c>
      <c r="B2834">
        <v>1999.8</v>
      </c>
      <c r="C2834">
        <v>2000</v>
      </c>
      <c r="D2834" t="s">
        <v>5969</v>
      </c>
    </row>
    <row r="2835" spans="1:4" x14ac:dyDescent="0.2">
      <c r="A2835">
        <v>15</v>
      </c>
      <c r="B2835">
        <v>2000.1</v>
      </c>
      <c r="C2835">
        <v>2000</v>
      </c>
      <c r="D2835" t="s">
        <v>5969</v>
      </c>
    </row>
    <row r="2836" spans="1:4" x14ac:dyDescent="0.2">
      <c r="A2836">
        <v>16</v>
      </c>
      <c r="B2836">
        <v>2000.1</v>
      </c>
      <c r="C2836">
        <v>2000</v>
      </c>
      <c r="D2836" t="s">
        <v>5969</v>
      </c>
    </row>
    <row r="2837" spans="1:4" x14ac:dyDescent="0.2">
      <c r="A2837">
        <v>17</v>
      </c>
      <c r="B2837">
        <v>2000.1</v>
      </c>
      <c r="C2837">
        <v>2000</v>
      </c>
      <c r="D2837" t="s">
        <v>5969</v>
      </c>
    </row>
    <row r="2838" spans="1:4" x14ac:dyDescent="0.2">
      <c r="A2838">
        <v>18</v>
      </c>
      <c r="B2838">
        <v>2000</v>
      </c>
      <c r="C2838">
        <v>2000</v>
      </c>
      <c r="D2838" t="s">
        <v>5969</v>
      </c>
    </row>
    <row r="2839" spans="1:4" x14ac:dyDescent="0.2">
      <c r="A2839">
        <v>13</v>
      </c>
      <c r="B2839">
        <v>2280</v>
      </c>
      <c r="C2839">
        <v>2280</v>
      </c>
      <c r="D2839" t="s">
        <v>5969</v>
      </c>
    </row>
    <row r="2840" spans="1:4" x14ac:dyDescent="0.2">
      <c r="A2840">
        <v>14</v>
      </c>
      <c r="B2840">
        <v>2279.9</v>
      </c>
      <c r="C2840">
        <v>2280</v>
      </c>
      <c r="D2840" t="s">
        <v>5969</v>
      </c>
    </row>
    <row r="2841" spans="1:4" x14ac:dyDescent="0.2">
      <c r="A2841">
        <v>15</v>
      </c>
      <c r="B2841">
        <v>2280.1999999999998</v>
      </c>
      <c r="C2841">
        <v>2280</v>
      </c>
      <c r="D2841" t="s">
        <v>5969</v>
      </c>
    </row>
    <row r="2842" spans="1:4" x14ac:dyDescent="0.2">
      <c r="A2842">
        <v>16</v>
      </c>
      <c r="B2842">
        <v>2280.1</v>
      </c>
      <c r="C2842">
        <v>2280</v>
      </c>
      <c r="D2842" t="s">
        <v>5969</v>
      </c>
    </row>
    <row r="2843" spans="1:4" x14ac:dyDescent="0.2">
      <c r="A2843">
        <v>17</v>
      </c>
      <c r="B2843">
        <v>2280.1</v>
      </c>
      <c r="C2843">
        <v>2280</v>
      </c>
      <c r="D2843" t="s">
        <v>5969</v>
      </c>
    </row>
    <row r="2844" spans="1:4" x14ac:dyDescent="0.2">
      <c r="A2844">
        <v>18</v>
      </c>
      <c r="B2844">
        <v>2280.1</v>
      </c>
      <c r="C2844">
        <v>2280</v>
      </c>
      <c r="D2844" t="s">
        <v>5969</v>
      </c>
    </row>
    <row r="2845" spans="1:4" x14ac:dyDescent="0.2">
      <c r="A2845">
        <v>19</v>
      </c>
      <c r="B2845">
        <v>-99.7</v>
      </c>
      <c r="C2845">
        <v>-100</v>
      </c>
      <c r="D2845" t="s">
        <v>5969</v>
      </c>
    </row>
    <row r="2846" spans="1:4" x14ac:dyDescent="0.2">
      <c r="A2846">
        <v>20</v>
      </c>
      <c r="B2846">
        <v>-99.8</v>
      </c>
      <c r="C2846">
        <v>-100</v>
      </c>
      <c r="D2846" t="s">
        <v>5969</v>
      </c>
    </row>
    <row r="2847" spans="1:4" x14ac:dyDescent="0.2">
      <c r="A2847">
        <v>21</v>
      </c>
      <c r="B2847">
        <v>-100.2</v>
      </c>
      <c r="C2847">
        <v>-100</v>
      </c>
      <c r="D2847" t="s">
        <v>5969</v>
      </c>
    </row>
    <row r="2848" spans="1:4" x14ac:dyDescent="0.2">
      <c r="A2848">
        <v>22</v>
      </c>
      <c r="B2848">
        <v>-99.7</v>
      </c>
      <c r="C2848">
        <v>-100</v>
      </c>
      <c r="D2848" t="s">
        <v>5969</v>
      </c>
    </row>
    <row r="2849" spans="1:4" x14ac:dyDescent="0.2">
      <c r="A2849">
        <v>23</v>
      </c>
      <c r="B2849">
        <v>-99.8</v>
      </c>
      <c r="C2849">
        <v>-100</v>
      </c>
      <c r="D2849" t="s">
        <v>5969</v>
      </c>
    </row>
    <row r="2850" spans="1:4" x14ac:dyDescent="0.2">
      <c r="A2850">
        <v>24</v>
      </c>
      <c r="B2850">
        <v>-99.7</v>
      </c>
      <c r="C2850">
        <v>-100</v>
      </c>
      <c r="D2850" t="s">
        <v>5969</v>
      </c>
    </row>
    <row r="2851" spans="1:4" x14ac:dyDescent="0.2">
      <c r="A2851">
        <v>19</v>
      </c>
      <c r="B2851">
        <v>500</v>
      </c>
      <c r="C2851">
        <v>500</v>
      </c>
      <c r="D2851" t="s">
        <v>5969</v>
      </c>
    </row>
    <row r="2852" spans="1:4" x14ac:dyDescent="0.2">
      <c r="A2852">
        <v>20</v>
      </c>
      <c r="B2852">
        <v>500</v>
      </c>
      <c r="C2852">
        <v>500</v>
      </c>
      <c r="D2852" t="s">
        <v>5969</v>
      </c>
    </row>
    <row r="2853" spans="1:4" x14ac:dyDescent="0.2">
      <c r="A2853">
        <v>21</v>
      </c>
      <c r="B2853">
        <v>499.8</v>
      </c>
      <c r="C2853">
        <v>500</v>
      </c>
      <c r="D2853" t="s">
        <v>5969</v>
      </c>
    </row>
    <row r="2854" spans="1:4" x14ac:dyDescent="0.2">
      <c r="A2854">
        <v>22</v>
      </c>
      <c r="B2854">
        <v>500</v>
      </c>
      <c r="C2854">
        <v>500</v>
      </c>
      <c r="D2854" t="s">
        <v>5969</v>
      </c>
    </row>
    <row r="2855" spans="1:4" x14ac:dyDescent="0.2">
      <c r="A2855">
        <v>23</v>
      </c>
      <c r="B2855">
        <v>500.1</v>
      </c>
      <c r="C2855">
        <v>500</v>
      </c>
      <c r="D2855" t="s">
        <v>5969</v>
      </c>
    </row>
    <row r="2856" spans="1:4" x14ac:dyDescent="0.2">
      <c r="A2856">
        <v>24</v>
      </c>
      <c r="B2856">
        <v>500</v>
      </c>
      <c r="C2856">
        <v>500</v>
      </c>
      <c r="D2856" t="s">
        <v>5969</v>
      </c>
    </row>
    <row r="2857" spans="1:4" x14ac:dyDescent="0.2">
      <c r="A2857">
        <v>19</v>
      </c>
      <c r="B2857">
        <v>1000</v>
      </c>
      <c r="C2857">
        <v>1000</v>
      </c>
      <c r="D2857" t="s">
        <v>5969</v>
      </c>
    </row>
    <row r="2858" spans="1:4" x14ac:dyDescent="0.2">
      <c r="A2858">
        <v>20</v>
      </c>
      <c r="B2858">
        <v>999.9</v>
      </c>
      <c r="C2858">
        <v>1000</v>
      </c>
      <c r="D2858" t="s">
        <v>5969</v>
      </c>
    </row>
    <row r="2859" spans="1:4" x14ac:dyDescent="0.2">
      <c r="A2859">
        <v>21</v>
      </c>
      <c r="B2859">
        <v>999.8</v>
      </c>
      <c r="C2859">
        <v>1000</v>
      </c>
      <c r="D2859" t="s">
        <v>5969</v>
      </c>
    </row>
    <row r="2860" spans="1:4" x14ac:dyDescent="0.2">
      <c r="A2860">
        <v>22</v>
      </c>
      <c r="B2860">
        <v>1000</v>
      </c>
      <c r="C2860">
        <v>1000</v>
      </c>
      <c r="D2860" t="s">
        <v>5969</v>
      </c>
    </row>
    <row r="2861" spans="1:4" x14ac:dyDescent="0.2">
      <c r="A2861">
        <v>23</v>
      </c>
      <c r="B2861">
        <v>1000.1</v>
      </c>
      <c r="C2861">
        <v>1000</v>
      </c>
      <c r="D2861" t="s">
        <v>5969</v>
      </c>
    </row>
    <row r="2862" spans="1:4" x14ac:dyDescent="0.2">
      <c r="A2862">
        <v>24</v>
      </c>
      <c r="B2862">
        <v>999.9</v>
      </c>
      <c r="C2862">
        <v>1000</v>
      </c>
      <c r="D2862" t="s">
        <v>5969</v>
      </c>
    </row>
    <row r="2863" spans="1:4" x14ac:dyDescent="0.2">
      <c r="A2863">
        <v>19</v>
      </c>
      <c r="B2863">
        <v>1499.8</v>
      </c>
      <c r="C2863">
        <v>1500</v>
      </c>
      <c r="D2863" t="s">
        <v>5969</v>
      </c>
    </row>
    <row r="2864" spans="1:4" x14ac:dyDescent="0.2">
      <c r="A2864">
        <v>20</v>
      </c>
      <c r="B2864">
        <v>1499.8</v>
      </c>
      <c r="C2864">
        <v>1500</v>
      </c>
      <c r="D2864" t="s">
        <v>5969</v>
      </c>
    </row>
    <row r="2865" spans="1:4" x14ac:dyDescent="0.2">
      <c r="A2865">
        <v>21</v>
      </c>
      <c r="B2865">
        <v>1499.7</v>
      </c>
      <c r="C2865">
        <v>1500</v>
      </c>
      <c r="D2865" t="s">
        <v>5969</v>
      </c>
    </row>
    <row r="2866" spans="1:4" x14ac:dyDescent="0.2">
      <c r="A2866">
        <v>22</v>
      </c>
      <c r="B2866">
        <v>1500</v>
      </c>
      <c r="C2866">
        <v>1500</v>
      </c>
      <c r="D2866" t="s">
        <v>5969</v>
      </c>
    </row>
    <row r="2867" spans="1:4" x14ac:dyDescent="0.2">
      <c r="A2867">
        <v>23</v>
      </c>
      <c r="B2867">
        <v>1499.9</v>
      </c>
      <c r="C2867">
        <v>1500</v>
      </c>
      <c r="D2867" t="s">
        <v>5969</v>
      </c>
    </row>
    <row r="2868" spans="1:4" x14ac:dyDescent="0.2">
      <c r="A2868">
        <v>24</v>
      </c>
      <c r="B2868">
        <v>1499.7</v>
      </c>
      <c r="C2868">
        <v>1500</v>
      </c>
      <c r="D2868" t="s">
        <v>5969</v>
      </c>
    </row>
    <row r="2869" spans="1:4" x14ac:dyDescent="0.2">
      <c r="A2869">
        <v>19</v>
      </c>
      <c r="B2869">
        <v>1999.8</v>
      </c>
      <c r="C2869">
        <v>2000</v>
      </c>
      <c r="D2869" t="s">
        <v>5969</v>
      </c>
    </row>
    <row r="2870" spans="1:4" x14ac:dyDescent="0.2">
      <c r="A2870">
        <v>20</v>
      </c>
      <c r="B2870">
        <v>1999.8</v>
      </c>
      <c r="C2870">
        <v>2000</v>
      </c>
      <c r="D2870" t="s">
        <v>5969</v>
      </c>
    </row>
    <row r="2871" spans="1:4" x14ac:dyDescent="0.2">
      <c r="A2871">
        <v>21</v>
      </c>
      <c r="B2871">
        <v>1999.7</v>
      </c>
      <c r="C2871">
        <v>2000</v>
      </c>
      <c r="D2871" t="s">
        <v>5969</v>
      </c>
    </row>
    <row r="2872" spans="1:4" x14ac:dyDescent="0.2">
      <c r="A2872">
        <v>22</v>
      </c>
      <c r="B2872">
        <v>2000.1</v>
      </c>
      <c r="C2872">
        <v>2000</v>
      </c>
      <c r="D2872" t="s">
        <v>5969</v>
      </c>
    </row>
    <row r="2873" spans="1:4" x14ac:dyDescent="0.2">
      <c r="A2873">
        <v>23</v>
      </c>
      <c r="B2873">
        <v>2000</v>
      </c>
      <c r="C2873">
        <v>2000</v>
      </c>
      <c r="D2873" t="s">
        <v>5969</v>
      </c>
    </row>
    <row r="2874" spans="1:4" x14ac:dyDescent="0.2">
      <c r="A2874">
        <v>24</v>
      </c>
      <c r="B2874">
        <v>1999.7</v>
      </c>
      <c r="C2874">
        <v>2000</v>
      </c>
      <c r="D2874" t="s">
        <v>5969</v>
      </c>
    </row>
    <row r="2875" spans="1:4" x14ac:dyDescent="0.2">
      <c r="A2875">
        <v>19</v>
      </c>
      <c r="B2875">
        <v>2279.8000000000002</v>
      </c>
      <c r="C2875">
        <v>2280</v>
      </c>
      <c r="D2875" t="s">
        <v>5969</v>
      </c>
    </row>
    <row r="2876" spans="1:4" x14ac:dyDescent="0.2">
      <c r="A2876">
        <v>20</v>
      </c>
      <c r="B2876">
        <v>2279.8000000000002</v>
      </c>
      <c r="C2876">
        <v>2280</v>
      </c>
      <c r="D2876" t="s">
        <v>5969</v>
      </c>
    </row>
    <row r="2877" spans="1:4" x14ac:dyDescent="0.2">
      <c r="A2877">
        <v>21</v>
      </c>
      <c r="B2877">
        <v>2279.6</v>
      </c>
      <c r="C2877">
        <v>2280</v>
      </c>
      <c r="D2877" t="s">
        <v>5969</v>
      </c>
    </row>
    <row r="2878" spans="1:4" x14ac:dyDescent="0.2">
      <c r="A2878">
        <v>22</v>
      </c>
      <c r="B2878">
        <v>2280.3000000000002</v>
      </c>
      <c r="C2878">
        <v>2280</v>
      </c>
      <c r="D2878" t="s">
        <v>5969</v>
      </c>
    </row>
    <row r="2879" spans="1:4" x14ac:dyDescent="0.2">
      <c r="A2879">
        <v>23</v>
      </c>
      <c r="B2879">
        <v>2280.1</v>
      </c>
      <c r="C2879">
        <v>2280</v>
      </c>
      <c r="D2879" t="s">
        <v>5969</v>
      </c>
    </row>
    <row r="2880" spans="1:4" x14ac:dyDescent="0.2">
      <c r="A2880">
        <v>24</v>
      </c>
      <c r="B2880">
        <v>2279.6999999999998</v>
      </c>
      <c r="C2880">
        <v>2280</v>
      </c>
      <c r="D2880" t="s">
        <v>5969</v>
      </c>
    </row>
    <row r="2881" spans="1:4" x14ac:dyDescent="0.2">
      <c r="A2881">
        <v>25</v>
      </c>
      <c r="B2881">
        <v>-99.8</v>
      </c>
      <c r="C2881">
        <v>-100</v>
      </c>
      <c r="D2881" t="s">
        <v>5969</v>
      </c>
    </row>
    <row r="2882" spans="1:4" x14ac:dyDescent="0.2">
      <c r="A2882">
        <v>26</v>
      </c>
      <c r="B2882">
        <v>-99.9</v>
      </c>
      <c r="C2882">
        <v>-100</v>
      </c>
      <c r="D2882" t="s">
        <v>5969</v>
      </c>
    </row>
    <row r="2883" spans="1:4" x14ac:dyDescent="0.2">
      <c r="A2883">
        <v>27</v>
      </c>
      <c r="B2883">
        <v>-99.8</v>
      </c>
      <c r="C2883">
        <v>-100</v>
      </c>
      <c r="D2883" t="s">
        <v>5969</v>
      </c>
    </row>
    <row r="2884" spans="1:4" x14ac:dyDescent="0.2">
      <c r="A2884">
        <v>28</v>
      </c>
      <c r="B2884">
        <v>-99.9</v>
      </c>
      <c r="C2884">
        <v>-100</v>
      </c>
      <c r="D2884" t="s">
        <v>5969</v>
      </c>
    </row>
    <row r="2885" spans="1:4" x14ac:dyDescent="0.2">
      <c r="A2885">
        <v>29</v>
      </c>
      <c r="B2885">
        <v>0</v>
      </c>
      <c r="C2885">
        <v>-100</v>
      </c>
      <c r="D2885" t="s">
        <v>5969</v>
      </c>
    </row>
    <row r="2886" spans="1:4" x14ac:dyDescent="0.2">
      <c r="A2886">
        <v>30</v>
      </c>
      <c r="B2886">
        <v>0</v>
      </c>
      <c r="C2886">
        <v>-100</v>
      </c>
      <c r="D2886" t="s">
        <v>5969</v>
      </c>
    </row>
    <row r="2887" spans="1:4" x14ac:dyDescent="0.2">
      <c r="A2887">
        <v>25</v>
      </c>
      <c r="B2887">
        <v>500</v>
      </c>
      <c r="C2887">
        <v>500</v>
      </c>
      <c r="D2887" t="s">
        <v>5969</v>
      </c>
    </row>
    <row r="2888" spans="1:4" x14ac:dyDescent="0.2">
      <c r="A2888">
        <v>26</v>
      </c>
      <c r="B2888">
        <v>499.7</v>
      </c>
      <c r="C2888">
        <v>500</v>
      </c>
      <c r="D2888" t="s">
        <v>5969</v>
      </c>
    </row>
    <row r="2889" spans="1:4" x14ac:dyDescent="0.2">
      <c r="A2889">
        <v>27</v>
      </c>
      <c r="B2889">
        <v>500</v>
      </c>
      <c r="C2889">
        <v>500</v>
      </c>
      <c r="D2889" t="s">
        <v>5969</v>
      </c>
    </row>
    <row r="2890" spans="1:4" x14ac:dyDescent="0.2">
      <c r="A2890">
        <v>28</v>
      </c>
      <c r="B2890">
        <v>499.8</v>
      </c>
      <c r="C2890">
        <v>500</v>
      </c>
      <c r="D2890" t="s">
        <v>5969</v>
      </c>
    </row>
    <row r="2891" spans="1:4" x14ac:dyDescent="0.2">
      <c r="A2891">
        <v>29</v>
      </c>
      <c r="B2891">
        <v>0</v>
      </c>
      <c r="C2891">
        <v>500</v>
      </c>
      <c r="D2891" t="s">
        <v>5969</v>
      </c>
    </row>
    <row r="2892" spans="1:4" x14ac:dyDescent="0.2">
      <c r="A2892">
        <v>30</v>
      </c>
      <c r="B2892">
        <v>0</v>
      </c>
      <c r="C2892">
        <v>500</v>
      </c>
      <c r="D2892" t="s">
        <v>5969</v>
      </c>
    </row>
    <row r="2893" spans="1:4" x14ac:dyDescent="0.2">
      <c r="A2893">
        <v>25</v>
      </c>
      <c r="B2893">
        <v>1000</v>
      </c>
      <c r="C2893">
        <v>1000</v>
      </c>
      <c r="D2893" t="s">
        <v>5969</v>
      </c>
    </row>
    <row r="2894" spans="1:4" x14ac:dyDescent="0.2">
      <c r="A2894">
        <v>26</v>
      </c>
      <c r="B2894">
        <v>999.7</v>
      </c>
      <c r="C2894">
        <v>1000</v>
      </c>
      <c r="D2894" t="s">
        <v>5969</v>
      </c>
    </row>
    <row r="2895" spans="1:4" x14ac:dyDescent="0.2">
      <c r="A2895">
        <v>27</v>
      </c>
      <c r="B2895">
        <v>1000</v>
      </c>
      <c r="C2895">
        <v>1000</v>
      </c>
      <c r="D2895" t="s">
        <v>5969</v>
      </c>
    </row>
    <row r="2896" spans="1:4" x14ac:dyDescent="0.2">
      <c r="A2896">
        <v>28</v>
      </c>
      <c r="B2896">
        <v>999.8</v>
      </c>
      <c r="C2896">
        <v>1000</v>
      </c>
      <c r="D2896" t="s">
        <v>5969</v>
      </c>
    </row>
    <row r="2897" spans="1:4" x14ac:dyDescent="0.2">
      <c r="A2897">
        <v>29</v>
      </c>
      <c r="B2897">
        <v>0</v>
      </c>
      <c r="C2897">
        <v>1000</v>
      </c>
      <c r="D2897" t="s">
        <v>5969</v>
      </c>
    </row>
    <row r="2898" spans="1:4" x14ac:dyDescent="0.2">
      <c r="A2898">
        <v>30</v>
      </c>
      <c r="B2898">
        <v>0</v>
      </c>
      <c r="C2898">
        <v>1000</v>
      </c>
      <c r="D2898" t="s">
        <v>5969</v>
      </c>
    </row>
    <row r="2899" spans="1:4" x14ac:dyDescent="0.2">
      <c r="A2899">
        <v>25</v>
      </c>
      <c r="B2899">
        <v>1499.9</v>
      </c>
      <c r="C2899">
        <v>1500</v>
      </c>
      <c r="D2899" t="s">
        <v>5969</v>
      </c>
    </row>
    <row r="2900" spans="1:4" x14ac:dyDescent="0.2">
      <c r="A2900">
        <v>26</v>
      </c>
      <c r="B2900">
        <v>1499.6</v>
      </c>
      <c r="C2900">
        <v>1500</v>
      </c>
      <c r="D2900" t="s">
        <v>5969</v>
      </c>
    </row>
    <row r="2901" spans="1:4" x14ac:dyDescent="0.2">
      <c r="A2901">
        <v>27</v>
      </c>
      <c r="B2901">
        <v>1500</v>
      </c>
      <c r="C2901">
        <v>1500</v>
      </c>
      <c r="D2901" t="s">
        <v>5969</v>
      </c>
    </row>
    <row r="2902" spans="1:4" x14ac:dyDescent="0.2">
      <c r="A2902">
        <v>28</v>
      </c>
      <c r="B2902">
        <v>1499.7</v>
      </c>
      <c r="C2902">
        <v>1500</v>
      </c>
      <c r="D2902" t="s">
        <v>5969</v>
      </c>
    </row>
    <row r="2903" spans="1:4" x14ac:dyDescent="0.2">
      <c r="A2903">
        <v>29</v>
      </c>
      <c r="B2903">
        <v>0</v>
      </c>
      <c r="C2903">
        <v>1500</v>
      </c>
      <c r="D2903" t="s">
        <v>5969</v>
      </c>
    </row>
    <row r="2904" spans="1:4" x14ac:dyDescent="0.2">
      <c r="A2904">
        <v>30</v>
      </c>
      <c r="B2904">
        <v>0</v>
      </c>
      <c r="C2904">
        <v>1500</v>
      </c>
      <c r="D2904" t="s">
        <v>5969</v>
      </c>
    </row>
    <row r="2905" spans="1:4" x14ac:dyDescent="0.2">
      <c r="A2905">
        <v>25</v>
      </c>
      <c r="B2905">
        <v>2000</v>
      </c>
      <c r="C2905">
        <v>2000</v>
      </c>
      <c r="D2905" t="s">
        <v>5969</v>
      </c>
    </row>
    <row r="2906" spans="1:4" x14ac:dyDescent="0.2">
      <c r="A2906">
        <v>26</v>
      </c>
      <c r="B2906">
        <v>1999.8</v>
      </c>
      <c r="C2906">
        <v>2000</v>
      </c>
      <c r="D2906" t="s">
        <v>5969</v>
      </c>
    </row>
    <row r="2907" spans="1:4" x14ac:dyDescent="0.2">
      <c r="A2907">
        <v>27</v>
      </c>
      <c r="B2907">
        <v>2000</v>
      </c>
      <c r="C2907">
        <v>2000</v>
      </c>
      <c r="D2907" t="s">
        <v>5969</v>
      </c>
    </row>
    <row r="2908" spans="1:4" x14ac:dyDescent="0.2">
      <c r="A2908">
        <v>28</v>
      </c>
      <c r="B2908">
        <v>1999.7</v>
      </c>
      <c r="C2908">
        <v>2000</v>
      </c>
      <c r="D2908" t="s">
        <v>5969</v>
      </c>
    </row>
    <row r="2909" spans="1:4" x14ac:dyDescent="0.2">
      <c r="A2909">
        <v>29</v>
      </c>
      <c r="B2909">
        <v>0</v>
      </c>
      <c r="C2909">
        <v>2000</v>
      </c>
      <c r="D2909" t="s">
        <v>5969</v>
      </c>
    </row>
    <row r="2910" spans="1:4" x14ac:dyDescent="0.2">
      <c r="A2910">
        <v>30</v>
      </c>
      <c r="B2910">
        <v>0</v>
      </c>
      <c r="C2910">
        <v>2000</v>
      </c>
      <c r="D2910" t="s">
        <v>5969</v>
      </c>
    </row>
    <row r="2911" spans="1:4" x14ac:dyDescent="0.2">
      <c r="A2911">
        <v>25</v>
      </c>
      <c r="B2911">
        <v>2280.1</v>
      </c>
      <c r="C2911">
        <v>2280</v>
      </c>
      <c r="D2911" t="s">
        <v>5969</v>
      </c>
    </row>
    <row r="2912" spans="1:4" x14ac:dyDescent="0.2">
      <c r="A2912">
        <v>26</v>
      </c>
      <c r="B2912">
        <v>2279.9</v>
      </c>
      <c r="C2912">
        <v>2280</v>
      </c>
      <c r="D2912" t="s">
        <v>5969</v>
      </c>
    </row>
    <row r="2913" spans="1:4" x14ac:dyDescent="0.2">
      <c r="A2913">
        <v>27</v>
      </c>
      <c r="B2913">
        <v>2280.1</v>
      </c>
      <c r="C2913">
        <v>2280</v>
      </c>
      <c r="D2913" t="s">
        <v>5969</v>
      </c>
    </row>
    <row r="2914" spans="1:4" x14ac:dyDescent="0.2">
      <c r="A2914">
        <v>28</v>
      </c>
      <c r="B2914">
        <v>2279.6999999999998</v>
      </c>
      <c r="C2914">
        <v>2280</v>
      </c>
      <c r="D2914" t="s">
        <v>5969</v>
      </c>
    </row>
    <row r="2915" spans="1:4" x14ac:dyDescent="0.2">
      <c r="A2915">
        <v>29</v>
      </c>
      <c r="B2915">
        <v>0</v>
      </c>
      <c r="C2915">
        <v>2280</v>
      </c>
      <c r="D2915" t="s">
        <v>5969</v>
      </c>
    </row>
    <row r="2916" spans="1:4" x14ac:dyDescent="0.2">
      <c r="A2916">
        <v>30</v>
      </c>
      <c r="B2916">
        <v>0</v>
      </c>
      <c r="C2916">
        <v>2280</v>
      </c>
      <c r="D2916" t="s">
        <v>5969</v>
      </c>
    </row>
    <row r="2917" spans="1:4" x14ac:dyDescent="0.2">
      <c r="A2917">
        <v>31</v>
      </c>
      <c r="B2917">
        <v>0</v>
      </c>
      <c r="C2917">
        <v>-100</v>
      </c>
      <c r="D2917" t="s">
        <v>5969</v>
      </c>
    </row>
    <row r="2918" spans="1:4" x14ac:dyDescent="0.2">
      <c r="A2918">
        <v>32</v>
      </c>
      <c r="B2918">
        <v>0</v>
      </c>
      <c r="C2918">
        <v>-100</v>
      </c>
      <c r="D2918" t="s">
        <v>5969</v>
      </c>
    </row>
    <row r="2919" spans="1:4" x14ac:dyDescent="0.2">
      <c r="A2919">
        <v>33</v>
      </c>
      <c r="B2919">
        <v>0</v>
      </c>
      <c r="C2919">
        <v>-100</v>
      </c>
      <c r="D2919" t="s">
        <v>5969</v>
      </c>
    </row>
    <row r="2920" spans="1:4" x14ac:dyDescent="0.2">
      <c r="A2920">
        <v>34</v>
      </c>
      <c r="B2920">
        <v>0</v>
      </c>
      <c r="C2920">
        <v>-100</v>
      </c>
      <c r="D2920" t="s">
        <v>5969</v>
      </c>
    </row>
    <row r="2921" spans="1:4" x14ac:dyDescent="0.2">
      <c r="A2921">
        <v>35</v>
      </c>
      <c r="B2921">
        <v>0</v>
      </c>
      <c r="C2921">
        <v>-100</v>
      </c>
      <c r="D2921" t="s">
        <v>5969</v>
      </c>
    </row>
    <row r="2922" spans="1:4" x14ac:dyDescent="0.2">
      <c r="A2922">
        <v>36</v>
      </c>
      <c r="B2922">
        <v>0</v>
      </c>
      <c r="C2922">
        <v>-100</v>
      </c>
      <c r="D2922" t="s">
        <v>5969</v>
      </c>
    </row>
    <row r="2923" spans="1:4" x14ac:dyDescent="0.2">
      <c r="A2923">
        <v>31</v>
      </c>
      <c r="B2923">
        <v>0</v>
      </c>
      <c r="C2923">
        <v>500</v>
      </c>
      <c r="D2923" t="s">
        <v>5969</v>
      </c>
    </row>
    <row r="2924" spans="1:4" x14ac:dyDescent="0.2">
      <c r="A2924">
        <v>32</v>
      </c>
      <c r="B2924">
        <v>0</v>
      </c>
      <c r="C2924">
        <v>500</v>
      </c>
      <c r="D2924" t="s">
        <v>5969</v>
      </c>
    </row>
    <row r="2925" spans="1:4" x14ac:dyDescent="0.2">
      <c r="A2925">
        <v>33</v>
      </c>
      <c r="B2925">
        <v>0</v>
      </c>
      <c r="C2925">
        <v>500</v>
      </c>
      <c r="D2925" t="s">
        <v>5969</v>
      </c>
    </row>
    <row r="2926" spans="1:4" x14ac:dyDescent="0.2">
      <c r="A2926">
        <v>34</v>
      </c>
      <c r="B2926">
        <v>0</v>
      </c>
      <c r="C2926">
        <v>500</v>
      </c>
      <c r="D2926" t="s">
        <v>5969</v>
      </c>
    </row>
    <row r="2927" spans="1:4" x14ac:dyDescent="0.2">
      <c r="A2927">
        <v>35</v>
      </c>
      <c r="B2927">
        <v>0</v>
      </c>
      <c r="C2927">
        <v>500</v>
      </c>
      <c r="D2927" t="s">
        <v>5969</v>
      </c>
    </row>
    <row r="2928" spans="1:4" x14ac:dyDescent="0.2">
      <c r="A2928">
        <v>36</v>
      </c>
      <c r="B2928">
        <v>0</v>
      </c>
      <c r="C2928">
        <v>500</v>
      </c>
      <c r="D2928" t="s">
        <v>5969</v>
      </c>
    </row>
    <row r="2929" spans="1:4" x14ac:dyDescent="0.2">
      <c r="A2929">
        <v>31</v>
      </c>
      <c r="B2929">
        <v>0</v>
      </c>
      <c r="C2929">
        <v>1000</v>
      </c>
      <c r="D2929" t="s">
        <v>5969</v>
      </c>
    </row>
    <row r="2930" spans="1:4" x14ac:dyDescent="0.2">
      <c r="A2930">
        <v>32</v>
      </c>
      <c r="B2930">
        <v>0</v>
      </c>
      <c r="C2930">
        <v>1000</v>
      </c>
      <c r="D2930" t="s">
        <v>5969</v>
      </c>
    </row>
    <row r="2931" spans="1:4" x14ac:dyDescent="0.2">
      <c r="A2931">
        <v>33</v>
      </c>
      <c r="B2931">
        <v>0</v>
      </c>
      <c r="C2931">
        <v>1000</v>
      </c>
      <c r="D2931" t="s">
        <v>5969</v>
      </c>
    </row>
    <row r="2932" spans="1:4" x14ac:dyDescent="0.2">
      <c r="A2932">
        <v>34</v>
      </c>
      <c r="B2932">
        <v>0</v>
      </c>
      <c r="C2932">
        <v>1000</v>
      </c>
      <c r="D2932" t="s">
        <v>5969</v>
      </c>
    </row>
    <row r="2933" spans="1:4" x14ac:dyDescent="0.2">
      <c r="A2933">
        <v>35</v>
      </c>
      <c r="B2933">
        <v>0</v>
      </c>
      <c r="C2933">
        <v>1000</v>
      </c>
      <c r="D2933" t="s">
        <v>5969</v>
      </c>
    </row>
    <row r="2934" spans="1:4" x14ac:dyDescent="0.2">
      <c r="A2934">
        <v>36</v>
      </c>
      <c r="B2934">
        <v>0</v>
      </c>
      <c r="C2934">
        <v>1000</v>
      </c>
      <c r="D2934" t="s">
        <v>5969</v>
      </c>
    </row>
    <row r="2935" spans="1:4" x14ac:dyDescent="0.2">
      <c r="A2935">
        <v>31</v>
      </c>
      <c r="B2935">
        <v>0</v>
      </c>
      <c r="C2935">
        <v>1500</v>
      </c>
      <c r="D2935" t="s">
        <v>5969</v>
      </c>
    </row>
    <row r="2936" spans="1:4" x14ac:dyDescent="0.2">
      <c r="A2936">
        <v>32</v>
      </c>
      <c r="B2936">
        <v>0</v>
      </c>
      <c r="C2936">
        <v>1500</v>
      </c>
      <c r="D2936" t="s">
        <v>5969</v>
      </c>
    </row>
    <row r="2937" spans="1:4" x14ac:dyDescent="0.2">
      <c r="A2937">
        <v>33</v>
      </c>
      <c r="B2937">
        <v>0</v>
      </c>
      <c r="C2937">
        <v>1500</v>
      </c>
      <c r="D2937" t="s">
        <v>5969</v>
      </c>
    </row>
    <row r="2938" spans="1:4" x14ac:dyDescent="0.2">
      <c r="A2938">
        <v>34</v>
      </c>
      <c r="B2938">
        <v>0</v>
      </c>
      <c r="C2938">
        <v>1500</v>
      </c>
      <c r="D2938" t="s">
        <v>5969</v>
      </c>
    </row>
    <row r="2939" spans="1:4" x14ac:dyDescent="0.2">
      <c r="A2939">
        <v>35</v>
      </c>
      <c r="B2939">
        <v>0</v>
      </c>
      <c r="C2939">
        <v>1500</v>
      </c>
      <c r="D2939" t="s">
        <v>5969</v>
      </c>
    </row>
    <row r="2940" spans="1:4" x14ac:dyDescent="0.2">
      <c r="A2940">
        <v>36</v>
      </c>
      <c r="B2940">
        <v>0</v>
      </c>
      <c r="C2940">
        <v>1500</v>
      </c>
      <c r="D2940" t="s">
        <v>5969</v>
      </c>
    </row>
    <row r="2941" spans="1:4" x14ac:dyDescent="0.2">
      <c r="A2941">
        <v>32</v>
      </c>
      <c r="B2941">
        <v>0</v>
      </c>
      <c r="C2941">
        <v>2000</v>
      </c>
      <c r="D2941" t="s">
        <v>5969</v>
      </c>
    </row>
    <row r="2942" spans="1:4" x14ac:dyDescent="0.2">
      <c r="A2942">
        <v>33</v>
      </c>
      <c r="B2942">
        <v>0</v>
      </c>
      <c r="C2942">
        <v>2000</v>
      </c>
      <c r="D2942" t="s">
        <v>5969</v>
      </c>
    </row>
    <row r="2943" spans="1:4" x14ac:dyDescent="0.2">
      <c r="A2943">
        <v>34</v>
      </c>
      <c r="B2943">
        <v>0</v>
      </c>
      <c r="C2943">
        <v>2000</v>
      </c>
      <c r="D2943" t="s">
        <v>5969</v>
      </c>
    </row>
    <row r="2944" spans="1:4" x14ac:dyDescent="0.2">
      <c r="A2944">
        <v>35</v>
      </c>
      <c r="B2944">
        <v>0</v>
      </c>
      <c r="C2944">
        <v>2000</v>
      </c>
      <c r="D2944" t="s">
        <v>5969</v>
      </c>
    </row>
    <row r="2945" spans="1:4" x14ac:dyDescent="0.2">
      <c r="A2945">
        <v>36</v>
      </c>
      <c r="B2945">
        <v>0</v>
      </c>
      <c r="C2945">
        <v>2000</v>
      </c>
      <c r="D2945" t="s">
        <v>5969</v>
      </c>
    </row>
    <row r="2946" spans="1:4" x14ac:dyDescent="0.2">
      <c r="A2946">
        <v>31</v>
      </c>
      <c r="B2946">
        <v>0</v>
      </c>
      <c r="C2946">
        <v>2280</v>
      </c>
      <c r="D2946" t="s">
        <v>5969</v>
      </c>
    </row>
    <row r="2947" spans="1:4" x14ac:dyDescent="0.2">
      <c r="A2947">
        <v>32</v>
      </c>
      <c r="B2947">
        <v>0</v>
      </c>
      <c r="C2947">
        <v>2280</v>
      </c>
      <c r="D2947" t="s">
        <v>5969</v>
      </c>
    </row>
    <row r="2948" spans="1:4" x14ac:dyDescent="0.2">
      <c r="A2948">
        <v>33</v>
      </c>
      <c r="B2948">
        <v>0</v>
      </c>
      <c r="C2948">
        <v>2280</v>
      </c>
      <c r="D2948" t="s">
        <v>5969</v>
      </c>
    </row>
    <row r="2949" spans="1:4" x14ac:dyDescent="0.2">
      <c r="A2949">
        <v>34</v>
      </c>
      <c r="B2949">
        <v>0</v>
      </c>
      <c r="C2949">
        <v>2280</v>
      </c>
      <c r="D2949" t="s">
        <v>5969</v>
      </c>
    </row>
    <row r="2950" spans="1:4" x14ac:dyDescent="0.2">
      <c r="A2950">
        <v>35</v>
      </c>
      <c r="B2950">
        <v>0</v>
      </c>
      <c r="C2950">
        <v>2280</v>
      </c>
      <c r="D2950" t="s">
        <v>5969</v>
      </c>
    </row>
    <row r="2951" spans="1:4" x14ac:dyDescent="0.2">
      <c r="A2951">
        <v>36</v>
      </c>
      <c r="B2951">
        <v>0</v>
      </c>
      <c r="C2951">
        <v>2280</v>
      </c>
      <c r="D2951" t="s">
        <v>5969</v>
      </c>
    </row>
    <row r="2952" spans="1:4" x14ac:dyDescent="0.2">
      <c r="A2952">
        <v>37</v>
      </c>
      <c r="B2952">
        <v>0</v>
      </c>
      <c r="C2952">
        <v>-100</v>
      </c>
      <c r="D2952" t="s">
        <v>5969</v>
      </c>
    </row>
    <row r="2953" spans="1:4" x14ac:dyDescent="0.2">
      <c r="A2953">
        <v>38</v>
      </c>
      <c r="B2953">
        <v>0</v>
      </c>
      <c r="C2953">
        <v>-100</v>
      </c>
      <c r="D2953" t="s">
        <v>5969</v>
      </c>
    </row>
    <row r="2954" spans="1:4" x14ac:dyDescent="0.2">
      <c r="A2954">
        <v>39</v>
      </c>
      <c r="B2954">
        <v>0</v>
      </c>
      <c r="C2954">
        <v>-100</v>
      </c>
      <c r="D2954" t="s">
        <v>5969</v>
      </c>
    </row>
    <row r="2955" spans="1:4" x14ac:dyDescent="0.2">
      <c r="A2955">
        <v>40</v>
      </c>
      <c r="B2955">
        <v>0</v>
      </c>
      <c r="C2955">
        <v>-100</v>
      </c>
      <c r="D2955" t="s">
        <v>5969</v>
      </c>
    </row>
    <row r="2956" spans="1:4" x14ac:dyDescent="0.2">
      <c r="A2956">
        <v>37</v>
      </c>
      <c r="B2956">
        <v>0</v>
      </c>
      <c r="C2956">
        <v>500</v>
      </c>
      <c r="D2956" t="s">
        <v>5969</v>
      </c>
    </row>
    <row r="2957" spans="1:4" x14ac:dyDescent="0.2">
      <c r="A2957">
        <v>38</v>
      </c>
      <c r="B2957">
        <v>0</v>
      </c>
      <c r="C2957">
        <v>500</v>
      </c>
      <c r="D2957" t="s">
        <v>5969</v>
      </c>
    </row>
    <row r="2958" spans="1:4" x14ac:dyDescent="0.2">
      <c r="A2958">
        <v>39</v>
      </c>
      <c r="B2958">
        <v>0</v>
      </c>
      <c r="C2958">
        <v>500</v>
      </c>
      <c r="D2958" t="s">
        <v>5969</v>
      </c>
    </row>
    <row r="2959" spans="1:4" x14ac:dyDescent="0.2">
      <c r="A2959">
        <v>40</v>
      </c>
      <c r="B2959">
        <v>0</v>
      </c>
      <c r="C2959">
        <v>500</v>
      </c>
      <c r="D2959" t="s">
        <v>5969</v>
      </c>
    </row>
    <row r="2960" spans="1:4" x14ac:dyDescent="0.2">
      <c r="A2960">
        <v>37</v>
      </c>
      <c r="B2960">
        <v>0</v>
      </c>
      <c r="C2960">
        <v>1000</v>
      </c>
      <c r="D2960" t="s">
        <v>5969</v>
      </c>
    </row>
    <row r="2961" spans="1:4" x14ac:dyDescent="0.2">
      <c r="A2961">
        <v>38</v>
      </c>
      <c r="B2961">
        <v>0</v>
      </c>
      <c r="C2961">
        <v>1000</v>
      </c>
      <c r="D2961" t="s">
        <v>5969</v>
      </c>
    </row>
    <row r="2962" spans="1:4" x14ac:dyDescent="0.2">
      <c r="A2962">
        <v>39</v>
      </c>
      <c r="B2962">
        <v>0</v>
      </c>
      <c r="C2962">
        <v>1000</v>
      </c>
      <c r="D2962" t="s">
        <v>5969</v>
      </c>
    </row>
    <row r="2963" spans="1:4" x14ac:dyDescent="0.2">
      <c r="A2963">
        <v>40</v>
      </c>
      <c r="B2963">
        <v>0</v>
      </c>
      <c r="C2963">
        <v>1000</v>
      </c>
      <c r="D2963" t="s">
        <v>5969</v>
      </c>
    </row>
    <row r="2964" spans="1:4" x14ac:dyDescent="0.2">
      <c r="A2964">
        <v>37</v>
      </c>
      <c r="B2964">
        <v>0</v>
      </c>
      <c r="C2964">
        <v>1500</v>
      </c>
      <c r="D2964" t="s">
        <v>5969</v>
      </c>
    </row>
    <row r="2965" spans="1:4" x14ac:dyDescent="0.2">
      <c r="A2965">
        <v>38</v>
      </c>
      <c r="B2965">
        <v>0</v>
      </c>
      <c r="C2965">
        <v>1500</v>
      </c>
      <c r="D2965" t="s">
        <v>5969</v>
      </c>
    </row>
    <row r="2966" spans="1:4" x14ac:dyDescent="0.2">
      <c r="A2966">
        <v>39</v>
      </c>
      <c r="B2966">
        <v>0</v>
      </c>
      <c r="C2966">
        <v>1500</v>
      </c>
      <c r="D2966" t="s">
        <v>5969</v>
      </c>
    </row>
    <row r="2967" spans="1:4" x14ac:dyDescent="0.2">
      <c r="A2967">
        <v>40</v>
      </c>
      <c r="B2967">
        <v>0</v>
      </c>
      <c r="C2967">
        <v>1500</v>
      </c>
      <c r="D2967" t="s">
        <v>5969</v>
      </c>
    </row>
    <row r="2968" spans="1:4" x14ac:dyDescent="0.2">
      <c r="A2968">
        <v>37</v>
      </c>
      <c r="B2968">
        <v>0</v>
      </c>
      <c r="C2968">
        <v>2000</v>
      </c>
      <c r="D2968" t="s">
        <v>5969</v>
      </c>
    </row>
    <row r="2969" spans="1:4" x14ac:dyDescent="0.2">
      <c r="A2969">
        <v>38</v>
      </c>
      <c r="B2969">
        <v>0</v>
      </c>
      <c r="C2969">
        <v>2000</v>
      </c>
      <c r="D2969" t="s">
        <v>5969</v>
      </c>
    </row>
    <row r="2970" spans="1:4" x14ac:dyDescent="0.2">
      <c r="A2970">
        <v>39</v>
      </c>
      <c r="B2970">
        <v>0</v>
      </c>
      <c r="C2970">
        <v>2000</v>
      </c>
      <c r="D2970" t="s">
        <v>5969</v>
      </c>
    </row>
    <row r="2971" spans="1:4" x14ac:dyDescent="0.2">
      <c r="A2971">
        <v>40</v>
      </c>
      <c r="B2971">
        <v>0</v>
      </c>
      <c r="C2971">
        <v>2000</v>
      </c>
      <c r="D2971" t="s">
        <v>5969</v>
      </c>
    </row>
    <row r="2972" spans="1:4" x14ac:dyDescent="0.2">
      <c r="A2972">
        <v>37</v>
      </c>
      <c r="B2972">
        <v>0</v>
      </c>
      <c r="C2972">
        <v>2280</v>
      </c>
      <c r="D2972" t="s">
        <v>5969</v>
      </c>
    </row>
    <row r="2973" spans="1:4" x14ac:dyDescent="0.2">
      <c r="A2973">
        <v>38</v>
      </c>
      <c r="B2973">
        <v>0</v>
      </c>
      <c r="C2973">
        <v>2280</v>
      </c>
      <c r="D2973" t="s">
        <v>5969</v>
      </c>
    </row>
    <row r="2974" spans="1:4" x14ac:dyDescent="0.2">
      <c r="A2974">
        <v>39</v>
      </c>
      <c r="B2974">
        <v>0</v>
      </c>
      <c r="C2974">
        <v>2280</v>
      </c>
      <c r="D2974" t="s">
        <v>5969</v>
      </c>
    </row>
    <row r="2975" spans="1:4" x14ac:dyDescent="0.2">
      <c r="A2975">
        <v>40</v>
      </c>
      <c r="B2975">
        <v>0</v>
      </c>
      <c r="C2975">
        <v>2280</v>
      </c>
      <c r="D2975" t="s">
        <v>5969</v>
      </c>
    </row>
    <row r="2976" spans="1:4" x14ac:dyDescent="0.2">
      <c r="A2976">
        <v>1</v>
      </c>
      <c r="B2976">
        <v>32.4</v>
      </c>
      <c r="C2976">
        <v>32</v>
      </c>
      <c r="D2976" t="s">
        <v>5970</v>
      </c>
    </row>
    <row r="2977" spans="1:4" x14ac:dyDescent="0.2">
      <c r="A2977">
        <v>2</v>
      </c>
      <c r="B2977">
        <v>31.8</v>
      </c>
      <c r="C2977">
        <v>32</v>
      </c>
      <c r="D2977" t="s">
        <v>5970</v>
      </c>
    </row>
    <row r="2978" spans="1:4" x14ac:dyDescent="0.2">
      <c r="A2978">
        <v>3</v>
      </c>
      <c r="B2978">
        <v>32.200000000000003</v>
      </c>
      <c r="C2978">
        <v>32</v>
      </c>
      <c r="D2978" t="s">
        <v>5970</v>
      </c>
    </row>
    <row r="2979" spans="1:4" x14ac:dyDescent="0.2">
      <c r="A2979">
        <v>4</v>
      </c>
      <c r="B2979">
        <v>32.1</v>
      </c>
      <c r="C2979">
        <v>32</v>
      </c>
      <c r="D2979" t="s">
        <v>5970</v>
      </c>
    </row>
    <row r="2980" spans="1:4" x14ac:dyDescent="0.2">
      <c r="A2980">
        <v>5</v>
      </c>
      <c r="B2980">
        <v>32.4</v>
      </c>
      <c r="C2980">
        <v>32</v>
      </c>
      <c r="D2980" t="s">
        <v>5970</v>
      </c>
    </row>
    <row r="2981" spans="1:4" x14ac:dyDescent="0.2">
      <c r="A2981">
        <v>6</v>
      </c>
      <c r="B2981">
        <v>32.299999999999997</v>
      </c>
      <c r="C2981">
        <v>32</v>
      </c>
      <c r="D2981" t="s">
        <v>5970</v>
      </c>
    </row>
    <row r="2982" spans="1:4" x14ac:dyDescent="0.2">
      <c r="A2982">
        <v>1</v>
      </c>
      <c r="B2982">
        <v>500.4</v>
      </c>
      <c r="C2982">
        <v>500</v>
      </c>
      <c r="D2982" t="s">
        <v>5970</v>
      </c>
    </row>
    <row r="2983" spans="1:4" x14ac:dyDescent="0.2">
      <c r="A2983">
        <v>2</v>
      </c>
      <c r="B2983">
        <v>499.8</v>
      </c>
      <c r="C2983">
        <v>500</v>
      </c>
      <c r="D2983" t="s">
        <v>5970</v>
      </c>
    </row>
    <row r="2984" spans="1:4" x14ac:dyDescent="0.2">
      <c r="A2984">
        <v>3</v>
      </c>
      <c r="B2984">
        <v>500.1</v>
      </c>
      <c r="C2984">
        <v>500</v>
      </c>
      <c r="D2984" t="s">
        <v>5970</v>
      </c>
    </row>
    <row r="2985" spans="1:4" x14ac:dyDescent="0.2">
      <c r="A2985">
        <v>4</v>
      </c>
      <c r="B2985">
        <v>500.1</v>
      </c>
      <c r="C2985">
        <v>500</v>
      </c>
      <c r="D2985" t="s">
        <v>5970</v>
      </c>
    </row>
    <row r="2986" spans="1:4" x14ac:dyDescent="0.2">
      <c r="A2986">
        <v>5</v>
      </c>
      <c r="B2986">
        <v>500.3</v>
      </c>
      <c r="C2986">
        <v>500</v>
      </c>
      <c r="D2986" t="s">
        <v>5970</v>
      </c>
    </row>
    <row r="2987" spans="1:4" x14ac:dyDescent="0.2">
      <c r="A2987">
        <v>6</v>
      </c>
      <c r="B2987">
        <v>500.2</v>
      </c>
      <c r="C2987">
        <v>500</v>
      </c>
      <c r="D2987" t="s">
        <v>5970</v>
      </c>
    </row>
    <row r="2988" spans="1:4" x14ac:dyDescent="0.2">
      <c r="A2988">
        <v>1</v>
      </c>
      <c r="B2988">
        <v>1000.4</v>
      </c>
      <c r="C2988">
        <v>1000</v>
      </c>
      <c r="D2988" t="s">
        <v>5970</v>
      </c>
    </row>
    <row r="2989" spans="1:4" x14ac:dyDescent="0.2">
      <c r="A2989">
        <v>2</v>
      </c>
      <c r="B2989">
        <v>999.9</v>
      </c>
      <c r="C2989">
        <v>1000</v>
      </c>
      <c r="D2989" t="s">
        <v>5970</v>
      </c>
    </row>
    <row r="2990" spans="1:4" x14ac:dyDescent="0.2">
      <c r="A2990">
        <v>3</v>
      </c>
      <c r="B2990">
        <v>1000.2</v>
      </c>
      <c r="C2990">
        <v>1000</v>
      </c>
      <c r="D2990" t="s">
        <v>5970</v>
      </c>
    </row>
    <row r="2991" spans="1:4" x14ac:dyDescent="0.2">
      <c r="A2991">
        <v>4</v>
      </c>
      <c r="B2991">
        <v>1000.2</v>
      </c>
      <c r="C2991">
        <v>1000</v>
      </c>
      <c r="D2991" t="s">
        <v>5970</v>
      </c>
    </row>
    <row r="2992" spans="1:4" x14ac:dyDescent="0.2">
      <c r="A2992">
        <v>5</v>
      </c>
      <c r="B2992">
        <v>1000.3</v>
      </c>
      <c r="C2992">
        <v>1000</v>
      </c>
      <c r="D2992" t="s">
        <v>5970</v>
      </c>
    </row>
    <row r="2993" spans="1:4" x14ac:dyDescent="0.2">
      <c r="A2993">
        <v>6</v>
      </c>
      <c r="B2993">
        <v>1000.3</v>
      </c>
      <c r="C2993">
        <v>1000</v>
      </c>
      <c r="D2993" t="s">
        <v>5970</v>
      </c>
    </row>
    <row r="2994" spans="1:4" x14ac:dyDescent="0.2">
      <c r="A2994">
        <v>1</v>
      </c>
      <c r="B2994">
        <v>1500.4</v>
      </c>
      <c r="C2994">
        <v>1500</v>
      </c>
      <c r="D2994" t="s">
        <v>5970</v>
      </c>
    </row>
    <row r="2995" spans="1:4" x14ac:dyDescent="0.2">
      <c r="A2995">
        <v>2</v>
      </c>
      <c r="B2995">
        <v>1499.9</v>
      </c>
      <c r="C2995">
        <v>1500</v>
      </c>
      <c r="D2995" t="s">
        <v>5970</v>
      </c>
    </row>
    <row r="2996" spans="1:4" x14ac:dyDescent="0.2">
      <c r="A2996">
        <v>3</v>
      </c>
      <c r="B2996">
        <v>1500.2</v>
      </c>
      <c r="C2996">
        <v>1500</v>
      </c>
      <c r="D2996" t="s">
        <v>5970</v>
      </c>
    </row>
    <row r="2997" spans="1:4" x14ac:dyDescent="0.2">
      <c r="A2997">
        <v>4</v>
      </c>
      <c r="B2997">
        <v>1500.2</v>
      </c>
      <c r="C2997">
        <v>1500</v>
      </c>
      <c r="D2997" t="s">
        <v>5970</v>
      </c>
    </row>
    <row r="2998" spans="1:4" x14ac:dyDescent="0.2">
      <c r="A2998">
        <v>5</v>
      </c>
      <c r="B2998">
        <v>1500.3</v>
      </c>
      <c r="C2998">
        <v>1500</v>
      </c>
      <c r="D2998" t="s">
        <v>5970</v>
      </c>
    </row>
    <row r="2999" spans="1:4" x14ac:dyDescent="0.2">
      <c r="A2999">
        <v>6</v>
      </c>
      <c r="B2999">
        <v>1500.3</v>
      </c>
      <c r="C2999">
        <v>1500</v>
      </c>
      <c r="D2999" t="s">
        <v>5970</v>
      </c>
    </row>
    <row r="3000" spans="1:4" x14ac:dyDescent="0.2">
      <c r="A3000">
        <v>1</v>
      </c>
      <c r="B3000">
        <v>2000.5</v>
      </c>
      <c r="C3000">
        <v>2000</v>
      </c>
      <c r="D3000" t="s">
        <v>5970</v>
      </c>
    </row>
    <row r="3001" spans="1:4" x14ac:dyDescent="0.2">
      <c r="A3001">
        <v>2</v>
      </c>
      <c r="B3001">
        <v>2000</v>
      </c>
      <c r="C3001">
        <v>2000</v>
      </c>
      <c r="D3001" t="s">
        <v>5970</v>
      </c>
    </row>
    <row r="3002" spans="1:4" x14ac:dyDescent="0.2">
      <c r="A3002">
        <v>3</v>
      </c>
      <c r="B3002">
        <v>2000.3</v>
      </c>
      <c r="C3002">
        <v>2000</v>
      </c>
      <c r="D3002" t="s">
        <v>5970</v>
      </c>
    </row>
    <row r="3003" spans="1:4" x14ac:dyDescent="0.2">
      <c r="A3003">
        <v>4</v>
      </c>
      <c r="B3003">
        <v>2000.4</v>
      </c>
      <c r="C3003">
        <v>2000</v>
      </c>
      <c r="D3003" t="s">
        <v>5970</v>
      </c>
    </row>
    <row r="3004" spans="1:4" x14ac:dyDescent="0.2">
      <c r="A3004">
        <v>5</v>
      </c>
      <c r="B3004">
        <v>2000.5</v>
      </c>
      <c r="C3004">
        <v>2000</v>
      </c>
      <c r="D3004" t="s">
        <v>5970</v>
      </c>
    </row>
    <row r="3005" spans="1:4" x14ac:dyDescent="0.2">
      <c r="A3005">
        <v>6</v>
      </c>
      <c r="B3005">
        <v>2000.5</v>
      </c>
      <c r="C3005">
        <v>2000</v>
      </c>
      <c r="D3005" t="s">
        <v>5970</v>
      </c>
    </row>
    <row r="3006" spans="1:4" x14ac:dyDescent="0.2">
      <c r="A3006">
        <v>1</v>
      </c>
      <c r="B3006">
        <v>2300.5</v>
      </c>
      <c r="C3006">
        <v>2300</v>
      </c>
      <c r="D3006" t="s">
        <v>5970</v>
      </c>
    </row>
    <row r="3007" spans="1:4" x14ac:dyDescent="0.2">
      <c r="A3007">
        <v>2</v>
      </c>
      <c r="B3007">
        <v>2300</v>
      </c>
      <c r="C3007">
        <v>2300</v>
      </c>
      <c r="D3007" t="s">
        <v>5970</v>
      </c>
    </row>
    <row r="3008" spans="1:4" x14ac:dyDescent="0.2">
      <c r="A3008">
        <v>3</v>
      </c>
      <c r="B3008">
        <v>2300.4</v>
      </c>
      <c r="C3008">
        <v>2300</v>
      </c>
      <c r="D3008" t="s">
        <v>5970</v>
      </c>
    </row>
    <row r="3009" spans="1:4" x14ac:dyDescent="0.2">
      <c r="A3009">
        <v>4</v>
      </c>
      <c r="B3009">
        <v>2300.5</v>
      </c>
      <c r="C3009">
        <v>2300</v>
      </c>
      <c r="D3009" t="s">
        <v>5970</v>
      </c>
    </row>
    <row r="3010" spans="1:4" x14ac:dyDescent="0.2">
      <c r="A3010">
        <v>5</v>
      </c>
      <c r="B3010">
        <v>2300.5</v>
      </c>
      <c r="C3010">
        <v>2300</v>
      </c>
      <c r="D3010" t="s">
        <v>5970</v>
      </c>
    </row>
    <row r="3011" spans="1:4" x14ac:dyDescent="0.2">
      <c r="A3011">
        <v>6</v>
      </c>
      <c r="B3011">
        <v>2300.5</v>
      </c>
      <c r="C3011">
        <v>2300</v>
      </c>
      <c r="D3011" t="s">
        <v>5970</v>
      </c>
    </row>
    <row r="3012" spans="1:4" x14ac:dyDescent="0.2">
      <c r="A3012">
        <v>7</v>
      </c>
      <c r="B3012">
        <v>32</v>
      </c>
      <c r="C3012">
        <v>32</v>
      </c>
      <c r="D3012" t="s">
        <v>5970</v>
      </c>
    </row>
    <row r="3013" spans="1:4" x14ac:dyDescent="0.2">
      <c r="A3013">
        <v>8</v>
      </c>
      <c r="B3013">
        <v>31.8</v>
      </c>
      <c r="C3013">
        <v>32</v>
      </c>
      <c r="D3013" t="s">
        <v>5970</v>
      </c>
    </row>
    <row r="3014" spans="1:4" x14ac:dyDescent="0.2">
      <c r="A3014">
        <v>9</v>
      </c>
      <c r="B3014">
        <v>32.5</v>
      </c>
      <c r="C3014">
        <v>32</v>
      </c>
      <c r="D3014" t="s">
        <v>5970</v>
      </c>
    </row>
    <row r="3015" spans="1:4" x14ac:dyDescent="0.2">
      <c r="A3015">
        <v>10</v>
      </c>
      <c r="B3015">
        <v>32.700000000000003</v>
      </c>
      <c r="C3015">
        <v>32</v>
      </c>
      <c r="D3015" t="s">
        <v>5970</v>
      </c>
    </row>
    <row r="3016" spans="1:4" x14ac:dyDescent="0.2">
      <c r="A3016">
        <v>11</v>
      </c>
      <c r="B3016">
        <v>31.3</v>
      </c>
      <c r="C3016">
        <v>32</v>
      </c>
      <c r="D3016" t="s">
        <v>5970</v>
      </c>
    </row>
    <row r="3017" spans="1:4" x14ac:dyDescent="0.2">
      <c r="A3017">
        <v>12</v>
      </c>
      <c r="B3017">
        <v>32</v>
      </c>
      <c r="C3017">
        <v>32</v>
      </c>
      <c r="D3017" t="s">
        <v>5970</v>
      </c>
    </row>
    <row r="3018" spans="1:4" x14ac:dyDescent="0.2">
      <c r="A3018">
        <v>7</v>
      </c>
      <c r="B3018">
        <v>500</v>
      </c>
      <c r="C3018">
        <v>500</v>
      </c>
      <c r="D3018" t="s">
        <v>5970</v>
      </c>
    </row>
    <row r="3019" spans="1:4" x14ac:dyDescent="0.2">
      <c r="A3019">
        <v>8</v>
      </c>
      <c r="B3019">
        <v>499.9</v>
      </c>
      <c r="C3019">
        <v>500</v>
      </c>
      <c r="D3019" t="s">
        <v>5970</v>
      </c>
    </row>
    <row r="3020" spans="1:4" x14ac:dyDescent="0.2">
      <c r="A3020">
        <v>9</v>
      </c>
      <c r="B3020">
        <v>500.4</v>
      </c>
      <c r="C3020">
        <v>500</v>
      </c>
      <c r="D3020" t="s">
        <v>5970</v>
      </c>
    </row>
    <row r="3021" spans="1:4" x14ac:dyDescent="0.2">
      <c r="A3021">
        <v>10</v>
      </c>
      <c r="B3021">
        <v>500.6</v>
      </c>
      <c r="C3021">
        <v>500</v>
      </c>
      <c r="D3021" t="s">
        <v>5970</v>
      </c>
    </row>
    <row r="3022" spans="1:4" x14ac:dyDescent="0.2">
      <c r="A3022">
        <v>11</v>
      </c>
      <c r="B3022">
        <v>499.5</v>
      </c>
      <c r="C3022">
        <v>500</v>
      </c>
      <c r="D3022" t="s">
        <v>5970</v>
      </c>
    </row>
    <row r="3023" spans="1:4" x14ac:dyDescent="0.2">
      <c r="A3023">
        <v>12</v>
      </c>
      <c r="B3023">
        <v>500</v>
      </c>
      <c r="C3023">
        <v>500</v>
      </c>
      <c r="D3023" t="s">
        <v>5970</v>
      </c>
    </row>
    <row r="3024" spans="1:4" x14ac:dyDescent="0.2">
      <c r="A3024">
        <v>7</v>
      </c>
      <c r="B3024">
        <v>1000.1</v>
      </c>
      <c r="C3024">
        <v>1000</v>
      </c>
      <c r="D3024" t="s">
        <v>5970</v>
      </c>
    </row>
    <row r="3025" spans="1:4" x14ac:dyDescent="0.2">
      <c r="A3025">
        <v>8</v>
      </c>
      <c r="B3025">
        <v>1000</v>
      </c>
      <c r="C3025">
        <v>1000</v>
      </c>
      <c r="D3025" t="s">
        <v>5970</v>
      </c>
    </row>
    <row r="3026" spans="1:4" x14ac:dyDescent="0.2">
      <c r="A3026">
        <v>9</v>
      </c>
      <c r="B3026">
        <v>1000.4</v>
      </c>
      <c r="C3026">
        <v>1000</v>
      </c>
      <c r="D3026" t="s">
        <v>5970</v>
      </c>
    </row>
    <row r="3027" spans="1:4" x14ac:dyDescent="0.2">
      <c r="A3027">
        <v>10</v>
      </c>
      <c r="B3027">
        <v>1000.7</v>
      </c>
      <c r="C3027">
        <v>1000</v>
      </c>
      <c r="D3027" t="s">
        <v>5970</v>
      </c>
    </row>
    <row r="3028" spans="1:4" x14ac:dyDescent="0.2">
      <c r="A3028">
        <v>11</v>
      </c>
      <c r="B3028">
        <v>999.7</v>
      </c>
      <c r="C3028">
        <v>1000</v>
      </c>
      <c r="D3028" t="s">
        <v>5970</v>
      </c>
    </row>
    <row r="3029" spans="1:4" x14ac:dyDescent="0.2">
      <c r="A3029">
        <v>12</v>
      </c>
      <c r="B3029">
        <v>1000.2</v>
      </c>
      <c r="C3029">
        <v>1000</v>
      </c>
      <c r="D3029" t="s">
        <v>5970</v>
      </c>
    </row>
    <row r="3030" spans="1:4" x14ac:dyDescent="0.2">
      <c r="A3030">
        <v>7</v>
      </c>
      <c r="B3030">
        <v>1500.2</v>
      </c>
      <c r="C3030">
        <v>1500</v>
      </c>
      <c r="D3030" t="s">
        <v>5970</v>
      </c>
    </row>
    <row r="3031" spans="1:4" x14ac:dyDescent="0.2">
      <c r="A3031">
        <v>8</v>
      </c>
      <c r="B3031">
        <v>1500</v>
      </c>
      <c r="C3031">
        <v>1500</v>
      </c>
      <c r="D3031" t="s">
        <v>5970</v>
      </c>
    </row>
    <row r="3032" spans="1:4" x14ac:dyDescent="0.2">
      <c r="A3032">
        <v>9</v>
      </c>
      <c r="B3032">
        <v>1500.5</v>
      </c>
      <c r="C3032">
        <v>1500</v>
      </c>
      <c r="D3032" t="s">
        <v>5970</v>
      </c>
    </row>
    <row r="3033" spans="1:4" x14ac:dyDescent="0.2">
      <c r="A3033">
        <v>10</v>
      </c>
      <c r="B3033">
        <v>1500.8</v>
      </c>
      <c r="C3033">
        <v>1500</v>
      </c>
      <c r="D3033" t="s">
        <v>5970</v>
      </c>
    </row>
    <row r="3034" spans="1:4" x14ac:dyDescent="0.2">
      <c r="A3034">
        <v>11</v>
      </c>
      <c r="B3034">
        <v>1499.7</v>
      </c>
      <c r="C3034">
        <v>1500</v>
      </c>
      <c r="D3034" t="s">
        <v>5970</v>
      </c>
    </row>
    <row r="3035" spans="1:4" x14ac:dyDescent="0.2">
      <c r="A3035">
        <v>12</v>
      </c>
      <c r="B3035">
        <v>1500.2</v>
      </c>
      <c r="C3035">
        <v>1500</v>
      </c>
      <c r="D3035" t="s">
        <v>5970</v>
      </c>
    </row>
    <row r="3036" spans="1:4" x14ac:dyDescent="0.2">
      <c r="A3036">
        <v>7</v>
      </c>
      <c r="B3036">
        <v>2000.5</v>
      </c>
      <c r="C3036">
        <v>2000</v>
      </c>
      <c r="D3036" t="s">
        <v>5970</v>
      </c>
    </row>
    <row r="3037" spans="1:4" x14ac:dyDescent="0.2">
      <c r="A3037">
        <v>8</v>
      </c>
      <c r="B3037">
        <v>2000.1</v>
      </c>
      <c r="C3037">
        <v>2000</v>
      </c>
      <c r="D3037" t="s">
        <v>5970</v>
      </c>
    </row>
    <row r="3038" spans="1:4" x14ac:dyDescent="0.2">
      <c r="A3038">
        <v>9</v>
      </c>
      <c r="B3038">
        <v>2000.6</v>
      </c>
      <c r="C3038">
        <v>2000</v>
      </c>
      <c r="D3038" t="s">
        <v>5970</v>
      </c>
    </row>
    <row r="3039" spans="1:4" x14ac:dyDescent="0.2">
      <c r="A3039">
        <v>10</v>
      </c>
      <c r="B3039">
        <v>2001</v>
      </c>
      <c r="C3039">
        <v>2000</v>
      </c>
      <c r="D3039" t="s">
        <v>5970</v>
      </c>
    </row>
    <row r="3040" spans="1:4" x14ac:dyDescent="0.2">
      <c r="A3040">
        <v>11</v>
      </c>
      <c r="B3040">
        <v>1999.8</v>
      </c>
      <c r="C3040">
        <v>2000</v>
      </c>
      <c r="D3040" t="s">
        <v>5970</v>
      </c>
    </row>
    <row r="3041" spans="1:4" x14ac:dyDescent="0.2">
      <c r="A3041">
        <v>12</v>
      </c>
      <c r="B3041">
        <v>2000.4</v>
      </c>
      <c r="C3041">
        <v>2000</v>
      </c>
      <c r="D3041" t="s">
        <v>5970</v>
      </c>
    </row>
    <row r="3042" spans="1:4" x14ac:dyDescent="0.2">
      <c r="A3042">
        <v>7</v>
      </c>
      <c r="B3042">
        <v>2300.5</v>
      </c>
      <c r="C3042">
        <v>2300</v>
      </c>
      <c r="D3042" t="s">
        <v>5970</v>
      </c>
    </row>
    <row r="3043" spans="1:4" x14ac:dyDescent="0.2">
      <c r="A3043">
        <v>8</v>
      </c>
      <c r="B3043">
        <v>2300.1</v>
      </c>
      <c r="C3043">
        <v>2300</v>
      </c>
      <c r="D3043" t="s">
        <v>5970</v>
      </c>
    </row>
    <row r="3044" spans="1:4" x14ac:dyDescent="0.2">
      <c r="A3044">
        <v>9</v>
      </c>
      <c r="B3044">
        <v>2300.6999999999998</v>
      </c>
      <c r="C3044">
        <v>2300</v>
      </c>
      <c r="D3044" t="s">
        <v>5970</v>
      </c>
    </row>
    <row r="3045" spans="1:4" x14ac:dyDescent="0.2">
      <c r="A3045">
        <v>10</v>
      </c>
      <c r="B3045">
        <v>2301</v>
      </c>
      <c r="C3045">
        <v>2300</v>
      </c>
      <c r="D3045" t="s">
        <v>5970</v>
      </c>
    </row>
    <row r="3046" spans="1:4" x14ac:dyDescent="0.2">
      <c r="A3046">
        <v>11</v>
      </c>
      <c r="B3046">
        <v>2299.9</v>
      </c>
      <c r="C3046">
        <v>2300</v>
      </c>
      <c r="D3046" t="s">
        <v>5970</v>
      </c>
    </row>
    <row r="3047" spans="1:4" x14ac:dyDescent="0.2">
      <c r="A3047">
        <v>12</v>
      </c>
      <c r="B3047">
        <v>2300.5</v>
      </c>
      <c r="C3047">
        <v>2300</v>
      </c>
      <c r="D3047" t="s">
        <v>5970</v>
      </c>
    </row>
    <row r="3048" spans="1:4" x14ac:dyDescent="0.2">
      <c r="A3048">
        <v>13</v>
      </c>
      <c r="B3048">
        <v>32.1</v>
      </c>
      <c r="C3048">
        <v>32</v>
      </c>
      <c r="D3048" t="s">
        <v>5970</v>
      </c>
    </row>
    <row r="3049" spans="1:4" x14ac:dyDescent="0.2">
      <c r="A3049">
        <v>14</v>
      </c>
      <c r="B3049">
        <v>32</v>
      </c>
      <c r="C3049">
        <v>32</v>
      </c>
      <c r="D3049" t="s">
        <v>5970</v>
      </c>
    </row>
    <row r="3050" spans="1:4" x14ac:dyDescent="0.2">
      <c r="A3050">
        <v>15</v>
      </c>
      <c r="B3050">
        <v>32.1</v>
      </c>
      <c r="C3050">
        <v>32</v>
      </c>
      <c r="D3050" t="s">
        <v>5970</v>
      </c>
    </row>
    <row r="3051" spans="1:4" x14ac:dyDescent="0.2">
      <c r="A3051">
        <v>16</v>
      </c>
      <c r="B3051">
        <v>32</v>
      </c>
      <c r="C3051">
        <v>32</v>
      </c>
      <c r="D3051" t="s">
        <v>5970</v>
      </c>
    </row>
    <row r="3052" spans="1:4" x14ac:dyDescent="0.2">
      <c r="A3052">
        <v>17</v>
      </c>
      <c r="B3052">
        <v>31.9</v>
      </c>
      <c r="C3052">
        <v>32</v>
      </c>
      <c r="D3052" t="s">
        <v>5970</v>
      </c>
    </row>
    <row r="3053" spans="1:4" x14ac:dyDescent="0.2">
      <c r="A3053">
        <v>18</v>
      </c>
      <c r="B3053">
        <v>32.299999999999997</v>
      </c>
      <c r="C3053">
        <v>32</v>
      </c>
      <c r="D3053" t="s">
        <v>5970</v>
      </c>
    </row>
    <row r="3054" spans="1:4" x14ac:dyDescent="0.2">
      <c r="A3054">
        <v>13</v>
      </c>
      <c r="B3054">
        <v>500.1</v>
      </c>
      <c r="C3054">
        <v>500</v>
      </c>
      <c r="D3054" t="s">
        <v>5970</v>
      </c>
    </row>
    <row r="3055" spans="1:4" x14ac:dyDescent="0.2">
      <c r="A3055">
        <v>14</v>
      </c>
      <c r="B3055">
        <v>500</v>
      </c>
      <c r="C3055">
        <v>500</v>
      </c>
      <c r="D3055" t="s">
        <v>5970</v>
      </c>
    </row>
    <row r="3056" spans="1:4" x14ac:dyDescent="0.2">
      <c r="A3056">
        <v>15</v>
      </c>
      <c r="B3056">
        <v>499.8</v>
      </c>
      <c r="C3056">
        <v>500</v>
      </c>
      <c r="D3056" t="s">
        <v>5970</v>
      </c>
    </row>
    <row r="3057" spans="1:4" x14ac:dyDescent="0.2">
      <c r="A3057">
        <v>16</v>
      </c>
      <c r="B3057">
        <v>499.9</v>
      </c>
      <c r="C3057">
        <v>500</v>
      </c>
      <c r="D3057" t="s">
        <v>5970</v>
      </c>
    </row>
    <row r="3058" spans="1:4" x14ac:dyDescent="0.2">
      <c r="A3058">
        <v>17</v>
      </c>
      <c r="B3058">
        <v>499.7</v>
      </c>
      <c r="C3058">
        <v>500</v>
      </c>
      <c r="D3058" t="s">
        <v>5970</v>
      </c>
    </row>
    <row r="3059" spans="1:4" x14ac:dyDescent="0.2">
      <c r="A3059">
        <v>18</v>
      </c>
      <c r="B3059">
        <v>500.2</v>
      </c>
      <c r="C3059">
        <v>500</v>
      </c>
      <c r="D3059" t="s">
        <v>5970</v>
      </c>
    </row>
    <row r="3060" spans="1:4" x14ac:dyDescent="0.2">
      <c r="A3060">
        <v>13</v>
      </c>
      <c r="B3060">
        <v>1000.2</v>
      </c>
      <c r="C3060">
        <v>1000</v>
      </c>
      <c r="D3060" t="s">
        <v>5970</v>
      </c>
    </row>
    <row r="3061" spans="1:4" x14ac:dyDescent="0.2">
      <c r="A3061">
        <v>14</v>
      </c>
      <c r="B3061">
        <v>1000.2</v>
      </c>
      <c r="C3061">
        <v>1000</v>
      </c>
      <c r="D3061" t="s">
        <v>5970</v>
      </c>
    </row>
    <row r="3062" spans="1:4" x14ac:dyDescent="0.2">
      <c r="A3062">
        <v>15</v>
      </c>
      <c r="B3062">
        <v>999.7</v>
      </c>
      <c r="C3062">
        <v>1000</v>
      </c>
      <c r="D3062" t="s">
        <v>5970</v>
      </c>
    </row>
    <row r="3063" spans="1:4" x14ac:dyDescent="0.2">
      <c r="A3063">
        <v>16</v>
      </c>
      <c r="B3063">
        <v>999.8</v>
      </c>
      <c r="C3063">
        <v>1000</v>
      </c>
      <c r="D3063" t="s">
        <v>5970</v>
      </c>
    </row>
    <row r="3064" spans="1:4" x14ac:dyDescent="0.2">
      <c r="A3064">
        <v>17</v>
      </c>
      <c r="B3064">
        <v>999.7</v>
      </c>
      <c r="C3064">
        <v>1000</v>
      </c>
      <c r="D3064" t="s">
        <v>5970</v>
      </c>
    </row>
    <row r="3065" spans="1:4" x14ac:dyDescent="0.2">
      <c r="A3065">
        <v>18</v>
      </c>
      <c r="B3065">
        <v>1000</v>
      </c>
      <c r="C3065">
        <v>1000</v>
      </c>
      <c r="D3065" t="s">
        <v>5970</v>
      </c>
    </row>
    <row r="3066" spans="1:4" x14ac:dyDescent="0.2">
      <c r="A3066">
        <v>13</v>
      </c>
      <c r="B3066">
        <v>1500.2</v>
      </c>
      <c r="C3066">
        <v>1500</v>
      </c>
      <c r="D3066" t="s">
        <v>5970</v>
      </c>
    </row>
    <row r="3067" spans="1:4" x14ac:dyDescent="0.2">
      <c r="A3067">
        <v>14</v>
      </c>
      <c r="B3067">
        <v>1500.3</v>
      </c>
      <c r="C3067">
        <v>1500</v>
      </c>
      <c r="D3067" t="s">
        <v>5970</v>
      </c>
    </row>
    <row r="3068" spans="1:4" x14ac:dyDescent="0.2">
      <c r="A3068">
        <v>15</v>
      </c>
      <c r="B3068">
        <v>1499.6</v>
      </c>
      <c r="C3068">
        <v>1500</v>
      </c>
      <c r="D3068" t="s">
        <v>5970</v>
      </c>
    </row>
    <row r="3069" spans="1:4" x14ac:dyDescent="0.2">
      <c r="A3069">
        <v>16</v>
      </c>
      <c r="B3069">
        <v>1499.8</v>
      </c>
      <c r="C3069">
        <v>1500</v>
      </c>
      <c r="D3069" t="s">
        <v>5970</v>
      </c>
    </row>
    <row r="3070" spans="1:4" x14ac:dyDescent="0.2">
      <c r="A3070">
        <v>17</v>
      </c>
      <c r="B3070">
        <v>1499.7</v>
      </c>
      <c r="C3070">
        <v>1500</v>
      </c>
      <c r="D3070" t="s">
        <v>5970</v>
      </c>
    </row>
    <row r="3071" spans="1:4" x14ac:dyDescent="0.2">
      <c r="A3071">
        <v>18</v>
      </c>
      <c r="B3071">
        <v>1499.9</v>
      </c>
      <c r="C3071">
        <v>1500</v>
      </c>
      <c r="D3071" t="s">
        <v>5970</v>
      </c>
    </row>
    <row r="3072" spans="1:4" x14ac:dyDescent="0.2">
      <c r="A3072">
        <v>13</v>
      </c>
      <c r="B3072">
        <v>2000.4</v>
      </c>
      <c r="C3072">
        <v>2000</v>
      </c>
      <c r="D3072" t="s">
        <v>5970</v>
      </c>
    </row>
    <row r="3073" spans="1:4" x14ac:dyDescent="0.2">
      <c r="A3073">
        <v>14</v>
      </c>
      <c r="B3073">
        <v>2000.5</v>
      </c>
      <c r="C3073">
        <v>2000</v>
      </c>
      <c r="D3073" t="s">
        <v>5970</v>
      </c>
    </row>
    <row r="3074" spans="1:4" x14ac:dyDescent="0.2">
      <c r="A3074">
        <v>15</v>
      </c>
      <c r="B3074">
        <v>1999.7</v>
      </c>
      <c r="C3074">
        <v>2000</v>
      </c>
      <c r="D3074" t="s">
        <v>5970</v>
      </c>
    </row>
    <row r="3075" spans="1:4" x14ac:dyDescent="0.2">
      <c r="A3075">
        <v>16</v>
      </c>
      <c r="B3075">
        <v>2000</v>
      </c>
      <c r="C3075">
        <v>2000</v>
      </c>
      <c r="D3075" t="s">
        <v>5970</v>
      </c>
    </row>
    <row r="3076" spans="1:4" x14ac:dyDescent="0.2">
      <c r="A3076">
        <v>17</v>
      </c>
      <c r="B3076">
        <v>1999.8</v>
      </c>
      <c r="C3076">
        <v>2000</v>
      </c>
      <c r="D3076" t="s">
        <v>5970</v>
      </c>
    </row>
    <row r="3077" spans="1:4" x14ac:dyDescent="0.2">
      <c r="A3077">
        <v>18</v>
      </c>
      <c r="B3077">
        <v>1999.9</v>
      </c>
      <c r="C3077">
        <v>2000</v>
      </c>
      <c r="D3077" t="s">
        <v>5970</v>
      </c>
    </row>
    <row r="3078" spans="1:4" x14ac:dyDescent="0.2">
      <c r="A3078">
        <v>13</v>
      </c>
      <c r="B3078">
        <v>2300.4</v>
      </c>
      <c r="C3078">
        <v>2300</v>
      </c>
      <c r="D3078" t="s">
        <v>5970</v>
      </c>
    </row>
    <row r="3079" spans="1:4" x14ac:dyDescent="0.2">
      <c r="A3079">
        <v>14</v>
      </c>
      <c r="B3079">
        <v>2300.6</v>
      </c>
      <c r="C3079">
        <v>2300</v>
      </c>
      <c r="D3079" t="s">
        <v>5970</v>
      </c>
    </row>
    <row r="3080" spans="1:4" x14ac:dyDescent="0.2">
      <c r="A3080">
        <v>15</v>
      </c>
      <c r="B3080">
        <v>2299.8000000000002</v>
      </c>
      <c r="C3080">
        <v>2300</v>
      </c>
      <c r="D3080" t="s">
        <v>5970</v>
      </c>
    </row>
    <row r="3081" spans="1:4" x14ac:dyDescent="0.2">
      <c r="A3081">
        <v>16</v>
      </c>
      <c r="B3081">
        <v>2300.1</v>
      </c>
      <c r="C3081">
        <v>2300</v>
      </c>
      <c r="D3081" t="s">
        <v>5970</v>
      </c>
    </row>
    <row r="3082" spans="1:4" x14ac:dyDescent="0.2">
      <c r="A3082">
        <v>17</v>
      </c>
      <c r="B3082">
        <v>2299.9</v>
      </c>
      <c r="C3082">
        <v>2300</v>
      </c>
      <c r="D3082" t="s">
        <v>5970</v>
      </c>
    </row>
    <row r="3083" spans="1:4" x14ac:dyDescent="0.2">
      <c r="A3083">
        <v>18</v>
      </c>
      <c r="B3083">
        <v>2299.9</v>
      </c>
      <c r="C3083">
        <v>2300</v>
      </c>
      <c r="D3083" t="s">
        <v>5970</v>
      </c>
    </row>
    <row r="3084" spans="1:4" x14ac:dyDescent="0.2">
      <c r="A3084">
        <v>19</v>
      </c>
      <c r="B3084">
        <v>31.9</v>
      </c>
      <c r="C3084">
        <v>32</v>
      </c>
      <c r="D3084" t="s">
        <v>5970</v>
      </c>
    </row>
    <row r="3085" spans="1:4" x14ac:dyDescent="0.2">
      <c r="A3085">
        <v>20</v>
      </c>
      <c r="B3085">
        <v>32</v>
      </c>
      <c r="C3085">
        <v>32</v>
      </c>
      <c r="D3085" t="s">
        <v>5970</v>
      </c>
    </row>
    <row r="3086" spans="1:4" x14ac:dyDescent="0.2">
      <c r="A3086">
        <v>21</v>
      </c>
      <c r="B3086">
        <v>31.9</v>
      </c>
      <c r="C3086">
        <v>32</v>
      </c>
      <c r="D3086" t="s">
        <v>5970</v>
      </c>
    </row>
    <row r="3087" spans="1:4" x14ac:dyDescent="0.2">
      <c r="A3087">
        <v>22</v>
      </c>
      <c r="B3087">
        <v>32.4</v>
      </c>
      <c r="C3087">
        <v>32</v>
      </c>
      <c r="D3087" t="s">
        <v>5970</v>
      </c>
    </row>
    <row r="3088" spans="1:4" x14ac:dyDescent="0.2">
      <c r="A3088">
        <v>23</v>
      </c>
      <c r="B3088">
        <v>32.1</v>
      </c>
      <c r="C3088">
        <v>32</v>
      </c>
      <c r="D3088" t="s">
        <v>5970</v>
      </c>
    </row>
    <row r="3089" spans="1:4" x14ac:dyDescent="0.2">
      <c r="A3089">
        <v>24</v>
      </c>
      <c r="B3089">
        <v>31.5</v>
      </c>
      <c r="C3089">
        <v>32</v>
      </c>
      <c r="D3089" t="s">
        <v>5970</v>
      </c>
    </row>
    <row r="3090" spans="1:4" x14ac:dyDescent="0.2">
      <c r="A3090">
        <v>19</v>
      </c>
      <c r="B3090">
        <v>499.7</v>
      </c>
      <c r="C3090">
        <v>500</v>
      </c>
      <c r="D3090" t="s">
        <v>5970</v>
      </c>
    </row>
    <row r="3091" spans="1:4" x14ac:dyDescent="0.2">
      <c r="A3091">
        <v>20</v>
      </c>
      <c r="B3091">
        <v>499.8</v>
      </c>
      <c r="C3091">
        <v>500</v>
      </c>
      <c r="D3091" t="s">
        <v>5970</v>
      </c>
    </row>
    <row r="3092" spans="1:4" x14ac:dyDescent="0.2">
      <c r="A3092">
        <v>21</v>
      </c>
      <c r="B3092">
        <v>499.7</v>
      </c>
      <c r="C3092">
        <v>500</v>
      </c>
      <c r="D3092" t="s">
        <v>5970</v>
      </c>
    </row>
    <row r="3093" spans="1:4" x14ac:dyDescent="0.2">
      <c r="A3093">
        <v>22</v>
      </c>
      <c r="B3093">
        <v>500.1</v>
      </c>
      <c r="C3093">
        <v>500</v>
      </c>
      <c r="D3093" t="s">
        <v>5970</v>
      </c>
    </row>
    <row r="3094" spans="1:4" x14ac:dyDescent="0.2">
      <c r="A3094">
        <v>23</v>
      </c>
      <c r="B3094">
        <v>499.9</v>
      </c>
      <c r="C3094">
        <v>500</v>
      </c>
      <c r="D3094" t="s">
        <v>5970</v>
      </c>
    </row>
    <row r="3095" spans="1:4" x14ac:dyDescent="0.2">
      <c r="A3095">
        <v>24</v>
      </c>
      <c r="B3095">
        <v>499.5</v>
      </c>
      <c r="C3095">
        <v>500</v>
      </c>
      <c r="D3095" t="s">
        <v>5970</v>
      </c>
    </row>
    <row r="3096" spans="1:4" x14ac:dyDescent="0.2">
      <c r="A3096">
        <v>19</v>
      </c>
      <c r="B3096">
        <v>999.6</v>
      </c>
      <c r="C3096">
        <v>1000</v>
      </c>
      <c r="D3096" t="s">
        <v>5970</v>
      </c>
    </row>
    <row r="3097" spans="1:4" x14ac:dyDescent="0.2">
      <c r="A3097">
        <v>20</v>
      </c>
      <c r="B3097">
        <v>999.7</v>
      </c>
      <c r="C3097">
        <v>1000</v>
      </c>
      <c r="D3097" t="s">
        <v>5970</v>
      </c>
    </row>
    <row r="3098" spans="1:4" x14ac:dyDescent="0.2">
      <c r="A3098">
        <v>21</v>
      </c>
      <c r="B3098">
        <v>999.7</v>
      </c>
      <c r="C3098">
        <v>1000</v>
      </c>
      <c r="D3098" t="s">
        <v>5970</v>
      </c>
    </row>
    <row r="3099" spans="1:4" x14ac:dyDescent="0.2">
      <c r="A3099">
        <v>22</v>
      </c>
      <c r="B3099">
        <v>1000</v>
      </c>
      <c r="C3099">
        <v>1000</v>
      </c>
      <c r="D3099" t="s">
        <v>5970</v>
      </c>
    </row>
    <row r="3100" spans="1:4" x14ac:dyDescent="0.2">
      <c r="A3100">
        <v>23</v>
      </c>
      <c r="B3100">
        <v>999.8</v>
      </c>
      <c r="C3100">
        <v>1000</v>
      </c>
      <c r="D3100" t="s">
        <v>5970</v>
      </c>
    </row>
    <row r="3101" spans="1:4" x14ac:dyDescent="0.2">
      <c r="A3101">
        <v>24</v>
      </c>
      <c r="B3101">
        <v>999.5</v>
      </c>
      <c r="C3101">
        <v>1000</v>
      </c>
      <c r="D3101" t="s">
        <v>5970</v>
      </c>
    </row>
    <row r="3102" spans="1:4" x14ac:dyDescent="0.2">
      <c r="A3102">
        <v>19</v>
      </c>
      <c r="B3102">
        <v>1499.5</v>
      </c>
      <c r="C3102">
        <v>1500</v>
      </c>
      <c r="D3102" t="s">
        <v>5970</v>
      </c>
    </row>
    <row r="3103" spans="1:4" x14ac:dyDescent="0.2">
      <c r="A3103">
        <v>20</v>
      </c>
      <c r="B3103">
        <v>1499.7</v>
      </c>
      <c r="C3103">
        <v>1500</v>
      </c>
      <c r="D3103" t="s">
        <v>5970</v>
      </c>
    </row>
    <row r="3104" spans="1:4" x14ac:dyDescent="0.2">
      <c r="A3104">
        <v>21</v>
      </c>
      <c r="B3104">
        <v>1499.7</v>
      </c>
      <c r="C3104">
        <v>1500</v>
      </c>
      <c r="D3104" t="s">
        <v>5970</v>
      </c>
    </row>
    <row r="3105" spans="1:4" x14ac:dyDescent="0.2">
      <c r="A3105">
        <v>22</v>
      </c>
      <c r="B3105">
        <v>1499.8</v>
      </c>
      <c r="C3105">
        <v>1500</v>
      </c>
      <c r="D3105" t="s">
        <v>5970</v>
      </c>
    </row>
    <row r="3106" spans="1:4" x14ac:dyDescent="0.2">
      <c r="A3106">
        <v>23</v>
      </c>
      <c r="B3106">
        <v>1499.8</v>
      </c>
      <c r="C3106">
        <v>1500</v>
      </c>
      <c r="D3106" t="s">
        <v>5970</v>
      </c>
    </row>
    <row r="3107" spans="1:4" x14ac:dyDescent="0.2">
      <c r="A3107">
        <v>24</v>
      </c>
      <c r="B3107">
        <v>1499.5</v>
      </c>
      <c r="C3107">
        <v>1500</v>
      </c>
      <c r="D3107" t="s">
        <v>5970</v>
      </c>
    </row>
    <row r="3108" spans="1:4" x14ac:dyDescent="0.2">
      <c r="A3108">
        <v>19</v>
      </c>
      <c r="B3108">
        <v>1999.7</v>
      </c>
      <c r="C3108">
        <v>2000</v>
      </c>
      <c r="D3108" t="s">
        <v>5970</v>
      </c>
    </row>
    <row r="3109" spans="1:4" x14ac:dyDescent="0.2">
      <c r="A3109">
        <v>20</v>
      </c>
      <c r="B3109">
        <v>1999.9</v>
      </c>
      <c r="C3109">
        <v>2000</v>
      </c>
      <c r="D3109" t="s">
        <v>5970</v>
      </c>
    </row>
    <row r="3110" spans="1:4" x14ac:dyDescent="0.2">
      <c r="A3110">
        <v>21</v>
      </c>
      <c r="B3110">
        <v>1999.9</v>
      </c>
      <c r="C3110">
        <v>2000</v>
      </c>
      <c r="D3110" t="s">
        <v>5970</v>
      </c>
    </row>
    <row r="3111" spans="1:4" x14ac:dyDescent="0.2">
      <c r="A3111">
        <v>22</v>
      </c>
      <c r="B3111">
        <v>1999.9</v>
      </c>
      <c r="C3111">
        <v>2000</v>
      </c>
      <c r="D3111" t="s">
        <v>5970</v>
      </c>
    </row>
    <row r="3112" spans="1:4" x14ac:dyDescent="0.2">
      <c r="A3112">
        <v>23</v>
      </c>
      <c r="B3112">
        <v>1999.9</v>
      </c>
      <c r="C3112">
        <v>2000</v>
      </c>
      <c r="D3112" t="s">
        <v>5970</v>
      </c>
    </row>
    <row r="3113" spans="1:4" x14ac:dyDescent="0.2">
      <c r="A3113">
        <v>24</v>
      </c>
      <c r="B3113">
        <v>1999.6</v>
      </c>
      <c r="C3113">
        <v>2000</v>
      </c>
      <c r="D3113" t="s">
        <v>5970</v>
      </c>
    </row>
    <row r="3114" spans="1:4" x14ac:dyDescent="0.2">
      <c r="A3114">
        <v>19</v>
      </c>
      <c r="B3114">
        <v>2299.6999999999998</v>
      </c>
      <c r="C3114">
        <v>2300</v>
      </c>
      <c r="D3114" t="s">
        <v>5970</v>
      </c>
    </row>
    <row r="3115" spans="1:4" x14ac:dyDescent="0.2">
      <c r="A3115">
        <v>20</v>
      </c>
      <c r="B3115">
        <v>2300</v>
      </c>
      <c r="C3115">
        <v>2300</v>
      </c>
      <c r="D3115" t="s">
        <v>5970</v>
      </c>
    </row>
    <row r="3116" spans="1:4" x14ac:dyDescent="0.2">
      <c r="A3116">
        <v>21</v>
      </c>
      <c r="B3116">
        <v>2300</v>
      </c>
      <c r="C3116">
        <v>2300</v>
      </c>
      <c r="D3116" t="s">
        <v>5970</v>
      </c>
    </row>
    <row r="3117" spans="1:4" x14ac:dyDescent="0.2">
      <c r="A3117">
        <v>22</v>
      </c>
      <c r="B3117">
        <v>2299.9</v>
      </c>
      <c r="C3117">
        <v>2300</v>
      </c>
      <c r="D3117" t="s">
        <v>5970</v>
      </c>
    </row>
    <row r="3118" spans="1:4" x14ac:dyDescent="0.2">
      <c r="A3118">
        <v>23</v>
      </c>
      <c r="B3118">
        <v>2300</v>
      </c>
      <c r="C3118">
        <v>2300</v>
      </c>
      <c r="D3118" t="s">
        <v>5970</v>
      </c>
    </row>
    <row r="3119" spans="1:4" x14ac:dyDescent="0.2">
      <c r="A3119">
        <v>24</v>
      </c>
      <c r="B3119">
        <v>2299.6999999999998</v>
      </c>
      <c r="C3119">
        <v>2300</v>
      </c>
      <c r="D3119" t="s">
        <v>5970</v>
      </c>
    </row>
    <row r="3120" spans="1:4" x14ac:dyDescent="0.2">
      <c r="A3120">
        <v>25</v>
      </c>
      <c r="B3120">
        <v>32.1</v>
      </c>
      <c r="C3120">
        <v>32</v>
      </c>
      <c r="D3120" t="s">
        <v>5970</v>
      </c>
    </row>
    <row r="3121" spans="1:4" x14ac:dyDescent="0.2">
      <c r="A3121">
        <v>26</v>
      </c>
      <c r="B3121">
        <v>32</v>
      </c>
      <c r="C3121">
        <v>32</v>
      </c>
      <c r="D3121" t="s">
        <v>5970</v>
      </c>
    </row>
    <row r="3122" spans="1:4" x14ac:dyDescent="0.2">
      <c r="A3122">
        <v>27</v>
      </c>
      <c r="B3122">
        <v>32</v>
      </c>
      <c r="C3122">
        <v>32</v>
      </c>
      <c r="D3122" t="s">
        <v>5970</v>
      </c>
    </row>
    <row r="3123" spans="1:4" x14ac:dyDescent="0.2">
      <c r="A3123">
        <v>28</v>
      </c>
      <c r="B3123">
        <v>32</v>
      </c>
      <c r="C3123">
        <v>32</v>
      </c>
      <c r="D3123" t="s">
        <v>5970</v>
      </c>
    </row>
    <row r="3124" spans="1:4" x14ac:dyDescent="0.2">
      <c r="A3124">
        <v>25</v>
      </c>
      <c r="B3124">
        <v>499.6</v>
      </c>
      <c r="C3124">
        <v>500</v>
      </c>
      <c r="D3124" t="s">
        <v>5970</v>
      </c>
    </row>
    <row r="3125" spans="1:4" x14ac:dyDescent="0.2">
      <c r="A3125">
        <v>26</v>
      </c>
      <c r="B3125">
        <v>500.1</v>
      </c>
      <c r="C3125">
        <v>500</v>
      </c>
      <c r="D3125" t="s">
        <v>5970</v>
      </c>
    </row>
    <row r="3126" spans="1:4" x14ac:dyDescent="0.2">
      <c r="A3126">
        <v>27</v>
      </c>
      <c r="B3126">
        <v>499.8</v>
      </c>
      <c r="C3126">
        <v>500</v>
      </c>
      <c r="D3126" t="s">
        <v>5970</v>
      </c>
    </row>
    <row r="3127" spans="1:4" x14ac:dyDescent="0.2">
      <c r="A3127">
        <v>28</v>
      </c>
      <c r="B3127">
        <v>500</v>
      </c>
      <c r="C3127">
        <v>500</v>
      </c>
      <c r="D3127" t="s">
        <v>5970</v>
      </c>
    </row>
    <row r="3128" spans="1:4" x14ac:dyDescent="0.2">
      <c r="A3128">
        <v>25</v>
      </c>
      <c r="B3128">
        <v>999.3</v>
      </c>
      <c r="C3128">
        <v>1000</v>
      </c>
      <c r="D3128" t="s">
        <v>5970</v>
      </c>
    </row>
    <row r="3129" spans="1:4" x14ac:dyDescent="0.2">
      <c r="A3129">
        <v>26</v>
      </c>
      <c r="B3129">
        <v>1000.1</v>
      </c>
      <c r="C3129">
        <v>1000</v>
      </c>
      <c r="D3129" t="s">
        <v>5970</v>
      </c>
    </row>
    <row r="3130" spans="1:4" x14ac:dyDescent="0.2">
      <c r="A3130">
        <v>27</v>
      </c>
      <c r="B3130">
        <v>999.7</v>
      </c>
      <c r="C3130">
        <v>1000</v>
      </c>
      <c r="D3130" t="s">
        <v>5970</v>
      </c>
    </row>
    <row r="3131" spans="1:4" x14ac:dyDescent="0.2">
      <c r="A3131">
        <v>28</v>
      </c>
      <c r="B3131">
        <v>999.9</v>
      </c>
      <c r="C3131">
        <v>1000</v>
      </c>
      <c r="D3131" t="s">
        <v>5970</v>
      </c>
    </row>
    <row r="3132" spans="1:4" x14ac:dyDescent="0.2">
      <c r="A3132">
        <v>25</v>
      </c>
      <c r="B3132">
        <v>1499.2</v>
      </c>
      <c r="C3132">
        <v>1500</v>
      </c>
      <c r="D3132" t="s">
        <v>5970</v>
      </c>
    </row>
    <row r="3133" spans="1:4" x14ac:dyDescent="0.2">
      <c r="A3133">
        <v>26</v>
      </c>
      <c r="B3133">
        <v>1500</v>
      </c>
      <c r="C3133">
        <v>1500</v>
      </c>
      <c r="D3133" t="s">
        <v>5970</v>
      </c>
    </row>
    <row r="3134" spans="1:4" x14ac:dyDescent="0.2">
      <c r="A3134">
        <v>27</v>
      </c>
      <c r="B3134">
        <v>1499.6</v>
      </c>
      <c r="C3134">
        <v>1500</v>
      </c>
      <c r="D3134" t="s">
        <v>5970</v>
      </c>
    </row>
    <row r="3135" spans="1:4" x14ac:dyDescent="0.2">
      <c r="A3135">
        <v>28</v>
      </c>
      <c r="B3135">
        <v>1499.8</v>
      </c>
      <c r="C3135">
        <v>1500</v>
      </c>
      <c r="D3135" t="s">
        <v>5970</v>
      </c>
    </row>
    <row r="3136" spans="1:4" x14ac:dyDescent="0.2">
      <c r="A3136">
        <v>25</v>
      </c>
      <c r="B3136">
        <v>1999.3</v>
      </c>
      <c r="C3136">
        <v>2000</v>
      </c>
      <c r="D3136" t="s">
        <v>5970</v>
      </c>
    </row>
    <row r="3137" spans="1:4" x14ac:dyDescent="0.2">
      <c r="A3137">
        <v>26</v>
      </c>
      <c r="B3137">
        <v>2000.1</v>
      </c>
      <c r="C3137">
        <v>2000</v>
      </c>
      <c r="D3137" t="s">
        <v>5970</v>
      </c>
    </row>
    <row r="3138" spans="1:4" x14ac:dyDescent="0.2">
      <c r="A3138">
        <v>27</v>
      </c>
      <c r="B3138">
        <v>1999.7</v>
      </c>
      <c r="C3138">
        <v>2000</v>
      </c>
      <c r="D3138" t="s">
        <v>5970</v>
      </c>
    </row>
    <row r="3139" spans="1:4" x14ac:dyDescent="0.2">
      <c r="A3139">
        <v>28</v>
      </c>
      <c r="B3139">
        <v>1999.9</v>
      </c>
      <c r="C3139">
        <v>2000</v>
      </c>
      <c r="D3139" t="s">
        <v>5970</v>
      </c>
    </row>
    <row r="3140" spans="1:4" x14ac:dyDescent="0.2">
      <c r="A3140">
        <v>25</v>
      </c>
      <c r="B3140">
        <v>2299.3000000000002</v>
      </c>
      <c r="C3140">
        <v>2300</v>
      </c>
      <c r="D3140" t="s">
        <v>5970</v>
      </c>
    </row>
    <row r="3141" spans="1:4" x14ac:dyDescent="0.2">
      <c r="A3141">
        <v>26</v>
      </c>
      <c r="B3141">
        <v>2300.1</v>
      </c>
      <c r="C3141">
        <v>2300</v>
      </c>
      <c r="D3141" t="s">
        <v>5970</v>
      </c>
    </row>
    <row r="3142" spans="1:4" x14ac:dyDescent="0.2">
      <c r="A3142">
        <v>27</v>
      </c>
      <c r="B3142">
        <v>2299.8000000000002</v>
      </c>
      <c r="C3142">
        <v>2300</v>
      </c>
      <c r="D3142" t="s">
        <v>5970</v>
      </c>
    </row>
    <row r="3143" spans="1:4" x14ac:dyDescent="0.2">
      <c r="A3143">
        <v>28</v>
      </c>
      <c r="B3143">
        <v>2300</v>
      </c>
      <c r="C3143">
        <v>2300</v>
      </c>
      <c r="D3143" t="s">
        <v>5970</v>
      </c>
    </row>
    <row r="3144" spans="1:4" x14ac:dyDescent="0.2">
      <c r="A3144">
        <v>1</v>
      </c>
      <c r="B3144">
        <v>-99.8</v>
      </c>
      <c r="C3144">
        <v>-100</v>
      </c>
      <c r="D3144" t="s">
        <v>5971</v>
      </c>
    </row>
    <row r="3145" spans="1:4" x14ac:dyDescent="0.2">
      <c r="A3145">
        <v>2</v>
      </c>
      <c r="B3145">
        <v>-99.9</v>
      </c>
      <c r="C3145">
        <v>-100</v>
      </c>
      <c r="D3145" t="s">
        <v>5971</v>
      </c>
    </row>
    <row r="3146" spans="1:4" x14ac:dyDescent="0.2">
      <c r="A3146">
        <v>3</v>
      </c>
      <c r="B3146">
        <v>-99.8</v>
      </c>
      <c r="C3146">
        <v>-100</v>
      </c>
      <c r="D3146" t="s">
        <v>5971</v>
      </c>
    </row>
    <row r="3147" spans="1:4" x14ac:dyDescent="0.2">
      <c r="A3147">
        <v>4</v>
      </c>
      <c r="B3147">
        <v>-99.9</v>
      </c>
      <c r="C3147">
        <v>-100</v>
      </c>
      <c r="D3147" t="s">
        <v>5971</v>
      </c>
    </row>
    <row r="3148" spans="1:4" x14ac:dyDescent="0.2">
      <c r="A3148">
        <v>5</v>
      </c>
      <c r="B3148">
        <v>-99.8</v>
      </c>
      <c r="C3148">
        <v>-100</v>
      </c>
      <c r="D3148" t="s">
        <v>5971</v>
      </c>
    </row>
    <row r="3149" spans="1:4" x14ac:dyDescent="0.2">
      <c r="A3149">
        <v>6</v>
      </c>
      <c r="B3149">
        <v>-100.1</v>
      </c>
      <c r="C3149">
        <v>-100</v>
      </c>
      <c r="D3149" t="s">
        <v>5971</v>
      </c>
    </row>
    <row r="3150" spans="1:4" x14ac:dyDescent="0.2">
      <c r="A3150">
        <v>1</v>
      </c>
      <c r="B3150">
        <v>-49.8</v>
      </c>
      <c r="C3150">
        <v>-50</v>
      </c>
      <c r="D3150" t="s">
        <v>5971</v>
      </c>
    </row>
    <row r="3151" spans="1:4" x14ac:dyDescent="0.2">
      <c r="A3151">
        <v>2</v>
      </c>
      <c r="B3151">
        <v>-49.7</v>
      </c>
      <c r="C3151">
        <v>-50</v>
      </c>
      <c r="D3151" t="s">
        <v>5971</v>
      </c>
    </row>
    <row r="3152" spans="1:4" x14ac:dyDescent="0.2">
      <c r="A3152">
        <v>3</v>
      </c>
      <c r="B3152">
        <v>-49.8</v>
      </c>
      <c r="C3152">
        <v>-50</v>
      </c>
      <c r="D3152" t="s">
        <v>5971</v>
      </c>
    </row>
    <row r="3153" spans="1:4" x14ac:dyDescent="0.2">
      <c r="A3153">
        <v>4</v>
      </c>
      <c r="B3153">
        <v>-49.9</v>
      </c>
      <c r="C3153">
        <v>-50</v>
      </c>
      <c r="D3153" t="s">
        <v>5971</v>
      </c>
    </row>
    <row r="3154" spans="1:4" x14ac:dyDescent="0.2">
      <c r="A3154">
        <v>5</v>
      </c>
      <c r="B3154">
        <v>-49.8</v>
      </c>
      <c r="C3154">
        <v>-50</v>
      </c>
      <c r="D3154" t="s">
        <v>5971</v>
      </c>
    </row>
    <row r="3155" spans="1:4" x14ac:dyDescent="0.2">
      <c r="A3155">
        <v>6</v>
      </c>
      <c r="B3155">
        <v>-50.1</v>
      </c>
      <c r="C3155">
        <v>-50</v>
      </c>
      <c r="D3155" t="s">
        <v>5971</v>
      </c>
    </row>
    <row r="3156" spans="1:4" x14ac:dyDescent="0.2">
      <c r="A3156">
        <v>1</v>
      </c>
      <c r="B3156">
        <v>0.2</v>
      </c>
      <c r="C3156">
        <v>0</v>
      </c>
      <c r="D3156" t="s">
        <v>5971</v>
      </c>
    </row>
    <row r="3157" spans="1:4" x14ac:dyDescent="0.2">
      <c r="A3157">
        <v>2</v>
      </c>
      <c r="B3157">
        <v>0.2</v>
      </c>
      <c r="C3157">
        <v>0</v>
      </c>
      <c r="D3157" t="s">
        <v>5971</v>
      </c>
    </row>
    <row r="3158" spans="1:4" x14ac:dyDescent="0.2">
      <c r="A3158">
        <v>3</v>
      </c>
      <c r="B3158">
        <v>0.1</v>
      </c>
      <c r="C3158">
        <v>0</v>
      </c>
      <c r="D3158" t="s">
        <v>5971</v>
      </c>
    </row>
    <row r="3159" spans="1:4" x14ac:dyDescent="0.2">
      <c r="A3159">
        <v>4</v>
      </c>
      <c r="B3159">
        <v>0.3</v>
      </c>
      <c r="C3159">
        <v>0</v>
      </c>
      <c r="D3159" t="s">
        <v>5971</v>
      </c>
    </row>
    <row r="3160" spans="1:4" x14ac:dyDescent="0.2">
      <c r="A3160">
        <v>5</v>
      </c>
      <c r="B3160">
        <v>0.1</v>
      </c>
      <c r="C3160">
        <v>0</v>
      </c>
      <c r="D3160" t="s">
        <v>5971</v>
      </c>
    </row>
    <row r="3161" spans="1:4" x14ac:dyDescent="0.2">
      <c r="A3161">
        <v>6</v>
      </c>
      <c r="B3161">
        <v>0</v>
      </c>
      <c r="C3161">
        <v>0</v>
      </c>
      <c r="D3161" t="s">
        <v>5971</v>
      </c>
    </row>
    <row r="3162" spans="1:4" x14ac:dyDescent="0.2">
      <c r="A3162">
        <v>1</v>
      </c>
      <c r="B3162">
        <v>250.2</v>
      </c>
      <c r="C3162">
        <v>250</v>
      </c>
      <c r="D3162" t="s">
        <v>5971</v>
      </c>
    </row>
    <row r="3163" spans="1:4" x14ac:dyDescent="0.2">
      <c r="A3163">
        <v>2</v>
      </c>
      <c r="B3163">
        <v>250.2</v>
      </c>
      <c r="C3163">
        <v>250</v>
      </c>
      <c r="D3163" t="s">
        <v>5971</v>
      </c>
    </row>
    <row r="3164" spans="1:4" x14ac:dyDescent="0.2">
      <c r="A3164">
        <v>3</v>
      </c>
      <c r="B3164">
        <v>250.2</v>
      </c>
      <c r="C3164">
        <v>250</v>
      </c>
      <c r="D3164" t="s">
        <v>5971</v>
      </c>
    </row>
    <row r="3165" spans="1:4" x14ac:dyDescent="0.2">
      <c r="A3165">
        <v>4</v>
      </c>
      <c r="B3165">
        <v>250.3</v>
      </c>
      <c r="C3165">
        <v>250</v>
      </c>
      <c r="D3165" t="s">
        <v>5971</v>
      </c>
    </row>
    <row r="3166" spans="1:4" x14ac:dyDescent="0.2">
      <c r="A3166">
        <v>5</v>
      </c>
      <c r="B3166">
        <v>250.1</v>
      </c>
      <c r="C3166">
        <v>250</v>
      </c>
      <c r="D3166" t="s">
        <v>5971</v>
      </c>
    </row>
    <row r="3167" spans="1:4" x14ac:dyDescent="0.2">
      <c r="A3167">
        <v>6</v>
      </c>
      <c r="B3167">
        <v>250</v>
      </c>
      <c r="C3167">
        <v>250</v>
      </c>
      <c r="D3167" t="s">
        <v>5971</v>
      </c>
    </row>
    <row r="3168" spans="1:4" x14ac:dyDescent="0.2">
      <c r="A3168">
        <v>1</v>
      </c>
      <c r="B3168">
        <v>500.2</v>
      </c>
      <c r="C3168">
        <v>500</v>
      </c>
      <c r="D3168" t="s">
        <v>5971</v>
      </c>
    </row>
    <row r="3169" spans="1:4" x14ac:dyDescent="0.2">
      <c r="A3169">
        <v>2</v>
      </c>
      <c r="B3169">
        <v>500.2</v>
      </c>
      <c r="C3169">
        <v>500</v>
      </c>
      <c r="D3169" t="s">
        <v>5971</v>
      </c>
    </row>
    <row r="3170" spans="1:4" x14ac:dyDescent="0.2">
      <c r="A3170">
        <v>3</v>
      </c>
      <c r="B3170">
        <v>500.2</v>
      </c>
      <c r="C3170">
        <v>500</v>
      </c>
      <c r="D3170" t="s">
        <v>5971</v>
      </c>
    </row>
    <row r="3171" spans="1:4" x14ac:dyDescent="0.2">
      <c r="A3171">
        <v>4</v>
      </c>
      <c r="B3171">
        <v>500.3</v>
      </c>
      <c r="C3171">
        <v>500</v>
      </c>
      <c r="D3171" t="s">
        <v>5971</v>
      </c>
    </row>
    <row r="3172" spans="1:4" x14ac:dyDescent="0.2">
      <c r="A3172">
        <v>5</v>
      </c>
      <c r="B3172">
        <v>500</v>
      </c>
      <c r="C3172">
        <v>500</v>
      </c>
      <c r="D3172" t="s">
        <v>5971</v>
      </c>
    </row>
    <row r="3173" spans="1:4" x14ac:dyDescent="0.2">
      <c r="A3173">
        <v>6</v>
      </c>
      <c r="B3173">
        <v>500</v>
      </c>
      <c r="C3173">
        <v>500</v>
      </c>
      <c r="D3173" t="s">
        <v>5971</v>
      </c>
    </row>
    <row r="3174" spans="1:4" x14ac:dyDescent="0.2">
      <c r="A3174">
        <v>1</v>
      </c>
      <c r="B3174">
        <v>1000.1</v>
      </c>
      <c r="C3174">
        <v>1000</v>
      </c>
      <c r="D3174" t="s">
        <v>5971</v>
      </c>
    </row>
    <row r="3175" spans="1:4" x14ac:dyDescent="0.2">
      <c r="A3175">
        <v>2</v>
      </c>
      <c r="B3175">
        <v>1000.3</v>
      </c>
      <c r="C3175">
        <v>1000</v>
      </c>
      <c r="D3175" t="s">
        <v>5971</v>
      </c>
    </row>
    <row r="3176" spans="1:4" x14ac:dyDescent="0.2">
      <c r="A3176">
        <v>3</v>
      </c>
      <c r="B3176">
        <v>1000.2</v>
      </c>
      <c r="C3176">
        <v>1000</v>
      </c>
      <c r="D3176" t="s">
        <v>5971</v>
      </c>
    </row>
    <row r="3177" spans="1:4" x14ac:dyDescent="0.2">
      <c r="A3177">
        <v>4</v>
      </c>
      <c r="B3177">
        <v>1000.3</v>
      </c>
      <c r="C3177">
        <v>1000</v>
      </c>
      <c r="D3177" t="s">
        <v>5971</v>
      </c>
    </row>
    <row r="3178" spans="1:4" x14ac:dyDescent="0.2">
      <c r="A3178">
        <v>5</v>
      </c>
      <c r="B3178">
        <v>1000</v>
      </c>
      <c r="C3178">
        <v>1000</v>
      </c>
      <c r="D3178" t="s">
        <v>5971</v>
      </c>
    </row>
    <row r="3179" spans="1:4" x14ac:dyDescent="0.2">
      <c r="A3179">
        <v>6</v>
      </c>
      <c r="B3179">
        <v>1000</v>
      </c>
      <c r="C3179">
        <v>1000</v>
      </c>
      <c r="D3179" t="s">
        <v>5971</v>
      </c>
    </row>
    <row r="3180" spans="1:4" x14ac:dyDescent="0.2">
      <c r="A3180">
        <v>7</v>
      </c>
      <c r="B3180">
        <v>-100.1</v>
      </c>
      <c r="C3180">
        <v>-100</v>
      </c>
      <c r="D3180" t="s">
        <v>5971</v>
      </c>
    </row>
    <row r="3181" spans="1:4" x14ac:dyDescent="0.2">
      <c r="A3181">
        <v>8</v>
      </c>
      <c r="B3181">
        <v>-99.9</v>
      </c>
      <c r="C3181">
        <v>-100</v>
      </c>
      <c r="D3181" t="s">
        <v>5971</v>
      </c>
    </row>
    <row r="3182" spans="1:4" x14ac:dyDescent="0.2">
      <c r="A3182">
        <v>9</v>
      </c>
      <c r="B3182">
        <v>-100.1</v>
      </c>
      <c r="C3182">
        <v>-100</v>
      </c>
      <c r="D3182" t="s">
        <v>5971</v>
      </c>
    </row>
    <row r="3183" spans="1:4" x14ac:dyDescent="0.2">
      <c r="A3183">
        <v>10</v>
      </c>
      <c r="B3183">
        <v>-99.7</v>
      </c>
      <c r="C3183">
        <v>-100</v>
      </c>
      <c r="D3183" t="s">
        <v>5971</v>
      </c>
    </row>
    <row r="3184" spans="1:4" x14ac:dyDescent="0.2">
      <c r="A3184">
        <v>11</v>
      </c>
      <c r="B3184">
        <v>-99.9</v>
      </c>
      <c r="C3184">
        <v>-100</v>
      </c>
      <c r="D3184" t="s">
        <v>5971</v>
      </c>
    </row>
    <row r="3185" spans="1:4" x14ac:dyDescent="0.2">
      <c r="A3185">
        <v>12</v>
      </c>
      <c r="B3185">
        <v>-100.2</v>
      </c>
      <c r="C3185">
        <v>-100</v>
      </c>
      <c r="D3185" t="s">
        <v>5971</v>
      </c>
    </row>
    <row r="3186" spans="1:4" x14ac:dyDescent="0.2">
      <c r="A3186">
        <v>7</v>
      </c>
      <c r="B3186">
        <v>-50.1</v>
      </c>
      <c r="C3186">
        <v>-50</v>
      </c>
      <c r="D3186" t="s">
        <v>5971</v>
      </c>
    </row>
    <row r="3187" spans="1:4" x14ac:dyDescent="0.2">
      <c r="A3187">
        <v>8</v>
      </c>
      <c r="B3187">
        <v>-49.7</v>
      </c>
      <c r="C3187">
        <v>-50</v>
      </c>
      <c r="D3187" t="s">
        <v>5971</v>
      </c>
    </row>
    <row r="3188" spans="1:4" x14ac:dyDescent="0.2">
      <c r="A3188">
        <v>9</v>
      </c>
      <c r="B3188">
        <v>-49.8</v>
      </c>
      <c r="C3188">
        <v>-50</v>
      </c>
      <c r="D3188" t="s">
        <v>5971</v>
      </c>
    </row>
    <row r="3189" spans="1:4" x14ac:dyDescent="0.2">
      <c r="A3189">
        <v>10</v>
      </c>
      <c r="B3189">
        <v>-49.7</v>
      </c>
      <c r="C3189">
        <v>-50</v>
      </c>
      <c r="D3189" t="s">
        <v>5971</v>
      </c>
    </row>
    <row r="3190" spans="1:4" x14ac:dyDescent="0.2">
      <c r="A3190">
        <v>11</v>
      </c>
      <c r="B3190">
        <v>-49.9</v>
      </c>
      <c r="C3190">
        <v>-50</v>
      </c>
      <c r="D3190" t="s">
        <v>5971</v>
      </c>
    </row>
    <row r="3191" spans="1:4" x14ac:dyDescent="0.2">
      <c r="A3191">
        <v>12</v>
      </c>
      <c r="B3191">
        <v>-50</v>
      </c>
      <c r="C3191">
        <v>-50</v>
      </c>
      <c r="D3191" t="s">
        <v>5971</v>
      </c>
    </row>
    <row r="3192" spans="1:4" x14ac:dyDescent="0.2">
      <c r="A3192">
        <v>7</v>
      </c>
      <c r="B3192">
        <v>-0.1</v>
      </c>
      <c r="C3192">
        <v>0</v>
      </c>
      <c r="D3192" t="s">
        <v>5971</v>
      </c>
    </row>
    <row r="3193" spans="1:4" x14ac:dyDescent="0.2">
      <c r="A3193">
        <v>8</v>
      </c>
      <c r="B3193">
        <v>0.3</v>
      </c>
      <c r="C3193">
        <v>0</v>
      </c>
      <c r="D3193" t="s">
        <v>5971</v>
      </c>
    </row>
    <row r="3194" spans="1:4" x14ac:dyDescent="0.2">
      <c r="A3194">
        <v>9</v>
      </c>
      <c r="B3194">
        <v>0.2</v>
      </c>
      <c r="C3194">
        <v>0</v>
      </c>
      <c r="D3194" t="s">
        <v>5971</v>
      </c>
    </row>
    <row r="3195" spans="1:4" x14ac:dyDescent="0.2">
      <c r="A3195">
        <v>10</v>
      </c>
      <c r="B3195">
        <v>0.4</v>
      </c>
      <c r="C3195">
        <v>0</v>
      </c>
      <c r="D3195" t="s">
        <v>5971</v>
      </c>
    </row>
    <row r="3196" spans="1:4" x14ac:dyDescent="0.2">
      <c r="A3196">
        <v>11</v>
      </c>
      <c r="B3196">
        <v>0.1</v>
      </c>
      <c r="C3196">
        <v>0</v>
      </c>
      <c r="D3196" t="s">
        <v>5971</v>
      </c>
    </row>
    <row r="3197" spans="1:4" x14ac:dyDescent="0.2">
      <c r="A3197">
        <v>12</v>
      </c>
      <c r="B3197">
        <v>0</v>
      </c>
      <c r="C3197">
        <v>0</v>
      </c>
      <c r="D3197" t="s">
        <v>5971</v>
      </c>
    </row>
    <row r="3198" spans="1:4" x14ac:dyDescent="0.2">
      <c r="A3198">
        <v>7</v>
      </c>
      <c r="B3198">
        <v>249.9</v>
      </c>
      <c r="C3198">
        <v>250</v>
      </c>
      <c r="D3198" t="s">
        <v>5971</v>
      </c>
    </row>
    <row r="3199" spans="1:4" x14ac:dyDescent="0.2">
      <c r="A3199">
        <v>8</v>
      </c>
      <c r="B3199">
        <v>250.4</v>
      </c>
      <c r="C3199">
        <v>250</v>
      </c>
      <c r="D3199" t="s">
        <v>5971</v>
      </c>
    </row>
    <row r="3200" spans="1:4" x14ac:dyDescent="0.2">
      <c r="A3200">
        <v>9</v>
      </c>
      <c r="B3200">
        <v>250.1</v>
      </c>
      <c r="C3200">
        <v>250</v>
      </c>
      <c r="D3200" t="s">
        <v>5971</v>
      </c>
    </row>
    <row r="3201" spans="1:4" x14ac:dyDescent="0.2">
      <c r="A3201">
        <v>10</v>
      </c>
      <c r="B3201">
        <v>250.4</v>
      </c>
      <c r="C3201">
        <v>250</v>
      </c>
      <c r="D3201" t="s">
        <v>5971</v>
      </c>
    </row>
    <row r="3202" spans="1:4" x14ac:dyDescent="0.2">
      <c r="A3202">
        <v>11</v>
      </c>
      <c r="B3202">
        <v>250.1</v>
      </c>
      <c r="C3202">
        <v>250</v>
      </c>
      <c r="D3202" t="s">
        <v>5971</v>
      </c>
    </row>
    <row r="3203" spans="1:4" x14ac:dyDescent="0.2">
      <c r="A3203">
        <v>12</v>
      </c>
      <c r="B3203">
        <v>250</v>
      </c>
      <c r="C3203">
        <v>250</v>
      </c>
      <c r="D3203" t="s">
        <v>5971</v>
      </c>
    </row>
    <row r="3204" spans="1:4" x14ac:dyDescent="0.2">
      <c r="A3204">
        <v>7</v>
      </c>
      <c r="B3204">
        <v>499.9</v>
      </c>
      <c r="C3204">
        <v>500</v>
      </c>
      <c r="D3204" t="s">
        <v>5971</v>
      </c>
    </row>
    <row r="3205" spans="1:4" x14ac:dyDescent="0.2">
      <c r="A3205">
        <v>8</v>
      </c>
      <c r="B3205">
        <v>500.3</v>
      </c>
      <c r="C3205">
        <v>500</v>
      </c>
      <c r="D3205" t="s">
        <v>5971</v>
      </c>
    </row>
    <row r="3206" spans="1:4" x14ac:dyDescent="0.2">
      <c r="A3206">
        <v>9</v>
      </c>
      <c r="B3206">
        <v>500.1</v>
      </c>
      <c r="C3206">
        <v>500</v>
      </c>
      <c r="D3206" t="s">
        <v>5971</v>
      </c>
    </row>
    <row r="3207" spans="1:4" x14ac:dyDescent="0.2">
      <c r="A3207">
        <v>10</v>
      </c>
      <c r="B3207">
        <v>500.4</v>
      </c>
      <c r="C3207">
        <v>500</v>
      </c>
      <c r="D3207" t="s">
        <v>5971</v>
      </c>
    </row>
    <row r="3208" spans="1:4" x14ac:dyDescent="0.2">
      <c r="A3208">
        <v>11</v>
      </c>
      <c r="B3208">
        <v>500.1</v>
      </c>
      <c r="C3208">
        <v>500</v>
      </c>
      <c r="D3208" t="s">
        <v>5971</v>
      </c>
    </row>
    <row r="3209" spans="1:4" x14ac:dyDescent="0.2">
      <c r="A3209">
        <v>12</v>
      </c>
      <c r="B3209">
        <v>500</v>
      </c>
      <c r="C3209">
        <v>500</v>
      </c>
      <c r="D3209" t="s">
        <v>5971</v>
      </c>
    </row>
    <row r="3210" spans="1:4" x14ac:dyDescent="0.2">
      <c r="A3210">
        <v>7</v>
      </c>
      <c r="B3210">
        <v>999.8</v>
      </c>
      <c r="C3210">
        <v>1000</v>
      </c>
      <c r="D3210" t="s">
        <v>5971</v>
      </c>
    </row>
    <row r="3211" spans="1:4" x14ac:dyDescent="0.2">
      <c r="A3211">
        <v>8</v>
      </c>
      <c r="B3211">
        <v>1000.3</v>
      </c>
      <c r="C3211">
        <v>1000</v>
      </c>
      <c r="D3211" t="s">
        <v>5971</v>
      </c>
    </row>
    <row r="3212" spans="1:4" x14ac:dyDescent="0.2">
      <c r="A3212">
        <v>9</v>
      </c>
      <c r="B3212">
        <v>1000</v>
      </c>
      <c r="C3212">
        <v>1000</v>
      </c>
      <c r="D3212" t="s">
        <v>5971</v>
      </c>
    </row>
    <row r="3213" spans="1:4" x14ac:dyDescent="0.2">
      <c r="A3213">
        <v>10</v>
      </c>
      <c r="B3213">
        <v>1000.4</v>
      </c>
      <c r="C3213">
        <v>1000</v>
      </c>
      <c r="D3213" t="s">
        <v>5971</v>
      </c>
    </row>
    <row r="3214" spans="1:4" x14ac:dyDescent="0.2">
      <c r="A3214">
        <v>11</v>
      </c>
      <c r="B3214">
        <v>1000.1</v>
      </c>
      <c r="C3214">
        <v>1000</v>
      </c>
      <c r="D3214" t="s">
        <v>5971</v>
      </c>
    </row>
    <row r="3215" spans="1:4" x14ac:dyDescent="0.2">
      <c r="A3215">
        <v>12</v>
      </c>
      <c r="B3215">
        <v>1000</v>
      </c>
      <c r="C3215">
        <v>1000</v>
      </c>
      <c r="D3215" t="s">
        <v>5971</v>
      </c>
    </row>
    <row r="3216" spans="1:4" x14ac:dyDescent="0.2">
      <c r="A3216">
        <v>13</v>
      </c>
      <c r="B3216">
        <v>-99.9</v>
      </c>
      <c r="C3216">
        <v>-100</v>
      </c>
      <c r="D3216" t="s">
        <v>5971</v>
      </c>
    </row>
    <row r="3217" spans="1:4" x14ac:dyDescent="0.2">
      <c r="A3217">
        <v>14</v>
      </c>
      <c r="B3217">
        <v>-99.7</v>
      </c>
      <c r="C3217">
        <v>-100</v>
      </c>
      <c r="D3217" t="s">
        <v>5971</v>
      </c>
    </row>
    <row r="3218" spans="1:4" x14ac:dyDescent="0.2">
      <c r="A3218">
        <v>15</v>
      </c>
      <c r="B3218">
        <v>-99.8</v>
      </c>
      <c r="C3218">
        <v>-100</v>
      </c>
      <c r="D3218" t="s">
        <v>5971</v>
      </c>
    </row>
    <row r="3219" spans="1:4" x14ac:dyDescent="0.2">
      <c r="A3219">
        <v>16</v>
      </c>
      <c r="B3219">
        <v>-100</v>
      </c>
      <c r="C3219">
        <v>-100</v>
      </c>
      <c r="D3219" t="s">
        <v>5971</v>
      </c>
    </row>
    <row r="3220" spans="1:4" x14ac:dyDescent="0.2">
      <c r="A3220">
        <v>17</v>
      </c>
      <c r="B3220">
        <v>-100</v>
      </c>
      <c r="C3220">
        <v>-100</v>
      </c>
      <c r="D3220" t="s">
        <v>5971</v>
      </c>
    </row>
    <row r="3221" spans="1:4" x14ac:dyDescent="0.2">
      <c r="A3221">
        <v>18</v>
      </c>
      <c r="B3221">
        <v>-99.9</v>
      </c>
      <c r="C3221">
        <v>-100</v>
      </c>
      <c r="D3221" t="s">
        <v>5971</v>
      </c>
    </row>
    <row r="3222" spans="1:4" x14ac:dyDescent="0.2">
      <c r="A3222">
        <v>13</v>
      </c>
      <c r="B3222">
        <v>-49.9</v>
      </c>
      <c r="C3222">
        <v>-50</v>
      </c>
      <c r="D3222" t="s">
        <v>5971</v>
      </c>
    </row>
    <row r="3223" spans="1:4" x14ac:dyDescent="0.2">
      <c r="A3223">
        <v>14</v>
      </c>
      <c r="B3223">
        <v>-49.4</v>
      </c>
      <c r="C3223">
        <v>-50</v>
      </c>
      <c r="D3223" t="s">
        <v>5971</v>
      </c>
    </row>
    <row r="3224" spans="1:4" x14ac:dyDescent="0.2">
      <c r="A3224">
        <v>15</v>
      </c>
      <c r="B3224">
        <v>-49.8</v>
      </c>
      <c r="C3224">
        <v>-50</v>
      </c>
      <c r="D3224" t="s">
        <v>5971</v>
      </c>
    </row>
    <row r="3225" spans="1:4" x14ac:dyDescent="0.2">
      <c r="A3225">
        <v>16</v>
      </c>
      <c r="B3225">
        <v>-50.1</v>
      </c>
      <c r="C3225">
        <v>-50</v>
      </c>
      <c r="D3225" t="s">
        <v>5971</v>
      </c>
    </row>
    <row r="3226" spans="1:4" x14ac:dyDescent="0.2">
      <c r="A3226">
        <v>17</v>
      </c>
      <c r="B3226">
        <v>-50.1</v>
      </c>
      <c r="C3226">
        <v>-50</v>
      </c>
      <c r="D3226" t="s">
        <v>5971</v>
      </c>
    </row>
    <row r="3227" spans="1:4" x14ac:dyDescent="0.2">
      <c r="A3227">
        <v>18</v>
      </c>
      <c r="B3227">
        <v>-49.9</v>
      </c>
      <c r="C3227">
        <v>-50</v>
      </c>
      <c r="D3227" t="s">
        <v>5971</v>
      </c>
    </row>
    <row r="3228" spans="1:4" x14ac:dyDescent="0.2">
      <c r="A3228">
        <v>13</v>
      </c>
      <c r="B3228">
        <v>0.1</v>
      </c>
      <c r="C3228">
        <v>0</v>
      </c>
      <c r="D3228" t="s">
        <v>5971</v>
      </c>
    </row>
    <row r="3229" spans="1:4" x14ac:dyDescent="0.2">
      <c r="A3229">
        <v>14</v>
      </c>
      <c r="B3229">
        <v>0.1</v>
      </c>
      <c r="C3229">
        <v>0</v>
      </c>
      <c r="D3229" t="s">
        <v>5971</v>
      </c>
    </row>
    <row r="3230" spans="1:4" x14ac:dyDescent="0.2">
      <c r="A3230">
        <v>15</v>
      </c>
      <c r="B3230">
        <v>0.1</v>
      </c>
      <c r="C3230">
        <v>0</v>
      </c>
      <c r="D3230" t="s">
        <v>5971</v>
      </c>
    </row>
    <row r="3231" spans="1:4" x14ac:dyDescent="0.2">
      <c r="A3231">
        <v>16</v>
      </c>
      <c r="B3231">
        <v>-0.1</v>
      </c>
      <c r="C3231">
        <v>0</v>
      </c>
      <c r="D3231" t="s">
        <v>5971</v>
      </c>
    </row>
    <row r="3232" spans="1:4" x14ac:dyDescent="0.2">
      <c r="A3232">
        <v>17</v>
      </c>
      <c r="B3232">
        <v>-0.1</v>
      </c>
      <c r="C3232">
        <v>0</v>
      </c>
      <c r="D3232" t="s">
        <v>5971</v>
      </c>
    </row>
    <row r="3233" spans="1:4" x14ac:dyDescent="0.2">
      <c r="A3233">
        <v>18</v>
      </c>
      <c r="B3233">
        <v>0.1</v>
      </c>
      <c r="C3233">
        <v>0</v>
      </c>
      <c r="D3233" t="s">
        <v>5971</v>
      </c>
    </row>
    <row r="3234" spans="1:4" x14ac:dyDescent="0.2">
      <c r="A3234">
        <v>13</v>
      </c>
      <c r="B3234">
        <v>250.1</v>
      </c>
      <c r="C3234">
        <v>250</v>
      </c>
      <c r="D3234" t="s">
        <v>5971</v>
      </c>
    </row>
    <row r="3235" spans="1:4" x14ac:dyDescent="0.2">
      <c r="A3235">
        <v>14</v>
      </c>
      <c r="B3235">
        <v>250.1</v>
      </c>
      <c r="C3235">
        <v>250</v>
      </c>
      <c r="D3235" t="s">
        <v>5971</v>
      </c>
    </row>
    <row r="3236" spans="1:4" x14ac:dyDescent="0.2">
      <c r="A3236">
        <v>15</v>
      </c>
      <c r="B3236">
        <v>250</v>
      </c>
      <c r="C3236">
        <v>250</v>
      </c>
      <c r="D3236" t="s">
        <v>5971</v>
      </c>
    </row>
    <row r="3237" spans="1:4" x14ac:dyDescent="0.2">
      <c r="A3237">
        <v>16</v>
      </c>
      <c r="B3237">
        <v>250</v>
      </c>
      <c r="C3237">
        <v>250</v>
      </c>
      <c r="D3237" t="s">
        <v>5971</v>
      </c>
    </row>
    <row r="3238" spans="1:4" x14ac:dyDescent="0.2">
      <c r="A3238">
        <v>17</v>
      </c>
      <c r="B3238">
        <v>249.9</v>
      </c>
      <c r="C3238">
        <v>250</v>
      </c>
      <c r="D3238" t="s">
        <v>5971</v>
      </c>
    </row>
    <row r="3239" spans="1:4" x14ac:dyDescent="0.2">
      <c r="A3239">
        <v>18</v>
      </c>
      <c r="B3239">
        <v>250.1</v>
      </c>
      <c r="C3239">
        <v>250</v>
      </c>
      <c r="D3239" t="s">
        <v>5971</v>
      </c>
    </row>
    <row r="3240" spans="1:4" x14ac:dyDescent="0.2">
      <c r="A3240">
        <v>13</v>
      </c>
      <c r="B3240">
        <v>500</v>
      </c>
      <c r="C3240">
        <v>500</v>
      </c>
      <c r="D3240" t="s">
        <v>5971</v>
      </c>
    </row>
    <row r="3241" spans="1:4" x14ac:dyDescent="0.2">
      <c r="A3241">
        <v>14</v>
      </c>
      <c r="B3241">
        <v>500</v>
      </c>
      <c r="C3241">
        <v>500</v>
      </c>
      <c r="D3241" t="s">
        <v>5971</v>
      </c>
    </row>
    <row r="3242" spans="1:4" x14ac:dyDescent="0.2">
      <c r="A3242">
        <v>15</v>
      </c>
      <c r="B3242">
        <v>500.1</v>
      </c>
      <c r="C3242">
        <v>500</v>
      </c>
      <c r="D3242" t="s">
        <v>5971</v>
      </c>
    </row>
    <row r="3243" spans="1:4" x14ac:dyDescent="0.2">
      <c r="A3243">
        <v>16</v>
      </c>
      <c r="B3243">
        <v>500</v>
      </c>
      <c r="C3243">
        <v>500</v>
      </c>
      <c r="D3243" t="s">
        <v>5971</v>
      </c>
    </row>
    <row r="3244" spans="1:4" x14ac:dyDescent="0.2">
      <c r="A3244">
        <v>17</v>
      </c>
      <c r="B3244">
        <v>499.8</v>
      </c>
      <c r="C3244">
        <v>500</v>
      </c>
      <c r="D3244" t="s">
        <v>5971</v>
      </c>
    </row>
    <row r="3245" spans="1:4" x14ac:dyDescent="0.2">
      <c r="A3245">
        <v>18</v>
      </c>
      <c r="B3245">
        <v>500.1</v>
      </c>
      <c r="C3245">
        <v>500</v>
      </c>
      <c r="D3245" t="s">
        <v>5971</v>
      </c>
    </row>
    <row r="3246" spans="1:4" x14ac:dyDescent="0.2">
      <c r="A3246">
        <v>13</v>
      </c>
      <c r="B3246">
        <v>1000</v>
      </c>
      <c r="C3246">
        <v>1000</v>
      </c>
      <c r="D3246" t="s">
        <v>5971</v>
      </c>
    </row>
    <row r="3247" spans="1:4" x14ac:dyDescent="0.2">
      <c r="A3247">
        <v>14</v>
      </c>
      <c r="B3247">
        <v>1000</v>
      </c>
      <c r="C3247">
        <v>1000</v>
      </c>
      <c r="D3247" t="s">
        <v>5971</v>
      </c>
    </row>
    <row r="3248" spans="1:4" x14ac:dyDescent="0.2">
      <c r="A3248">
        <v>15</v>
      </c>
      <c r="B3248">
        <v>1000.1</v>
      </c>
      <c r="C3248">
        <v>1000</v>
      </c>
      <c r="D3248" t="s">
        <v>5971</v>
      </c>
    </row>
    <row r="3249" spans="1:4" x14ac:dyDescent="0.2">
      <c r="A3249">
        <v>16</v>
      </c>
      <c r="B3249">
        <v>1000</v>
      </c>
      <c r="C3249">
        <v>1000</v>
      </c>
      <c r="D3249" t="s">
        <v>5971</v>
      </c>
    </row>
    <row r="3250" spans="1:4" x14ac:dyDescent="0.2">
      <c r="A3250">
        <v>17</v>
      </c>
      <c r="B3250">
        <v>999.8</v>
      </c>
      <c r="C3250">
        <v>1000</v>
      </c>
      <c r="D3250" t="s">
        <v>5971</v>
      </c>
    </row>
    <row r="3251" spans="1:4" x14ac:dyDescent="0.2">
      <c r="A3251">
        <v>18</v>
      </c>
      <c r="B3251">
        <v>1000.2</v>
      </c>
      <c r="C3251">
        <v>1000</v>
      </c>
      <c r="D3251" t="s">
        <v>5971</v>
      </c>
    </row>
    <row r="3252" spans="1:4" x14ac:dyDescent="0.2">
      <c r="A3252">
        <v>19</v>
      </c>
      <c r="B3252">
        <v>-100.1</v>
      </c>
      <c r="C3252">
        <v>-100</v>
      </c>
      <c r="D3252" t="s">
        <v>5971</v>
      </c>
    </row>
    <row r="3253" spans="1:4" x14ac:dyDescent="0.2">
      <c r="A3253">
        <v>20</v>
      </c>
      <c r="B3253">
        <v>-99.9</v>
      </c>
      <c r="C3253">
        <v>-100</v>
      </c>
      <c r="D3253" t="s">
        <v>5971</v>
      </c>
    </row>
    <row r="3254" spans="1:4" x14ac:dyDescent="0.2">
      <c r="A3254">
        <v>21</v>
      </c>
      <c r="B3254">
        <v>-99.9</v>
      </c>
      <c r="C3254">
        <v>-100</v>
      </c>
      <c r="D3254" t="s">
        <v>5971</v>
      </c>
    </row>
    <row r="3255" spans="1:4" x14ac:dyDescent="0.2">
      <c r="A3255">
        <v>22</v>
      </c>
      <c r="B3255">
        <v>-99.9</v>
      </c>
      <c r="C3255">
        <v>-100</v>
      </c>
      <c r="D3255" t="s">
        <v>5971</v>
      </c>
    </row>
    <row r="3256" spans="1:4" x14ac:dyDescent="0.2">
      <c r="A3256">
        <v>23</v>
      </c>
      <c r="B3256">
        <v>-99.9</v>
      </c>
      <c r="C3256">
        <v>-100</v>
      </c>
      <c r="D3256" t="s">
        <v>5971</v>
      </c>
    </row>
    <row r="3257" spans="1:4" x14ac:dyDescent="0.2">
      <c r="A3257">
        <v>24</v>
      </c>
      <c r="B3257">
        <v>-99.9</v>
      </c>
      <c r="C3257">
        <v>-100</v>
      </c>
      <c r="D3257" t="s">
        <v>5971</v>
      </c>
    </row>
    <row r="3258" spans="1:4" x14ac:dyDescent="0.2">
      <c r="A3258">
        <v>19</v>
      </c>
      <c r="B3258">
        <v>-50.1</v>
      </c>
      <c r="C3258">
        <v>-50</v>
      </c>
      <c r="D3258" t="s">
        <v>5971</v>
      </c>
    </row>
    <row r="3259" spans="1:4" x14ac:dyDescent="0.2">
      <c r="A3259">
        <v>20</v>
      </c>
      <c r="B3259">
        <v>-49.9</v>
      </c>
      <c r="C3259">
        <v>-50</v>
      </c>
      <c r="D3259" t="s">
        <v>5971</v>
      </c>
    </row>
    <row r="3260" spans="1:4" x14ac:dyDescent="0.2">
      <c r="A3260">
        <v>21</v>
      </c>
      <c r="B3260">
        <v>-50</v>
      </c>
      <c r="C3260">
        <v>-50</v>
      </c>
      <c r="D3260" t="s">
        <v>5971</v>
      </c>
    </row>
    <row r="3261" spans="1:4" x14ac:dyDescent="0.2">
      <c r="A3261">
        <v>22</v>
      </c>
      <c r="B3261">
        <v>-49.9</v>
      </c>
      <c r="C3261">
        <v>-50</v>
      </c>
      <c r="D3261" t="s">
        <v>5971</v>
      </c>
    </row>
    <row r="3262" spans="1:4" x14ac:dyDescent="0.2">
      <c r="A3262">
        <v>23</v>
      </c>
      <c r="B3262">
        <v>-50</v>
      </c>
      <c r="C3262">
        <v>-50</v>
      </c>
      <c r="D3262" t="s">
        <v>5971</v>
      </c>
    </row>
    <row r="3263" spans="1:4" x14ac:dyDescent="0.2">
      <c r="A3263">
        <v>24</v>
      </c>
      <c r="B3263">
        <v>-50</v>
      </c>
      <c r="C3263">
        <v>-50</v>
      </c>
      <c r="D3263" t="s">
        <v>5971</v>
      </c>
    </row>
    <row r="3264" spans="1:4" x14ac:dyDescent="0.2">
      <c r="A3264">
        <v>19</v>
      </c>
      <c r="B3264">
        <v>-0.1</v>
      </c>
      <c r="C3264">
        <v>0</v>
      </c>
      <c r="D3264" t="s">
        <v>5971</v>
      </c>
    </row>
    <row r="3265" spans="1:4" x14ac:dyDescent="0.2">
      <c r="A3265">
        <v>20</v>
      </c>
      <c r="B3265">
        <v>0</v>
      </c>
      <c r="C3265">
        <v>0</v>
      </c>
      <c r="D3265" t="s">
        <v>5971</v>
      </c>
    </row>
    <row r="3266" spans="1:4" x14ac:dyDescent="0.2">
      <c r="A3266">
        <v>21</v>
      </c>
      <c r="B3266">
        <v>0</v>
      </c>
      <c r="C3266">
        <v>0</v>
      </c>
      <c r="D3266" t="s">
        <v>5971</v>
      </c>
    </row>
    <row r="3267" spans="1:4" x14ac:dyDescent="0.2">
      <c r="A3267">
        <v>22</v>
      </c>
      <c r="B3267">
        <v>0</v>
      </c>
      <c r="C3267">
        <v>0</v>
      </c>
      <c r="D3267" t="s">
        <v>5971</v>
      </c>
    </row>
    <row r="3268" spans="1:4" x14ac:dyDescent="0.2">
      <c r="A3268">
        <v>23</v>
      </c>
      <c r="B3268">
        <v>0</v>
      </c>
      <c r="C3268">
        <v>0</v>
      </c>
      <c r="D3268" t="s">
        <v>5971</v>
      </c>
    </row>
    <row r="3269" spans="1:4" x14ac:dyDescent="0.2">
      <c r="A3269">
        <v>24</v>
      </c>
      <c r="B3269">
        <v>-0.1</v>
      </c>
      <c r="C3269">
        <v>0</v>
      </c>
      <c r="D3269" t="s">
        <v>5971</v>
      </c>
    </row>
    <row r="3270" spans="1:4" x14ac:dyDescent="0.2">
      <c r="A3270">
        <v>19</v>
      </c>
      <c r="B3270">
        <v>250</v>
      </c>
      <c r="C3270">
        <v>250</v>
      </c>
      <c r="D3270" t="s">
        <v>5971</v>
      </c>
    </row>
    <row r="3271" spans="1:4" x14ac:dyDescent="0.2">
      <c r="A3271">
        <v>20</v>
      </c>
      <c r="B3271">
        <v>250</v>
      </c>
      <c r="C3271">
        <v>250</v>
      </c>
      <c r="D3271" t="s">
        <v>5971</v>
      </c>
    </row>
    <row r="3272" spans="1:4" x14ac:dyDescent="0.2">
      <c r="A3272">
        <v>21</v>
      </c>
      <c r="B3272">
        <v>250.1</v>
      </c>
      <c r="C3272">
        <v>250</v>
      </c>
      <c r="D3272" t="s">
        <v>5971</v>
      </c>
    </row>
    <row r="3273" spans="1:4" x14ac:dyDescent="0.2">
      <c r="A3273">
        <v>22</v>
      </c>
      <c r="B3273">
        <v>250</v>
      </c>
      <c r="C3273">
        <v>250</v>
      </c>
      <c r="D3273" t="s">
        <v>5971</v>
      </c>
    </row>
    <row r="3274" spans="1:4" x14ac:dyDescent="0.2">
      <c r="A3274">
        <v>23</v>
      </c>
      <c r="B3274">
        <v>250</v>
      </c>
      <c r="C3274">
        <v>250</v>
      </c>
      <c r="D3274" t="s">
        <v>5971</v>
      </c>
    </row>
    <row r="3275" spans="1:4" x14ac:dyDescent="0.2">
      <c r="A3275">
        <v>24</v>
      </c>
      <c r="B3275">
        <v>249.9</v>
      </c>
      <c r="C3275">
        <v>250</v>
      </c>
      <c r="D3275" t="s">
        <v>5971</v>
      </c>
    </row>
    <row r="3276" spans="1:4" x14ac:dyDescent="0.2">
      <c r="A3276">
        <v>19</v>
      </c>
      <c r="B3276">
        <v>500</v>
      </c>
      <c r="C3276">
        <v>500</v>
      </c>
      <c r="D3276" t="s">
        <v>5971</v>
      </c>
    </row>
    <row r="3277" spans="1:4" x14ac:dyDescent="0.2">
      <c r="A3277">
        <v>20</v>
      </c>
      <c r="B3277">
        <v>500</v>
      </c>
      <c r="C3277">
        <v>500</v>
      </c>
      <c r="D3277" t="s">
        <v>5971</v>
      </c>
    </row>
    <row r="3278" spans="1:4" x14ac:dyDescent="0.2">
      <c r="A3278">
        <v>21</v>
      </c>
      <c r="B3278">
        <v>500</v>
      </c>
      <c r="C3278">
        <v>500</v>
      </c>
      <c r="D3278" t="s">
        <v>5971</v>
      </c>
    </row>
    <row r="3279" spans="1:4" x14ac:dyDescent="0.2">
      <c r="A3279">
        <v>22</v>
      </c>
      <c r="B3279">
        <v>500</v>
      </c>
      <c r="C3279">
        <v>500</v>
      </c>
      <c r="D3279" t="s">
        <v>5971</v>
      </c>
    </row>
    <row r="3280" spans="1:4" x14ac:dyDescent="0.2">
      <c r="A3280">
        <v>23</v>
      </c>
      <c r="B3280">
        <v>500</v>
      </c>
      <c r="C3280">
        <v>500</v>
      </c>
      <c r="D3280" t="s">
        <v>5971</v>
      </c>
    </row>
    <row r="3281" spans="1:4" x14ac:dyDescent="0.2">
      <c r="A3281">
        <v>24</v>
      </c>
      <c r="B3281">
        <v>499.9</v>
      </c>
      <c r="C3281">
        <v>500</v>
      </c>
      <c r="D3281" t="s">
        <v>5971</v>
      </c>
    </row>
    <row r="3282" spans="1:4" x14ac:dyDescent="0.2">
      <c r="A3282">
        <v>19</v>
      </c>
      <c r="B3282">
        <v>1000</v>
      </c>
      <c r="C3282">
        <v>1000</v>
      </c>
      <c r="D3282" t="s">
        <v>5971</v>
      </c>
    </row>
    <row r="3283" spans="1:4" x14ac:dyDescent="0.2">
      <c r="A3283">
        <v>20</v>
      </c>
      <c r="B3283">
        <v>1000</v>
      </c>
      <c r="C3283">
        <v>1000</v>
      </c>
      <c r="D3283" t="s">
        <v>5971</v>
      </c>
    </row>
    <row r="3284" spans="1:4" x14ac:dyDescent="0.2">
      <c r="A3284">
        <v>21</v>
      </c>
      <c r="B3284">
        <v>999.9</v>
      </c>
      <c r="C3284">
        <v>1000</v>
      </c>
      <c r="D3284" t="s">
        <v>5971</v>
      </c>
    </row>
    <row r="3285" spans="1:4" x14ac:dyDescent="0.2">
      <c r="A3285">
        <v>22</v>
      </c>
      <c r="B3285">
        <v>1000</v>
      </c>
      <c r="C3285">
        <v>1000</v>
      </c>
      <c r="D3285" t="s">
        <v>5971</v>
      </c>
    </row>
    <row r="3286" spans="1:4" x14ac:dyDescent="0.2">
      <c r="A3286">
        <v>23</v>
      </c>
      <c r="B3286">
        <v>1000</v>
      </c>
      <c r="C3286">
        <v>1000</v>
      </c>
      <c r="D3286" t="s">
        <v>5971</v>
      </c>
    </row>
    <row r="3287" spans="1:4" x14ac:dyDescent="0.2">
      <c r="A3287">
        <v>24</v>
      </c>
      <c r="B3287">
        <v>1000</v>
      </c>
      <c r="C3287">
        <v>1000</v>
      </c>
      <c r="D3287" t="s">
        <v>5971</v>
      </c>
    </row>
    <row r="3288" spans="1:4" x14ac:dyDescent="0.2">
      <c r="A3288">
        <v>25</v>
      </c>
      <c r="B3288">
        <v>-100.5</v>
      </c>
      <c r="C3288">
        <v>-100</v>
      </c>
      <c r="D3288" t="s">
        <v>5971</v>
      </c>
    </row>
    <row r="3289" spans="1:4" x14ac:dyDescent="0.2">
      <c r="A3289">
        <v>26</v>
      </c>
      <c r="B3289">
        <v>-99.5</v>
      </c>
      <c r="C3289">
        <v>-100</v>
      </c>
      <c r="D3289" t="s">
        <v>5971</v>
      </c>
    </row>
    <row r="3290" spans="1:4" x14ac:dyDescent="0.2">
      <c r="A3290">
        <v>27</v>
      </c>
      <c r="B3290">
        <v>-99.6</v>
      </c>
      <c r="C3290">
        <v>-100</v>
      </c>
      <c r="D3290" t="s">
        <v>5971</v>
      </c>
    </row>
    <row r="3291" spans="1:4" x14ac:dyDescent="0.2">
      <c r="A3291">
        <v>28</v>
      </c>
      <c r="B3291">
        <v>-100.2</v>
      </c>
      <c r="C3291">
        <v>-100</v>
      </c>
      <c r="D3291" t="s">
        <v>5971</v>
      </c>
    </row>
    <row r="3292" spans="1:4" x14ac:dyDescent="0.2">
      <c r="A3292">
        <v>29</v>
      </c>
      <c r="B3292">
        <v>-100.1</v>
      </c>
      <c r="C3292">
        <v>-100</v>
      </c>
      <c r="D3292" t="s">
        <v>5971</v>
      </c>
    </row>
    <row r="3293" spans="1:4" x14ac:dyDescent="0.2">
      <c r="A3293">
        <v>30</v>
      </c>
      <c r="B3293">
        <v>-100.2</v>
      </c>
      <c r="C3293">
        <v>-100</v>
      </c>
      <c r="D3293" t="s">
        <v>5971</v>
      </c>
    </row>
    <row r="3294" spans="1:4" x14ac:dyDescent="0.2">
      <c r="A3294">
        <v>25</v>
      </c>
      <c r="B3294">
        <v>-50.5</v>
      </c>
      <c r="C3294">
        <v>-50</v>
      </c>
      <c r="D3294" t="s">
        <v>5971</v>
      </c>
    </row>
    <row r="3295" spans="1:4" x14ac:dyDescent="0.2">
      <c r="A3295">
        <v>26</v>
      </c>
      <c r="B3295">
        <v>-49.5</v>
      </c>
      <c r="C3295">
        <v>-50</v>
      </c>
      <c r="D3295" t="s">
        <v>5971</v>
      </c>
    </row>
    <row r="3296" spans="1:4" x14ac:dyDescent="0.2">
      <c r="A3296">
        <v>27</v>
      </c>
      <c r="B3296">
        <v>-49.8</v>
      </c>
      <c r="C3296">
        <v>-50</v>
      </c>
      <c r="D3296" t="s">
        <v>5971</v>
      </c>
    </row>
    <row r="3297" spans="1:4" x14ac:dyDescent="0.2">
      <c r="A3297">
        <v>28</v>
      </c>
      <c r="B3297">
        <v>-50.3</v>
      </c>
      <c r="C3297">
        <v>-50</v>
      </c>
      <c r="D3297" t="s">
        <v>5971</v>
      </c>
    </row>
    <row r="3298" spans="1:4" x14ac:dyDescent="0.2">
      <c r="A3298">
        <v>29</v>
      </c>
      <c r="B3298">
        <v>-50.1</v>
      </c>
      <c r="C3298">
        <v>-50</v>
      </c>
      <c r="D3298" t="s">
        <v>5971</v>
      </c>
    </row>
    <row r="3299" spans="1:4" x14ac:dyDescent="0.2">
      <c r="A3299">
        <v>30</v>
      </c>
      <c r="B3299">
        <v>-50.2</v>
      </c>
      <c r="C3299">
        <v>-50</v>
      </c>
      <c r="D3299" t="s">
        <v>5971</v>
      </c>
    </row>
    <row r="3300" spans="1:4" x14ac:dyDescent="0.2">
      <c r="A3300">
        <v>25</v>
      </c>
      <c r="B3300">
        <v>-0.5</v>
      </c>
      <c r="C3300">
        <v>0</v>
      </c>
      <c r="D3300" t="s">
        <v>5971</v>
      </c>
    </row>
    <row r="3301" spans="1:4" x14ac:dyDescent="0.2">
      <c r="A3301">
        <v>26</v>
      </c>
      <c r="B3301">
        <v>0.5</v>
      </c>
      <c r="C3301">
        <v>0</v>
      </c>
      <c r="D3301" t="s">
        <v>5971</v>
      </c>
    </row>
    <row r="3302" spans="1:4" x14ac:dyDescent="0.2">
      <c r="A3302">
        <v>27</v>
      </c>
      <c r="B3302">
        <v>0.1</v>
      </c>
      <c r="C3302">
        <v>0</v>
      </c>
      <c r="D3302" t="s">
        <v>5971</v>
      </c>
    </row>
    <row r="3303" spans="1:4" x14ac:dyDescent="0.2">
      <c r="A3303">
        <v>28</v>
      </c>
      <c r="B3303">
        <v>-0.3</v>
      </c>
      <c r="C3303">
        <v>0</v>
      </c>
      <c r="D3303" t="s">
        <v>5971</v>
      </c>
    </row>
    <row r="3304" spans="1:4" x14ac:dyDescent="0.2">
      <c r="A3304">
        <v>29</v>
      </c>
      <c r="B3304">
        <v>-0.2</v>
      </c>
      <c r="C3304">
        <v>0</v>
      </c>
      <c r="D3304" t="s">
        <v>5971</v>
      </c>
    </row>
    <row r="3305" spans="1:4" x14ac:dyDescent="0.2">
      <c r="A3305">
        <v>30</v>
      </c>
      <c r="B3305">
        <v>-0.2</v>
      </c>
      <c r="C3305">
        <v>0</v>
      </c>
      <c r="D3305" t="s">
        <v>5971</v>
      </c>
    </row>
    <row r="3306" spans="1:4" x14ac:dyDescent="0.2">
      <c r="A3306">
        <v>25</v>
      </c>
      <c r="B3306">
        <v>249.5</v>
      </c>
      <c r="C3306">
        <v>250</v>
      </c>
      <c r="D3306" t="s">
        <v>5971</v>
      </c>
    </row>
    <row r="3307" spans="1:4" x14ac:dyDescent="0.2">
      <c r="A3307">
        <v>26</v>
      </c>
      <c r="B3307">
        <v>250.5</v>
      </c>
      <c r="C3307">
        <v>250</v>
      </c>
      <c r="D3307" t="s">
        <v>5971</v>
      </c>
    </row>
    <row r="3308" spans="1:4" x14ac:dyDescent="0.2">
      <c r="A3308">
        <v>27</v>
      </c>
      <c r="B3308">
        <v>250.1</v>
      </c>
      <c r="C3308">
        <v>250</v>
      </c>
      <c r="D3308" t="s">
        <v>5971</v>
      </c>
    </row>
    <row r="3309" spans="1:4" x14ac:dyDescent="0.2">
      <c r="A3309">
        <v>28</v>
      </c>
      <c r="B3309">
        <v>249.7</v>
      </c>
      <c r="C3309">
        <v>250</v>
      </c>
      <c r="D3309" t="s">
        <v>5971</v>
      </c>
    </row>
    <row r="3310" spans="1:4" x14ac:dyDescent="0.2">
      <c r="A3310">
        <v>29</v>
      </c>
      <c r="B3310">
        <v>249.8</v>
      </c>
      <c r="C3310">
        <v>250</v>
      </c>
      <c r="D3310" t="s">
        <v>5971</v>
      </c>
    </row>
    <row r="3311" spans="1:4" x14ac:dyDescent="0.2">
      <c r="A3311">
        <v>30</v>
      </c>
      <c r="B3311">
        <v>249.8</v>
      </c>
      <c r="C3311">
        <v>250</v>
      </c>
      <c r="D3311" t="s">
        <v>5971</v>
      </c>
    </row>
    <row r="3312" spans="1:4" x14ac:dyDescent="0.2">
      <c r="A3312">
        <v>25</v>
      </c>
      <c r="B3312">
        <v>499.5</v>
      </c>
      <c r="C3312">
        <v>500</v>
      </c>
      <c r="D3312" t="s">
        <v>5971</v>
      </c>
    </row>
    <row r="3313" spans="1:4" x14ac:dyDescent="0.2">
      <c r="A3313">
        <v>26</v>
      </c>
      <c r="B3313">
        <v>500.5</v>
      </c>
      <c r="C3313">
        <v>500</v>
      </c>
      <c r="D3313" t="s">
        <v>5971</v>
      </c>
    </row>
    <row r="3314" spans="1:4" x14ac:dyDescent="0.2">
      <c r="A3314">
        <v>27</v>
      </c>
      <c r="B3314">
        <v>500</v>
      </c>
      <c r="C3314">
        <v>500</v>
      </c>
      <c r="D3314" t="s">
        <v>5971</v>
      </c>
    </row>
    <row r="3315" spans="1:4" x14ac:dyDescent="0.2">
      <c r="A3315">
        <v>28</v>
      </c>
      <c r="B3315">
        <v>499.7</v>
      </c>
      <c r="C3315">
        <v>500</v>
      </c>
      <c r="D3315" t="s">
        <v>5971</v>
      </c>
    </row>
    <row r="3316" spans="1:4" x14ac:dyDescent="0.2">
      <c r="A3316">
        <v>29</v>
      </c>
      <c r="B3316">
        <v>499.7</v>
      </c>
      <c r="C3316">
        <v>500</v>
      </c>
      <c r="D3316" t="s">
        <v>5971</v>
      </c>
    </row>
    <row r="3317" spans="1:4" x14ac:dyDescent="0.2">
      <c r="A3317">
        <v>30</v>
      </c>
      <c r="B3317">
        <v>499.8</v>
      </c>
      <c r="C3317">
        <v>500</v>
      </c>
      <c r="D3317" t="s">
        <v>5971</v>
      </c>
    </row>
    <row r="3318" spans="1:4" x14ac:dyDescent="0.2">
      <c r="A3318">
        <v>25</v>
      </c>
      <c r="B3318">
        <v>999.5</v>
      </c>
      <c r="C3318">
        <v>1000</v>
      </c>
      <c r="D3318" t="s">
        <v>5971</v>
      </c>
    </row>
    <row r="3319" spans="1:4" x14ac:dyDescent="0.2">
      <c r="A3319">
        <v>26</v>
      </c>
      <c r="B3319">
        <v>1000.4</v>
      </c>
      <c r="C3319">
        <v>1000</v>
      </c>
      <c r="D3319" t="s">
        <v>5971</v>
      </c>
    </row>
    <row r="3320" spans="1:4" x14ac:dyDescent="0.2">
      <c r="A3320">
        <v>27</v>
      </c>
      <c r="B3320">
        <v>999.9</v>
      </c>
      <c r="C3320">
        <v>1000</v>
      </c>
      <c r="D3320" t="s">
        <v>5971</v>
      </c>
    </row>
    <row r="3321" spans="1:4" x14ac:dyDescent="0.2">
      <c r="A3321">
        <v>28</v>
      </c>
      <c r="B3321">
        <v>999.7</v>
      </c>
      <c r="C3321">
        <v>1000</v>
      </c>
      <c r="D3321" t="s">
        <v>5971</v>
      </c>
    </row>
    <row r="3322" spans="1:4" x14ac:dyDescent="0.2">
      <c r="A3322">
        <v>29</v>
      </c>
      <c r="B3322">
        <v>999.6</v>
      </c>
      <c r="C3322">
        <v>1000</v>
      </c>
      <c r="D3322" t="s">
        <v>5971</v>
      </c>
    </row>
    <row r="3323" spans="1:4" x14ac:dyDescent="0.2">
      <c r="A3323">
        <v>30</v>
      </c>
      <c r="B3323">
        <v>999.7</v>
      </c>
      <c r="C3323">
        <v>1000</v>
      </c>
      <c r="D3323" t="s">
        <v>5971</v>
      </c>
    </row>
    <row r="3324" spans="1:4" x14ac:dyDescent="0.2">
      <c r="A3324">
        <v>31</v>
      </c>
      <c r="B3324">
        <v>-100.2</v>
      </c>
      <c r="C3324">
        <v>-100</v>
      </c>
      <c r="D3324" t="s">
        <v>5971</v>
      </c>
    </row>
    <row r="3325" spans="1:4" x14ac:dyDescent="0.2">
      <c r="A3325">
        <v>32</v>
      </c>
      <c r="B3325">
        <v>-99.9</v>
      </c>
      <c r="C3325">
        <v>-100</v>
      </c>
      <c r="D3325" t="s">
        <v>5971</v>
      </c>
    </row>
    <row r="3326" spans="1:4" x14ac:dyDescent="0.2">
      <c r="A3326">
        <v>33</v>
      </c>
      <c r="B3326">
        <v>-100</v>
      </c>
      <c r="C3326">
        <v>-100</v>
      </c>
      <c r="D3326" t="s">
        <v>5971</v>
      </c>
    </row>
    <row r="3327" spans="1:4" x14ac:dyDescent="0.2">
      <c r="A3327">
        <v>34</v>
      </c>
      <c r="B3327">
        <v>-100</v>
      </c>
      <c r="C3327">
        <v>-100</v>
      </c>
      <c r="D3327" t="s">
        <v>5971</v>
      </c>
    </row>
    <row r="3328" spans="1:4" x14ac:dyDescent="0.2">
      <c r="A3328">
        <v>35</v>
      </c>
      <c r="B3328">
        <v>-100.2</v>
      </c>
      <c r="C3328">
        <v>-100</v>
      </c>
      <c r="D3328" t="s">
        <v>5971</v>
      </c>
    </row>
    <row r="3329" spans="1:4" x14ac:dyDescent="0.2">
      <c r="A3329">
        <v>36</v>
      </c>
      <c r="B3329">
        <v>-100.3</v>
      </c>
      <c r="C3329">
        <v>-100</v>
      </c>
      <c r="D3329" t="s">
        <v>5971</v>
      </c>
    </row>
    <row r="3330" spans="1:4" x14ac:dyDescent="0.2">
      <c r="A3330">
        <v>31</v>
      </c>
      <c r="B3330">
        <v>-50.2</v>
      </c>
      <c r="C3330">
        <v>-50</v>
      </c>
      <c r="D3330" t="s">
        <v>5971</v>
      </c>
    </row>
    <row r="3331" spans="1:4" x14ac:dyDescent="0.2">
      <c r="A3331">
        <v>32</v>
      </c>
      <c r="B3331">
        <v>-49.8</v>
      </c>
      <c r="C3331">
        <v>-50</v>
      </c>
      <c r="D3331" t="s">
        <v>5971</v>
      </c>
    </row>
    <row r="3332" spans="1:4" x14ac:dyDescent="0.2">
      <c r="A3332">
        <v>33</v>
      </c>
      <c r="B3332">
        <v>-50</v>
      </c>
      <c r="C3332">
        <v>-50</v>
      </c>
      <c r="D3332" t="s">
        <v>5971</v>
      </c>
    </row>
    <row r="3333" spans="1:4" x14ac:dyDescent="0.2">
      <c r="A3333">
        <v>34</v>
      </c>
      <c r="B3333">
        <v>-50</v>
      </c>
      <c r="C3333">
        <v>-50</v>
      </c>
      <c r="D3333" t="s">
        <v>5971</v>
      </c>
    </row>
    <row r="3334" spans="1:4" x14ac:dyDescent="0.2">
      <c r="A3334">
        <v>35</v>
      </c>
      <c r="B3334">
        <v>-50.1</v>
      </c>
      <c r="C3334">
        <v>-50</v>
      </c>
      <c r="D3334" t="s">
        <v>5971</v>
      </c>
    </row>
    <row r="3335" spans="1:4" x14ac:dyDescent="0.2">
      <c r="A3335">
        <v>36</v>
      </c>
      <c r="B3335">
        <v>-50.2</v>
      </c>
      <c r="C3335">
        <v>-50</v>
      </c>
      <c r="D3335" t="s">
        <v>5971</v>
      </c>
    </row>
    <row r="3336" spans="1:4" x14ac:dyDescent="0.2">
      <c r="A3336">
        <v>31</v>
      </c>
      <c r="B3336">
        <v>-0.3</v>
      </c>
      <c r="C3336">
        <v>0</v>
      </c>
      <c r="D3336" t="s">
        <v>5971</v>
      </c>
    </row>
    <row r="3337" spans="1:4" x14ac:dyDescent="0.2">
      <c r="A3337">
        <v>32</v>
      </c>
      <c r="B3337">
        <v>0.1</v>
      </c>
      <c r="C3337">
        <v>0</v>
      </c>
      <c r="D3337" t="s">
        <v>5971</v>
      </c>
    </row>
    <row r="3338" spans="1:4" x14ac:dyDescent="0.2">
      <c r="A3338">
        <v>33</v>
      </c>
      <c r="B3338">
        <v>0</v>
      </c>
      <c r="C3338">
        <v>0</v>
      </c>
      <c r="D3338" t="s">
        <v>5971</v>
      </c>
    </row>
    <row r="3339" spans="1:4" x14ac:dyDescent="0.2">
      <c r="A3339">
        <v>34</v>
      </c>
      <c r="B3339">
        <v>0</v>
      </c>
      <c r="C3339">
        <v>0</v>
      </c>
      <c r="D3339" t="s">
        <v>5971</v>
      </c>
    </row>
    <row r="3340" spans="1:4" x14ac:dyDescent="0.2">
      <c r="A3340">
        <v>35</v>
      </c>
      <c r="B3340">
        <v>-0.2</v>
      </c>
      <c r="C3340">
        <v>0</v>
      </c>
      <c r="D3340" t="s">
        <v>5971</v>
      </c>
    </row>
    <row r="3341" spans="1:4" x14ac:dyDescent="0.2">
      <c r="A3341">
        <v>36</v>
      </c>
      <c r="B3341">
        <v>-0.3</v>
      </c>
      <c r="C3341">
        <v>0</v>
      </c>
      <c r="D3341" t="s">
        <v>5971</v>
      </c>
    </row>
    <row r="3342" spans="1:4" x14ac:dyDescent="0.2">
      <c r="A3342">
        <v>31</v>
      </c>
      <c r="B3342">
        <v>249.8</v>
      </c>
      <c r="C3342">
        <v>250</v>
      </c>
      <c r="D3342" t="s">
        <v>5971</v>
      </c>
    </row>
    <row r="3343" spans="1:4" x14ac:dyDescent="0.2">
      <c r="A3343">
        <v>32</v>
      </c>
      <c r="B3343">
        <v>250.2</v>
      </c>
      <c r="C3343">
        <v>250</v>
      </c>
      <c r="D3343" t="s">
        <v>5971</v>
      </c>
    </row>
    <row r="3344" spans="1:4" x14ac:dyDescent="0.2">
      <c r="A3344">
        <v>33</v>
      </c>
      <c r="B3344">
        <v>250.1</v>
      </c>
      <c r="C3344">
        <v>250</v>
      </c>
      <c r="D3344" t="s">
        <v>5971</v>
      </c>
    </row>
    <row r="3345" spans="1:4" x14ac:dyDescent="0.2">
      <c r="A3345">
        <v>34</v>
      </c>
      <c r="B3345">
        <v>250.1</v>
      </c>
      <c r="C3345">
        <v>250</v>
      </c>
      <c r="D3345" t="s">
        <v>5971</v>
      </c>
    </row>
    <row r="3346" spans="1:4" x14ac:dyDescent="0.2">
      <c r="A3346">
        <v>35</v>
      </c>
      <c r="B3346">
        <v>249.9</v>
      </c>
      <c r="C3346">
        <v>250</v>
      </c>
      <c r="D3346" t="s">
        <v>5971</v>
      </c>
    </row>
    <row r="3347" spans="1:4" x14ac:dyDescent="0.2">
      <c r="A3347">
        <v>36</v>
      </c>
      <c r="B3347">
        <v>249.8</v>
      </c>
      <c r="C3347">
        <v>250</v>
      </c>
      <c r="D3347" t="s">
        <v>5971</v>
      </c>
    </row>
    <row r="3348" spans="1:4" x14ac:dyDescent="0.2">
      <c r="A3348">
        <v>31</v>
      </c>
      <c r="B3348">
        <v>499.7</v>
      </c>
      <c r="C3348">
        <v>500</v>
      </c>
      <c r="D3348" t="s">
        <v>5971</v>
      </c>
    </row>
    <row r="3349" spans="1:4" x14ac:dyDescent="0.2">
      <c r="A3349">
        <v>32</v>
      </c>
      <c r="B3349">
        <v>500.1</v>
      </c>
      <c r="C3349">
        <v>500</v>
      </c>
      <c r="D3349" t="s">
        <v>5971</v>
      </c>
    </row>
    <row r="3350" spans="1:4" x14ac:dyDescent="0.2">
      <c r="A3350">
        <v>33</v>
      </c>
      <c r="B3350">
        <v>500</v>
      </c>
      <c r="C3350">
        <v>500</v>
      </c>
      <c r="D3350" t="s">
        <v>5971</v>
      </c>
    </row>
    <row r="3351" spans="1:4" x14ac:dyDescent="0.2">
      <c r="A3351">
        <v>34</v>
      </c>
      <c r="B3351">
        <v>500</v>
      </c>
      <c r="C3351">
        <v>500</v>
      </c>
      <c r="D3351" t="s">
        <v>5971</v>
      </c>
    </row>
    <row r="3352" spans="1:4" x14ac:dyDescent="0.2">
      <c r="A3352">
        <v>35</v>
      </c>
      <c r="B3352">
        <v>499.8</v>
      </c>
      <c r="C3352">
        <v>500</v>
      </c>
      <c r="D3352" t="s">
        <v>5971</v>
      </c>
    </row>
    <row r="3353" spans="1:4" x14ac:dyDescent="0.2">
      <c r="A3353">
        <v>36</v>
      </c>
      <c r="B3353">
        <v>499.7</v>
      </c>
      <c r="C3353">
        <v>500</v>
      </c>
      <c r="D3353" t="s">
        <v>5971</v>
      </c>
    </row>
    <row r="3354" spans="1:4" x14ac:dyDescent="0.2">
      <c r="A3354">
        <v>31</v>
      </c>
      <c r="B3354">
        <v>999.8</v>
      </c>
      <c r="C3354">
        <v>1000</v>
      </c>
      <c r="D3354" t="s">
        <v>5971</v>
      </c>
    </row>
    <row r="3355" spans="1:4" x14ac:dyDescent="0.2">
      <c r="A3355">
        <v>32</v>
      </c>
      <c r="B3355">
        <v>1000</v>
      </c>
      <c r="C3355">
        <v>1000</v>
      </c>
      <c r="D3355" t="s">
        <v>5971</v>
      </c>
    </row>
    <row r="3356" spans="1:4" x14ac:dyDescent="0.2">
      <c r="A3356">
        <v>33</v>
      </c>
      <c r="B3356">
        <v>999.9</v>
      </c>
      <c r="C3356">
        <v>1000</v>
      </c>
      <c r="D3356" t="s">
        <v>5971</v>
      </c>
    </row>
    <row r="3357" spans="1:4" x14ac:dyDescent="0.2">
      <c r="A3357">
        <v>34</v>
      </c>
      <c r="B3357">
        <v>999.9</v>
      </c>
      <c r="C3357">
        <v>1000</v>
      </c>
      <c r="D3357" t="s">
        <v>5971</v>
      </c>
    </row>
    <row r="3358" spans="1:4" x14ac:dyDescent="0.2">
      <c r="A3358">
        <v>35</v>
      </c>
      <c r="B3358">
        <v>999.8</v>
      </c>
      <c r="C3358">
        <v>1000</v>
      </c>
      <c r="D3358" t="s">
        <v>5971</v>
      </c>
    </row>
    <row r="3359" spans="1:4" x14ac:dyDescent="0.2">
      <c r="A3359">
        <v>36</v>
      </c>
      <c r="B3359">
        <v>999.6</v>
      </c>
      <c r="C3359">
        <v>1000</v>
      </c>
      <c r="D3359" t="s">
        <v>5971</v>
      </c>
    </row>
    <row r="3360" spans="1:4" x14ac:dyDescent="0.2">
      <c r="A3360">
        <v>37</v>
      </c>
      <c r="B3360">
        <v>-100.4</v>
      </c>
      <c r="C3360">
        <v>-100</v>
      </c>
      <c r="D3360" t="s">
        <v>5971</v>
      </c>
    </row>
    <row r="3361" spans="1:4" x14ac:dyDescent="0.2">
      <c r="A3361">
        <v>38</v>
      </c>
      <c r="B3361">
        <v>-100</v>
      </c>
      <c r="C3361">
        <v>-100</v>
      </c>
      <c r="D3361" t="s">
        <v>5971</v>
      </c>
    </row>
    <row r="3362" spans="1:4" x14ac:dyDescent="0.2">
      <c r="A3362">
        <v>39</v>
      </c>
      <c r="B3362">
        <v>-100.1</v>
      </c>
      <c r="C3362">
        <v>-100</v>
      </c>
      <c r="D3362" t="s">
        <v>5971</v>
      </c>
    </row>
    <row r="3363" spans="1:4" x14ac:dyDescent="0.2">
      <c r="A3363">
        <v>40</v>
      </c>
      <c r="B3363">
        <v>-100</v>
      </c>
      <c r="C3363">
        <v>-100</v>
      </c>
      <c r="D3363" t="s">
        <v>5971</v>
      </c>
    </row>
    <row r="3364" spans="1:4" x14ac:dyDescent="0.2">
      <c r="A3364">
        <v>37</v>
      </c>
      <c r="B3364">
        <v>-50.4</v>
      </c>
      <c r="C3364">
        <v>-50</v>
      </c>
      <c r="D3364" t="s">
        <v>5971</v>
      </c>
    </row>
    <row r="3365" spans="1:4" x14ac:dyDescent="0.2">
      <c r="A3365">
        <v>38</v>
      </c>
      <c r="B3365">
        <v>-50.1</v>
      </c>
      <c r="C3365">
        <v>-50</v>
      </c>
      <c r="D3365" t="s">
        <v>5971</v>
      </c>
    </row>
    <row r="3366" spans="1:4" x14ac:dyDescent="0.2">
      <c r="A3366">
        <v>39</v>
      </c>
      <c r="B3366">
        <v>-50.1</v>
      </c>
      <c r="C3366">
        <v>-50</v>
      </c>
      <c r="D3366" t="s">
        <v>5971</v>
      </c>
    </row>
    <row r="3367" spans="1:4" x14ac:dyDescent="0.2">
      <c r="A3367">
        <v>40</v>
      </c>
      <c r="B3367">
        <v>-50</v>
      </c>
      <c r="C3367">
        <v>-50</v>
      </c>
      <c r="D3367" t="s">
        <v>5971</v>
      </c>
    </row>
    <row r="3368" spans="1:4" x14ac:dyDescent="0.2">
      <c r="A3368">
        <v>37</v>
      </c>
      <c r="B3368">
        <v>-0.4</v>
      </c>
      <c r="C3368">
        <v>0</v>
      </c>
      <c r="D3368" t="s">
        <v>5971</v>
      </c>
    </row>
    <row r="3369" spans="1:4" x14ac:dyDescent="0.2">
      <c r="A3369">
        <v>38</v>
      </c>
      <c r="B3369">
        <v>-0.1</v>
      </c>
      <c r="C3369">
        <v>0</v>
      </c>
      <c r="D3369" t="s">
        <v>5971</v>
      </c>
    </row>
    <row r="3370" spans="1:4" x14ac:dyDescent="0.2">
      <c r="A3370">
        <v>39</v>
      </c>
      <c r="B3370">
        <v>-0.2</v>
      </c>
      <c r="C3370">
        <v>0</v>
      </c>
      <c r="D3370" t="s">
        <v>5971</v>
      </c>
    </row>
    <row r="3371" spans="1:4" x14ac:dyDescent="0.2">
      <c r="A3371">
        <v>40</v>
      </c>
      <c r="B3371">
        <v>-0.1</v>
      </c>
      <c r="C3371">
        <v>0</v>
      </c>
      <c r="D3371" t="s">
        <v>5971</v>
      </c>
    </row>
    <row r="3372" spans="1:4" x14ac:dyDescent="0.2">
      <c r="A3372">
        <v>37</v>
      </c>
      <c r="B3372">
        <v>249.7</v>
      </c>
      <c r="C3372">
        <v>250</v>
      </c>
      <c r="D3372" t="s">
        <v>5971</v>
      </c>
    </row>
    <row r="3373" spans="1:4" x14ac:dyDescent="0.2">
      <c r="A3373">
        <v>38</v>
      </c>
      <c r="B3373">
        <v>250</v>
      </c>
      <c r="C3373">
        <v>250</v>
      </c>
      <c r="D3373" t="s">
        <v>5971</v>
      </c>
    </row>
    <row r="3374" spans="1:4" x14ac:dyDescent="0.2">
      <c r="A3374">
        <v>39</v>
      </c>
      <c r="B3374">
        <v>249.9</v>
      </c>
      <c r="C3374">
        <v>250</v>
      </c>
      <c r="D3374" t="s">
        <v>5971</v>
      </c>
    </row>
    <row r="3375" spans="1:4" x14ac:dyDescent="0.2">
      <c r="A3375">
        <v>40</v>
      </c>
      <c r="B3375">
        <v>249.9</v>
      </c>
      <c r="C3375">
        <v>250</v>
      </c>
      <c r="D3375" t="s">
        <v>5971</v>
      </c>
    </row>
    <row r="3376" spans="1:4" x14ac:dyDescent="0.2">
      <c r="A3376">
        <v>37</v>
      </c>
      <c r="B3376">
        <v>499.7</v>
      </c>
      <c r="C3376">
        <v>500</v>
      </c>
      <c r="D3376" t="s">
        <v>5971</v>
      </c>
    </row>
    <row r="3377" spans="1:4" x14ac:dyDescent="0.2">
      <c r="A3377">
        <v>38</v>
      </c>
      <c r="B3377">
        <v>499.9</v>
      </c>
      <c r="C3377">
        <v>500</v>
      </c>
      <c r="D3377" t="s">
        <v>5971</v>
      </c>
    </row>
    <row r="3378" spans="1:4" x14ac:dyDescent="0.2">
      <c r="A3378">
        <v>39</v>
      </c>
      <c r="B3378">
        <v>499.7</v>
      </c>
      <c r="C3378">
        <v>500</v>
      </c>
      <c r="D3378" t="s">
        <v>5971</v>
      </c>
    </row>
    <row r="3379" spans="1:4" x14ac:dyDescent="0.2">
      <c r="A3379">
        <v>40</v>
      </c>
      <c r="B3379">
        <v>499.8</v>
      </c>
      <c r="C3379">
        <v>500</v>
      </c>
      <c r="D3379" t="s">
        <v>5971</v>
      </c>
    </row>
    <row r="3380" spans="1:4" x14ac:dyDescent="0.2">
      <c r="A3380">
        <v>37</v>
      </c>
      <c r="B3380">
        <v>999.6</v>
      </c>
      <c r="C3380">
        <v>1000</v>
      </c>
      <c r="D3380" t="s">
        <v>5971</v>
      </c>
    </row>
    <row r="3381" spans="1:4" x14ac:dyDescent="0.2">
      <c r="A3381">
        <v>38</v>
      </c>
      <c r="B3381">
        <v>999.8</v>
      </c>
      <c r="C3381">
        <v>1000</v>
      </c>
      <c r="D3381" t="s">
        <v>5971</v>
      </c>
    </row>
    <row r="3382" spans="1:4" x14ac:dyDescent="0.2">
      <c r="A3382">
        <v>39</v>
      </c>
      <c r="B3382">
        <v>999.7</v>
      </c>
      <c r="C3382">
        <v>1000</v>
      </c>
      <c r="D3382" t="s">
        <v>5971</v>
      </c>
    </row>
    <row r="3383" spans="1:4" x14ac:dyDescent="0.2">
      <c r="A3383">
        <v>40</v>
      </c>
      <c r="B3383">
        <v>999.8</v>
      </c>
      <c r="C3383">
        <v>1000</v>
      </c>
      <c r="D3383" t="s">
        <v>5971</v>
      </c>
    </row>
    <row r="3384" spans="1:4" x14ac:dyDescent="0.2">
      <c r="A3384">
        <v>1</v>
      </c>
      <c r="B3384">
        <v>-99.8</v>
      </c>
      <c r="C3384">
        <v>-100</v>
      </c>
      <c r="D3384" t="s">
        <v>5972</v>
      </c>
    </row>
    <row r="3385" spans="1:4" x14ac:dyDescent="0.2">
      <c r="A3385">
        <v>2</v>
      </c>
      <c r="B3385">
        <v>-99.9</v>
      </c>
      <c r="C3385">
        <v>-100</v>
      </c>
      <c r="D3385" t="s">
        <v>5972</v>
      </c>
    </row>
    <row r="3386" spans="1:4" x14ac:dyDescent="0.2">
      <c r="A3386">
        <v>3</v>
      </c>
      <c r="B3386">
        <v>-99.8</v>
      </c>
      <c r="C3386">
        <v>-100</v>
      </c>
      <c r="D3386" t="s">
        <v>5972</v>
      </c>
    </row>
    <row r="3387" spans="1:4" x14ac:dyDescent="0.2">
      <c r="A3387">
        <v>4</v>
      </c>
      <c r="B3387">
        <v>-99.9</v>
      </c>
      <c r="C3387">
        <v>-100</v>
      </c>
      <c r="D3387" t="s">
        <v>5972</v>
      </c>
    </row>
    <row r="3388" spans="1:4" x14ac:dyDescent="0.2">
      <c r="A3388">
        <v>5</v>
      </c>
      <c r="B3388">
        <v>-100</v>
      </c>
      <c r="C3388">
        <v>-100</v>
      </c>
      <c r="D3388" t="s">
        <v>5972</v>
      </c>
    </row>
    <row r="3389" spans="1:4" x14ac:dyDescent="0.2">
      <c r="A3389">
        <v>6</v>
      </c>
      <c r="B3389">
        <v>-99.9</v>
      </c>
      <c r="C3389">
        <v>-100</v>
      </c>
      <c r="D3389" t="s">
        <v>5972</v>
      </c>
    </row>
    <row r="3390" spans="1:4" x14ac:dyDescent="0.2">
      <c r="A3390">
        <v>1</v>
      </c>
      <c r="B3390">
        <v>-49.8</v>
      </c>
      <c r="C3390">
        <v>-50</v>
      </c>
      <c r="D3390" t="s">
        <v>5972</v>
      </c>
    </row>
    <row r="3391" spans="1:4" x14ac:dyDescent="0.2">
      <c r="A3391">
        <v>2</v>
      </c>
      <c r="B3391">
        <v>-49.9</v>
      </c>
      <c r="C3391">
        <v>-50</v>
      </c>
      <c r="D3391" t="s">
        <v>5972</v>
      </c>
    </row>
    <row r="3392" spans="1:4" x14ac:dyDescent="0.2">
      <c r="A3392">
        <v>3</v>
      </c>
      <c r="B3392">
        <v>-49.8</v>
      </c>
      <c r="C3392">
        <v>-50</v>
      </c>
      <c r="D3392" t="s">
        <v>5972</v>
      </c>
    </row>
    <row r="3393" spans="1:4" x14ac:dyDescent="0.2">
      <c r="A3393">
        <v>4</v>
      </c>
      <c r="B3393">
        <v>-49.9</v>
      </c>
      <c r="C3393">
        <v>-50</v>
      </c>
      <c r="D3393" t="s">
        <v>5972</v>
      </c>
    </row>
    <row r="3394" spans="1:4" x14ac:dyDescent="0.2">
      <c r="A3394">
        <v>5</v>
      </c>
      <c r="B3394">
        <v>-50</v>
      </c>
      <c r="C3394">
        <v>-50</v>
      </c>
      <c r="D3394" t="s">
        <v>5972</v>
      </c>
    </row>
    <row r="3395" spans="1:4" x14ac:dyDescent="0.2">
      <c r="A3395">
        <v>6</v>
      </c>
      <c r="B3395">
        <v>-49.9</v>
      </c>
      <c r="C3395">
        <v>-50</v>
      </c>
      <c r="D3395" t="s">
        <v>5972</v>
      </c>
    </row>
    <row r="3396" spans="1:4" x14ac:dyDescent="0.2">
      <c r="A3396">
        <v>1</v>
      </c>
      <c r="B3396">
        <v>-0.1</v>
      </c>
      <c r="C3396">
        <v>0</v>
      </c>
      <c r="D3396" t="s">
        <v>5972</v>
      </c>
    </row>
    <row r="3397" spans="1:4" x14ac:dyDescent="0.2">
      <c r="A3397">
        <v>2</v>
      </c>
      <c r="B3397">
        <v>0</v>
      </c>
      <c r="C3397">
        <v>0</v>
      </c>
      <c r="D3397" t="s">
        <v>5972</v>
      </c>
    </row>
    <row r="3398" spans="1:4" x14ac:dyDescent="0.2">
      <c r="A3398">
        <v>3</v>
      </c>
      <c r="B3398">
        <v>-0.2</v>
      </c>
      <c r="C3398">
        <v>0</v>
      </c>
      <c r="D3398" t="s">
        <v>5972</v>
      </c>
    </row>
    <row r="3399" spans="1:4" x14ac:dyDescent="0.2">
      <c r="A3399">
        <v>4</v>
      </c>
      <c r="B3399">
        <v>0</v>
      </c>
      <c r="C3399">
        <v>0</v>
      </c>
      <c r="D3399" t="s">
        <v>5972</v>
      </c>
    </row>
    <row r="3400" spans="1:4" x14ac:dyDescent="0.2">
      <c r="A3400">
        <v>5</v>
      </c>
      <c r="B3400">
        <v>0</v>
      </c>
      <c r="C3400">
        <v>0</v>
      </c>
      <c r="D3400" t="s">
        <v>5972</v>
      </c>
    </row>
    <row r="3401" spans="1:4" x14ac:dyDescent="0.2">
      <c r="A3401">
        <v>6</v>
      </c>
      <c r="B3401">
        <v>0</v>
      </c>
      <c r="C3401">
        <v>0</v>
      </c>
      <c r="D3401" t="s">
        <v>5972</v>
      </c>
    </row>
    <row r="3402" spans="1:4" x14ac:dyDescent="0.2">
      <c r="A3402">
        <v>1</v>
      </c>
      <c r="B3402">
        <v>249.8</v>
      </c>
      <c r="C3402">
        <v>250</v>
      </c>
      <c r="D3402" t="s">
        <v>5972</v>
      </c>
    </row>
    <row r="3403" spans="1:4" x14ac:dyDescent="0.2">
      <c r="A3403">
        <v>2</v>
      </c>
      <c r="B3403">
        <v>249.9</v>
      </c>
      <c r="C3403">
        <v>250</v>
      </c>
      <c r="D3403" t="s">
        <v>5972</v>
      </c>
    </row>
    <row r="3404" spans="1:4" x14ac:dyDescent="0.2">
      <c r="A3404">
        <v>3</v>
      </c>
      <c r="B3404">
        <v>249.9</v>
      </c>
      <c r="C3404">
        <v>250</v>
      </c>
      <c r="D3404" t="s">
        <v>5972</v>
      </c>
    </row>
    <row r="3405" spans="1:4" x14ac:dyDescent="0.2">
      <c r="A3405">
        <v>4</v>
      </c>
      <c r="B3405">
        <v>250</v>
      </c>
      <c r="C3405">
        <v>250</v>
      </c>
      <c r="D3405" t="s">
        <v>5972</v>
      </c>
    </row>
    <row r="3406" spans="1:4" x14ac:dyDescent="0.2">
      <c r="A3406">
        <v>5</v>
      </c>
      <c r="B3406">
        <v>249.9</v>
      </c>
      <c r="C3406">
        <v>250</v>
      </c>
      <c r="D3406" t="s">
        <v>5972</v>
      </c>
    </row>
    <row r="3407" spans="1:4" x14ac:dyDescent="0.2">
      <c r="A3407">
        <v>6</v>
      </c>
      <c r="B3407">
        <v>250</v>
      </c>
      <c r="C3407">
        <v>250</v>
      </c>
      <c r="D3407" t="s">
        <v>5972</v>
      </c>
    </row>
    <row r="3408" spans="1:4" x14ac:dyDescent="0.2">
      <c r="A3408">
        <v>1</v>
      </c>
      <c r="B3408">
        <v>499.8</v>
      </c>
      <c r="C3408">
        <v>500</v>
      </c>
      <c r="D3408" t="s">
        <v>5972</v>
      </c>
    </row>
    <row r="3409" spans="1:4" x14ac:dyDescent="0.2">
      <c r="A3409">
        <v>2</v>
      </c>
      <c r="B3409">
        <v>499.9</v>
      </c>
      <c r="C3409">
        <v>500</v>
      </c>
      <c r="D3409" t="s">
        <v>5972</v>
      </c>
    </row>
    <row r="3410" spans="1:4" x14ac:dyDescent="0.2">
      <c r="A3410">
        <v>3</v>
      </c>
      <c r="B3410">
        <v>499.9</v>
      </c>
      <c r="C3410">
        <v>500</v>
      </c>
      <c r="D3410" t="s">
        <v>5972</v>
      </c>
    </row>
    <row r="3411" spans="1:4" x14ac:dyDescent="0.2">
      <c r="A3411">
        <v>4</v>
      </c>
      <c r="B3411">
        <v>499.9</v>
      </c>
      <c r="C3411">
        <v>500</v>
      </c>
      <c r="D3411" t="s">
        <v>5972</v>
      </c>
    </row>
    <row r="3412" spans="1:4" x14ac:dyDescent="0.2">
      <c r="A3412">
        <v>5</v>
      </c>
      <c r="B3412">
        <v>499.9</v>
      </c>
      <c r="C3412">
        <v>500</v>
      </c>
      <c r="D3412" t="s">
        <v>5972</v>
      </c>
    </row>
    <row r="3413" spans="1:4" x14ac:dyDescent="0.2">
      <c r="A3413">
        <v>6</v>
      </c>
      <c r="B3413">
        <v>499.9</v>
      </c>
      <c r="C3413">
        <v>500</v>
      </c>
      <c r="D3413" t="s">
        <v>5972</v>
      </c>
    </row>
    <row r="3414" spans="1:4" x14ac:dyDescent="0.2">
      <c r="A3414">
        <v>1</v>
      </c>
      <c r="B3414">
        <v>999.9</v>
      </c>
      <c r="C3414">
        <v>1000</v>
      </c>
      <c r="D3414" t="s">
        <v>5972</v>
      </c>
    </row>
    <row r="3415" spans="1:4" x14ac:dyDescent="0.2">
      <c r="A3415">
        <v>2</v>
      </c>
      <c r="B3415">
        <v>999.8</v>
      </c>
      <c r="C3415">
        <v>1000</v>
      </c>
      <c r="D3415" t="s">
        <v>5972</v>
      </c>
    </row>
    <row r="3416" spans="1:4" x14ac:dyDescent="0.2">
      <c r="A3416">
        <v>3</v>
      </c>
      <c r="B3416">
        <v>999.9</v>
      </c>
      <c r="C3416">
        <v>1000</v>
      </c>
      <c r="D3416" t="s">
        <v>5972</v>
      </c>
    </row>
    <row r="3417" spans="1:4" x14ac:dyDescent="0.2">
      <c r="A3417">
        <v>4</v>
      </c>
      <c r="B3417">
        <v>999.9</v>
      </c>
      <c r="C3417">
        <v>1000</v>
      </c>
      <c r="D3417" t="s">
        <v>5972</v>
      </c>
    </row>
    <row r="3418" spans="1:4" x14ac:dyDescent="0.2">
      <c r="A3418">
        <v>5</v>
      </c>
      <c r="B3418">
        <v>999.8</v>
      </c>
      <c r="C3418">
        <v>1000</v>
      </c>
      <c r="D3418" t="s">
        <v>5972</v>
      </c>
    </row>
    <row r="3419" spans="1:4" x14ac:dyDescent="0.2">
      <c r="A3419">
        <v>6</v>
      </c>
      <c r="B3419">
        <v>999.9</v>
      </c>
      <c r="C3419">
        <v>1000</v>
      </c>
      <c r="D3419" t="s">
        <v>5972</v>
      </c>
    </row>
    <row r="3420" spans="1:4" x14ac:dyDescent="0.2">
      <c r="A3420">
        <v>7</v>
      </c>
      <c r="B3420">
        <v>-99.9</v>
      </c>
      <c r="C3420">
        <v>-100</v>
      </c>
      <c r="D3420" t="s">
        <v>5972</v>
      </c>
    </row>
    <row r="3421" spans="1:4" x14ac:dyDescent="0.2">
      <c r="A3421">
        <v>8</v>
      </c>
      <c r="B3421">
        <v>-100</v>
      </c>
      <c r="C3421">
        <v>-100</v>
      </c>
      <c r="D3421" t="s">
        <v>5972</v>
      </c>
    </row>
    <row r="3422" spans="1:4" x14ac:dyDescent="0.2">
      <c r="A3422">
        <v>9</v>
      </c>
      <c r="B3422">
        <v>-99.7</v>
      </c>
      <c r="C3422">
        <v>-100</v>
      </c>
      <c r="D3422" t="s">
        <v>5972</v>
      </c>
    </row>
    <row r="3423" spans="1:4" x14ac:dyDescent="0.2">
      <c r="A3423">
        <v>10</v>
      </c>
      <c r="B3423">
        <v>-100.1</v>
      </c>
      <c r="C3423">
        <v>-100</v>
      </c>
      <c r="D3423" t="s">
        <v>5972</v>
      </c>
    </row>
    <row r="3424" spans="1:4" x14ac:dyDescent="0.2">
      <c r="A3424">
        <v>11</v>
      </c>
      <c r="B3424">
        <v>-99.8</v>
      </c>
      <c r="C3424">
        <v>-100</v>
      </c>
      <c r="D3424" t="s">
        <v>5972</v>
      </c>
    </row>
    <row r="3425" spans="1:4" x14ac:dyDescent="0.2">
      <c r="A3425">
        <v>12</v>
      </c>
      <c r="B3425">
        <v>-100.1</v>
      </c>
      <c r="C3425">
        <v>-100</v>
      </c>
      <c r="D3425" t="s">
        <v>5972</v>
      </c>
    </row>
    <row r="3426" spans="1:4" x14ac:dyDescent="0.2">
      <c r="A3426">
        <v>7</v>
      </c>
      <c r="B3426">
        <v>-50</v>
      </c>
      <c r="C3426">
        <v>-50</v>
      </c>
      <c r="D3426" t="s">
        <v>5972</v>
      </c>
    </row>
    <row r="3427" spans="1:4" x14ac:dyDescent="0.2">
      <c r="A3427">
        <v>8</v>
      </c>
      <c r="B3427">
        <v>-50</v>
      </c>
      <c r="C3427">
        <v>-50</v>
      </c>
      <c r="D3427" t="s">
        <v>5972</v>
      </c>
    </row>
    <row r="3428" spans="1:4" x14ac:dyDescent="0.2">
      <c r="A3428">
        <v>9</v>
      </c>
      <c r="B3428">
        <v>-49.7</v>
      </c>
      <c r="C3428">
        <v>-50</v>
      </c>
      <c r="D3428" t="s">
        <v>5972</v>
      </c>
    </row>
    <row r="3429" spans="1:4" x14ac:dyDescent="0.2">
      <c r="A3429">
        <v>10</v>
      </c>
      <c r="B3429">
        <v>-50.1</v>
      </c>
      <c r="C3429">
        <v>-50</v>
      </c>
      <c r="D3429" t="s">
        <v>5972</v>
      </c>
    </row>
    <row r="3430" spans="1:4" x14ac:dyDescent="0.2">
      <c r="A3430">
        <v>11</v>
      </c>
      <c r="B3430">
        <v>-49.8</v>
      </c>
      <c r="C3430">
        <v>-50</v>
      </c>
      <c r="D3430" t="s">
        <v>5972</v>
      </c>
    </row>
    <row r="3431" spans="1:4" x14ac:dyDescent="0.2">
      <c r="A3431">
        <v>12</v>
      </c>
      <c r="B3431">
        <v>-50.1</v>
      </c>
      <c r="C3431">
        <v>-50</v>
      </c>
      <c r="D3431" t="s">
        <v>5972</v>
      </c>
    </row>
    <row r="3432" spans="1:4" x14ac:dyDescent="0.2">
      <c r="A3432">
        <v>7</v>
      </c>
      <c r="B3432">
        <v>0</v>
      </c>
      <c r="C3432">
        <v>0</v>
      </c>
      <c r="D3432" t="s">
        <v>5972</v>
      </c>
    </row>
    <row r="3433" spans="1:4" x14ac:dyDescent="0.2">
      <c r="A3433">
        <v>8</v>
      </c>
      <c r="B3433">
        <v>0.1</v>
      </c>
      <c r="C3433">
        <v>0</v>
      </c>
      <c r="D3433" t="s">
        <v>5972</v>
      </c>
    </row>
    <row r="3434" spans="1:4" x14ac:dyDescent="0.2">
      <c r="A3434">
        <v>9</v>
      </c>
      <c r="B3434">
        <v>-0.3</v>
      </c>
      <c r="C3434">
        <v>0</v>
      </c>
      <c r="D3434" t="s">
        <v>5972</v>
      </c>
    </row>
    <row r="3435" spans="1:4" x14ac:dyDescent="0.2">
      <c r="A3435">
        <v>10</v>
      </c>
      <c r="B3435">
        <v>0.1</v>
      </c>
      <c r="C3435">
        <v>0</v>
      </c>
      <c r="D3435" t="s">
        <v>5972</v>
      </c>
    </row>
    <row r="3436" spans="1:4" x14ac:dyDescent="0.2">
      <c r="A3436">
        <v>11</v>
      </c>
      <c r="B3436">
        <v>-0.2</v>
      </c>
      <c r="C3436">
        <v>0</v>
      </c>
      <c r="D3436" t="s">
        <v>5972</v>
      </c>
    </row>
    <row r="3437" spans="1:4" x14ac:dyDescent="0.2">
      <c r="A3437">
        <v>12</v>
      </c>
      <c r="B3437">
        <v>-0.1</v>
      </c>
      <c r="C3437">
        <v>0</v>
      </c>
      <c r="D3437" t="s">
        <v>5972</v>
      </c>
    </row>
    <row r="3438" spans="1:4" x14ac:dyDescent="0.2">
      <c r="A3438">
        <v>7</v>
      </c>
      <c r="B3438">
        <v>249.9</v>
      </c>
      <c r="C3438">
        <v>250</v>
      </c>
      <c r="D3438" t="s">
        <v>5972</v>
      </c>
    </row>
    <row r="3439" spans="1:4" x14ac:dyDescent="0.2">
      <c r="A3439">
        <v>8</v>
      </c>
      <c r="B3439">
        <v>249.9</v>
      </c>
      <c r="C3439">
        <v>250</v>
      </c>
      <c r="D3439" t="s">
        <v>5972</v>
      </c>
    </row>
    <row r="3440" spans="1:4" x14ac:dyDescent="0.2">
      <c r="A3440">
        <v>9</v>
      </c>
      <c r="B3440">
        <v>249.8</v>
      </c>
      <c r="C3440">
        <v>250</v>
      </c>
      <c r="D3440" t="s">
        <v>5972</v>
      </c>
    </row>
    <row r="3441" spans="1:4" x14ac:dyDescent="0.2">
      <c r="A3441">
        <v>10</v>
      </c>
      <c r="B3441">
        <v>249.9</v>
      </c>
      <c r="C3441">
        <v>250</v>
      </c>
      <c r="D3441" t="s">
        <v>5972</v>
      </c>
    </row>
    <row r="3442" spans="1:4" x14ac:dyDescent="0.2">
      <c r="A3442">
        <v>11</v>
      </c>
      <c r="B3442">
        <v>249.9</v>
      </c>
      <c r="C3442">
        <v>250</v>
      </c>
      <c r="D3442" t="s">
        <v>5972</v>
      </c>
    </row>
    <row r="3443" spans="1:4" x14ac:dyDescent="0.2">
      <c r="A3443">
        <v>12</v>
      </c>
      <c r="B3443">
        <v>249.8</v>
      </c>
      <c r="C3443">
        <v>250</v>
      </c>
      <c r="D3443" t="s">
        <v>5972</v>
      </c>
    </row>
    <row r="3444" spans="1:4" x14ac:dyDescent="0.2">
      <c r="A3444">
        <v>7</v>
      </c>
      <c r="B3444">
        <v>499.8</v>
      </c>
      <c r="C3444">
        <v>500</v>
      </c>
      <c r="D3444" t="s">
        <v>5972</v>
      </c>
    </row>
    <row r="3445" spans="1:4" x14ac:dyDescent="0.2">
      <c r="A3445">
        <v>8</v>
      </c>
      <c r="B3445">
        <v>499.8</v>
      </c>
      <c r="C3445">
        <v>500</v>
      </c>
      <c r="D3445" t="s">
        <v>5972</v>
      </c>
    </row>
    <row r="3446" spans="1:4" x14ac:dyDescent="0.2">
      <c r="A3446">
        <v>9</v>
      </c>
      <c r="B3446">
        <v>499.8</v>
      </c>
      <c r="C3446">
        <v>500</v>
      </c>
      <c r="D3446" t="s">
        <v>5972</v>
      </c>
    </row>
    <row r="3447" spans="1:4" x14ac:dyDescent="0.2">
      <c r="A3447">
        <v>10</v>
      </c>
      <c r="B3447">
        <v>499.8</v>
      </c>
      <c r="C3447">
        <v>500</v>
      </c>
      <c r="D3447" t="s">
        <v>5972</v>
      </c>
    </row>
    <row r="3448" spans="1:4" x14ac:dyDescent="0.2">
      <c r="A3448">
        <v>11</v>
      </c>
      <c r="B3448">
        <v>499.9</v>
      </c>
      <c r="C3448">
        <v>500</v>
      </c>
      <c r="D3448" t="s">
        <v>5972</v>
      </c>
    </row>
    <row r="3449" spans="1:4" x14ac:dyDescent="0.2">
      <c r="A3449">
        <v>12</v>
      </c>
      <c r="B3449">
        <v>499.8</v>
      </c>
      <c r="C3449">
        <v>500</v>
      </c>
      <c r="D3449" t="s">
        <v>5972</v>
      </c>
    </row>
    <row r="3450" spans="1:4" x14ac:dyDescent="0.2">
      <c r="A3450">
        <v>7</v>
      </c>
      <c r="B3450">
        <v>999.6</v>
      </c>
      <c r="C3450">
        <v>1000</v>
      </c>
      <c r="D3450" t="s">
        <v>5972</v>
      </c>
    </row>
    <row r="3451" spans="1:4" x14ac:dyDescent="0.2">
      <c r="A3451">
        <v>8</v>
      </c>
      <c r="B3451">
        <v>999.8</v>
      </c>
      <c r="C3451">
        <v>1000</v>
      </c>
      <c r="D3451" t="s">
        <v>5972</v>
      </c>
    </row>
    <row r="3452" spans="1:4" x14ac:dyDescent="0.2">
      <c r="A3452">
        <v>9</v>
      </c>
      <c r="B3452">
        <v>999.9</v>
      </c>
      <c r="C3452">
        <v>1000</v>
      </c>
      <c r="D3452" t="s">
        <v>5972</v>
      </c>
    </row>
    <row r="3453" spans="1:4" x14ac:dyDescent="0.2">
      <c r="A3453">
        <v>10</v>
      </c>
      <c r="B3453">
        <v>999.7</v>
      </c>
      <c r="C3453">
        <v>1000</v>
      </c>
      <c r="D3453" t="s">
        <v>5972</v>
      </c>
    </row>
    <row r="3454" spans="1:4" x14ac:dyDescent="0.2">
      <c r="A3454">
        <v>11</v>
      </c>
      <c r="B3454">
        <v>999.8</v>
      </c>
      <c r="C3454">
        <v>1000</v>
      </c>
      <c r="D3454" t="s">
        <v>5972</v>
      </c>
    </row>
    <row r="3455" spans="1:4" x14ac:dyDescent="0.2">
      <c r="A3455">
        <v>12</v>
      </c>
      <c r="B3455">
        <v>999.8</v>
      </c>
      <c r="C3455">
        <v>1000</v>
      </c>
      <c r="D3455" t="s">
        <v>5972</v>
      </c>
    </row>
    <row r="3456" spans="1:4" x14ac:dyDescent="0.2">
      <c r="A3456">
        <v>13</v>
      </c>
      <c r="B3456">
        <v>-100</v>
      </c>
      <c r="C3456">
        <v>-100</v>
      </c>
      <c r="D3456" t="s">
        <v>5972</v>
      </c>
    </row>
    <row r="3457" spans="1:4" x14ac:dyDescent="0.2">
      <c r="A3457">
        <v>14</v>
      </c>
      <c r="B3457">
        <v>-100.1</v>
      </c>
      <c r="C3457">
        <v>-100</v>
      </c>
      <c r="D3457" t="s">
        <v>5972</v>
      </c>
    </row>
    <row r="3458" spans="1:4" x14ac:dyDescent="0.2">
      <c r="A3458">
        <v>15</v>
      </c>
      <c r="B3458">
        <v>-100.1</v>
      </c>
      <c r="C3458">
        <v>-100</v>
      </c>
      <c r="D3458" t="s">
        <v>5972</v>
      </c>
    </row>
    <row r="3459" spans="1:4" x14ac:dyDescent="0.2">
      <c r="A3459">
        <v>16</v>
      </c>
      <c r="B3459">
        <v>-100</v>
      </c>
      <c r="C3459">
        <v>-100</v>
      </c>
      <c r="D3459" t="s">
        <v>5972</v>
      </c>
    </row>
    <row r="3460" spans="1:4" x14ac:dyDescent="0.2">
      <c r="A3460">
        <v>17</v>
      </c>
      <c r="B3460">
        <v>-100.2</v>
      </c>
      <c r="C3460">
        <v>-100</v>
      </c>
      <c r="D3460" t="s">
        <v>5972</v>
      </c>
    </row>
    <row r="3461" spans="1:4" x14ac:dyDescent="0.2">
      <c r="A3461">
        <v>18</v>
      </c>
      <c r="B3461">
        <v>-99.8</v>
      </c>
      <c r="C3461">
        <v>-100</v>
      </c>
      <c r="D3461" t="s">
        <v>5972</v>
      </c>
    </row>
    <row r="3462" spans="1:4" x14ac:dyDescent="0.2">
      <c r="A3462">
        <v>13</v>
      </c>
      <c r="B3462">
        <v>-50.1</v>
      </c>
      <c r="C3462">
        <v>-50</v>
      </c>
      <c r="D3462" t="s">
        <v>5972</v>
      </c>
    </row>
    <row r="3463" spans="1:4" x14ac:dyDescent="0.2">
      <c r="A3463">
        <v>14</v>
      </c>
      <c r="B3463">
        <v>-50.1</v>
      </c>
      <c r="C3463">
        <v>-50</v>
      </c>
      <c r="D3463" t="s">
        <v>5972</v>
      </c>
    </row>
    <row r="3464" spans="1:4" x14ac:dyDescent="0.2">
      <c r="A3464">
        <v>15</v>
      </c>
      <c r="B3464">
        <v>-50.1</v>
      </c>
      <c r="C3464">
        <v>-50</v>
      </c>
      <c r="D3464" t="s">
        <v>5972</v>
      </c>
    </row>
    <row r="3465" spans="1:4" x14ac:dyDescent="0.2">
      <c r="A3465">
        <v>16</v>
      </c>
      <c r="B3465">
        <v>-49.9</v>
      </c>
      <c r="C3465">
        <v>-50</v>
      </c>
      <c r="D3465" t="s">
        <v>5972</v>
      </c>
    </row>
    <row r="3466" spans="1:4" x14ac:dyDescent="0.2">
      <c r="A3466">
        <v>17</v>
      </c>
      <c r="B3466">
        <v>-49.9</v>
      </c>
      <c r="C3466">
        <v>-50</v>
      </c>
      <c r="D3466" t="s">
        <v>5972</v>
      </c>
    </row>
    <row r="3467" spans="1:4" x14ac:dyDescent="0.2">
      <c r="A3467">
        <v>18</v>
      </c>
      <c r="B3467">
        <v>-49.9</v>
      </c>
      <c r="C3467">
        <v>-50</v>
      </c>
      <c r="D3467" t="s">
        <v>5972</v>
      </c>
    </row>
    <row r="3468" spans="1:4" x14ac:dyDescent="0.2">
      <c r="A3468">
        <v>13</v>
      </c>
      <c r="B3468">
        <v>0.1</v>
      </c>
      <c r="C3468">
        <v>0</v>
      </c>
      <c r="D3468" t="s">
        <v>5972</v>
      </c>
    </row>
    <row r="3469" spans="1:4" x14ac:dyDescent="0.2">
      <c r="A3469">
        <v>14</v>
      </c>
      <c r="B3469">
        <v>-0.2</v>
      </c>
      <c r="C3469">
        <v>0</v>
      </c>
      <c r="D3469" t="s">
        <v>5972</v>
      </c>
    </row>
    <row r="3470" spans="1:4" x14ac:dyDescent="0.2">
      <c r="A3470">
        <v>15</v>
      </c>
      <c r="B3470">
        <v>-0.2</v>
      </c>
      <c r="C3470">
        <v>0</v>
      </c>
      <c r="D3470" t="s">
        <v>5972</v>
      </c>
    </row>
    <row r="3471" spans="1:4" x14ac:dyDescent="0.2">
      <c r="A3471">
        <v>16</v>
      </c>
      <c r="B3471">
        <v>0.1</v>
      </c>
      <c r="C3471">
        <v>0</v>
      </c>
      <c r="D3471" t="s">
        <v>5972</v>
      </c>
    </row>
    <row r="3472" spans="1:4" x14ac:dyDescent="0.2">
      <c r="A3472">
        <v>17</v>
      </c>
      <c r="B3472">
        <v>-0.1</v>
      </c>
      <c r="C3472">
        <v>0</v>
      </c>
      <c r="D3472" t="s">
        <v>5972</v>
      </c>
    </row>
    <row r="3473" spans="1:4" x14ac:dyDescent="0.2">
      <c r="A3473">
        <v>18</v>
      </c>
      <c r="B3473">
        <v>0.1</v>
      </c>
      <c r="C3473">
        <v>0</v>
      </c>
      <c r="D3473" t="s">
        <v>5972</v>
      </c>
    </row>
    <row r="3474" spans="1:4" x14ac:dyDescent="0.2">
      <c r="A3474">
        <v>13</v>
      </c>
      <c r="B3474">
        <v>250.1</v>
      </c>
      <c r="C3474">
        <v>250</v>
      </c>
      <c r="D3474" t="s">
        <v>5972</v>
      </c>
    </row>
    <row r="3475" spans="1:4" x14ac:dyDescent="0.2">
      <c r="A3475">
        <v>14</v>
      </c>
      <c r="B3475">
        <v>249.8</v>
      </c>
      <c r="C3475">
        <v>250</v>
      </c>
      <c r="D3475" t="s">
        <v>5972</v>
      </c>
    </row>
    <row r="3476" spans="1:4" x14ac:dyDescent="0.2">
      <c r="A3476">
        <v>15</v>
      </c>
      <c r="B3476">
        <v>249.8</v>
      </c>
      <c r="C3476">
        <v>250</v>
      </c>
      <c r="D3476" t="s">
        <v>5972</v>
      </c>
    </row>
    <row r="3477" spans="1:4" x14ac:dyDescent="0.2">
      <c r="A3477">
        <v>16</v>
      </c>
      <c r="B3477">
        <v>250.2</v>
      </c>
      <c r="C3477">
        <v>250</v>
      </c>
      <c r="D3477" t="s">
        <v>5972</v>
      </c>
    </row>
    <row r="3478" spans="1:4" x14ac:dyDescent="0.2">
      <c r="A3478">
        <v>17</v>
      </c>
      <c r="B3478">
        <v>250</v>
      </c>
      <c r="C3478">
        <v>250</v>
      </c>
      <c r="D3478" t="s">
        <v>5972</v>
      </c>
    </row>
    <row r="3479" spans="1:4" x14ac:dyDescent="0.2">
      <c r="A3479">
        <v>18</v>
      </c>
      <c r="B3479">
        <v>250.1</v>
      </c>
      <c r="C3479">
        <v>250</v>
      </c>
      <c r="D3479" t="s">
        <v>5972</v>
      </c>
    </row>
    <row r="3480" spans="1:4" x14ac:dyDescent="0.2">
      <c r="A3480">
        <v>13</v>
      </c>
      <c r="B3480">
        <v>500.1</v>
      </c>
      <c r="C3480">
        <v>500</v>
      </c>
      <c r="D3480" t="s">
        <v>5972</v>
      </c>
    </row>
    <row r="3481" spans="1:4" x14ac:dyDescent="0.2">
      <c r="A3481">
        <v>14</v>
      </c>
      <c r="B3481">
        <v>499.8</v>
      </c>
      <c r="C3481">
        <v>500</v>
      </c>
      <c r="D3481" t="s">
        <v>5972</v>
      </c>
    </row>
    <row r="3482" spans="1:4" x14ac:dyDescent="0.2">
      <c r="A3482">
        <v>15</v>
      </c>
      <c r="B3482">
        <v>499.7</v>
      </c>
      <c r="C3482">
        <v>500</v>
      </c>
      <c r="D3482" t="s">
        <v>5972</v>
      </c>
    </row>
    <row r="3483" spans="1:4" x14ac:dyDescent="0.2">
      <c r="A3483">
        <v>16</v>
      </c>
      <c r="B3483">
        <v>500.1</v>
      </c>
      <c r="C3483">
        <v>500</v>
      </c>
      <c r="D3483" t="s">
        <v>5972</v>
      </c>
    </row>
    <row r="3484" spans="1:4" x14ac:dyDescent="0.2">
      <c r="A3484">
        <v>17</v>
      </c>
      <c r="B3484">
        <v>500</v>
      </c>
      <c r="C3484">
        <v>500</v>
      </c>
      <c r="D3484" t="s">
        <v>5972</v>
      </c>
    </row>
    <row r="3485" spans="1:4" x14ac:dyDescent="0.2">
      <c r="A3485">
        <v>18</v>
      </c>
      <c r="B3485">
        <v>500.1</v>
      </c>
      <c r="C3485">
        <v>500</v>
      </c>
      <c r="D3485" t="s">
        <v>5972</v>
      </c>
    </row>
    <row r="3486" spans="1:4" x14ac:dyDescent="0.2">
      <c r="A3486">
        <v>13</v>
      </c>
      <c r="B3486">
        <v>1000.1</v>
      </c>
      <c r="C3486">
        <v>1000</v>
      </c>
      <c r="D3486" t="s">
        <v>5972</v>
      </c>
    </row>
    <row r="3487" spans="1:4" x14ac:dyDescent="0.2">
      <c r="A3487">
        <v>14</v>
      </c>
      <c r="B3487">
        <v>999.8</v>
      </c>
      <c r="C3487">
        <v>1000</v>
      </c>
      <c r="D3487" t="s">
        <v>5972</v>
      </c>
    </row>
    <row r="3488" spans="1:4" x14ac:dyDescent="0.2">
      <c r="A3488">
        <v>15</v>
      </c>
      <c r="B3488">
        <v>999.7</v>
      </c>
      <c r="C3488">
        <v>1000</v>
      </c>
      <c r="D3488" t="s">
        <v>5972</v>
      </c>
    </row>
    <row r="3489" spans="1:4" x14ac:dyDescent="0.2">
      <c r="A3489">
        <v>16</v>
      </c>
      <c r="B3489">
        <v>1000.1</v>
      </c>
      <c r="C3489">
        <v>1000</v>
      </c>
      <c r="D3489" t="s">
        <v>5972</v>
      </c>
    </row>
    <row r="3490" spans="1:4" x14ac:dyDescent="0.2">
      <c r="A3490">
        <v>17</v>
      </c>
      <c r="B3490">
        <v>1000</v>
      </c>
      <c r="C3490">
        <v>1000</v>
      </c>
      <c r="D3490" t="s">
        <v>5972</v>
      </c>
    </row>
    <row r="3491" spans="1:4" x14ac:dyDescent="0.2">
      <c r="A3491">
        <v>18</v>
      </c>
      <c r="B3491">
        <v>1000.1</v>
      </c>
      <c r="C3491">
        <v>1000</v>
      </c>
      <c r="D3491" t="s">
        <v>5972</v>
      </c>
    </row>
    <row r="3492" spans="1:4" x14ac:dyDescent="0.2">
      <c r="A3492">
        <v>19</v>
      </c>
      <c r="B3492">
        <v>-100.1</v>
      </c>
      <c r="C3492">
        <v>-100</v>
      </c>
      <c r="D3492" t="s">
        <v>5972</v>
      </c>
    </row>
    <row r="3493" spans="1:4" x14ac:dyDescent="0.2">
      <c r="A3493">
        <v>20</v>
      </c>
      <c r="B3493">
        <v>-100.1</v>
      </c>
      <c r="C3493">
        <v>-100</v>
      </c>
      <c r="D3493" t="s">
        <v>5972</v>
      </c>
    </row>
    <row r="3494" spans="1:4" x14ac:dyDescent="0.2">
      <c r="A3494">
        <v>21</v>
      </c>
      <c r="B3494">
        <v>-100.1</v>
      </c>
      <c r="C3494">
        <v>-100</v>
      </c>
      <c r="D3494" t="s">
        <v>5972</v>
      </c>
    </row>
    <row r="3495" spans="1:4" x14ac:dyDescent="0.2">
      <c r="A3495">
        <v>22</v>
      </c>
      <c r="B3495">
        <v>-100</v>
      </c>
      <c r="C3495">
        <v>-100</v>
      </c>
      <c r="D3495" t="s">
        <v>5972</v>
      </c>
    </row>
    <row r="3496" spans="1:4" x14ac:dyDescent="0.2">
      <c r="A3496">
        <v>23</v>
      </c>
      <c r="B3496">
        <v>-100.2</v>
      </c>
      <c r="C3496">
        <v>-100</v>
      </c>
      <c r="D3496" t="s">
        <v>5972</v>
      </c>
    </row>
    <row r="3497" spans="1:4" x14ac:dyDescent="0.2">
      <c r="A3497">
        <v>24</v>
      </c>
      <c r="B3497">
        <v>-99.8</v>
      </c>
      <c r="C3497">
        <v>-100</v>
      </c>
      <c r="D3497" t="s">
        <v>5972</v>
      </c>
    </row>
    <row r="3498" spans="1:4" x14ac:dyDescent="0.2">
      <c r="A3498">
        <v>19</v>
      </c>
      <c r="B3498">
        <v>-49.9</v>
      </c>
      <c r="C3498">
        <v>-50</v>
      </c>
      <c r="D3498" t="s">
        <v>5972</v>
      </c>
    </row>
    <row r="3499" spans="1:4" x14ac:dyDescent="0.2">
      <c r="A3499">
        <v>20</v>
      </c>
      <c r="B3499">
        <v>-50.1</v>
      </c>
      <c r="C3499">
        <v>-50</v>
      </c>
      <c r="D3499" t="s">
        <v>5972</v>
      </c>
    </row>
    <row r="3500" spans="1:4" x14ac:dyDescent="0.2">
      <c r="A3500">
        <v>21</v>
      </c>
      <c r="B3500">
        <v>-49.9</v>
      </c>
      <c r="C3500">
        <v>-50</v>
      </c>
      <c r="D3500" t="s">
        <v>5972</v>
      </c>
    </row>
    <row r="3501" spans="1:4" x14ac:dyDescent="0.2">
      <c r="A3501">
        <v>22</v>
      </c>
      <c r="B3501">
        <v>-49.9</v>
      </c>
      <c r="C3501">
        <v>-50</v>
      </c>
      <c r="D3501" t="s">
        <v>5972</v>
      </c>
    </row>
    <row r="3502" spans="1:4" x14ac:dyDescent="0.2">
      <c r="A3502">
        <v>23</v>
      </c>
      <c r="B3502">
        <v>-50.2</v>
      </c>
      <c r="C3502">
        <v>-50</v>
      </c>
      <c r="D3502" t="s">
        <v>5972</v>
      </c>
    </row>
    <row r="3503" spans="1:4" x14ac:dyDescent="0.2">
      <c r="A3503">
        <v>24</v>
      </c>
      <c r="B3503">
        <v>-49.8</v>
      </c>
      <c r="C3503">
        <v>-50</v>
      </c>
      <c r="D3503" t="s">
        <v>5972</v>
      </c>
    </row>
    <row r="3504" spans="1:4" x14ac:dyDescent="0.2">
      <c r="A3504">
        <v>19</v>
      </c>
      <c r="B3504">
        <v>0</v>
      </c>
      <c r="C3504">
        <v>0</v>
      </c>
      <c r="D3504" t="s">
        <v>5972</v>
      </c>
    </row>
    <row r="3505" spans="1:4" x14ac:dyDescent="0.2">
      <c r="A3505">
        <v>20</v>
      </c>
      <c r="B3505">
        <v>-0.1</v>
      </c>
      <c r="C3505">
        <v>0</v>
      </c>
      <c r="D3505" t="s">
        <v>5972</v>
      </c>
    </row>
    <row r="3506" spans="1:4" x14ac:dyDescent="0.2">
      <c r="A3506">
        <v>21</v>
      </c>
      <c r="B3506">
        <v>0</v>
      </c>
      <c r="C3506">
        <v>0</v>
      </c>
      <c r="D3506" t="s">
        <v>5972</v>
      </c>
    </row>
    <row r="3507" spans="1:4" x14ac:dyDescent="0.2">
      <c r="A3507">
        <v>22</v>
      </c>
      <c r="B3507">
        <v>0.1</v>
      </c>
      <c r="C3507">
        <v>0</v>
      </c>
      <c r="D3507" t="s">
        <v>5972</v>
      </c>
    </row>
    <row r="3508" spans="1:4" x14ac:dyDescent="0.2">
      <c r="A3508">
        <v>23</v>
      </c>
      <c r="B3508">
        <v>-0.1</v>
      </c>
      <c r="C3508">
        <v>0</v>
      </c>
      <c r="D3508" t="s">
        <v>5972</v>
      </c>
    </row>
    <row r="3509" spans="1:4" x14ac:dyDescent="0.2">
      <c r="A3509">
        <v>24</v>
      </c>
      <c r="B3509">
        <v>0</v>
      </c>
      <c r="C3509">
        <v>0</v>
      </c>
      <c r="D3509" t="s">
        <v>5972</v>
      </c>
    </row>
    <row r="3510" spans="1:4" x14ac:dyDescent="0.2">
      <c r="A3510">
        <v>19</v>
      </c>
      <c r="B3510">
        <v>250</v>
      </c>
      <c r="C3510">
        <v>250</v>
      </c>
      <c r="D3510" t="s">
        <v>5972</v>
      </c>
    </row>
    <row r="3511" spans="1:4" x14ac:dyDescent="0.2">
      <c r="A3511">
        <v>20</v>
      </c>
      <c r="B3511">
        <v>249.9</v>
      </c>
      <c r="C3511">
        <v>250</v>
      </c>
      <c r="D3511" t="s">
        <v>5972</v>
      </c>
    </row>
    <row r="3512" spans="1:4" x14ac:dyDescent="0.2">
      <c r="A3512">
        <v>21</v>
      </c>
      <c r="B3512">
        <v>250.1</v>
      </c>
      <c r="C3512">
        <v>250</v>
      </c>
      <c r="D3512" t="s">
        <v>5972</v>
      </c>
    </row>
    <row r="3513" spans="1:4" x14ac:dyDescent="0.2">
      <c r="A3513">
        <v>22</v>
      </c>
      <c r="B3513">
        <v>250.1</v>
      </c>
      <c r="C3513">
        <v>250</v>
      </c>
      <c r="D3513" t="s">
        <v>5972</v>
      </c>
    </row>
    <row r="3514" spans="1:4" x14ac:dyDescent="0.2">
      <c r="A3514">
        <v>23</v>
      </c>
      <c r="B3514">
        <v>249.9</v>
      </c>
      <c r="C3514">
        <v>250</v>
      </c>
      <c r="D3514" t="s">
        <v>5972</v>
      </c>
    </row>
    <row r="3515" spans="1:4" x14ac:dyDescent="0.2">
      <c r="A3515">
        <v>24</v>
      </c>
      <c r="B3515">
        <v>250.1</v>
      </c>
      <c r="C3515">
        <v>250</v>
      </c>
      <c r="D3515" t="s">
        <v>5972</v>
      </c>
    </row>
    <row r="3516" spans="1:4" x14ac:dyDescent="0.2">
      <c r="A3516">
        <v>19</v>
      </c>
      <c r="B3516">
        <v>499.9</v>
      </c>
      <c r="C3516">
        <v>500</v>
      </c>
      <c r="D3516" t="s">
        <v>5972</v>
      </c>
    </row>
    <row r="3517" spans="1:4" x14ac:dyDescent="0.2">
      <c r="A3517">
        <v>20</v>
      </c>
      <c r="B3517">
        <v>499.8</v>
      </c>
      <c r="C3517">
        <v>500</v>
      </c>
      <c r="D3517" t="s">
        <v>5972</v>
      </c>
    </row>
    <row r="3518" spans="1:4" x14ac:dyDescent="0.2">
      <c r="A3518">
        <v>21</v>
      </c>
      <c r="B3518">
        <v>500.1</v>
      </c>
      <c r="C3518">
        <v>500</v>
      </c>
      <c r="D3518" t="s">
        <v>5972</v>
      </c>
    </row>
    <row r="3519" spans="1:4" x14ac:dyDescent="0.2">
      <c r="A3519">
        <v>22</v>
      </c>
      <c r="B3519">
        <v>500.1</v>
      </c>
      <c r="C3519">
        <v>500</v>
      </c>
      <c r="D3519" t="s">
        <v>5972</v>
      </c>
    </row>
    <row r="3520" spans="1:4" x14ac:dyDescent="0.2">
      <c r="A3520">
        <v>23</v>
      </c>
      <c r="B3520">
        <v>499.9</v>
      </c>
      <c r="C3520">
        <v>500</v>
      </c>
      <c r="D3520" t="s">
        <v>5972</v>
      </c>
    </row>
    <row r="3521" spans="1:4" x14ac:dyDescent="0.2">
      <c r="A3521">
        <v>24</v>
      </c>
      <c r="B3521">
        <v>499.9</v>
      </c>
      <c r="C3521">
        <v>500</v>
      </c>
      <c r="D3521" t="s">
        <v>5972</v>
      </c>
    </row>
    <row r="3522" spans="1:4" x14ac:dyDescent="0.2">
      <c r="A3522">
        <v>19</v>
      </c>
      <c r="B3522">
        <v>1000</v>
      </c>
      <c r="C3522">
        <v>1000</v>
      </c>
      <c r="D3522" t="s">
        <v>5972</v>
      </c>
    </row>
    <row r="3523" spans="1:4" x14ac:dyDescent="0.2">
      <c r="A3523">
        <v>20</v>
      </c>
      <c r="B3523">
        <v>999.7</v>
      </c>
      <c r="C3523">
        <v>1000</v>
      </c>
      <c r="D3523" t="s">
        <v>5972</v>
      </c>
    </row>
    <row r="3524" spans="1:4" x14ac:dyDescent="0.2">
      <c r="A3524">
        <v>21</v>
      </c>
      <c r="B3524">
        <v>1000.2</v>
      </c>
      <c r="C3524">
        <v>1000</v>
      </c>
      <c r="D3524" t="s">
        <v>5972</v>
      </c>
    </row>
    <row r="3525" spans="1:4" x14ac:dyDescent="0.2">
      <c r="A3525">
        <v>22</v>
      </c>
      <c r="B3525">
        <v>1000.1</v>
      </c>
      <c r="C3525">
        <v>1000</v>
      </c>
      <c r="D3525" t="s">
        <v>5972</v>
      </c>
    </row>
    <row r="3526" spans="1:4" x14ac:dyDescent="0.2">
      <c r="A3526">
        <v>23</v>
      </c>
      <c r="B3526">
        <v>999.9</v>
      </c>
      <c r="C3526">
        <v>1000</v>
      </c>
      <c r="D3526" t="s">
        <v>5972</v>
      </c>
    </row>
    <row r="3527" spans="1:4" x14ac:dyDescent="0.2">
      <c r="A3527">
        <v>24</v>
      </c>
      <c r="B3527">
        <v>999.8</v>
      </c>
      <c r="C3527">
        <v>1000</v>
      </c>
      <c r="D3527" t="s">
        <v>5972</v>
      </c>
    </row>
    <row r="3528" spans="1:4" x14ac:dyDescent="0.2">
      <c r="A3528">
        <v>25</v>
      </c>
      <c r="B3528">
        <v>-99.9</v>
      </c>
      <c r="C3528">
        <v>-100</v>
      </c>
      <c r="D3528" t="s">
        <v>5972</v>
      </c>
    </row>
    <row r="3529" spans="1:4" x14ac:dyDescent="0.2">
      <c r="A3529">
        <v>26</v>
      </c>
      <c r="B3529">
        <v>-100</v>
      </c>
      <c r="C3529">
        <v>-100</v>
      </c>
      <c r="D3529" t="s">
        <v>5972</v>
      </c>
    </row>
    <row r="3530" spans="1:4" x14ac:dyDescent="0.2">
      <c r="A3530">
        <v>27</v>
      </c>
      <c r="B3530">
        <v>-100.2</v>
      </c>
      <c r="C3530">
        <v>-100</v>
      </c>
      <c r="D3530" t="s">
        <v>5972</v>
      </c>
    </row>
    <row r="3531" spans="1:4" x14ac:dyDescent="0.2">
      <c r="A3531">
        <v>28</v>
      </c>
      <c r="B3531">
        <v>-100.1</v>
      </c>
      <c r="C3531">
        <v>-100</v>
      </c>
      <c r="D3531" t="s">
        <v>5972</v>
      </c>
    </row>
    <row r="3532" spans="1:4" x14ac:dyDescent="0.2">
      <c r="A3532">
        <v>29</v>
      </c>
      <c r="B3532">
        <v>-100.2</v>
      </c>
      <c r="C3532">
        <v>-100</v>
      </c>
      <c r="D3532" t="s">
        <v>5972</v>
      </c>
    </row>
    <row r="3533" spans="1:4" x14ac:dyDescent="0.2">
      <c r="A3533">
        <v>30</v>
      </c>
      <c r="B3533">
        <v>-100.2</v>
      </c>
      <c r="C3533">
        <v>-100</v>
      </c>
      <c r="D3533" t="s">
        <v>5972</v>
      </c>
    </row>
    <row r="3534" spans="1:4" x14ac:dyDescent="0.2">
      <c r="A3534">
        <v>25</v>
      </c>
      <c r="B3534">
        <v>-49.9</v>
      </c>
      <c r="C3534">
        <v>-50</v>
      </c>
      <c r="D3534" t="s">
        <v>5972</v>
      </c>
    </row>
    <row r="3535" spans="1:4" x14ac:dyDescent="0.2">
      <c r="A3535">
        <v>26</v>
      </c>
      <c r="B3535">
        <v>-49.8</v>
      </c>
      <c r="C3535">
        <v>-50</v>
      </c>
      <c r="D3535" t="s">
        <v>5972</v>
      </c>
    </row>
    <row r="3536" spans="1:4" x14ac:dyDescent="0.2">
      <c r="A3536">
        <v>27</v>
      </c>
      <c r="B3536">
        <v>-50.1</v>
      </c>
      <c r="C3536">
        <v>-50</v>
      </c>
      <c r="D3536" t="s">
        <v>5972</v>
      </c>
    </row>
    <row r="3537" spans="1:4" x14ac:dyDescent="0.2">
      <c r="A3537">
        <v>28</v>
      </c>
      <c r="B3537">
        <v>-50.1</v>
      </c>
      <c r="C3537">
        <v>-50</v>
      </c>
      <c r="D3537" t="s">
        <v>5972</v>
      </c>
    </row>
    <row r="3538" spans="1:4" x14ac:dyDescent="0.2">
      <c r="A3538">
        <v>29</v>
      </c>
      <c r="B3538">
        <v>-50.1</v>
      </c>
      <c r="C3538">
        <v>-50</v>
      </c>
      <c r="D3538" t="s">
        <v>5972</v>
      </c>
    </row>
    <row r="3539" spans="1:4" x14ac:dyDescent="0.2">
      <c r="A3539">
        <v>30</v>
      </c>
      <c r="B3539">
        <v>-50</v>
      </c>
      <c r="C3539">
        <v>-50</v>
      </c>
      <c r="D3539" t="s">
        <v>5972</v>
      </c>
    </row>
    <row r="3540" spans="1:4" x14ac:dyDescent="0.2">
      <c r="A3540">
        <v>25</v>
      </c>
      <c r="B3540">
        <v>0</v>
      </c>
      <c r="C3540">
        <v>0</v>
      </c>
      <c r="D3540" t="s">
        <v>5972</v>
      </c>
    </row>
    <row r="3541" spans="1:4" x14ac:dyDescent="0.2">
      <c r="A3541">
        <v>26</v>
      </c>
      <c r="B3541">
        <v>0.1</v>
      </c>
      <c r="C3541">
        <v>0</v>
      </c>
      <c r="D3541" t="s">
        <v>5972</v>
      </c>
    </row>
    <row r="3542" spans="1:4" x14ac:dyDescent="0.2">
      <c r="A3542">
        <v>27</v>
      </c>
      <c r="B3542">
        <v>-0.1</v>
      </c>
      <c r="C3542">
        <v>0</v>
      </c>
      <c r="D3542" t="s">
        <v>5972</v>
      </c>
    </row>
    <row r="3543" spans="1:4" x14ac:dyDescent="0.2">
      <c r="A3543">
        <v>28</v>
      </c>
      <c r="B3543">
        <v>0</v>
      </c>
      <c r="C3543">
        <v>0</v>
      </c>
      <c r="D3543" t="s">
        <v>5972</v>
      </c>
    </row>
    <row r="3544" spans="1:4" x14ac:dyDescent="0.2">
      <c r="A3544">
        <v>29</v>
      </c>
      <c r="B3544">
        <v>0.1</v>
      </c>
      <c r="C3544">
        <v>0</v>
      </c>
      <c r="D3544" t="s">
        <v>5972</v>
      </c>
    </row>
    <row r="3545" spans="1:4" x14ac:dyDescent="0.2">
      <c r="A3545">
        <v>30</v>
      </c>
      <c r="B3545">
        <v>0.1</v>
      </c>
      <c r="C3545">
        <v>0</v>
      </c>
      <c r="D3545" t="s">
        <v>5972</v>
      </c>
    </row>
    <row r="3546" spans="1:4" x14ac:dyDescent="0.2">
      <c r="A3546">
        <v>25</v>
      </c>
      <c r="B3546">
        <v>250.1</v>
      </c>
      <c r="C3546">
        <v>250</v>
      </c>
      <c r="D3546" t="s">
        <v>5972</v>
      </c>
    </row>
    <row r="3547" spans="1:4" x14ac:dyDescent="0.2">
      <c r="A3547">
        <v>26</v>
      </c>
      <c r="B3547">
        <v>250.1</v>
      </c>
      <c r="C3547">
        <v>250</v>
      </c>
      <c r="D3547" t="s">
        <v>5972</v>
      </c>
    </row>
    <row r="3548" spans="1:4" x14ac:dyDescent="0.2">
      <c r="A3548">
        <v>27</v>
      </c>
      <c r="B3548">
        <v>250.2</v>
      </c>
      <c r="C3548">
        <v>250</v>
      </c>
      <c r="D3548" t="s">
        <v>5972</v>
      </c>
    </row>
    <row r="3549" spans="1:4" x14ac:dyDescent="0.2">
      <c r="A3549">
        <v>28</v>
      </c>
      <c r="B3549">
        <v>250.1</v>
      </c>
      <c r="C3549">
        <v>250</v>
      </c>
      <c r="D3549" t="s">
        <v>5972</v>
      </c>
    </row>
    <row r="3550" spans="1:4" x14ac:dyDescent="0.2">
      <c r="A3550">
        <v>29</v>
      </c>
      <c r="B3550">
        <v>249.8</v>
      </c>
      <c r="C3550">
        <v>250</v>
      </c>
      <c r="D3550" t="s">
        <v>5972</v>
      </c>
    </row>
    <row r="3551" spans="1:4" x14ac:dyDescent="0.2">
      <c r="A3551">
        <v>30</v>
      </c>
      <c r="B3551">
        <v>249.9</v>
      </c>
      <c r="C3551">
        <v>250</v>
      </c>
      <c r="D3551" t="s">
        <v>5972</v>
      </c>
    </row>
    <row r="3552" spans="1:4" x14ac:dyDescent="0.2">
      <c r="A3552">
        <v>25</v>
      </c>
      <c r="B3552">
        <v>500.1</v>
      </c>
      <c r="C3552">
        <v>500</v>
      </c>
      <c r="D3552" t="s">
        <v>5972</v>
      </c>
    </row>
    <row r="3553" spans="1:4" x14ac:dyDescent="0.2">
      <c r="A3553">
        <v>26</v>
      </c>
      <c r="B3553">
        <v>500.1</v>
      </c>
      <c r="C3553">
        <v>500</v>
      </c>
      <c r="D3553" t="s">
        <v>5972</v>
      </c>
    </row>
    <row r="3554" spans="1:4" x14ac:dyDescent="0.2">
      <c r="A3554">
        <v>27</v>
      </c>
      <c r="B3554">
        <v>500.2</v>
      </c>
      <c r="C3554">
        <v>500</v>
      </c>
      <c r="D3554" t="s">
        <v>5972</v>
      </c>
    </row>
    <row r="3555" spans="1:4" x14ac:dyDescent="0.2">
      <c r="A3555">
        <v>28</v>
      </c>
      <c r="B3555">
        <v>500.1</v>
      </c>
      <c r="C3555">
        <v>500</v>
      </c>
      <c r="D3555" t="s">
        <v>5972</v>
      </c>
    </row>
    <row r="3556" spans="1:4" x14ac:dyDescent="0.2">
      <c r="A3556">
        <v>29</v>
      </c>
      <c r="B3556">
        <v>499.9</v>
      </c>
      <c r="C3556">
        <v>500</v>
      </c>
      <c r="D3556" t="s">
        <v>5972</v>
      </c>
    </row>
    <row r="3557" spans="1:4" x14ac:dyDescent="0.2">
      <c r="A3557">
        <v>30</v>
      </c>
      <c r="B3557">
        <v>500</v>
      </c>
      <c r="C3557">
        <v>500</v>
      </c>
      <c r="D3557" t="s">
        <v>5972</v>
      </c>
    </row>
    <row r="3558" spans="1:4" x14ac:dyDescent="0.2">
      <c r="A3558">
        <v>25</v>
      </c>
      <c r="B3558">
        <v>1000.2</v>
      </c>
      <c r="C3558">
        <v>1000</v>
      </c>
      <c r="D3558" t="s">
        <v>5972</v>
      </c>
    </row>
    <row r="3559" spans="1:4" x14ac:dyDescent="0.2">
      <c r="A3559">
        <v>26</v>
      </c>
      <c r="B3559">
        <v>1000.1</v>
      </c>
      <c r="C3559">
        <v>1000</v>
      </c>
      <c r="D3559" t="s">
        <v>5972</v>
      </c>
    </row>
    <row r="3560" spans="1:4" x14ac:dyDescent="0.2">
      <c r="A3560">
        <v>27</v>
      </c>
      <c r="B3560">
        <v>1000.3</v>
      </c>
      <c r="C3560">
        <v>1000</v>
      </c>
      <c r="D3560" t="s">
        <v>5972</v>
      </c>
    </row>
    <row r="3561" spans="1:4" x14ac:dyDescent="0.2">
      <c r="A3561">
        <v>28</v>
      </c>
      <c r="B3561">
        <v>1000.2</v>
      </c>
      <c r="C3561">
        <v>1000</v>
      </c>
      <c r="D3561" t="s">
        <v>5972</v>
      </c>
    </row>
    <row r="3562" spans="1:4" x14ac:dyDescent="0.2">
      <c r="A3562">
        <v>29</v>
      </c>
      <c r="B3562">
        <v>999.9</v>
      </c>
      <c r="C3562">
        <v>1000</v>
      </c>
      <c r="D3562" t="s">
        <v>5972</v>
      </c>
    </row>
    <row r="3563" spans="1:4" x14ac:dyDescent="0.2">
      <c r="A3563">
        <v>30</v>
      </c>
      <c r="B3563">
        <v>1000</v>
      </c>
      <c r="C3563">
        <v>1000</v>
      </c>
      <c r="D3563" t="s">
        <v>5972</v>
      </c>
    </row>
    <row r="3564" spans="1:4" x14ac:dyDescent="0.2">
      <c r="A3564">
        <v>31</v>
      </c>
      <c r="B3564">
        <v>-100.1</v>
      </c>
      <c r="C3564">
        <v>-100</v>
      </c>
      <c r="D3564" t="s">
        <v>5972</v>
      </c>
    </row>
    <row r="3565" spans="1:4" x14ac:dyDescent="0.2">
      <c r="A3565">
        <v>32</v>
      </c>
      <c r="B3565">
        <v>-100</v>
      </c>
      <c r="C3565">
        <v>-100</v>
      </c>
      <c r="D3565" t="s">
        <v>5972</v>
      </c>
    </row>
    <row r="3566" spans="1:4" x14ac:dyDescent="0.2">
      <c r="A3566">
        <v>33</v>
      </c>
      <c r="B3566">
        <v>-100.2</v>
      </c>
      <c r="C3566">
        <v>-100</v>
      </c>
      <c r="D3566" t="s">
        <v>5972</v>
      </c>
    </row>
    <row r="3567" spans="1:4" x14ac:dyDescent="0.2">
      <c r="A3567">
        <v>34</v>
      </c>
      <c r="B3567">
        <v>-100.2</v>
      </c>
      <c r="C3567">
        <v>-100</v>
      </c>
      <c r="D3567" t="s">
        <v>5972</v>
      </c>
    </row>
    <row r="3568" spans="1:4" x14ac:dyDescent="0.2">
      <c r="A3568">
        <v>35</v>
      </c>
      <c r="B3568">
        <v>-100.2</v>
      </c>
      <c r="C3568">
        <v>-100</v>
      </c>
      <c r="D3568" t="s">
        <v>5972</v>
      </c>
    </row>
    <row r="3569" spans="1:4" x14ac:dyDescent="0.2">
      <c r="A3569">
        <v>36</v>
      </c>
      <c r="B3569">
        <v>-100.3</v>
      </c>
      <c r="C3569">
        <v>-100</v>
      </c>
      <c r="D3569" t="s">
        <v>5972</v>
      </c>
    </row>
    <row r="3570" spans="1:4" x14ac:dyDescent="0.2">
      <c r="A3570">
        <v>31</v>
      </c>
      <c r="B3570">
        <v>-49.9</v>
      </c>
      <c r="C3570">
        <v>-50</v>
      </c>
      <c r="D3570" t="s">
        <v>5972</v>
      </c>
    </row>
    <row r="3571" spans="1:4" x14ac:dyDescent="0.2">
      <c r="A3571">
        <v>32</v>
      </c>
      <c r="B3571">
        <v>-50</v>
      </c>
      <c r="C3571">
        <v>-50</v>
      </c>
      <c r="D3571" t="s">
        <v>5972</v>
      </c>
    </row>
    <row r="3572" spans="1:4" x14ac:dyDescent="0.2">
      <c r="A3572">
        <v>33</v>
      </c>
      <c r="B3572">
        <v>-50.1</v>
      </c>
      <c r="C3572">
        <v>-50</v>
      </c>
      <c r="D3572" t="s">
        <v>5972</v>
      </c>
    </row>
    <row r="3573" spans="1:4" x14ac:dyDescent="0.2">
      <c r="A3573">
        <v>34</v>
      </c>
      <c r="B3573">
        <v>-50.2</v>
      </c>
      <c r="C3573">
        <v>-50</v>
      </c>
      <c r="D3573" t="s">
        <v>5972</v>
      </c>
    </row>
    <row r="3574" spans="1:4" x14ac:dyDescent="0.2">
      <c r="A3574">
        <v>35</v>
      </c>
      <c r="B3574">
        <v>-50.1</v>
      </c>
      <c r="C3574">
        <v>-50</v>
      </c>
      <c r="D3574" t="s">
        <v>5972</v>
      </c>
    </row>
    <row r="3575" spans="1:4" x14ac:dyDescent="0.2">
      <c r="A3575">
        <v>36</v>
      </c>
      <c r="B3575">
        <v>-50.2</v>
      </c>
      <c r="C3575">
        <v>-50</v>
      </c>
      <c r="D3575" t="s">
        <v>5972</v>
      </c>
    </row>
    <row r="3576" spans="1:4" x14ac:dyDescent="0.2">
      <c r="A3576">
        <v>31</v>
      </c>
      <c r="B3576">
        <v>0.2</v>
      </c>
      <c r="C3576">
        <v>0</v>
      </c>
      <c r="D3576" t="s">
        <v>5972</v>
      </c>
    </row>
    <row r="3577" spans="1:4" x14ac:dyDescent="0.2">
      <c r="A3577">
        <v>32</v>
      </c>
      <c r="B3577">
        <v>0.2</v>
      </c>
      <c r="C3577">
        <v>0</v>
      </c>
      <c r="D3577" t="s">
        <v>5972</v>
      </c>
    </row>
    <row r="3578" spans="1:4" x14ac:dyDescent="0.2">
      <c r="A3578">
        <v>33</v>
      </c>
      <c r="B3578">
        <v>0.1</v>
      </c>
      <c r="C3578">
        <v>0</v>
      </c>
      <c r="D3578" t="s">
        <v>5972</v>
      </c>
    </row>
    <row r="3579" spans="1:4" x14ac:dyDescent="0.2">
      <c r="A3579">
        <v>34</v>
      </c>
      <c r="B3579">
        <v>0.1</v>
      </c>
      <c r="C3579">
        <v>0</v>
      </c>
      <c r="D3579" t="s">
        <v>5972</v>
      </c>
    </row>
    <row r="3580" spans="1:4" x14ac:dyDescent="0.2">
      <c r="A3580">
        <v>35</v>
      </c>
      <c r="B3580">
        <v>0.1</v>
      </c>
      <c r="C3580">
        <v>0</v>
      </c>
      <c r="D3580" t="s">
        <v>5972</v>
      </c>
    </row>
    <row r="3581" spans="1:4" x14ac:dyDescent="0.2">
      <c r="A3581">
        <v>36</v>
      </c>
      <c r="B3581">
        <v>0.1</v>
      </c>
      <c r="C3581">
        <v>0</v>
      </c>
      <c r="D3581" t="s">
        <v>5972</v>
      </c>
    </row>
    <row r="3582" spans="1:4" x14ac:dyDescent="0.2">
      <c r="A3582">
        <v>31</v>
      </c>
      <c r="B3582">
        <v>250</v>
      </c>
      <c r="C3582">
        <v>250</v>
      </c>
      <c r="D3582" t="s">
        <v>5972</v>
      </c>
    </row>
    <row r="3583" spans="1:4" x14ac:dyDescent="0.2">
      <c r="A3583">
        <v>32</v>
      </c>
      <c r="B3583">
        <v>250.1</v>
      </c>
      <c r="C3583">
        <v>250</v>
      </c>
      <c r="D3583" t="s">
        <v>5972</v>
      </c>
    </row>
    <row r="3584" spans="1:4" x14ac:dyDescent="0.2">
      <c r="A3584">
        <v>33</v>
      </c>
      <c r="B3584">
        <v>249.8</v>
      </c>
      <c r="C3584">
        <v>250</v>
      </c>
      <c r="D3584" t="s">
        <v>5972</v>
      </c>
    </row>
    <row r="3585" spans="1:4" x14ac:dyDescent="0.2">
      <c r="A3585">
        <v>34</v>
      </c>
      <c r="B3585">
        <v>249.7</v>
      </c>
      <c r="C3585">
        <v>250</v>
      </c>
      <c r="D3585" t="s">
        <v>5972</v>
      </c>
    </row>
    <row r="3586" spans="1:4" x14ac:dyDescent="0.2">
      <c r="A3586">
        <v>35</v>
      </c>
      <c r="B3586">
        <v>249.8</v>
      </c>
      <c r="C3586">
        <v>250</v>
      </c>
      <c r="D3586" t="s">
        <v>5972</v>
      </c>
    </row>
    <row r="3587" spans="1:4" x14ac:dyDescent="0.2">
      <c r="A3587">
        <v>36</v>
      </c>
      <c r="B3587">
        <v>250</v>
      </c>
      <c r="C3587">
        <v>250</v>
      </c>
      <c r="D3587" t="s">
        <v>5972</v>
      </c>
    </row>
    <row r="3588" spans="1:4" x14ac:dyDescent="0.2">
      <c r="A3588">
        <v>31</v>
      </c>
      <c r="B3588">
        <v>500.1</v>
      </c>
      <c r="C3588">
        <v>500</v>
      </c>
      <c r="D3588" t="s">
        <v>5972</v>
      </c>
    </row>
    <row r="3589" spans="1:4" x14ac:dyDescent="0.2">
      <c r="A3589">
        <v>32</v>
      </c>
      <c r="B3589">
        <v>500.1</v>
      </c>
      <c r="C3589">
        <v>500</v>
      </c>
      <c r="D3589" t="s">
        <v>5972</v>
      </c>
    </row>
    <row r="3590" spans="1:4" x14ac:dyDescent="0.2">
      <c r="A3590">
        <v>33</v>
      </c>
      <c r="B3590">
        <v>500</v>
      </c>
      <c r="C3590">
        <v>500</v>
      </c>
      <c r="D3590" t="s">
        <v>5972</v>
      </c>
    </row>
    <row r="3591" spans="1:4" x14ac:dyDescent="0.2">
      <c r="A3591">
        <v>34</v>
      </c>
      <c r="B3591">
        <v>500.1</v>
      </c>
      <c r="C3591">
        <v>500</v>
      </c>
      <c r="D3591" t="s">
        <v>5972</v>
      </c>
    </row>
    <row r="3592" spans="1:4" x14ac:dyDescent="0.2">
      <c r="A3592">
        <v>35</v>
      </c>
      <c r="B3592">
        <v>500</v>
      </c>
      <c r="C3592">
        <v>500</v>
      </c>
      <c r="D3592" t="s">
        <v>5972</v>
      </c>
    </row>
    <row r="3593" spans="1:4" x14ac:dyDescent="0.2">
      <c r="A3593">
        <v>36</v>
      </c>
      <c r="B3593">
        <v>500.2</v>
      </c>
      <c r="C3593">
        <v>500</v>
      </c>
      <c r="D3593" t="s">
        <v>5972</v>
      </c>
    </row>
    <row r="3594" spans="1:4" x14ac:dyDescent="0.2">
      <c r="A3594">
        <v>31</v>
      </c>
      <c r="B3594">
        <v>1000</v>
      </c>
      <c r="C3594">
        <v>1000</v>
      </c>
      <c r="D3594" t="s">
        <v>5972</v>
      </c>
    </row>
    <row r="3595" spans="1:4" x14ac:dyDescent="0.2">
      <c r="A3595">
        <v>32</v>
      </c>
      <c r="B3595">
        <v>1000.2</v>
      </c>
      <c r="C3595">
        <v>1000</v>
      </c>
      <c r="D3595" t="s">
        <v>5972</v>
      </c>
    </row>
    <row r="3596" spans="1:4" x14ac:dyDescent="0.2">
      <c r="A3596">
        <v>33</v>
      </c>
      <c r="B3596">
        <v>1000.1</v>
      </c>
      <c r="C3596">
        <v>1000</v>
      </c>
      <c r="D3596" t="s">
        <v>5972</v>
      </c>
    </row>
    <row r="3597" spans="1:4" x14ac:dyDescent="0.2">
      <c r="A3597">
        <v>34</v>
      </c>
      <c r="B3597">
        <v>1000.3</v>
      </c>
      <c r="C3597">
        <v>1000</v>
      </c>
      <c r="D3597" t="s">
        <v>5972</v>
      </c>
    </row>
    <row r="3598" spans="1:4" x14ac:dyDescent="0.2">
      <c r="A3598">
        <v>35</v>
      </c>
      <c r="B3598">
        <v>1000.1</v>
      </c>
      <c r="C3598">
        <v>1000</v>
      </c>
      <c r="D3598" t="s">
        <v>5972</v>
      </c>
    </row>
    <row r="3599" spans="1:4" x14ac:dyDescent="0.2">
      <c r="A3599">
        <v>36</v>
      </c>
      <c r="B3599">
        <v>1000.2</v>
      </c>
      <c r="C3599">
        <v>1000</v>
      </c>
      <c r="D3599" t="s">
        <v>5972</v>
      </c>
    </row>
    <row r="3600" spans="1:4" x14ac:dyDescent="0.2">
      <c r="A3600">
        <v>37</v>
      </c>
      <c r="B3600">
        <v>-100.5</v>
      </c>
      <c r="C3600">
        <v>-100</v>
      </c>
      <c r="D3600" t="s">
        <v>5972</v>
      </c>
    </row>
    <row r="3601" spans="1:4" x14ac:dyDescent="0.2">
      <c r="A3601">
        <v>38</v>
      </c>
      <c r="B3601">
        <v>-100.1</v>
      </c>
      <c r="C3601">
        <v>-100</v>
      </c>
      <c r="D3601" t="s">
        <v>5972</v>
      </c>
    </row>
    <row r="3602" spans="1:4" x14ac:dyDescent="0.2">
      <c r="A3602">
        <v>39</v>
      </c>
      <c r="B3602">
        <v>-99.8</v>
      </c>
      <c r="C3602">
        <v>-100</v>
      </c>
      <c r="D3602" t="s">
        <v>5972</v>
      </c>
    </row>
    <row r="3603" spans="1:4" x14ac:dyDescent="0.2">
      <c r="A3603">
        <v>40</v>
      </c>
      <c r="B3603">
        <v>-99.9</v>
      </c>
      <c r="C3603">
        <v>-100</v>
      </c>
      <c r="D3603" t="s">
        <v>5972</v>
      </c>
    </row>
    <row r="3604" spans="1:4" x14ac:dyDescent="0.2">
      <c r="A3604">
        <v>37</v>
      </c>
      <c r="B3604">
        <v>-50.3</v>
      </c>
      <c r="C3604">
        <v>-50</v>
      </c>
      <c r="D3604" t="s">
        <v>5972</v>
      </c>
    </row>
    <row r="3605" spans="1:4" x14ac:dyDescent="0.2">
      <c r="A3605">
        <v>38</v>
      </c>
      <c r="B3605">
        <v>-49.8</v>
      </c>
      <c r="C3605">
        <v>-50</v>
      </c>
      <c r="D3605" t="s">
        <v>5972</v>
      </c>
    </row>
    <row r="3606" spans="1:4" x14ac:dyDescent="0.2">
      <c r="A3606">
        <v>39</v>
      </c>
      <c r="B3606">
        <v>-50</v>
      </c>
      <c r="C3606">
        <v>-50</v>
      </c>
      <c r="D3606" t="s">
        <v>5972</v>
      </c>
    </row>
    <row r="3607" spans="1:4" x14ac:dyDescent="0.2">
      <c r="A3607">
        <v>40</v>
      </c>
      <c r="B3607">
        <v>-50</v>
      </c>
      <c r="C3607">
        <v>-50</v>
      </c>
      <c r="D3607" t="s">
        <v>5972</v>
      </c>
    </row>
    <row r="3608" spans="1:4" x14ac:dyDescent="0.2">
      <c r="A3608">
        <v>37</v>
      </c>
      <c r="B3608">
        <v>0.3</v>
      </c>
      <c r="C3608">
        <v>0</v>
      </c>
      <c r="D3608" t="s">
        <v>5972</v>
      </c>
    </row>
    <row r="3609" spans="1:4" x14ac:dyDescent="0.2">
      <c r="A3609">
        <v>38</v>
      </c>
      <c r="B3609">
        <v>0.2</v>
      </c>
      <c r="C3609">
        <v>0</v>
      </c>
      <c r="D3609" t="s">
        <v>5972</v>
      </c>
    </row>
    <row r="3610" spans="1:4" x14ac:dyDescent="0.2">
      <c r="A3610">
        <v>39</v>
      </c>
      <c r="B3610">
        <v>0.2</v>
      </c>
      <c r="C3610">
        <v>0</v>
      </c>
      <c r="D3610" t="s">
        <v>5972</v>
      </c>
    </row>
    <row r="3611" spans="1:4" x14ac:dyDescent="0.2">
      <c r="A3611">
        <v>40</v>
      </c>
      <c r="B3611">
        <v>0.2</v>
      </c>
      <c r="C3611">
        <v>0</v>
      </c>
      <c r="D3611" t="s">
        <v>5972</v>
      </c>
    </row>
    <row r="3612" spans="1:4" x14ac:dyDescent="0.2">
      <c r="A3612">
        <v>37</v>
      </c>
      <c r="B3612">
        <v>250.3</v>
      </c>
      <c r="C3612">
        <v>250</v>
      </c>
      <c r="D3612" t="s">
        <v>5972</v>
      </c>
    </row>
    <row r="3613" spans="1:4" x14ac:dyDescent="0.2">
      <c r="A3613">
        <v>38</v>
      </c>
      <c r="B3613">
        <v>250.2</v>
      </c>
      <c r="C3613">
        <v>250</v>
      </c>
      <c r="D3613" t="s">
        <v>5972</v>
      </c>
    </row>
    <row r="3614" spans="1:4" x14ac:dyDescent="0.2">
      <c r="A3614">
        <v>39</v>
      </c>
      <c r="B3614">
        <v>250.3</v>
      </c>
      <c r="C3614">
        <v>250</v>
      </c>
      <c r="D3614" t="s">
        <v>5972</v>
      </c>
    </row>
    <row r="3615" spans="1:4" x14ac:dyDescent="0.2">
      <c r="A3615">
        <v>40</v>
      </c>
      <c r="B3615">
        <v>250.1</v>
      </c>
      <c r="C3615">
        <v>250</v>
      </c>
      <c r="D3615" t="s">
        <v>5972</v>
      </c>
    </row>
    <row r="3616" spans="1:4" x14ac:dyDescent="0.2">
      <c r="A3616">
        <v>37</v>
      </c>
      <c r="B3616">
        <v>500.4</v>
      </c>
      <c r="C3616">
        <v>500</v>
      </c>
      <c r="D3616" t="s">
        <v>5972</v>
      </c>
    </row>
    <row r="3617" spans="1:4" x14ac:dyDescent="0.2">
      <c r="A3617">
        <v>38</v>
      </c>
      <c r="B3617">
        <v>500.3</v>
      </c>
      <c r="C3617">
        <v>500</v>
      </c>
      <c r="D3617" t="s">
        <v>5972</v>
      </c>
    </row>
    <row r="3618" spans="1:4" x14ac:dyDescent="0.2">
      <c r="A3618">
        <v>39</v>
      </c>
      <c r="B3618">
        <v>500</v>
      </c>
      <c r="C3618">
        <v>500</v>
      </c>
      <c r="D3618" t="s">
        <v>5972</v>
      </c>
    </row>
    <row r="3619" spans="1:4" x14ac:dyDescent="0.2">
      <c r="A3619">
        <v>40</v>
      </c>
      <c r="B3619">
        <v>500.1</v>
      </c>
      <c r="C3619">
        <v>500</v>
      </c>
      <c r="D3619" t="s">
        <v>5972</v>
      </c>
    </row>
    <row r="3620" spans="1:4" x14ac:dyDescent="0.2">
      <c r="A3620">
        <v>37</v>
      </c>
      <c r="B3620">
        <v>1000.5</v>
      </c>
      <c r="C3620">
        <v>1000</v>
      </c>
      <c r="D3620" t="s">
        <v>5972</v>
      </c>
    </row>
    <row r="3621" spans="1:4" x14ac:dyDescent="0.2">
      <c r="A3621">
        <v>38</v>
      </c>
      <c r="B3621">
        <v>1000.3</v>
      </c>
      <c r="C3621">
        <v>1000</v>
      </c>
      <c r="D3621" t="s">
        <v>5972</v>
      </c>
    </row>
    <row r="3622" spans="1:4" x14ac:dyDescent="0.2">
      <c r="A3622">
        <v>39</v>
      </c>
      <c r="B3622">
        <v>1000.1</v>
      </c>
      <c r="C3622">
        <v>1000</v>
      </c>
      <c r="D3622" t="s">
        <v>5972</v>
      </c>
    </row>
    <row r="3623" spans="1:4" x14ac:dyDescent="0.2">
      <c r="A3623">
        <v>40</v>
      </c>
      <c r="B3623">
        <v>1000.1</v>
      </c>
      <c r="C3623">
        <v>1000</v>
      </c>
      <c r="D3623" t="s">
        <v>5972</v>
      </c>
    </row>
    <row r="3624" spans="1:4" x14ac:dyDescent="0.2">
      <c r="A3624">
        <v>1</v>
      </c>
      <c r="B3624">
        <v>-99.8</v>
      </c>
      <c r="C3624">
        <v>-100</v>
      </c>
      <c r="D3624" t="s">
        <v>5973</v>
      </c>
    </row>
    <row r="3625" spans="1:4" x14ac:dyDescent="0.2">
      <c r="A3625">
        <v>2</v>
      </c>
      <c r="B3625">
        <v>-99.9</v>
      </c>
      <c r="C3625">
        <v>-100</v>
      </c>
      <c r="D3625" t="s">
        <v>5973</v>
      </c>
    </row>
    <row r="3626" spans="1:4" x14ac:dyDescent="0.2">
      <c r="A3626">
        <v>3</v>
      </c>
      <c r="B3626">
        <v>-99.8</v>
      </c>
      <c r="C3626">
        <v>-100</v>
      </c>
      <c r="D3626" t="s">
        <v>5973</v>
      </c>
    </row>
    <row r="3627" spans="1:4" x14ac:dyDescent="0.2">
      <c r="A3627">
        <v>4</v>
      </c>
      <c r="B3627">
        <v>-99.9</v>
      </c>
      <c r="C3627">
        <v>-100</v>
      </c>
      <c r="D3627" t="s">
        <v>5973</v>
      </c>
    </row>
    <row r="3628" spans="1:4" x14ac:dyDescent="0.2">
      <c r="A3628">
        <v>5</v>
      </c>
      <c r="B3628">
        <v>-99.8</v>
      </c>
      <c r="C3628">
        <v>-100</v>
      </c>
      <c r="D3628" t="s">
        <v>5973</v>
      </c>
    </row>
    <row r="3629" spans="1:4" x14ac:dyDescent="0.2">
      <c r="A3629">
        <v>6</v>
      </c>
      <c r="B3629">
        <v>-100.1</v>
      </c>
      <c r="C3629">
        <v>-100</v>
      </c>
      <c r="D3629" t="s">
        <v>5973</v>
      </c>
    </row>
    <row r="3630" spans="1:4" x14ac:dyDescent="0.2">
      <c r="A3630">
        <v>1</v>
      </c>
      <c r="B3630">
        <v>-49.8</v>
      </c>
      <c r="C3630">
        <v>-50</v>
      </c>
      <c r="D3630" t="s">
        <v>5973</v>
      </c>
    </row>
    <row r="3631" spans="1:4" x14ac:dyDescent="0.2">
      <c r="A3631">
        <v>2</v>
      </c>
      <c r="B3631">
        <v>-49.9</v>
      </c>
      <c r="C3631">
        <v>-50</v>
      </c>
      <c r="D3631" t="s">
        <v>5973</v>
      </c>
    </row>
    <row r="3632" spans="1:4" x14ac:dyDescent="0.2">
      <c r="A3632">
        <v>3</v>
      </c>
      <c r="B3632">
        <v>-49.8</v>
      </c>
      <c r="C3632">
        <v>-50</v>
      </c>
      <c r="D3632" t="s">
        <v>5973</v>
      </c>
    </row>
    <row r="3633" spans="1:4" x14ac:dyDescent="0.2">
      <c r="A3633">
        <v>4</v>
      </c>
      <c r="B3633">
        <v>-49.9</v>
      </c>
      <c r="C3633">
        <v>-50</v>
      </c>
      <c r="D3633" t="s">
        <v>5973</v>
      </c>
    </row>
    <row r="3634" spans="1:4" x14ac:dyDescent="0.2">
      <c r="A3634">
        <v>5</v>
      </c>
      <c r="B3634">
        <v>-49.8</v>
      </c>
      <c r="C3634">
        <v>-50</v>
      </c>
      <c r="D3634" t="s">
        <v>5973</v>
      </c>
    </row>
    <row r="3635" spans="1:4" x14ac:dyDescent="0.2">
      <c r="A3635">
        <v>6</v>
      </c>
      <c r="B3635">
        <v>-50.1</v>
      </c>
      <c r="C3635">
        <v>-50</v>
      </c>
      <c r="D3635" t="s">
        <v>5973</v>
      </c>
    </row>
    <row r="3636" spans="1:4" x14ac:dyDescent="0.2">
      <c r="A3636">
        <v>1</v>
      </c>
      <c r="B3636">
        <v>0.2</v>
      </c>
      <c r="C3636">
        <v>0</v>
      </c>
      <c r="D3636" t="s">
        <v>5973</v>
      </c>
    </row>
    <row r="3637" spans="1:4" x14ac:dyDescent="0.2">
      <c r="A3637">
        <v>2</v>
      </c>
      <c r="B3637">
        <v>0.2</v>
      </c>
      <c r="C3637">
        <v>0</v>
      </c>
      <c r="D3637" t="s">
        <v>5973</v>
      </c>
    </row>
    <row r="3638" spans="1:4" x14ac:dyDescent="0.2">
      <c r="A3638">
        <v>3</v>
      </c>
      <c r="B3638">
        <v>0.1</v>
      </c>
      <c r="C3638">
        <v>0</v>
      </c>
      <c r="D3638" t="s">
        <v>5973</v>
      </c>
    </row>
    <row r="3639" spans="1:4" x14ac:dyDescent="0.2">
      <c r="A3639">
        <v>4</v>
      </c>
      <c r="B3639">
        <v>0.3</v>
      </c>
      <c r="C3639">
        <v>0</v>
      </c>
      <c r="D3639" t="s">
        <v>5973</v>
      </c>
    </row>
    <row r="3640" spans="1:4" x14ac:dyDescent="0.2">
      <c r="A3640">
        <v>5</v>
      </c>
      <c r="B3640">
        <v>0.1</v>
      </c>
      <c r="C3640">
        <v>0</v>
      </c>
      <c r="D3640" t="s">
        <v>5973</v>
      </c>
    </row>
    <row r="3641" spans="1:4" x14ac:dyDescent="0.2">
      <c r="A3641">
        <v>6</v>
      </c>
      <c r="B3641">
        <v>0</v>
      </c>
      <c r="C3641">
        <v>0</v>
      </c>
      <c r="D3641" t="s">
        <v>5973</v>
      </c>
    </row>
    <row r="3642" spans="1:4" x14ac:dyDescent="0.2">
      <c r="A3642">
        <v>1</v>
      </c>
      <c r="B3642">
        <v>250.2</v>
      </c>
      <c r="C3642">
        <v>250</v>
      </c>
      <c r="D3642" t="s">
        <v>5973</v>
      </c>
    </row>
    <row r="3643" spans="1:4" x14ac:dyDescent="0.2">
      <c r="A3643">
        <v>2</v>
      </c>
      <c r="B3643">
        <v>250.2</v>
      </c>
      <c r="C3643">
        <v>250</v>
      </c>
      <c r="D3643" t="s">
        <v>5973</v>
      </c>
    </row>
    <row r="3644" spans="1:4" x14ac:dyDescent="0.2">
      <c r="A3644">
        <v>3</v>
      </c>
      <c r="B3644">
        <v>250.2</v>
      </c>
      <c r="C3644">
        <v>250</v>
      </c>
      <c r="D3644" t="s">
        <v>5973</v>
      </c>
    </row>
    <row r="3645" spans="1:4" x14ac:dyDescent="0.2">
      <c r="A3645">
        <v>4</v>
      </c>
      <c r="B3645">
        <v>250.3</v>
      </c>
      <c r="C3645">
        <v>250</v>
      </c>
      <c r="D3645" t="s">
        <v>5973</v>
      </c>
    </row>
    <row r="3646" spans="1:4" x14ac:dyDescent="0.2">
      <c r="A3646">
        <v>5</v>
      </c>
      <c r="B3646">
        <v>250.1</v>
      </c>
      <c r="C3646">
        <v>250</v>
      </c>
      <c r="D3646" t="s">
        <v>5973</v>
      </c>
    </row>
    <row r="3647" spans="1:4" x14ac:dyDescent="0.2">
      <c r="A3647">
        <v>6</v>
      </c>
      <c r="B3647">
        <v>250</v>
      </c>
      <c r="C3647">
        <v>250</v>
      </c>
      <c r="D3647" t="s">
        <v>5973</v>
      </c>
    </row>
    <row r="3648" spans="1:4" x14ac:dyDescent="0.2">
      <c r="A3648">
        <v>1</v>
      </c>
      <c r="B3648">
        <v>500.2</v>
      </c>
      <c r="C3648">
        <v>500</v>
      </c>
      <c r="D3648" t="s">
        <v>5973</v>
      </c>
    </row>
    <row r="3649" spans="1:4" x14ac:dyDescent="0.2">
      <c r="A3649">
        <v>2</v>
      </c>
      <c r="B3649">
        <v>500.2</v>
      </c>
      <c r="C3649">
        <v>500</v>
      </c>
      <c r="D3649" t="s">
        <v>5973</v>
      </c>
    </row>
    <row r="3650" spans="1:4" x14ac:dyDescent="0.2">
      <c r="A3650">
        <v>3</v>
      </c>
      <c r="B3650">
        <v>500.2</v>
      </c>
      <c r="C3650">
        <v>500</v>
      </c>
      <c r="D3650" t="s">
        <v>5973</v>
      </c>
    </row>
    <row r="3651" spans="1:4" x14ac:dyDescent="0.2">
      <c r="A3651">
        <v>4</v>
      </c>
      <c r="B3651">
        <v>500.3</v>
      </c>
      <c r="C3651">
        <v>500</v>
      </c>
      <c r="D3651" t="s">
        <v>5973</v>
      </c>
    </row>
    <row r="3652" spans="1:4" x14ac:dyDescent="0.2">
      <c r="A3652">
        <v>5</v>
      </c>
      <c r="B3652">
        <v>500.1</v>
      </c>
      <c r="C3652">
        <v>500</v>
      </c>
      <c r="D3652" t="s">
        <v>5973</v>
      </c>
    </row>
    <row r="3653" spans="1:4" x14ac:dyDescent="0.2">
      <c r="A3653">
        <v>6</v>
      </c>
      <c r="B3653">
        <v>500</v>
      </c>
      <c r="C3653">
        <v>500</v>
      </c>
      <c r="D3653" t="s">
        <v>5973</v>
      </c>
    </row>
    <row r="3654" spans="1:4" x14ac:dyDescent="0.2">
      <c r="A3654">
        <v>1</v>
      </c>
      <c r="B3654">
        <v>1000.1</v>
      </c>
      <c r="C3654">
        <v>1000</v>
      </c>
      <c r="D3654" t="s">
        <v>5973</v>
      </c>
    </row>
    <row r="3655" spans="1:4" x14ac:dyDescent="0.2">
      <c r="A3655">
        <v>2</v>
      </c>
      <c r="B3655">
        <v>1000.3</v>
      </c>
      <c r="C3655">
        <v>1000</v>
      </c>
      <c r="D3655" t="s">
        <v>5973</v>
      </c>
    </row>
    <row r="3656" spans="1:4" x14ac:dyDescent="0.2">
      <c r="A3656">
        <v>3</v>
      </c>
      <c r="B3656">
        <v>1000.2</v>
      </c>
      <c r="C3656">
        <v>1000</v>
      </c>
      <c r="D3656" t="s">
        <v>5973</v>
      </c>
    </row>
    <row r="3657" spans="1:4" x14ac:dyDescent="0.2">
      <c r="A3657">
        <v>4</v>
      </c>
      <c r="B3657">
        <v>1000.3</v>
      </c>
      <c r="C3657">
        <v>1000</v>
      </c>
      <c r="D3657" t="s">
        <v>5973</v>
      </c>
    </row>
    <row r="3658" spans="1:4" x14ac:dyDescent="0.2">
      <c r="A3658">
        <v>5</v>
      </c>
      <c r="B3658">
        <v>1000</v>
      </c>
      <c r="C3658">
        <v>1000</v>
      </c>
      <c r="D3658" t="s">
        <v>5973</v>
      </c>
    </row>
    <row r="3659" spans="1:4" x14ac:dyDescent="0.2">
      <c r="A3659">
        <v>6</v>
      </c>
      <c r="B3659">
        <v>1000</v>
      </c>
      <c r="C3659">
        <v>1000</v>
      </c>
      <c r="D3659" t="s">
        <v>5973</v>
      </c>
    </row>
    <row r="3660" spans="1:4" x14ac:dyDescent="0.2">
      <c r="A3660">
        <v>7</v>
      </c>
      <c r="B3660">
        <v>-100.1</v>
      </c>
      <c r="C3660">
        <v>-100</v>
      </c>
      <c r="D3660" t="s">
        <v>5973</v>
      </c>
    </row>
    <row r="3661" spans="1:4" x14ac:dyDescent="0.2">
      <c r="A3661">
        <v>8</v>
      </c>
      <c r="B3661">
        <v>-99.9</v>
      </c>
      <c r="C3661">
        <v>-100</v>
      </c>
      <c r="D3661" t="s">
        <v>5973</v>
      </c>
    </row>
    <row r="3662" spans="1:4" x14ac:dyDescent="0.2">
      <c r="A3662">
        <v>9</v>
      </c>
      <c r="B3662">
        <v>-100.1</v>
      </c>
      <c r="C3662">
        <v>-100</v>
      </c>
      <c r="D3662" t="s">
        <v>5973</v>
      </c>
    </row>
    <row r="3663" spans="1:4" x14ac:dyDescent="0.2">
      <c r="A3663">
        <v>10</v>
      </c>
      <c r="B3663">
        <v>-99.7</v>
      </c>
      <c r="C3663">
        <v>-100</v>
      </c>
      <c r="D3663" t="s">
        <v>5973</v>
      </c>
    </row>
    <row r="3664" spans="1:4" x14ac:dyDescent="0.2">
      <c r="A3664">
        <v>11</v>
      </c>
      <c r="B3664">
        <v>-99.9</v>
      </c>
      <c r="C3664">
        <v>-100</v>
      </c>
      <c r="D3664" t="s">
        <v>5973</v>
      </c>
    </row>
    <row r="3665" spans="1:4" x14ac:dyDescent="0.2">
      <c r="A3665">
        <v>12</v>
      </c>
      <c r="B3665">
        <v>-100.2</v>
      </c>
      <c r="C3665">
        <v>-100</v>
      </c>
      <c r="D3665" t="s">
        <v>5973</v>
      </c>
    </row>
    <row r="3666" spans="1:4" x14ac:dyDescent="0.2">
      <c r="A3666">
        <v>7</v>
      </c>
      <c r="B3666">
        <v>-50.1</v>
      </c>
      <c r="C3666">
        <v>-50</v>
      </c>
      <c r="D3666" t="s">
        <v>5973</v>
      </c>
    </row>
    <row r="3667" spans="1:4" x14ac:dyDescent="0.2">
      <c r="A3667">
        <v>8</v>
      </c>
      <c r="B3667">
        <v>-49.7</v>
      </c>
      <c r="C3667">
        <v>-50</v>
      </c>
      <c r="D3667" t="s">
        <v>5973</v>
      </c>
    </row>
    <row r="3668" spans="1:4" x14ac:dyDescent="0.2">
      <c r="A3668">
        <v>9</v>
      </c>
      <c r="B3668">
        <v>-49.8</v>
      </c>
      <c r="C3668">
        <v>-50</v>
      </c>
      <c r="D3668" t="s">
        <v>5973</v>
      </c>
    </row>
    <row r="3669" spans="1:4" x14ac:dyDescent="0.2">
      <c r="A3669">
        <v>10</v>
      </c>
      <c r="B3669">
        <v>-49.7</v>
      </c>
      <c r="C3669">
        <v>-50</v>
      </c>
      <c r="D3669" t="s">
        <v>5973</v>
      </c>
    </row>
    <row r="3670" spans="1:4" x14ac:dyDescent="0.2">
      <c r="A3670">
        <v>11</v>
      </c>
      <c r="B3670">
        <v>-49.9</v>
      </c>
      <c r="C3670">
        <v>-50</v>
      </c>
      <c r="D3670" t="s">
        <v>5973</v>
      </c>
    </row>
    <row r="3671" spans="1:4" x14ac:dyDescent="0.2">
      <c r="A3671">
        <v>12</v>
      </c>
      <c r="B3671">
        <v>-50</v>
      </c>
      <c r="C3671">
        <v>-50</v>
      </c>
      <c r="D3671" t="s">
        <v>5973</v>
      </c>
    </row>
    <row r="3672" spans="1:4" x14ac:dyDescent="0.2">
      <c r="A3672">
        <v>7</v>
      </c>
      <c r="B3672">
        <v>-0.1</v>
      </c>
      <c r="C3672">
        <v>0</v>
      </c>
      <c r="D3672" t="s">
        <v>5973</v>
      </c>
    </row>
    <row r="3673" spans="1:4" x14ac:dyDescent="0.2">
      <c r="A3673">
        <v>8</v>
      </c>
      <c r="B3673">
        <v>0.3</v>
      </c>
      <c r="C3673">
        <v>0</v>
      </c>
      <c r="D3673" t="s">
        <v>5973</v>
      </c>
    </row>
    <row r="3674" spans="1:4" x14ac:dyDescent="0.2">
      <c r="A3674">
        <v>9</v>
      </c>
      <c r="B3674">
        <v>0.2</v>
      </c>
      <c r="C3674">
        <v>0</v>
      </c>
      <c r="D3674" t="s">
        <v>5973</v>
      </c>
    </row>
    <row r="3675" spans="1:4" x14ac:dyDescent="0.2">
      <c r="A3675">
        <v>10</v>
      </c>
      <c r="B3675">
        <v>0.4</v>
      </c>
      <c r="C3675">
        <v>0</v>
      </c>
      <c r="D3675" t="s">
        <v>5973</v>
      </c>
    </row>
    <row r="3676" spans="1:4" x14ac:dyDescent="0.2">
      <c r="A3676">
        <v>11</v>
      </c>
      <c r="B3676">
        <v>0.1</v>
      </c>
      <c r="C3676">
        <v>0</v>
      </c>
      <c r="D3676" t="s">
        <v>5973</v>
      </c>
    </row>
    <row r="3677" spans="1:4" x14ac:dyDescent="0.2">
      <c r="A3677">
        <v>12</v>
      </c>
      <c r="B3677">
        <v>0</v>
      </c>
      <c r="C3677">
        <v>0</v>
      </c>
      <c r="D3677" t="s">
        <v>5973</v>
      </c>
    </row>
    <row r="3678" spans="1:4" x14ac:dyDescent="0.2">
      <c r="A3678">
        <v>7</v>
      </c>
      <c r="B3678">
        <v>249.9</v>
      </c>
      <c r="C3678">
        <v>250</v>
      </c>
      <c r="D3678" t="s">
        <v>5973</v>
      </c>
    </row>
    <row r="3679" spans="1:4" x14ac:dyDescent="0.2">
      <c r="A3679">
        <v>8</v>
      </c>
      <c r="B3679">
        <v>250.4</v>
      </c>
      <c r="C3679">
        <v>250</v>
      </c>
      <c r="D3679" t="s">
        <v>5973</v>
      </c>
    </row>
    <row r="3680" spans="1:4" x14ac:dyDescent="0.2">
      <c r="A3680">
        <v>9</v>
      </c>
      <c r="B3680">
        <v>250.1</v>
      </c>
      <c r="C3680">
        <v>250</v>
      </c>
      <c r="D3680" t="s">
        <v>5973</v>
      </c>
    </row>
    <row r="3681" spans="1:4" x14ac:dyDescent="0.2">
      <c r="A3681">
        <v>10</v>
      </c>
      <c r="B3681">
        <v>250.4</v>
      </c>
      <c r="C3681">
        <v>250</v>
      </c>
      <c r="D3681" t="s">
        <v>5973</v>
      </c>
    </row>
    <row r="3682" spans="1:4" x14ac:dyDescent="0.2">
      <c r="A3682">
        <v>11</v>
      </c>
      <c r="B3682">
        <v>250.1</v>
      </c>
      <c r="C3682">
        <v>250</v>
      </c>
      <c r="D3682" t="s">
        <v>5973</v>
      </c>
    </row>
    <row r="3683" spans="1:4" x14ac:dyDescent="0.2">
      <c r="A3683">
        <v>12</v>
      </c>
      <c r="B3683">
        <v>250</v>
      </c>
      <c r="C3683">
        <v>250</v>
      </c>
      <c r="D3683" t="s">
        <v>5973</v>
      </c>
    </row>
    <row r="3684" spans="1:4" x14ac:dyDescent="0.2">
      <c r="A3684">
        <v>7</v>
      </c>
      <c r="B3684">
        <v>499.9</v>
      </c>
      <c r="C3684">
        <v>500</v>
      </c>
      <c r="D3684" t="s">
        <v>5973</v>
      </c>
    </row>
    <row r="3685" spans="1:4" x14ac:dyDescent="0.2">
      <c r="A3685">
        <v>8</v>
      </c>
      <c r="B3685">
        <v>500.3</v>
      </c>
      <c r="C3685">
        <v>500</v>
      </c>
      <c r="D3685" t="s">
        <v>5973</v>
      </c>
    </row>
    <row r="3686" spans="1:4" x14ac:dyDescent="0.2">
      <c r="A3686">
        <v>9</v>
      </c>
      <c r="B3686">
        <v>500.1</v>
      </c>
      <c r="C3686">
        <v>500</v>
      </c>
      <c r="D3686" t="s">
        <v>5973</v>
      </c>
    </row>
    <row r="3687" spans="1:4" x14ac:dyDescent="0.2">
      <c r="A3687">
        <v>10</v>
      </c>
      <c r="B3687">
        <v>500.4</v>
      </c>
      <c r="C3687">
        <v>500</v>
      </c>
      <c r="D3687" t="s">
        <v>5973</v>
      </c>
    </row>
    <row r="3688" spans="1:4" x14ac:dyDescent="0.2">
      <c r="A3688">
        <v>11</v>
      </c>
      <c r="B3688">
        <v>500.1</v>
      </c>
      <c r="C3688">
        <v>500</v>
      </c>
      <c r="D3688" t="s">
        <v>5973</v>
      </c>
    </row>
    <row r="3689" spans="1:4" x14ac:dyDescent="0.2">
      <c r="A3689">
        <v>12</v>
      </c>
      <c r="B3689">
        <v>500</v>
      </c>
      <c r="C3689">
        <v>500</v>
      </c>
      <c r="D3689" t="s">
        <v>5973</v>
      </c>
    </row>
    <row r="3690" spans="1:4" x14ac:dyDescent="0.2">
      <c r="A3690">
        <v>7</v>
      </c>
      <c r="B3690">
        <v>999.8</v>
      </c>
      <c r="C3690">
        <v>1000</v>
      </c>
      <c r="D3690" t="s">
        <v>5973</v>
      </c>
    </row>
    <row r="3691" spans="1:4" x14ac:dyDescent="0.2">
      <c r="A3691">
        <v>8</v>
      </c>
      <c r="B3691">
        <v>1000.3</v>
      </c>
      <c r="C3691">
        <v>1000</v>
      </c>
      <c r="D3691" t="s">
        <v>5973</v>
      </c>
    </row>
    <row r="3692" spans="1:4" x14ac:dyDescent="0.2">
      <c r="A3692">
        <v>9</v>
      </c>
      <c r="B3692">
        <v>1000</v>
      </c>
      <c r="C3692">
        <v>1000</v>
      </c>
      <c r="D3692" t="s">
        <v>5973</v>
      </c>
    </row>
    <row r="3693" spans="1:4" x14ac:dyDescent="0.2">
      <c r="A3693">
        <v>10</v>
      </c>
      <c r="B3693">
        <v>1000.4</v>
      </c>
      <c r="C3693">
        <v>1000</v>
      </c>
      <c r="D3693" t="s">
        <v>5973</v>
      </c>
    </row>
    <row r="3694" spans="1:4" x14ac:dyDescent="0.2">
      <c r="A3694">
        <v>11</v>
      </c>
      <c r="B3694">
        <v>1000.1</v>
      </c>
      <c r="C3694">
        <v>1000</v>
      </c>
      <c r="D3694" t="s">
        <v>5973</v>
      </c>
    </row>
    <row r="3695" spans="1:4" x14ac:dyDescent="0.2">
      <c r="A3695">
        <v>12</v>
      </c>
      <c r="B3695">
        <v>1000</v>
      </c>
      <c r="C3695">
        <v>1000</v>
      </c>
      <c r="D3695" t="s">
        <v>5973</v>
      </c>
    </row>
    <row r="3696" spans="1:4" x14ac:dyDescent="0.2">
      <c r="A3696">
        <v>13</v>
      </c>
      <c r="B3696">
        <v>-99.9</v>
      </c>
      <c r="C3696">
        <v>-100</v>
      </c>
      <c r="D3696" t="s">
        <v>5973</v>
      </c>
    </row>
    <row r="3697" spans="1:4" x14ac:dyDescent="0.2">
      <c r="A3697">
        <v>14</v>
      </c>
      <c r="B3697">
        <v>-99.7</v>
      </c>
      <c r="C3697">
        <v>-100</v>
      </c>
      <c r="D3697" t="s">
        <v>5973</v>
      </c>
    </row>
    <row r="3698" spans="1:4" x14ac:dyDescent="0.2">
      <c r="A3698">
        <v>15</v>
      </c>
      <c r="B3698">
        <v>-99.8</v>
      </c>
      <c r="C3698">
        <v>-100</v>
      </c>
      <c r="D3698" t="s">
        <v>5973</v>
      </c>
    </row>
    <row r="3699" spans="1:4" x14ac:dyDescent="0.2">
      <c r="A3699">
        <v>16</v>
      </c>
      <c r="B3699">
        <v>-100</v>
      </c>
      <c r="C3699">
        <v>-100</v>
      </c>
      <c r="D3699" t="s">
        <v>5973</v>
      </c>
    </row>
    <row r="3700" spans="1:4" x14ac:dyDescent="0.2">
      <c r="A3700">
        <v>17</v>
      </c>
      <c r="B3700">
        <v>-100</v>
      </c>
      <c r="C3700">
        <v>-100</v>
      </c>
      <c r="D3700" t="s">
        <v>5973</v>
      </c>
    </row>
    <row r="3701" spans="1:4" x14ac:dyDescent="0.2">
      <c r="A3701">
        <v>18</v>
      </c>
      <c r="B3701">
        <v>-99.9</v>
      </c>
      <c r="C3701">
        <v>-100</v>
      </c>
      <c r="D3701" t="s">
        <v>5973</v>
      </c>
    </row>
    <row r="3702" spans="1:4" x14ac:dyDescent="0.2">
      <c r="A3702">
        <v>13</v>
      </c>
      <c r="B3702">
        <v>-49.9</v>
      </c>
      <c r="C3702">
        <v>-50</v>
      </c>
      <c r="D3702" t="s">
        <v>5973</v>
      </c>
    </row>
    <row r="3703" spans="1:4" x14ac:dyDescent="0.2">
      <c r="A3703">
        <v>14</v>
      </c>
      <c r="B3703">
        <v>-49.4</v>
      </c>
      <c r="C3703">
        <v>-50</v>
      </c>
      <c r="D3703" t="s">
        <v>5973</v>
      </c>
    </row>
    <row r="3704" spans="1:4" x14ac:dyDescent="0.2">
      <c r="A3704">
        <v>15</v>
      </c>
      <c r="B3704">
        <v>-49.8</v>
      </c>
      <c r="C3704">
        <v>-50</v>
      </c>
      <c r="D3704" t="s">
        <v>5973</v>
      </c>
    </row>
    <row r="3705" spans="1:4" x14ac:dyDescent="0.2">
      <c r="A3705">
        <v>16</v>
      </c>
      <c r="B3705">
        <v>-50.1</v>
      </c>
      <c r="C3705">
        <v>-50</v>
      </c>
      <c r="D3705" t="s">
        <v>5973</v>
      </c>
    </row>
    <row r="3706" spans="1:4" x14ac:dyDescent="0.2">
      <c r="A3706">
        <v>17</v>
      </c>
      <c r="B3706">
        <v>-50.1</v>
      </c>
      <c r="C3706">
        <v>-50</v>
      </c>
      <c r="D3706" t="s">
        <v>5973</v>
      </c>
    </row>
    <row r="3707" spans="1:4" x14ac:dyDescent="0.2">
      <c r="A3707">
        <v>18</v>
      </c>
      <c r="B3707">
        <v>-49.9</v>
      </c>
      <c r="C3707">
        <v>-50</v>
      </c>
      <c r="D3707" t="s">
        <v>5973</v>
      </c>
    </row>
    <row r="3708" spans="1:4" x14ac:dyDescent="0.2">
      <c r="A3708">
        <v>13</v>
      </c>
      <c r="B3708">
        <v>0.1</v>
      </c>
      <c r="C3708">
        <v>0</v>
      </c>
      <c r="D3708" t="s">
        <v>5973</v>
      </c>
    </row>
    <row r="3709" spans="1:4" x14ac:dyDescent="0.2">
      <c r="A3709">
        <v>14</v>
      </c>
      <c r="B3709">
        <v>0.1</v>
      </c>
      <c r="C3709">
        <v>0</v>
      </c>
      <c r="D3709" t="s">
        <v>5973</v>
      </c>
    </row>
    <row r="3710" spans="1:4" x14ac:dyDescent="0.2">
      <c r="A3710">
        <v>15</v>
      </c>
      <c r="B3710">
        <v>0.1</v>
      </c>
      <c r="C3710">
        <v>0</v>
      </c>
      <c r="D3710" t="s">
        <v>5973</v>
      </c>
    </row>
    <row r="3711" spans="1:4" x14ac:dyDescent="0.2">
      <c r="A3711">
        <v>16</v>
      </c>
      <c r="B3711">
        <v>-0.1</v>
      </c>
      <c r="C3711">
        <v>0</v>
      </c>
      <c r="D3711" t="s">
        <v>5973</v>
      </c>
    </row>
    <row r="3712" spans="1:4" x14ac:dyDescent="0.2">
      <c r="A3712">
        <v>17</v>
      </c>
      <c r="B3712">
        <v>-0.1</v>
      </c>
      <c r="C3712">
        <v>0</v>
      </c>
      <c r="D3712" t="s">
        <v>5973</v>
      </c>
    </row>
    <row r="3713" spans="1:4" x14ac:dyDescent="0.2">
      <c r="A3713">
        <v>18</v>
      </c>
      <c r="B3713">
        <v>0.1</v>
      </c>
      <c r="C3713">
        <v>0</v>
      </c>
      <c r="D3713" t="s">
        <v>5973</v>
      </c>
    </row>
    <row r="3714" spans="1:4" x14ac:dyDescent="0.2">
      <c r="A3714">
        <v>13</v>
      </c>
      <c r="B3714">
        <v>250.1</v>
      </c>
      <c r="C3714">
        <v>250</v>
      </c>
      <c r="D3714" t="s">
        <v>5973</v>
      </c>
    </row>
    <row r="3715" spans="1:4" x14ac:dyDescent="0.2">
      <c r="A3715">
        <v>14</v>
      </c>
      <c r="B3715">
        <v>250.1</v>
      </c>
      <c r="C3715">
        <v>250</v>
      </c>
      <c r="D3715" t="s">
        <v>5973</v>
      </c>
    </row>
    <row r="3716" spans="1:4" x14ac:dyDescent="0.2">
      <c r="A3716">
        <v>15</v>
      </c>
      <c r="B3716">
        <v>250</v>
      </c>
      <c r="C3716">
        <v>250</v>
      </c>
      <c r="D3716" t="s">
        <v>5973</v>
      </c>
    </row>
    <row r="3717" spans="1:4" x14ac:dyDescent="0.2">
      <c r="A3717">
        <v>16</v>
      </c>
      <c r="B3717">
        <v>250</v>
      </c>
      <c r="C3717">
        <v>250</v>
      </c>
      <c r="D3717" t="s">
        <v>5973</v>
      </c>
    </row>
    <row r="3718" spans="1:4" x14ac:dyDescent="0.2">
      <c r="A3718">
        <v>17</v>
      </c>
      <c r="B3718">
        <v>249.9</v>
      </c>
      <c r="C3718">
        <v>250</v>
      </c>
      <c r="D3718" t="s">
        <v>5973</v>
      </c>
    </row>
    <row r="3719" spans="1:4" x14ac:dyDescent="0.2">
      <c r="A3719">
        <v>18</v>
      </c>
      <c r="B3719">
        <v>250.1</v>
      </c>
      <c r="C3719">
        <v>250</v>
      </c>
      <c r="D3719" t="s">
        <v>5973</v>
      </c>
    </row>
    <row r="3720" spans="1:4" x14ac:dyDescent="0.2">
      <c r="A3720">
        <v>13</v>
      </c>
      <c r="B3720">
        <v>500</v>
      </c>
      <c r="C3720">
        <v>500</v>
      </c>
      <c r="D3720" t="s">
        <v>5973</v>
      </c>
    </row>
    <row r="3721" spans="1:4" x14ac:dyDescent="0.2">
      <c r="A3721">
        <v>14</v>
      </c>
      <c r="B3721">
        <v>500</v>
      </c>
      <c r="C3721">
        <v>500</v>
      </c>
      <c r="D3721" t="s">
        <v>5973</v>
      </c>
    </row>
    <row r="3722" spans="1:4" x14ac:dyDescent="0.2">
      <c r="A3722">
        <v>15</v>
      </c>
      <c r="B3722">
        <v>500.1</v>
      </c>
      <c r="C3722">
        <v>500</v>
      </c>
      <c r="D3722" t="s">
        <v>5973</v>
      </c>
    </row>
    <row r="3723" spans="1:4" x14ac:dyDescent="0.2">
      <c r="A3723">
        <v>16</v>
      </c>
      <c r="B3723">
        <v>500</v>
      </c>
      <c r="C3723">
        <v>500</v>
      </c>
      <c r="D3723" t="s">
        <v>5973</v>
      </c>
    </row>
    <row r="3724" spans="1:4" x14ac:dyDescent="0.2">
      <c r="A3724">
        <v>17</v>
      </c>
      <c r="B3724">
        <v>499.9</v>
      </c>
      <c r="C3724">
        <v>500</v>
      </c>
      <c r="D3724" t="s">
        <v>5973</v>
      </c>
    </row>
    <row r="3725" spans="1:4" x14ac:dyDescent="0.2">
      <c r="A3725">
        <v>18</v>
      </c>
      <c r="B3725">
        <v>500.1</v>
      </c>
      <c r="C3725">
        <v>500</v>
      </c>
      <c r="D3725" t="s">
        <v>5973</v>
      </c>
    </row>
    <row r="3726" spans="1:4" x14ac:dyDescent="0.2">
      <c r="A3726">
        <v>13</v>
      </c>
      <c r="B3726">
        <v>1000</v>
      </c>
      <c r="C3726">
        <v>1000</v>
      </c>
      <c r="D3726" t="s">
        <v>5973</v>
      </c>
    </row>
    <row r="3727" spans="1:4" x14ac:dyDescent="0.2">
      <c r="A3727">
        <v>14</v>
      </c>
      <c r="B3727">
        <v>1000</v>
      </c>
      <c r="C3727">
        <v>1000</v>
      </c>
      <c r="D3727" t="s">
        <v>5973</v>
      </c>
    </row>
    <row r="3728" spans="1:4" x14ac:dyDescent="0.2">
      <c r="A3728">
        <v>15</v>
      </c>
      <c r="B3728">
        <v>1000.1</v>
      </c>
      <c r="C3728">
        <v>1000</v>
      </c>
      <c r="D3728" t="s">
        <v>5973</v>
      </c>
    </row>
    <row r="3729" spans="1:4" x14ac:dyDescent="0.2">
      <c r="A3729">
        <v>16</v>
      </c>
      <c r="B3729">
        <v>1000</v>
      </c>
      <c r="C3729">
        <v>1000</v>
      </c>
      <c r="D3729" t="s">
        <v>5973</v>
      </c>
    </row>
    <row r="3730" spans="1:4" x14ac:dyDescent="0.2">
      <c r="A3730">
        <v>17</v>
      </c>
      <c r="B3730">
        <v>999.8</v>
      </c>
      <c r="C3730">
        <v>1000</v>
      </c>
      <c r="D3730" t="s">
        <v>5973</v>
      </c>
    </row>
    <row r="3731" spans="1:4" x14ac:dyDescent="0.2">
      <c r="A3731">
        <v>18</v>
      </c>
      <c r="B3731">
        <v>1000.2</v>
      </c>
      <c r="C3731">
        <v>1000</v>
      </c>
      <c r="D3731" t="s">
        <v>5973</v>
      </c>
    </row>
    <row r="3732" spans="1:4" x14ac:dyDescent="0.2">
      <c r="A3732">
        <v>19</v>
      </c>
      <c r="B3732">
        <v>-100.1</v>
      </c>
      <c r="C3732">
        <v>-100</v>
      </c>
      <c r="D3732" t="s">
        <v>5973</v>
      </c>
    </row>
    <row r="3733" spans="1:4" x14ac:dyDescent="0.2">
      <c r="A3733">
        <v>20</v>
      </c>
      <c r="B3733">
        <v>-99.9</v>
      </c>
      <c r="C3733">
        <v>-100</v>
      </c>
      <c r="D3733" t="s">
        <v>5973</v>
      </c>
    </row>
    <row r="3734" spans="1:4" x14ac:dyDescent="0.2">
      <c r="A3734">
        <v>21</v>
      </c>
      <c r="B3734">
        <v>-99.9</v>
      </c>
      <c r="C3734">
        <v>-100</v>
      </c>
      <c r="D3734" t="s">
        <v>5973</v>
      </c>
    </row>
    <row r="3735" spans="1:4" x14ac:dyDescent="0.2">
      <c r="A3735">
        <v>22</v>
      </c>
      <c r="B3735">
        <v>-99.9</v>
      </c>
      <c r="C3735">
        <v>-100</v>
      </c>
      <c r="D3735" t="s">
        <v>5973</v>
      </c>
    </row>
    <row r="3736" spans="1:4" x14ac:dyDescent="0.2">
      <c r="A3736">
        <v>23</v>
      </c>
      <c r="B3736">
        <v>-99.9</v>
      </c>
      <c r="C3736">
        <v>-100</v>
      </c>
      <c r="D3736" t="s">
        <v>5973</v>
      </c>
    </row>
    <row r="3737" spans="1:4" x14ac:dyDescent="0.2">
      <c r="A3737">
        <v>24</v>
      </c>
      <c r="B3737">
        <v>-99.9</v>
      </c>
      <c r="C3737">
        <v>-100</v>
      </c>
      <c r="D3737" t="s">
        <v>5973</v>
      </c>
    </row>
    <row r="3738" spans="1:4" x14ac:dyDescent="0.2">
      <c r="A3738">
        <v>19</v>
      </c>
      <c r="B3738">
        <v>-50.1</v>
      </c>
      <c r="C3738">
        <v>-50</v>
      </c>
      <c r="D3738" t="s">
        <v>5973</v>
      </c>
    </row>
    <row r="3739" spans="1:4" x14ac:dyDescent="0.2">
      <c r="A3739">
        <v>20</v>
      </c>
      <c r="B3739">
        <v>-49.9</v>
      </c>
      <c r="C3739">
        <v>-50</v>
      </c>
      <c r="D3739" t="s">
        <v>5973</v>
      </c>
    </row>
    <row r="3740" spans="1:4" x14ac:dyDescent="0.2">
      <c r="A3740">
        <v>21</v>
      </c>
      <c r="B3740">
        <v>-50</v>
      </c>
      <c r="C3740">
        <v>-50</v>
      </c>
      <c r="D3740" t="s">
        <v>5973</v>
      </c>
    </row>
    <row r="3741" spans="1:4" x14ac:dyDescent="0.2">
      <c r="A3741">
        <v>22</v>
      </c>
      <c r="B3741">
        <v>-49.9</v>
      </c>
      <c r="C3741">
        <v>-50</v>
      </c>
      <c r="D3741" t="s">
        <v>5973</v>
      </c>
    </row>
    <row r="3742" spans="1:4" x14ac:dyDescent="0.2">
      <c r="A3742">
        <v>23</v>
      </c>
      <c r="B3742">
        <v>-50</v>
      </c>
      <c r="C3742">
        <v>-50</v>
      </c>
      <c r="D3742" t="s">
        <v>5973</v>
      </c>
    </row>
    <row r="3743" spans="1:4" x14ac:dyDescent="0.2">
      <c r="A3743">
        <v>24</v>
      </c>
      <c r="B3743">
        <v>-50</v>
      </c>
      <c r="C3743">
        <v>-50</v>
      </c>
      <c r="D3743" t="s">
        <v>5973</v>
      </c>
    </row>
    <row r="3744" spans="1:4" x14ac:dyDescent="0.2">
      <c r="A3744">
        <v>19</v>
      </c>
      <c r="B3744">
        <v>-0.1</v>
      </c>
      <c r="C3744">
        <v>0</v>
      </c>
      <c r="D3744" t="s">
        <v>5973</v>
      </c>
    </row>
    <row r="3745" spans="1:4" x14ac:dyDescent="0.2">
      <c r="A3745">
        <v>20</v>
      </c>
      <c r="B3745">
        <v>0</v>
      </c>
      <c r="C3745">
        <v>0</v>
      </c>
      <c r="D3745" t="s">
        <v>5973</v>
      </c>
    </row>
    <row r="3746" spans="1:4" x14ac:dyDescent="0.2">
      <c r="A3746">
        <v>21</v>
      </c>
      <c r="B3746">
        <v>0</v>
      </c>
      <c r="C3746">
        <v>0</v>
      </c>
      <c r="D3746" t="s">
        <v>5973</v>
      </c>
    </row>
    <row r="3747" spans="1:4" x14ac:dyDescent="0.2">
      <c r="A3747">
        <v>22</v>
      </c>
      <c r="B3747">
        <v>0</v>
      </c>
      <c r="C3747">
        <v>0</v>
      </c>
      <c r="D3747" t="s">
        <v>5973</v>
      </c>
    </row>
    <row r="3748" spans="1:4" x14ac:dyDescent="0.2">
      <c r="A3748">
        <v>23</v>
      </c>
      <c r="B3748">
        <v>0</v>
      </c>
      <c r="C3748">
        <v>0</v>
      </c>
      <c r="D3748" t="s">
        <v>5973</v>
      </c>
    </row>
    <row r="3749" spans="1:4" x14ac:dyDescent="0.2">
      <c r="A3749">
        <v>24</v>
      </c>
      <c r="B3749">
        <v>-0.1</v>
      </c>
      <c r="C3749">
        <v>0</v>
      </c>
      <c r="D3749" t="s">
        <v>5973</v>
      </c>
    </row>
    <row r="3750" spans="1:4" x14ac:dyDescent="0.2">
      <c r="A3750">
        <v>19</v>
      </c>
      <c r="B3750">
        <v>250</v>
      </c>
      <c r="C3750">
        <v>250</v>
      </c>
      <c r="D3750" t="s">
        <v>5973</v>
      </c>
    </row>
    <row r="3751" spans="1:4" x14ac:dyDescent="0.2">
      <c r="A3751">
        <v>20</v>
      </c>
      <c r="B3751">
        <v>250</v>
      </c>
      <c r="C3751">
        <v>250</v>
      </c>
      <c r="D3751" t="s">
        <v>5973</v>
      </c>
    </row>
    <row r="3752" spans="1:4" x14ac:dyDescent="0.2">
      <c r="A3752">
        <v>21</v>
      </c>
      <c r="B3752">
        <v>250</v>
      </c>
      <c r="C3752">
        <v>250</v>
      </c>
      <c r="D3752" t="s">
        <v>5973</v>
      </c>
    </row>
    <row r="3753" spans="1:4" x14ac:dyDescent="0.2">
      <c r="A3753">
        <v>22</v>
      </c>
      <c r="B3753">
        <v>250</v>
      </c>
      <c r="C3753">
        <v>250</v>
      </c>
      <c r="D3753" t="s">
        <v>5973</v>
      </c>
    </row>
    <row r="3754" spans="1:4" x14ac:dyDescent="0.2">
      <c r="A3754">
        <v>23</v>
      </c>
      <c r="B3754">
        <v>250</v>
      </c>
      <c r="C3754">
        <v>250</v>
      </c>
      <c r="D3754" t="s">
        <v>5973</v>
      </c>
    </row>
    <row r="3755" spans="1:4" x14ac:dyDescent="0.2">
      <c r="A3755">
        <v>24</v>
      </c>
      <c r="B3755">
        <v>249.9</v>
      </c>
      <c r="C3755">
        <v>250</v>
      </c>
      <c r="D3755" t="s">
        <v>5973</v>
      </c>
    </row>
    <row r="3756" spans="1:4" x14ac:dyDescent="0.2">
      <c r="A3756">
        <v>19</v>
      </c>
      <c r="B3756">
        <v>500</v>
      </c>
      <c r="C3756">
        <v>500</v>
      </c>
      <c r="D3756" t="s">
        <v>5973</v>
      </c>
    </row>
    <row r="3757" spans="1:4" x14ac:dyDescent="0.2">
      <c r="A3757">
        <v>20</v>
      </c>
      <c r="B3757">
        <v>500</v>
      </c>
      <c r="C3757">
        <v>500</v>
      </c>
      <c r="D3757" t="s">
        <v>5973</v>
      </c>
    </row>
    <row r="3758" spans="1:4" x14ac:dyDescent="0.2">
      <c r="A3758">
        <v>21</v>
      </c>
      <c r="B3758">
        <v>500</v>
      </c>
      <c r="C3758">
        <v>500</v>
      </c>
      <c r="D3758" t="s">
        <v>5973</v>
      </c>
    </row>
    <row r="3759" spans="1:4" x14ac:dyDescent="0.2">
      <c r="A3759">
        <v>22</v>
      </c>
      <c r="B3759">
        <v>500</v>
      </c>
      <c r="C3759">
        <v>500</v>
      </c>
      <c r="D3759" t="s">
        <v>5973</v>
      </c>
    </row>
    <row r="3760" spans="1:4" x14ac:dyDescent="0.2">
      <c r="A3760">
        <v>23</v>
      </c>
      <c r="B3760">
        <v>500</v>
      </c>
      <c r="C3760">
        <v>500</v>
      </c>
      <c r="D3760" t="s">
        <v>5973</v>
      </c>
    </row>
    <row r="3761" spans="1:4" x14ac:dyDescent="0.2">
      <c r="A3761">
        <v>24</v>
      </c>
      <c r="B3761">
        <v>499.9</v>
      </c>
      <c r="C3761">
        <v>500</v>
      </c>
      <c r="D3761" t="s">
        <v>5973</v>
      </c>
    </row>
    <row r="3762" spans="1:4" x14ac:dyDescent="0.2">
      <c r="A3762">
        <v>19</v>
      </c>
      <c r="B3762">
        <v>1000</v>
      </c>
      <c r="C3762">
        <v>1000</v>
      </c>
      <c r="D3762" t="s">
        <v>5973</v>
      </c>
    </row>
    <row r="3763" spans="1:4" x14ac:dyDescent="0.2">
      <c r="A3763">
        <v>20</v>
      </c>
      <c r="B3763">
        <v>1000</v>
      </c>
      <c r="C3763">
        <v>1000</v>
      </c>
      <c r="D3763" t="s">
        <v>5973</v>
      </c>
    </row>
    <row r="3764" spans="1:4" x14ac:dyDescent="0.2">
      <c r="A3764">
        <v>21</v>
      </c>
      <c r="B3764">
        <v>999.9</v>
      </c>
      <c r="C3764">
        <v>1000</v>
      </c>
      <c r="D3764" t="s">
        <v>5973</v>
      </c>
    </row>
    <row r="3765" spans="1:4" x14ac:dyDescent="0.2">
      <c r="A3765">
        <v>22</v>
      </c>
      <c r="B3765">
        <v>1000</v>
      </c>
      <c r="C3765">
        <v>1000</v>
      </c>
      <c r="D3765" t="s">
        <v>5973</v>
      </c>
    </row>
    <row r="3766" spans="1:4" x14ac:dyDescent="0.2">
      <c r="A3766">
        <v>23</v>
      </c>
      <c r="B3766">
        <v>1000</v>
      </c>
      <c r="C3766">
        <v>1000</v>
      </c>
      <c r="D3766" t="s">
        <v>5973</v>
      </c>
    </row>
    <row r="3767" spans="1:4" x14ac:dyDescent="0.2">
      <c r="A3767">
        <v>24</v>
      </c>
      <c r="B3767">
        <v>1000</v>
      </c>
      <c r="C3767">
        <v>1000</v>
      </c>
      <c r="D3767" t="s">
        <v>5973</v>
      </c>
    </row>
    <row r="3768" spans="1:4" x14ac:dyDescent="0.2">
      <c r="A3768">
        <v>25</v>
      </c>
      <c r="B3768">
        <v>-100.5</v>
      </c>
      <c r="C3768">
        <v>-100</v>
      </c>
      <c r="D3768" t="s">
        <v>5973</v>
      </c>
    </row>
    <row r="3769" spans="1:4" x14ac:dyDescent="0.2">
      <c r="A3769">
        <v>26</v>
      </c>
      <c r="B3769">
        <v>-99.5</v>
      </c>
      <c r="C3769">
        <v>-100</v>
      </c>
      <c r="D3769" t="s">
        <v>5973</v>
      </c>
    </row>
    <row r="3770" spans="1:4" x14ac:dyDescent="0.2">
      <c r="A3770">
        <v>27</v>
      </c>
      <c r="B3770">
        <v>-99.6</v>
      </c>
      <c r="C3770">
        <v>-100</v>
      </c>
      <c r="D3770" t="s">
        <v>5973</v>
      </c>
    </row>
    <row r="3771" spans="1:4" x14ac:dyDescent="0.2">
      <c r="A3771">
        <v>28</v>
      </c>
      <c r="B3771">
        <v>-100.2</v>
      </c>
      <c r="C3771">
        <v>-100</v>
      </c>
      <c r="D3771" t="s">
        <v>5973</v>
      </c>
    </row>
    <row r="3772" spans="1:4" x14ac:dyDescent="0.2">
      <c r="A3772">
        <v>29</v>
      </c>
      <c r="B3772">
        <v>-100.1</v>
      </c>
      <c r="C3772">
        <v>-100</v>
      </c>
      <c r="D3772" t="s">
        <v>5973</v>
      </c>
    </row>
    <row r="3773" spans="1:4" x14ac:dyDescent="0.2">
      <c r="A3773">
        <v>30</v>
      </c>
      <c r="B3773">
        <v>-100.2</v>
      </c>
      <c r="C3773">
        <v>-100</v>
      </c>
      <c r="D3773" t="s">
        <v>5973</v>
      </c>
    </row>
    <row r="3774" spans="1:4" x14ac:dyDescent="0.2">
      <c r="A3774">
        <v>25</v>
      </c>
      <c r="B3774">
        <v>-50.5</v>
      </c>
      <c r="C3774">
        <v>-50</v>
      </c>
      <c r="D3774" t="s">
        <v>5973</v>
      </c>
    </row>
    <row r="3775" spans="1:4" x14ac:dyDescent="0.2">
      <c r="A3775">
        <v>26</v>
      </c>
      <c r="B3775">
        <v>-49.5</v>
      </c>
      <c r="C3775">
        <v>-50</v>
      </c>
      <c r="D3775" t="s">
        <v>5973</v>
      </c>
    </row>
    <row r="3776" spans="1:4" x14ac:dyDescent="0.2">
      <c r="A3776">
        <v>27</v>
      </c>
      <c r="B3776">
        <v>-49.8</v>
      </c>
      <c r="C3776">
        <v>-50</v>
      </c>
      <c r="D3776" t="s">
        <v>5973</v>
      </c>
    </row>
    <row r="3777" spans="1:4" x14ac:dyDescent="0.2">
      <c r="A3777">
        <v>28</v>
      </c>
      <c r="B3777">
        <v>-50.2</v>
      </c>
      <c r="C3777">
        <v>-50</v>
      </c>
      <c r="D3777" t="s">
        <v>5973</v>
      </c>
    </row>
    <row r="3778" spans="1:4" x14ac:dyDescent="0.2">
      <c r="A3778">
        <v>29</v>
      </c>
      <c r="B3778">
        <v>-50.1</v>
      </c>
      <c r="C3778">
        <v>-50</v>
      </c>
      <c r="D3778" t="s">
        <v>5973</v>
      </c>
    </row>
    <row r="3779" spans="1:4" x14ac:dyDescent="0.2">
      <c r="A3779">
        <v>30</v>
      </c>
      <c r="B3779">
        <v>-50.2</v>
      </c>
      <c r="C3779">
        <v>-50</v>
      </c>
      <c r="D3779" t="s">
        <v>5973</v>
      </c>
    </row>
    <row r="3780" spans="1:4" x14ac:dyDescent="0.2">
      <c r="A3780">
        <v>25</v>
      </c>
      <c r="B3780">
        <v>-0.5</v>
      </c>
      <c r="C3780">
        <v>0</v>
      </c>
      <c r="D3780" t="s">
        <v>5973</v>
      </c>
    </row>
    <row r="3781" spans="1:4" x14ac:dyDescent="0.2">
      <c r="A3781">
        <v>26</v>
      </c>
      <c r="B3781">
        <v>0.5</v>
      </c>
      <c r="C3781">
        <v>0</v>
      </c>
      <c r="D3781" t="s">
        <v>5973</v>
      </c>
    </row>
    <row r="3782" spans="1:4" x14ac:dyDescent="0.2">
      <c r="A3782">
        <v>27</v>
      </c>
      <c r="B3782">
        <v>0.1</v>
      </c>
      <c r="C3782">
        <v>0</v>
      </c>
      <c r="D3782" t="s">
        <v>5973</v>
      </c>
    </row>
    <row r="3783" spans="1:4" x14ac:dyDescent="0.2">
      <c r="A3783">
        <v>28</v>
      </c>
      <c r="B3783">
        <v>-0.3</v>
      </c>
      <c r="C3783">
        <v>0</v>
      </c>
      <c r="D3783" t="s">
        <v>5973</v>
      </c>
    </row>
    <row r="3784" spans="1:4" x14ac:dyDescent="0.2">
      <c r="A3784">
        <v>29</v>
      </c>
      <c r="B3784">
        <v>-0.2</v>
      </c>
      <c r="C3784">
        <v>0</v>
      </c>
      <c r="D3784" t="s">
        <v>5973</v>
      </c>
    </row>
    <row r="3785" spans="1:4" x14ac:dyDescent="0.2">
      <c r="A3785">
        <v>30</v>
      </c>
      <c r="B3785">
        <v>-0.2</v>
      </c>
      <c r="C3785">
        <v>0</v>
      </c>
      <c r="D3785" t="s">
        <v>5973</v>
      </c>
    </row>
    <row r="3786" spans="1:4" x14ac:dyDescent="0.2">
      <c r="A3786">
        <v>25</v>
      </c>
      <c r="B3786">
        <v>249.5</v>
      </c>
      <c r="C3786">
        <v>250</v>
      </c>
      <c r="D3786" t="s">
        <v>5973</v>
      </c>
    </row>
    <row r="3787" spans="1:4" x14ac:dyDescent="0.2">
      <c r="A3787">
        <v>26</v>
      </c>
      <c r="B3787">
        <v>250.5</v>
      </c>
      <c r="C3787">
        <v>250</v>
      </c>
      <c r="D3787" t="s">
        <v>5973</v>
      </c>
    </row>
    <row r="3788" spans="1:4" x14ac:dyDescent="0.2">
      <c r="A3788">
        <v>27</v>
      </c>
      <c r="B3788">
        <v>250.1</v>
      </c>
      <c r="C3788">
        <v>250</v>
      </c>
      <c r="D3788" t="s">
        <v>5973</v>
      </c>
    </row>
    <row r="3789" spans="1:4" x14ac:dyDescent="0.2">
      <c r="A3789">
        <v>28</v>
      </c>
      <c r="B3789">
        <v>249.7</v>
      </c>
      <c r="C3789">
        <v>250</v>
      </c>
      <c r="D3789" t="s">
        <v>5973</v>
      </c>
    </row>
    <row r="3790" spans="1:4" x14ac:dyDescent="0.2">
      <c r="A3790">
        <v>29</v>
      </c>
      <c r="B3790">
        <v>249.8</v>
      </c>
      <c r="C3790">
        <v>250</v>
      </c>
      <c r="D3790" t="s">
        <v>5973</v>
      </c>
    </row>
    <row r="3791" spans="1:4" x14ac:dyDescent="0.2">
      <c r="A3791">
        <v>30</v>
      </c>
      <c r="B3791">
        <v>249.8</v>
      </c>
      <c r="C3791">
        <v>250</v>
      </c>
      <c r="D3791" t="s">
        <v>5973</v>
      </c>
    </row>
    <row r="3792" spans="1:4" x14ac:dyDescent="0.2">
      <c r="A3792">
        <v>25</v>
      </c>
      <c r="B3792">
        <v>499.5</v>
      </c>
      <c r="C3792">
        <v>500</v>
      </c>
      <c r="D3792" t="s">
        <v>5973</v>
      </c>
    </row>
    <row r="3793" spans="1:4" x14ac:dyDescent="0.2">
      <c r="A3793">
        <v>26</v>
      </c>
      <c r="B3793">
        <v>500.5</v>
      </c>
      <c r="C3793">
        <v>500</v>
      </c>
      <c r="D3793" t="s">
        <v>5973</v>
      </c>
    </row>
    <row r="3794" spans="1:4" x14ac:dyDescent="0.2">
      <c r="A3794">
        <v>27</v>
      </c>
      <c r="B3794">
        <v>500</v>
      </c>
      <c r="C3794">
        <v>500</v>
      </c>
      <c r="D3794" t="s">
        <v>5973</v>
      </c>
    </row>
    <row r="3795" spans="1:4" x14ac:dyDescent="0.2">
      <c r="A3795">
        <v>28</v>
      </c>
      <c r="B3795">
        <v>499.7</v>
      </c>
      <c r="C3795">
        <v>500</v>
      </c>
      <c r="D3795" t="s">
        <v>5973</v>
      </c>
    </row>
    <row r="3796" spans="1:4" x14ac:dyDescent="0.2">
      <c r="A3796">
        <v>29</v>
      </c>
      <c r="B3796">
        <v>499.7</v>
      </c>
      <c r="C3796">
        <v>500</v>
      </c>
      <c r="D3796" t="s">
        <v>5973</v>
      </c>
    </row>
    <row r="3797" spans="1:4" x14ac:dyDescent="0.2">
      <c r="A3797">
        <v>30</v>
      </c>
      <c r="B3797">
        <v>499.8</v>
      </c>
      <c r="C3797">
        <v>500</v>
      </c>
      <c r="D3797" t="s">
        <v>5973</v>
      </c>
    </row>
    <row r="3798" spans="1:4" x14ac:dyDescent="0.2">
      <c r="A3798">
        <v>25</v>
      </c>
      <c r="B3798">
        <v>999.5</v>
      </c>
      <c r="C3798">
        <v>1000</v>
      </c>
      <c r="D3798" t="s">
        <v>5973</v>
      </c>
    </row>
    <row r="3799" spans="1:4" x14ac:dyDescent="0.2">
      <c r="A3799">
        <v>26</v>
      </c>
      <c r="B3799">
        <v>1000.4</v>
      </c>
      <c r="C3799">
        <v>1000</v>
      </c>
      <c r="D3799" t="s">
        <v>5973</v>
      </c>
    </row>
    <row r="3800" spans="1:4" x14ac:dyDescent="0.2">
      <c r="A3800">
        <v>27</v>
      </c>
      <c r="B3800">
        <v>999.9</v>
      </c>
      <c r="C3800">
        <v>1000</v>
      </c>
      <c r="D3800" t="s">
        <v>5973</v>
      </c>
    </row>
    <row r="3801" spans="1:4" x14ac:dyDescent="0.2">
      <c r="A3801">
        <v>28</v>
      </c>
      <c r="B3801">
        <v>999.7</v>
      </c>
      <c r="C3801">
        <v>1000</v>
      </c>
      <c r="D3801" t="s">
        <v>5973</v>
      </c>
    </row>
    <row r="3802" spans="1:4" x14ac:dyDescent="0.2">
      <c r="A3802">
        <v>29</v>
      </c>
      <c r="B3802">
        <v>999.6</v>
      </c>
      <c r="C3802">
        <v>1000</v>
      </c>
      <c r="D3802" t="s">
        <v>5973</v>
      </c>
    </row>
    <row r="3803" spans="1:4" x14ac:dyDescent="0.2">
      <c r="A3803">
        <v>30</v>
      </c>
      <c r="B3803">
        <v>999.7</v>
      </c>
      <c r="C3803">
        <v>1000</v>
      </c>
      <c r="D3803" t="s">
        <v>5973</v>
      </c>
    </row>
    <row r="3804" spans="1:4" x14ac:dyDescent="0.2">
      <c r="A3804">
        <v>31</v>
      </c>
      <c r="B3804">
        <v>-100.2</v>
      </c>
      <c r="C3804">
        <v>-100</v>
      </c>
      <c r="D3804" t="s">
        <v>5973</v>
      </c>
    </row>
    <row r="3805" spans="1:4" x14ac:dyDescent="0.2">
      <c r="A3805">
        <v>32</v>
      </c>
      <c r="B3805">
        <v>-99.9</v>
      </c>
      <c r="C3805">
        <v>-100</v>
      </c>
      <c r="D3805" t="s">
        <v>5973</v>
      </c>
    </row>
    <row r="3806" spans="1:4" x14ac:dyDescent="0.2">
      <c r="A3806">
        <v>33</v>
      </c>
      <c r="B3806">
        <v>-100</v>
      </c>
      <c r="C3806">
        <v>-100</v>
      </c>
      <c r="D3806" t="s">
        <v>5973</v>
      </c>
    </row>
    <row r="3807" spans="1:4" x14ac:dyDescent="0.2">
      <c r="A3807">
        <v>34</v>
      </c>
      <c r="B3807">
        <v>-100</v>
      </c>
      <c r="C3807">
        <v>-100</v>
      </c>
      <c r="D3807" t="s">
        <v>5973</v>
      </c>
    </row>
    <row r="3808" spans="1:4" x14ac:dyDescent="0.2">
      <c r="A3808">
        <v>35</v>
      </c>
      <c r="B3808">
        <v>-100.2</v>
      </c>
      <c r="C3808">
        <v>-100</v>
      </c>
      <c r="D3808" t="s">
        <v>5973</v>
      </c>
    </row>
    <row r="3809" spans="1:4" x14ac:dyDescent="0.2">
      <c r="A3809">
        <v>36</v>
      </c>
      <c r="B3809">
        <v>-100.3</v>
      </c>
      <c r="C3809">
        <v>-100</v>
      </c>
      <c r="D3809" t="s">
        <v>5973</v>
      </c>
    </row>
    <row r="3810" spans="1:4" x14ac:dyDescent="0.2">
      <c r="A3810">
        <v>31</v>
      </c>
      <c r="B3810">
        <v>-50.2</v>
      </c>
      <c r="C3810">
        <v>-50</v>
      </c>
      <c r="D3810" t="s">
        <v>5973</v>
      </c>
    </row>
    <row r="3811" spans="1:4" x14ac:dyDescent="0.2">
      <c r="A3811">
        <v>32</v>
      </c>
      <c r="B3811">
        <v>-49.8</v>
      </c>
      <c r="C3811">
        <v>-50</v>
      </c>
      <c r="D3811" t="s">
        <v>5973</v>
      </c>
    </row>
    <row r="3812" spans="1:4" x14ac:dyDescent="0.2">
      <c r="A3812">
        <v>33</v>
      </c>
      <c r="B3812">
        <v>-50</v>
      </c>
      <c r="C3812">
        <v>-50</v>
      </c>
      <c r="D3812" t="s">
        <v>5973</v>
      </c>
    </row>
    <row r="3813" spans="1:4" x14ac:dyDescent="0.2">
      <c r="A3813">
        <v>34</v>
      </c>
      <c r="B3813">
        <v>-50</v>
      </c>
      <c r="C3813">
        <v>-50</v>
      </c>
      <c r="D3813" t="s">
        <v>5973</v>
      </c>
    </row>
    <row r="3814" spans="1:4" x14ac:dyDescent="0.2">
      <c r="A3814">
        <v>35</v>
      </c>
      <c r="B3814">
        <v>-50.1</v>
      </c>
      <c r="C3814">
        <v>-50</v>
      </c>
      <c r="D3814" t="s">
        <v>5973</v>
      </c>
    </row>
    <row r="3815" spans="1:4" x14ac:dyDescent="0.2">
      <c r="A3815">
        <v>36</v>
      </c>
      <c r="B3815">
        <v>-50.2</v>
      </c>
      <c r="C3815">
        <v>-50</v>
      </c>
      <c r="D3815" t="s">
        <v>5973</v>
      </c>
    </row>
    <row r="3816" spans="1:4" x14ac:dyDescent="0.2">
      <c r="A3816">
        <v>31</v>
      </c>
      <c r="B3816">
        <v>-0.3</v>
      </c>
      <c r="C3816">
        <v>0</v>
      </c>
      <c r="D3816" t="s">
        <v>5973</v>
      </c>
    </row>
    <row r="3817" spans="1:4" x14ac:dyDescent="0.2">
      <c r="A3817">
        <v>32</v>
      </c>
      <c r="B3817">
        <v>0.1</v>
      </c>
      <c r="C3817">
        <v>0</v>
      </c>
      <c r="D3817" t="s">
        <v>5973</v>
      </c>
    </row>
    <row r="3818" spans="1:4" x14ac:dyDescent="0.2">
      <c r="A3818">
        <v>33</v>
      </c>
      <c r="B3818">
        <v>0</v>
      </c>
      <c r="C3818">
        <v>0</v>
      </c>
      <c r="D3818" t="s">
        <v>5973</v>
      </c>
    </row>
    <row r="3819" spans="1:4" x14ac:dyDescent="0.2">
      <c r="A3819">
        <v>34</v>
      </c>
      <c r="B3819">
        <v>0</v>
      </c>
      <c r="C3819">
        <v>0</v>
      </c>
      <c r="D3819" t="s">
        <v>5973</v>
      </c>
    </row>
    <row r="3820" spans="1:4" x14ac:dyDescent="0.2">
      <c r="A3820">
        <v>35</v>
      </c>
      <c r="B3820">
        <v>-0.2</v>
      </c>
      <c r="C3820">
        <v>0</v>
      </c>
      <c r="D3820" t="s">
        <v>5973</v>
      </c>
    </row>
    <row r="3821" spans="1:4" x14ac:dyDescent="0.2">
      <c r="A3821">
        <v>36</v>
      </c>
      <c r="B3821">
        <v>-0.3</v>
      </c>
      <c r="C3821">
        <v>0</v>
      </c>
      <c r="D3821" t="s">
        <v>5973</v>
      </c>
    </row>
    <row r="3822" spans="1:4" x14ac:dyDescent="0.2">
      <c r="A3822">
        <v>31</v>
      </c>
      <c r="B3822">
        <v>249.8</v>
      </c>
      <c r="C3822">
        <v>250</v>
      </c>
      <c r="D3822" t="s">
        <v>5973</v>
      </c>
    </row>
    <row r="3823" spans="1:4" x14ac:dyDescent="0.2">
      <c r="A3823">
        <v>32</v>
      </c>
      <c r="B3823">
        <v>250.2</v>
      </c>
      <c r="C3823">
        <v>250</v>
      </c>
      <c r="D3823" t="s">
        <v>5973</v>
      </c>
    </row>
    <row r="3824" spans="1:4" x14ac:dyDescent="0.2">
      <c r="A3824">
        <v>33</v>
      </c>
      <c r="B3824">
        <v>250</v>
      </c>
      <c r="C3824">
        <v>250</v>
      </c>
      <c r="D3824" t="s">
        <v>5973</v>
      </c>
    </row>
    <row r="3825" spans="1:4" x14ac:dyDescent="0.2">
      <c r="A3825">
        <v>34</v>
      </c>
      <c r="B3825">
        <v>250.1</v>
      </c>
      <c r="C3825">
        <v>250</v>
      </c>
      <c r="D3825" t="s">
        <v>5973</v>
      </c>
    </row>
    <row r="3826" spans="1:4" x14ac:dyDescent="0.2">
      <c r="A3826">
        <v>35</v>
      </c>
      <c r="B3826">
        <v>249.9</v>
      </c>
      <c r="C3826">
        <v>250</v>
      </c>
      <c r="D3826" t="s">
        <v>5973</v>
      </c>
    </row>
    <row r="3827" spans="1:4" x14ac:dyDescent="0.2">
      <c r="A3827">
        <v>36</v>
      </c>
      <c r="B3827">
        <v>249.8</v>
      </c>
      <c r="C3827">
        <v>250</v>
      </c>
      <c r="D3827" t="s">
        <v>5973</v>
      </c>
    </row>
    <row r="3828" spans="1:4" x14ac:dyDescent="0.2">
      <c r="A3828">
        <v>31</v>
      </c>
      <c r="B3828">
        <v>499.7</v>
      </c>
      <c r="C3828">
        <v>500</v>
      </c>
      <c r="D3828" t="s">
        <v>5973</v>
      </c>
    </row>
    <row r="3829" spans="1:4" x14ac:dyDescent="0.2">
      <c r="A3829">
        <v>32</v>
      </c>
      <c r="B3829">
        <v>500.1</v>
      </c>
      <c r="C3829">
        <v>500</v>
      </c>
      <c r="D3829" t="s">
        <v>5973</v>
      </c>
    </row>
    <row r="3830" spans="1:4" x14ac:dyDescent="0.2">
      <c r="A3830">
        <v>33</v>
      </c>
      <c r="B3830">
        <v>500</v>
      </c>
      <c r="C3830">
        <v>500</v>
      </c>
      <c r="D3830" t="s">
        <v>5973</v>
      </c>
    </row>
    <row r="3831" spans="1:4" x14ac:dyDescent="0.2">
      <c r="A3831">
        <v>34</v>
      </c>
      <c r="B3831">
        <v>500</v>
      </c>
      <c r="C3831">
        <v>500</v>
      </c>
      <c r="D3831" t="s">
        <v>5973</v>
      </c>
    </row>
    <row r="3832" spans="1:4" x14ac:dyDescent="0.2">
      <c r="A3832">
        <v>35</v>
      </c>
      <c r="B3832">
        <v>499.8</v>
      </c>
      <c r="C3832">
        <v>500</v>
      </c>
      <c r="D3832" t="s">
        <v>5973</v>
      </c>
    </row>
    <row r="3833" spans="1:4" x14ac:dyDescent="0.2">
      <c r="A3833">
        <v>36</v>
      </c>
      <c r="B3833">
        <v>499.7</v>
      </c>
      <c r="C3833">
        <v>500</v>
      </c>
      <c r="D3833" t="s">
        <v>5973</v>
      </c>
    </row>
    <row r="3834" spans="1:4" x14ac:dyDescent="0.2">
      <c r="A3834">
        <v>31</v>
      </c>
      <c r="B3834">
        <v>999.8</v>
      </c>
      <c r="C3834">
        <v>1000</v>
      </c>
      <c r="D3834" t="s">
        <v>5973</v>
      </c>
    </row>
    <row r="3835" spans="1:4" x14ac:dyDescent="0.2">
      <c r="A3835">
        <v>32</v>
      </c>
      <c r="B3835">
        <v>1000</v>
      </c>
      <c r="C3835">
        <v>1000</v>
      </c>
      <c r="D3835" t="s">
        <v>5973</v>
      </c>
    </row>
    <row r="3836" spans="1:4" x14ac:dyDescent="0.2">
      <c r="A3836">
        <v>33</v>
      </c>
      <c r="B3836">
        <v>999.9</v>
      </c>
      <c r="C3836">
        <v>1000</v>
      </c>
      <c r="D3836" t="s">
        <v>5973</v>
      </c>
    </row>
    <row r="3837" spans="1:4" x14ac:dyDescent="0.2">
      <c r="A3837">
        <v>34</v>
      </c>
      <c r="B3837">
        <v>999.9</v>
      </c>
      <c r="C3837">
        <v>1000</v>
      </c>
      <c r="D3837" t="s">
        <v>5973</v>
      </c>
    </row>
    <row r="3838" spans="1:4" x14ac:dyDescent="0.2">
      <c r="A3838">
        <v>35</v>
      </c>
      <c r="B3838">
        <v>999.8</v>
      </c>
      <c r="C3838">
        <v>1000</v>
      </c>
      <c r="D3838" t="s">
        <v>5973</v>
      </c>
    </row>
    <row r="3839" spans="1:4" x14ac:dyDescent="0.2">
      <c r="A3839">
        <v>36</v>
      </c>
      <c r="B3839">
        <v>999.6</v>
      </c>
      <c r="C3839">
        <v>1000</v>
      </c>
      <c r="D3839" t="s">
        <v>5973</v>
      </c>
    </row>
    <row r="3840" spans="1:4" x14ac:dyDescent="0.2">
      <c r="A3840">
        <v>37</v>
      </c>
      <c r="B3840">
        <v>-100.4</v>
      </c>
      <c r="C3840">
        <v>-100</v>
      </c>
      <c r="D3840" t="s">
        <v>5973</v>
      </c>
    </row>
    <row r="3841" spans="1:4" x14ac:dyDescent="0.2">
      <c r="A3841">
        <v>38</v>
      </c>
      <c r="B3841">
        <v>-100</v>
      </c>
      <c r="C3841">
        <v>-100</v>
      </c>
      <c r="D3841" t="s">
        <v>5973</v>
      </c>
    </row>
    <row r="3842" spans="1:4" x14ac:dyDescent="0.2">
      <c r="A3842">
        <v>39</v>
      </c>
      <c r="B3842">
        <v>-100.1</v>
      </c>
      <c r="C3842">
        <v>-100</v>
      </c>
      <c r="D3842" t="s">
        <v>5973</v>
      </c>
    </row>
    <row r="3843" spans="1:4" x14ac:dyDescent="0.2">
      <c r="A3843">
        <v>40</v>
      </c>
      <c r="B3843">
        <v>-100</v>
      </c>
      <c r="C3843">
        <v>-100</v>
      </c>
      <c r="D3843" t="s">
        <v>5973</v>
      </c>
    </row>
    <row r="3844" spans="1:4" x14ac:dyDescent="0.2">
      <c r="A3844">
        <v>37</v>
      </c>
      <c r="B3844">
        <v>-50.4</v>
      </c>
      <c r="C3844">
        <v>-50</v>
      </c>
      <c r="D3844" t="s">
        <v>5973</v>
      </c>
    </row>
    <row r="3845" spans="1:4" x14ac:dyDescent="0.2">
      <c r="A3845">
        <v>38</v>
      </c>
      <c r="B3845">
        <v>-50.1</v>
      </c>
      <c r="C3845">
        <v>-50</v>
      </c>
      <c r="D3845" t="s">
        <v>5973</v>
      </c>
    </row>
    <row r="3846" spans="1:4" x14ac:dyDescent="0.2">
      <c r="A3846">
        <v>39</v>
      </c>
      <c r="B3846">
        <v>-50.1</v>
      </c>
      <c r="C3846">
        <v>-50</v>
      </c>
      <c r="D3846" t="s">
        <v>5973</v>
      </c>
    </row>
    <row r="3847" spans="1:4" x14ac:dyDescent="0.2">
      <c r="A3847">
        <v>40</v>
      </c>
      <c r="B3847">
        <v>-50</v>
      </c>
      <c r="C3847">
        <v>-50</v>
      </c>
      <c r="D3847" t="s">
        <v>5973</v>
      </c>
    </row>
    <row r="3848" spans="1:4" x14ac:dyDescent="0.2">
      <c r="A3848">
        <v>37</v>
      </c>
      <c r="B3848">
        <v>-0.4</v>
      </c>
      <c r="C3848">
        <v>0</v>
      </c>
      <c r="D3848" t="s">
        <v>5973</v>
      </c>
    </row>
    <row r="3849" spans="1:4" x14ac:dyDescent="0.2">
      <c r="A3849">
        <v>38</v>
      </c>
      <c r="B3849">
        <v>-0.1</v>
      </c>
      <c r="C3849">
        <v>0</v>
      </c>
      <c r="D3849" t="s">
        <v>5973</v>
      </c>
    </row>
    <row r="3850" spans="1:4" x14ac:dyDescent="0.2">
      <c r="A3850">
        <v>39</v>
      </c>
      <c r="B3850">
        <v>-0.2</v>
      </c>
      <c r="C3850">
        <v>0</v>
      </c>
      <c r="D3850" t="s">
        <v>5973</v>
      </c>
    </row>
    <row r="3851" spans="1:4" x14ac:dyDescent="0.2">
      <c r="A3851">
        <v>40</v>
      </c>
      <c r="B3851">
        <v>-0.1</v>
      </c>
      <c r="C3851">
        <v>0</v>
      </c>
      <c r="D3851" t="s">
        <v>5973</v>
      </c>
    </row>
    <row r="3852" spans="1:4" x14ac:dyDescent="0.2">
      <c r="A3852">
        <v>37</v>
      </c>
      <c r="B3852">
        <v>249.7</v>
      </c>
      <c r="C3852">
        <v>250</v>
      </c>
      <c r="D3852" t="s">
        <v>5973</v>
      </c>
    </row>
    <row r="3853" spans="1:4" x14ac:dyDescent="0.2">
      <c r="A3853">
        <v>38</v>
      </c>
      <c r="B3853">
        <v>250</v>
      </c>
      <c r="C3853">
        <v>250</v>
      </c>
      <c r="D3853" t="s">
        <v>5973</v>
      </c>
    </row>
    <row r="3854" spans="1:4" x14ac:dyDescent="0.2">
      <c r="A3854">
        <v>39</v>
      </c>
      <c r="B3854">
        <v>249.9</v>
      </c>
      <c r="C3854">
        <v>250</v>
      </c>
      <c r="D3854" t="s">
        <v>5973</v>
      </c>
    </row>
    <row r="3855" spans="1:4" x14ac:dyDescent="0.2">
      <c r="A3855">
        <v>40</v>
      </c>
      <c r="B3855">
        <v>249.9</v>
      </c>
      <c r="C3855">
        <v>250</v>
      </c>
      <c r="D3855" t="s">
        <v>5973</v>
      </c>
    </row>
    <row r="3856" spans="1:4" x14ac:dyDescent="0.2">
      <c r="A3856">
        <v>37</v>
      </c>
      <c r="B3856">
        <v>499.7</v>
      </c>
      <c r="C3856">
        <v>500</v>
      </c>
      <c r="D3856" t="s">
        <v>5973</v>
      </c>
    </row>
    <row r="3857" spans="1:4" x14ac:dyDescent="0.2">
      <c r="A3857">
        <v>38</v>
      </c>
      <c r="B3857">
        <v>499.9</v>
      </c>
      <c r="C3857">
        <v>500</v>
      </c>
      <c r="D3857" t="s">
        <v>5973</v>
      </c>
    </row>
    <row r="3858" spans="1:4" x14ac:dyDescent="0.2">
      <c r="A3858">
        <v>39</v>
      </c>
      <c r="B3858">
        <v>499.7</v>
      </c>
      <c r="C3858">
        <v>500</v>
      </c>
      <c r="D3858" t="s">
        <v>5973</v>
      </c>
    </row>
    <row r="3859" spans="1:4" x14ac:dyDescent="0.2">
      <c r="A3859">
        <v>40</v>
      </c>
      <c r="B3859">
        <v>499.8</v>
      </c>
      <c r="C3859">
        <v>500</v>
      </c>
      <c r="D3859" t="s">
        <v>5973</v>
      </c>
    </row>
    <row r="3860" spans="1:4" x14ac:dyDescent="0.2">
      <c r="A3860">
        <v>37</v>
      </c>
      <c r="B3860">
        <v>999.6</v>
      </c>
      <c r="C3860">
        <v>1000</v>
      </c>
      <c r="D3860" t="s">
        <v>5973</v>
      </c>
    </row>
    <row r="3861" spans="1:4" x14ac:dyDescent="0.2">
      <c r="A3861">
        <v>38</v>
      </c>
      <c r="B3861">
        <v>999.8</v>
      </c>
      <c r="C3861">
        <v>1000</v>
      </c>
      <c r="D3861" t="s">
        <v>5973</v>
      </c>
    </row>
    <row r="3862" spans="1:4" x14ac:dyDescent="0.2">
      <c r="A3862">
        <v>39</v>
      </c>
      <c r="B3862">
        <v>999.7</v>
      </c>
      <c r="C3862">
        <v>1000</v>
      </c>
      <c r="D3862" t="s">
        <v>5973</v>
      </c>
    </row>
    <row r="3863" spans="1:4" x14ac:dyDescent="0.2">
      <c r="A3863">
        <v>40</v>
      </c>
      <c r="B3863">
        <v>999.8</v>
      </c>
      <c r="C3863">
        <v>1000</v>
      </c>
      <c r="D3863" t="s">
        <v>5973</v>
      </c>
    </row>
    <row r="3864" spans="1:4" x14ac:dyDescent="0.2">
      <c r="A3864">
        <v>1</v>
      </c>
      <c r="B3864">
        <v>32.299999999999997</v>
      </c>
      <c r="C3864">
        <v>32</v>
      </c>
      <c r="D3864" t="s">
        <v>5974</v>
      </c>
    </row>
    <row r="3865" spans="1:4" x14ac:dyDescent="0.2">
      <c r="A3865">
        <v>2</v>
      </c>
      <c r="B3865">
        <v>31.8</v>
      </c>
      <c r="C3865">
        <v>32</v>
      </c>
      <c r="D3865" t="s">
        <v>5974</v>
      </c>
    </row>
    <row r="3866" spans="1:4" x14ac:dyDescent="0.2">
      <c r="A3866">
        <v>3</v>
      </c>
      <c r="B3866">
        <v>32.200000000000003</v>
      </c>
      <c r="C3866">
        <v>32</v>
      </c>
      <c r="D3866" t="s">
        <v>5974</v>
      </c>
    </row>
    <row r="3867" spans="1:4" x14ac:dyDescent="0.2">
      <c r="A3867">
        <v>4</v>
      </c>
      <c r="B3867">
        <v>32.1</v>
      </c>
      <c r="C3867">
        <v>32</v>
      </c>
      <c r="D3867" t="s">
        <v>5974</v>
      </c>
    </row>
    <row r="3868" spans="1:4" x14ac:dyDescent="0.2">
      <c r="A3868">
        <v>5</v>
      </c>
      <c r="B3868">
        <v>32.4</v>
      </c>
      <c r="C3868">
        <v>32</v>
      </c>
      <c r="D3868" t="s">
        <v>5974</v>
      </c>
    </row>
    <row r="3869" spans="1:4" x14ac:dyDescent="0.2">
      <c r="A3869">
        <v>6</v>
      </c>
      <c r="B3869">
        <v>32.299999999999997</v>
      </c>
      <c r="C3869">
        <v>32</v>
      </c>
      <c r="D3869" t="s">
        <v>5974</v>
      </c>
    </row>
    <row r="3870" spans="1:4" x14ac:dyDescent="0.2">
      <c r="A3870">
        <v>1</v>
      </c>
      <c r="B3870">
        <v>500.3</v>
      </c>
      <c r="C3870">
        <v>500</v>
      </c>
      <c r="D3870" t="s">
        <v>5974</v>
      </c>
    </row>
    <row r="3871" spans="1:4" x14ac:dyDescent="0.2">
      <c r="A3871">
        <v>2</v>
      </c>
      <c r="B3871">
        <v>499.8</v>
      </c>
      <c r="C3871">
        <v>500</v>
      </c>
      <c r="D3871" t="s">
        <v>5974</v>
      </c>
    </row>
    <row r="3872" spans="1:4" x14ac:dyDescent="0.2">
      <c r="A3872">
        <v>3</v>
      </c>
      <c r="B3872">
        <v>500.1</v>
      </c>
      <c r="C3872">
        <v>500</v>
      </c>
      <c r="D3872" t="s">
        <v>5974</v>
      </c>
    </row>
    <row r="3873" spans="1:4" x14ac:dyDescent="0.2">
      <c r="A3873">
        <v>4</v>
      </c>
      <c r="B3873">
        <v>500.1</v>
      </c>
      <c r="C3873">
        <v>500</v>
      </c>
      <c r="D3873" t="s">
        <v>5974</v>
      </c>
    </row>
    <row r="3874" spans="1:4" x14ac:dyDescent="0.2">
      <c r="A3874">
        <v>5</v>
      </c>
      <c r="B3874">
        <v>500.3</v>
      </c>
      <c r="C3874">
        <v>500</v>
      </c>
      <c r="D3874" t="s">
        <v>5974</v>
      </c>
    </row>
    <row r="3875" spans="1:4" x14ac:dyDescent="0.2">
      <c r="A3875">
        <v>6</v>
      </c>
      <c r="B3875">
        <v>500.2</v>
      </c>
      <c r="C3875">
        <v>500</v>
      </c>
      <c r="D3875" t="s">
        <v>5974</v>
      </c>
    </row>
    <row r="3876" spans="1:4" x14ac:dyDescent="0.2">
      <c r="A3876">
        <v>1</v>
      </c>
      <c r="B3876">
        <v>1000.3</v>
      </c>
      <c r="C3876">
        <v>1000</v>
      </c>
      <c r="D3876" t="s">
        <v>5974</v>
      </c>
    </row>
    <row r="3877" spans="1:4" x14ac:dyDescent="0.2">
      <c r="A3877">
        <v>2</v>
      </c>
      <c r="B3877">
        <v>999.9</v>
      </c>
      <c r="C3877">
        <v>1000</v>
      </c>
      <c r="D3877" t="s">
        <v>5974</v>
      </c>
    </row>
    <row r="3878" spans="1:4" x14ac:dyDescent="0.2">
      <c r="A3878">
        <v>3</v>
      </c>
      <c r="B3878">
        <v>1000.2</v>
      </c>
      <c r="C3878">
        <v>1000</v>
      </c>
      <c r="D3878" t="s">
        <v>5974</v>
      </c>
    </row>
    <row r="3879" spans="1:4" x14ac:dyDescent="0.2">
      <c r="A3879">
        <v>4</v>
      </c>
      <c r="B3879">
        <v>1000.2</v>
      </c>
      <c r="C3879">
        <v>1000</v>
      </c>
      <c r="D3879" t="s">
        <v>5974</v>
      </c>
    </row>
    <row r="3880" spans="1:4" x14ac:dyDescent="0.2">
      <c r="A3880">
        <v>5</v>
      </c>
      <c r="B3880">
        <v>1000.3</v>
      </c>
      <c r="C3880">
        <v>1000</v>
      </c>
      <c r="D3880" t="s">
        <v>5974</v>
      </c>
    </row>
    <row r="3881" spans="1:4" x14ac:dyDescent="0.2">
      <c r="A3881">
        <v>6</v>
      </c>
      <c r="B3881">
        <v>1000.3</v>
      </c>
      <c r="C3881">
        <v>1000</v>
      </c>
      <c r="D3881" t="s">
        <v>5974</v>
      </c>
    </row>
    <row r="3882" spans="1:4" x14ac:dyDescent="0.2">
      <c r="A3882">
        <v>1</v>
      </c>
      <c r="B3882">
        <v>1500.3</v>
      </c>
      <c r="C3882">
        <v>1500</v>
      </c>
      <c r="D3882" t="s">
        <v>5974</v>
      </c>
    </row>
    <row r="3883" spans="1:4" x14ac:dyDescent="0.2">
      <c r="A3883">
        <v>2</v>
      </c>
      <c r="B3883">
        <v>1499.9</v>
      </c>
      <c r="C3883">
        <v>1500</v>
      </c>
      <c r="D3883" t="s">
        <v>5974</v>
      </c>
    </row>
    <row r="3884" spans="1:4" x14ac:dyDescent="0.2">
      <c r="A3884">
        <v>3</v>
      </c>
      <c r="B3884">
        <v>1500.2</v>
      </c>
      <c r="C3884">
        <v>1500</v>
      </c>
      <c r="D3884" t="s">
        <v>5974</v>
      </c>
    </row>
    <row r="3885" spans="1:4" x14ac:dyDescent="0.2">
      <c r="A3885">
        <v>4</v>
      </c>
      <c r="B3885">
        <v>1500.2</v>
      </c>
      <c r="C3885">
        <v>1500</v>
      </c>
      <c r="D3885" t="s">
        <v>5974</v>
      </c>
    </row>
    <row r="3886" spans="1:4" x14ac:dyDescent="0.2">
      <c r="A3886">
        <v>5</v>
      </c>
      <c r="B3886">
        <v>1500.3</v>
      </c>
      <c r="C3886">
        <v>1500</v>
      </c>
      <c r="D3886" t="s">
        <v>5974</v>
      </c>
    </row>
    <row r="3887" spans="1:4" x14ac:dyDescent="0.2">
      <c r="A3887">
        <v>6</v>
      </c>
      <c r="B3887">
        <v>1500.3</v>
      </c>
      <c r="C3887">
        <v>1500</v>
      </c>
      <c r="D3887" t="s">
        <v>5974</v>
      </c>
    </row>
    <row r="3888" spans="1:4" x14ac:dyDescent="0.2">
      <c r="A3888">
        <v>1</v>
      </c>
      <c r="B3888">
        <v>2000.4</v>
      </c>
      <c r="C3888">
        <v>2000</v>
      </c>
      <c r="D3888" t="s">
        <v>5974</v>
      </c>
    </row>
    <row r="3889" spans="1:4" x14ac:dyDescent="0.2">
      <c r="A3889">
        <v>2</v>
      </c>
      <c r="B3889">
        <v>1999.9</v>
      </c>
      <c r="C3889">
        <v>2000</v>
      </c>
      <c r="D3889" t="s">
        <v>5974</v>
      </c>
    </row>
    <row r="3890" spans="1:4" x14ac:dyDescent="0.2">
      <c r="A3890">
        <v>3</v>
      </c>
      <c r="B3890">
        <v>2000.3</v>
      </c>
      <c r="C3890">
        <v>2000</v>
      </c>
      <c r="D3890" t="s">
        <v>5974</v>
      </c>
    </row>
    <row r="3891" spans="1:4" x14ac:dyDescent="0.2">
      <c r="A3891">
        <v>4</v>
      </c>
      <c r="B3891">
        <v>2000.4</v>
      </c>
      <c r="C3891">
        <v>2000</v>
      </c>
      <c r="D3891" t="s">
        <v>5974</v>
      </c>
    </row>
    <row r="3892" spans="1:4" x14ac:dyDescent="0.2">
      <c r="A3892">
        <v>5</v>
      </c>
      <c r="B3892">
        <v>2000.4</v>
      </c>
      <c r="C3892">
        <v>2000</v>
      </c>
      <c r="D3892" t="s">
        <v>5974</v>
      </c>
    </row>
    <row r="3893" spans="1:4" x14ac:dyDescent="0.2">
      <c r="A3893">
        <v>6</v>
      </c>
      <c r="B3893">
        <v>2000.5</v>
      </c>
      <c r="C3893">
        <v>2000</v>
      </c>
      <c r="D3893" t="s">
        <v>5974</v>
      </c>
    </row>
    <row r="3894" spans="1:4" x14ac:dyDescent="0.2">
      <c r="A3894">
        <v>1</v>
      </c>
      <c r="B3894">
        <v>2300.4</v>
      </c>
      <c r="C3894">
        <v>2300</v>
      </c>
      <c r="D3894" t="s">
        <v>5974</v>
      </c>
    </row>
    <row r="3895" spans="1:4" x14ac:dyDescent="0.2">
      <c r="A3895">
        <v>2</v>
      </c>
      <c r="B3895">
        <v>2300</v>
      </c>
      <c r="C3895">
        <v>2300</v>
      </c>
      <c r="D3895" t="s">
        <v>5974</v>
      </c>
    </row>
    <row r="3896" spans="1:4" x14ac:dyDescent="0.2">
      <c r="A3896">
        <v>3</v>
      </c>
      <c r="B3896">
        <v>2300.4</v>
      </c>
      <c r="C3896">
        <v>2300</v>
      </c>
      <c r="D3896" t="s">
        <v>5974</v>
      </c>
    </row>
    <row r="3897" spans="1:4" x14ac:dyDescent="0.2">
      <c r="A3897">
        <v>4</v>
      </c>
      <c r="B3897">
        <v>2300.5</v>
      </c>
      <c r="C3897">
        <v>2300</v>
      </c>
      <c r="D3897" t="s">
        <v>5974</v>
      </c>
    </row>
    <row r="3898" spans="1:4" x14ac:dyDescent="0.2">
      <c r="A3898">
        <v>5</v>
      </c>
      <c r="B3898">
        <v>2300.4</v>
      </c>
      <c r="C3898">
        <v>2300</v>
      </c>
      <c r="D3898" t="s">
        <v>5974</v>
      </c>
    </row>
    <row r="3899" spans="1:4" x14ac:dyDescent="0.2">
      <c r="A3899">
        <v>6</v>
      </c>
      <c r="B3899">
        <v>2300.5</v>
      </c>
      <c r="C3899">
        <v>2300</v>
      </c>
      <c r="D3899" t="s">
        <v>5974</v>
      </c>
    </row>
    <row r="3900" spans="1:4" x14ac:dyDescent="0.2">
      <c r="A3900">
        <v>7</v>
      </c>
      <c r="B3900">
        <v>32</v>
      </c>
      <c r="C3900">
        <v>32</v>
      </c>
      <c r="D3900" t="s">
        <v>5974</v>
      </c>
    </row>
    <row r="3901" spans="1:4" x14ac:dyDescent="0.2">
      <c r="A3901">
        <v>8</v>
      </c>
      <c r="B3901">
        <v>31.8</v>
      </c>
      <c r="C3901">
        <v>32</v>
      </c>
      <c r="D3901" t="s">
        <v>5974</v>
      </c>
    </row>
    <row r="3902" spans="1:4" x14ac:dyDescent="0.2">
      <c r="A3902">
        <v>9</v>
      </c>
      <c r="B3902">
        <v>32.5</v>
      </c>
      <c r="C3902">
        <v>32</v>
      </c>
      <c r="D3902" t="s">
        <v>5974</v>
      </c>
    </row>
    <row r="3903" spans="1:4" x14ac:dyDescent="0.2">
      <c r="A3903">
        <v>10</v>
      </c>
      <c r="B3903">
        <v>32.700000000000003</v>
      </c>
      <c r="C3903">
        <v>32</v>
      </c>
      <c r="D3903" t="s">
        <v>5974</v>
      </c>
    </row>
    <row r="3904" spans="1:4" x14ac:dyDescent="0.2">
      <c r="A3904">
        <v>11</v>
      </c>
      <c r="B3904">
        <v>31.3</v>
      </c>
      <c r="C3904">
        <v>32</v>
      </c>
      <c r="D3904" t="s">
        <v>5974</v>
      </c>
    </row>
    <row r="3905" spans="1:4" x14ac:dyDescent="0.2">
      <c r="A3905">
        <v>12</v>
      </c>
      <c r="B3905">
        <v>32</v>
      </c>
      <c r="C3905">
        <v>32</v>
      </c>
      <c r="D3905" t="s">
        <v>5974</v>
      </c>
    </row>
    <row r="3906" spans="1:4" x14ac:dyDescent="0.2">
      <c r="A3906">
        <v>7</v>
      </c>
      <c r="B3906">
        <v>500</v>
      </c>
      <c r="C3906">
        <v>500</v>
      </c>
      <c r="D3906" t="s">
        <v>5974</v>
      </c>
    </row>
    <row r="3907" spans="1:4" x14ac:dyDescent="0.2">
      <c r="A3907">
        <v>8</v>
      </c>
      <c r="B3907">
        <v>499.9</v>
      </c>
      <c r="C3907">
        <v>500</v>
      </c>
      <c r="D3907" t="s">
        <v>5974</v>
      </c>
    </row>
    <row r="3908" spans="1:4" x14ac:dyDescent="0.2">
      <c r="A3908">
        <v>9</v>
      </c>
      <c r="B3908">
        <v>500.4</v>
      </c>
      <c r="C3908">
        <v>500</v>
      </c>
      <c r="D3908" t="s">
        <v>5974</v>
      </c>
    </row>
    <row r="3909" spans="1:4" x14ac:dyDescent="0.2">
      <c r="A3909">
        <v>10</v>
      </c>
      <c r="B3909">
        <v>500.6</v>
      </c>
      <c r="C3909">
        <v>500</v>
      </c>
      <c r="D3909" t="s">
        <v>5974</v>
      </c>
    </row>
    <row r="3910" spans="1:4" x14ac:dyDescent="0.2">
      <c r="A3910">
        <v>11</v>
      </c>
      <c r="B3910">
        <v>499.5</v>
      </c>
      <c r="C3910">
        <v>500</v>
      </c>
      <c r="D3910" t="s">
        <v>5974</v>
      </c>
    </row>
    <row r="3911" spans="1:4" x14ac:dyDescent="0.2">
      <c r="A3911">
        <v>12</v>
      </c>
      <c r="B3911">
        <v>500</v>
      </c>
      <c r="C3911">
        <v>500</v>
      </c>
      <c r="D3911" t="s">
        <v>5974</v>
      </c>
    </row>
    <row r="3912" spans="1:4" x14ac:dyDescent="0.2">
      <c r="A3912">
        <v>7</v>
      </c>
      <c r="B3912">
        <v>1000.1</v>
      </c>
      <c r="C3912">
        <v>1000</v>
      </c>
      <c r="D3912" t="s">
        <v>5974</v>
      </c>
    </row>
    <row r="3913" spans="1:4" x14ac:dyDescent="0.2">
      <c r="A3913">
        <v>8</v>
      </c>
      <c r="B3913">
        <v>1000</v>
      </c>
      <c r="C3913">
        <v>1000</v>
      </c>
      <c r="D3913" t="s">
        <v>5974</v>
      </c>
    </row>
    <row r="3914" spans="1:4" x14ac:dyDescent="0.2">
      <c r="A3914">
        <v>9</v>
      </c>
      <c r="B3914">
        <v>1000.4</v>
      </c>
      <c r="C3914">
        <v>1000</v>
      </c>
      <c r="D3914" t="s">
        <v>5974</v>
      </c>
    </row>
    <row r="3915" spans="1:4" x14ac:dyDescent="0.2">
      <c r="A3915">
        <v>10</v>
      </c>
      <c r="B3915">
        <v>1000.7</v>
      </c>
      <c r="C3915">
        <v>1000</v>
      </c>
      <c r="D3915" t="s">
        <v>5974</v>
      </c>
    </row>
    <row r="3916" spans="1:4" x14ac:dyDescent="0.2">
      <c r="A3916">
        <v>11</v>
      </c>
      <c r="B3916">
        <v>999.7</v>
      </c>
      <c r="C3916">
        <v>1000</v>
      </c>
      <c r="D3916" t="s">
        <v>5974</v>
      </c>
    </row>
    <row r="3917" spans="1:4" x14ac:dyDescent="0.2">
      <c r="A3917">
        <v>12</v>
      </c>
      <c r="B3917">
        <v>1000.2</v>
      </c>
      <c r="C3917">
        <v>1000</v>
      </c>
      <c r="D3917" t="s">
        <v>5974</v>
      </c>
    </row>
    <row r="3918" spans="1:4" x14ac:dyDescent="0.2">
      <c r="A3918">
        <v>7</v>
      </c>
      <c r="B3918">
        <v>1500.2</v>
      </c>
      <c r="C3918">
        <v>1500</v>
      </c>
      <c r="D3918" t="s">
        <v>5974</v>
      </c>
    </row>
    <row r="3919" spans="1:4" x14ac:dyDescent="0.2">
      <c r="A3919">
        <v>8</v>
      </c>
      <c r="B3919">
        <v>1500</v>
      </c>
      <c r="C3919">
        <v>1500</v>
      </c>
      <c r="D3919" t="s">
        <v>5974</v>
      </c>
    </row>
    <row r="3920" spans="1:4" x14ac:dyDescent="0.2">
      <c r="A3920">
        <v>9</v>
      </c>
      <c r="B3920">
        <v>1500.5</v>
      </c>
      <c r="C3920">
        <v>1500</v>
      </c>
      <c r="D3920" t="s">
        <v>5974</v>
      </c>
    </row>
    <row r="3921" spans="1:4" x14ac:dyDescent="0.2">
      <c r="A3921">
        <v>10</v>
      </c>
      <c r="B3921">
        <v>1500.8</v>
      </c>
      <c r="C3921">
        <v>1500</v>
      </c>
      <c r="D3921" t="s">
        <v>5974</v>
      </c>
    </row>
    <row r="3922" spans="1:4" x14ac:dyDescent="0.2">
      <c r="A3922">
        <v>11</v>
      </c>
      <c r="B3922">
        <v>1499.7</v>
      </c>
      <c r="C3922">
        <v>1500</v>
      </c>
      <c r="D3922" t="s">
        <v>5974</v>
      </c>
    </row>
    <row r="3923" spans="1:4" x14ac:dyDescent="0.2">
      <c r="A3923">
        <v>12</v>
      </c>
      <c r="B3923">
        <v>1500.2</v>
      </c>
      <c r="C3923">
        <v>1500</v>
      </c>
      <c r="D3923" t="s">
        <v>5974</v>
      </c>
    </row>
    <row r="3924" spans="1:4" x14ac:dyDescent="0.2">
      <c r="A3924">
        <v>7</v>
      </c>
      <c r="B3924">
        <v>2000.5</v>
      </c>
      <c r="C3924">
        <v>2000</v>
      </c>
      <c r="D3924" t="s">
        <v>5974</v>
      </c>
    </row>
    <row r="3925" spans="1:4" x14ac:dyDescent="0.2">
      <c r="A3925">
        <v>8</v>
      </c>
      <c r="B3925">
        <v>2000.1</v>
      </c>
      <c r="C3925">
        <v>2000</v>
      </c>
      <c r="D3925" t="s">
        <v>5974</v>
      </c>
    </row>
    <row r="3926" spans="1:4" x14ac:dyDescent="0.2">
      <c r="A3926">
        <v>9</v>
      </c>
      <c r="B3926">
        <v>2000.6</v>
      </c>
      <c r="C3926">
        <v>2000</v>
      </c>
      <c r="D3926" t="s">
        <v>5974</v>
      </c>
    </row>
    <row r="3927" spans="1:4" x14ac:dyDescent="0.2">
      <c r="A3927">
        <v>10</v>
      </c>
      <c r="B3927">
        <v>2001</v>
      </c>
      <c r="C3927">
        <v>2000</v>
      </c>
      <c r="D3927" t="s">
        <v>5974</v>
      </c>
    </row>
    <row r="3928" spans="1:4" x14ac:dyDescent="0.2">
      <c r="A3928">
        <v>11</v>
      </c>
      <c r="B3928">
        <v>1999.8</v>
      </c>
      <c r="C3928">
        <v>2000</v>
      </c>
      <c r="D3928" t="s">
        <v>5974</v>
      </c>
    </row>
    <row r="3929" spans="1:4" x14ac:dyDescent="0.2">
      <c r="A3929">
        <v>12</v>
      </c>
      <c r="B3929">
        <v>2000.3</v>
      </c>
      <c r="C3929">
        <v>2000</v>
      </c>
      <c r="D3929" t="s">
        <v>5974</v>
      </c>
    </row>
    <row r="3930" spans="1:4" x14ac:dyDescent="0.2">
      <c r="A3930">
        <v>7</v>
      </c>
      <c r="B3930">
        <v>2300.5</v>
      </c>
      <c r="C3930">
        <v>2300</v>
      </c>
      <c r="D3930" t="s">
        <v>5974</v>
      </c>
    </row>
    <row r="3931" spans="1:4" x14ac:dyDescent="0.2">
      <c r="A3931">
        <v>8</v>
      </c>
      <c r="B3931">
        <v>2300.1</v>
      </c>
      <c r="C3931">
        <v>2300</v>
      </c>
      <c r="D3931" t="s">
        <v>5974</v>
      </c>
    </row>
    <row r="3932" spans="1:4" x14ac:dyDescent="0.2">
      <c r="A3932">
        <v>9</v>
      </c>
      <c r="B3932">
        <v>2300.6999999999998</v>
      </c>
      <c r="C3932">
        <v>2300</v>
      </c>
      <c r="D3932" t="s">
        <v>5974</v>
      </c>
    </row>
    <row r="3933" spans="1:4" x14ac:dyDescent="0.2">
      <c r="A3933">
        <v>10</v>
      </c>
      <c r="B3933">
        <v>2301</v>
      </c>
      <c r="C3933">
        <v>2300</v>
      </c>
      <c r="D3933" t="s">
        <v>5974</v>
      </c>
    </row>
    <row r="3934" spans="1:4" x14ac:dyDescent="0.2">
      <c r="A3934">
        <v>11</v>
      </c>
      <c r="B3934">
        <v>2299.9</v>
      </c>
      <c r="C3934">
        <v>2300</v>
      </c>
      <c r="D3934" t="s">
        <v>5974</v>
      </c>
    </row>
    <row r="3935" spans="1:4" x14ac:dyDescent="0.2">
      <c r="A3935">
        <v>12</v>
      </c>
      <c r="B3935">
        <v>2300.3000000000002</v>
      </c>
      <c r="C3935">
        <v>2300</v>
      </c>
      <c r="D3935" t="s">
        <v>5974</v>
      </c>
    </row>
    <row r="3936" spans="1:4" x14ac:dyDescent="0.2">
      <c r="A3936">
        <v>13</v>
      </c>
      <c r="B3936">
        <v>32.1</v>
      </c>
      <c r="C3936">
        <v>32</v>
      </c>
      <c r="D3936" t="s">
        <v>5974</v>
      </c>
    </row>
    <row r="3937" spans="1:4" x14ac:dyDescent="0.2">
      <c r="A3937">
        <v>14</v>
      </c>
      <c r="B3937">
        <v>32</v>
      </c>
      <c r="C3937">
        <v>32</v>
      </c>
      <c r="D3937" t="s">
        <v>5974</v>
      </c>
    </row>
    <row r="3938" spans="1:4" x14ac:dyDescent="0.2">
      <c r="A3938">
        <v>15</v>
      </c>
      <c r="B3938">
        <v>32.1</v>
      </c>
      <c r="C3938">
        <v>32</v>
      </c>
      <c r="D3938" t="s">
        <v>5974</v>
      </c>
    </row>
    <row r="3939" spans="1:4" x14ac:dyDescent="0.2">
      <c r="A3939">
        <v>16</v>
      </c>
      <c r="B3939">
        <v>32</v>
      </c>
      <c r="C3939">
        <v>32</v>
      </c>
      <c r="D3939" t="s">
        <v>5974</v>
      </c>
    </row>
    <row r="3940" spans="1:4" x14ac:dyDescent="0.2">
      <c r="A3940">
        <v>17</v>
      </c>
      <c r="B3940">
        <v>31.9</v>
      </c>
      <c r="C3940">
        <v>32</v>
      </c>
      <c r="D3940" t="s">
        <v>5974</v>
      </c>
    </row>
    <row r="3941" spans="1:4" x14ac:dyDescent="0.2">
      <c r="A3941">
        <v>18</v>
      </c>
      <c r="B3941">
        <v>32.299999999999997</v>
      </c>
      <c r="C3941">
        <v>32</v>
      </c>
      <c r="D3941" t="s">
        <v>5974</v>
      </c>
    </row>
    <row r="3942" spans="1:4" x14ac:dyDescent="0.2">
      <c r="A3942">
        <v>13</v>
      </c>
      <c r="B3942">
        <v>500.1</v>
      </c>
      <c r="C3942">
        <v>500</v>
      </c>
      <c r="D3942" t="s">
        <v>5974</v>
      </c>
    </row>
    <row r="3943" spans="1:4" x14ac:dyDescent="0.2">
      <c r="A3943">
        <v>14</v>
      </c>
      <c r="B3943">
        <v>500</v>
      </c>
      <c r="C3943">
        <v>500</v>
      </c>
      <c r="D3943" t="s">
        <v>5974</v>
      </c>
    </row>
    <row r="3944" spans="1:4" x14ac:dyDescent="0.2">
      <c r="A3944">
        <v>15</v>
      </c>
      <c r="B3944">
        <v>499.8</v>
      </c>
      <c r="C3944">
        <v>500</v>
      </c>
      <c r="D3944" t="s">
        <v>5974</v>
      </c>
    </row>
    <row r="3945" spans="1:4" x14ac:dyDescent="0.2">
      <c r="A3945">
        <v>16</v>
      </c>
      <c r="B3945">
        <v>499.9</v>
      </c>
      <c r="C3945">
        <v>500</v>
      </c>
      <c r="D3945" t="s">
        <v>5974</v>
      </c>
    </row>
    <row r="3946" spans="1:4" x14ac:dyDescent="0.2">
      <c r="A3946">
        <v>17</v>
      </c>
      <c r="B3946">
        <v>499.7</v>
      </c>
      <c r="C3946">
        <v>500</v>
      </c>
      <c r="D3946" t="s">
        <v>5974</v>
      </c>
    </row>
    <row r="3947" spans="1:4" x14ac:dyDescent="0.2">
      <c r="A3947">
        <v>18</v>
      </c>
      <c r="B3947">
        <v>500.2</v>
      </c>
      <c r="C3947">
        <v>500</v>
      </c>
      <c r="D3947" t="s">
        <v>5974</v>
      </c>
    </row>
    <row r="3948" spans="1:4" x14ac:dyDescent="0.2">
      <c r="A3948">
        <v>13</v>
      </c>
      <c r="B3948">
        <v>1000.2</v>
      </c>
      <c r="C3948">
        <v>1000</v>
      </c>
      <c r="D3948" t="s">
        <v>5974</v>
      </c>
    </row>
    <row r="3949" spans="1:4" x14ac:dyDescent="0.2">
      <c r="A3949">
        <v>14</v>
      </c>
      <c r="B3949">
        <v>1000.2</v>
      </c>
      <c r="C3949">
        <v>1000</v>
      </c>
      <c r="D3949" t="s">
        <v>5974</v>
      </c>
    </row>
    <row r="3950" spans="1:4" x14ac:dyDescent="0.2">
      <c r="A3950">
        <v>15</v>
      </c>
      <c r="B3950">
        <v>999.7</v>
      </c>
      <c r="C3950">
        <v>1000</v>
      </c>
      <c r="D3950" t="s">
        <v>5974</v>
      </c>
    </row>
    <row r="3951" spans="1:4" x14ac:dyDescent="0.2">
      <c r="A3951">
        <v>16</v>
      </c>
      <c r="B3951">
        <v>999.8</v>
      </c>
      <c r="C3951">
        <v>1000</v>
      </c>
      <c r="D3951" t="s">
        <v>5974</v>
      </c>
    </row>
    <row r="3952" spans="1:4" x14ac:dyDescent="0.2">
      <c r="A3952">
        <v>17</v>
      </c>
      <c r="B3952">
        <v>999.7</v>
      </c>
      <c r="C3952">
        <v>1000</v>
      </c>
      <c r="D3952" t="s">
        <v>5974</v>
      </c>
    </row>
    <row r="3953" spans="1:4" x14ac:dyDescent="0.2">
      <c r="A3953">
        <v>18</v>
      </c>
      <c r="B3953">
        <v>1000</v>
      </c>
      <c r="C3953">
        <v>1000</v>
      </c>
      <c r="D3953" t="s">
        <v>5974</v>
      </c>
    </row>
    <row r="3954" spans="1:4" x14ac:dyDescent="0.2">
      <c r="A3954">
        <v>13</v>
      </c>
      <c r="B3954">
        <v>1500.2</v>
      </c>
      <c r="C3954">
        <v>1500</v>
      </c>
      <c r="D3954" t="s">
        <v>5974</v>
      </c>
    </row>
    <row r="3955" spans="1:4" x14ac:dyDescent="0.2">
      <c r="A3955">
        <v>14</v>
      </c>
      <c r="B3955">
        <v>1500.3</v>
      </c>
      <c r="C3955">
        <v>1500</v>
      </c>
      <c r="D3955" t="s">
        <v>5974</v>
      </c>
    </row>
    <row r="3956" spans="1:4" x14ac:dyDescent="0.2">
      <c r="A3956">
        <v>15</v>
      </c>
      <c r="B3956">
        <v>1499.6</v>
      </c>
      <c r="C3956">
        <v>1500</v>
      </c>
      <c r="D3956" t="s">
        <v>5974</v>
      </c>
    </row>
    <row r="3957" spans="1:4" x14ac:dyDescent="0.2">
      <c r="A3957">
        <v>16</v>
      </c>
      <c r="B3957">
        <v>1499.8</v>
      </c>
      <c r="C3957">
        <v>1500</v>
      </c>
      <c r="D3957" t="s">
        <v>5974</v>
      </c>
    </row>
    <row r="3958" spans="1:4" x14ac:dyDescent="0.2">
      <c r="A3958">
        <v>17</v>
      </c>
      <c r="B3958">
        <v>1499.7</v>
      </c>
      <c r="C3958">
        <v>1500</v>
      </c>
      <c r="D3958" t="s">
        <v>5974</v>
      </c>
    </row>
    <row r="3959" spans="1:4" x14ac:dyDescent="0.2">
      <c r="A3959">
        <v>18</v>
      </c>
      <c r="B3959">
        <v>1499.9</v>
      </c>
      <c r="C3959">
        <v>1500</v>
      </c>
      <c r="D3959" t="s">
        <v>5974</v>
      </c>
    </row>
    <row r="3960" spans="1:4" x14ac:dyDescent="0.2">
      <c r="A3960">
        <v>13</v>
      </c>
      <c r="B3960">
        <v>2000.4</v>
      </c>
      <c r="C3960">
        <v>2000</v>
      </c>
      <c r="D3960" t="s">
        <v>5974</v>
      </c>
    </row>
    <row r="3961" spans="1:4" x14ac:dyDescent="0.2">
      <c r="A3961">
        <v>14</v>
      </c>
      <c r="B3961">
        <v>2000.5</v>
      </c>
      <c r="C3961">
        <v>2000</v>
      </c>
      <c r="D3961" t="s">
        <v>5974</v>
      </c>
    </row>
    <row r="3962" spans="1:4" x14ac:dyDescent="0.2">
      <c r="A3962">
        <v>15</v>
      </c>
      <c r="B3962">
        <v>1999.7</v>
      </c>
      <c r="C3962">
        <v>2000</v>
      </c>
      <c r="D3962" t="s">
        <v>5974</v>
      </c>
    </row>
    <row r="3963" spans="1:4" x14ac:dyDescent="0.2">
      <c r="A3963">
        <v>16</v>
      </c>
      <c r="B3963">
        <v>2000</v>
      </c>
      <c r="C3963">
        <v>2000</v>
      </c>
      <c r="D3963" t="s">
        <v>5974</v>
      </c>
    </row>
    <row r="3964" spans="1:4" x14ac:dyDescent="0.2">
      <c r="A3964">
        <v>17</v>
      </c>
      <c r="B3964">
        <v>1999.8</v>
      </c>
      <c r="C3964">
        <v>2000</v>
      </c>
      <c r="D3964" t="s">
        <v>5974</v>
      </c>
    </row>
    <row r="3965" spans="1:4" x14ac:dyDescent="0.2">
      <c r="A3965">
        <v>18</v>
      </c>
      <c r="B3965">
        <v>1999.9</v>
      </c>
      <c r="C3965">
        <v>2000</v>
      </c>
      <c r="D3965" t="s">
        <v>5974</v>
      </c>
    </row>
    <row r="3966" spans="1:4" x14ac:dyDescent="0.2">
      <c r="A3966">
        <v>13</v>
      </c>
      <c r="B3966">
        <v>2300.4</v>
      </c>
      <c r="C3966">
        <v>2300</v>
      </c>
      <c r="D3966" t="s">
        <v>5974</v>
      </c>
    </row>
    <row r="3967" spans="1:4" x14ac:dyDescent="0.2">
      <c r="A3967">
        <v>14</v>
      </c>
      <c r="B3967">
        <v>2300.5</v>
      </c>
      <c r="C3967">
        <v>2300</v>
      </c>
      <c r="D3967" t="s">
        <v>5974</v>
      </c>
    </row>
    <row r="3968" spans="1:4" x14ac:dyDescent="0.2">
      <c r="A3968">
        <v>15</v>
      </c>
      <c r="B3968">
        <v>2299.6999999999998</v>
      </c>
      <c r="C3968">
        <v>2300</v>
      </c>
      <c r="D3968" t="s">
        <v>5974</v>
      </c>
    </row>
    <row r="3969" spans="1:4" x14ac:dyDescent="0.2">
      <c r="A3969">
        <v>16</v>
      </c>
      <c r="B3969">
        <v>2300.1</v>
      </c>
      <c r="C3969">
        <v>2300</v>
      </c>
      <c r="D3969" t="s">
        <v>5974</v>
      </c>
    </row>
    <row r="3970" spans="1:4" x14ac:dyDescent="0.2">
      <c r="A3970">
        <v>17</v>
      </c>
      <c r="B3970">
        <v>2299.9</v>
      </c>
      <c r="C3970">
        <v>2300</v>
      </c>
      <c r="D3970" t="s">
        <v>5974</v>
      </c>
    </row>
    <row r="3971" spans="1:4" x14ac:dyDescent="0.2">
      <c r="A3971">
        <v>18</v>
      </c>
      <c r="B3971">
        <v>2299.9</v>
      </c>
      <c r="C3971">
        <v>2300</v>
      </c>
      <c r="D3971" t="s">
        <v>5974</v>
      </c>
    </row>
    <row r="3972" spans="1:4" x14ac:dyDescent="0.2">
      <c r="A3972">
        <v>19</v>
      </c>
      <c r="B3972">
        <v>31.9</v>
      </c>
      <c r="C3972">
        <v>32</v>
      </c>
      <c r="D3972" t="s">
        <v>5974</v>
      </c>
    </row>
    <row r="3973" spans="1:4" x14ac:dyDescent="0.2">
      <c r="A3973">
        <v>20</v>
      </c>
      <c r="B3973">
        <v>32</v>
      </c>
      <c r="C3973">
        <v>32</v>
      </c>
      <c r="D3973" t="s">
        <v>5974</v>
      </c>
    </row>
    <row r="3974" spans="1:4" x14ac:dyDescent="0.2">
      <c r="A3974">
        <v>21</v>
      </c>
      <c r="B3974">
        <v>31.9</v>
      </c>
      <c r="C3974">
        <v>32</v>
      </c>
      <c r="D3974" t="s">
        <v>5974</v>
      </c>
    </row>
    <row r="3975" spans="1:4" x14ac:dyDescent="0.2">
      <c r="A3975">
        <v>22</v>
      </c>
      <c r="B3975">
        <v>32.4</v>
      </c>
      <c r="C3975">
        <v>32</v>
      </c>
      <c r="D3975" t="s">
        <v>5974</v>
      </c>
    </row>
    <row r="3976" spans="1:4" x14ac:dyDescent="0.2">
      <c r="A3976">
        <v>23</v>
      </c>
      <c r="B3976">
        <v>32.1</v>
      </c>
      <c r="C3976">
        <v>32</v>
      </c>
      <c r="D3976" t="s">
        <v>5974</v>
      </c>
    </row>
    <row r="3977" spans="1:4" x14ac:dyDescent="0.2">
      <c r="A3977">
        <v>24</v>
      </c>
      <c r="B3977">
        <v>31.5</v>
      </c>
      <c r="C3977">
        <v>32</v>
      </c>
      <c r="D3977" t="s">
        <v>5974</v>
      </c>
    </row>
    <row r="3978" spans="1:4" x14ac:dyDescent="0.2">
      <c r="A3978">
        <v>19</v>
      </c>
      <c r="B3978">
        <v>499.7</v>
      </c>
      <c r="C3978">
        <v>500</v>
      </c>
      <c r="D3978" t="s">
        <v>5974</v>
      </c>
    </row>
    <row r="3979" spans="1:4" x14ac:dyDescent="0.2">
      <c r="A3979">
        <v>20</v>
      </c>
      <c r="B3979">
        <v>499.8</v>
      </c>
      <c r="C3979">
        <v>500</v>
      </c>
      <c r="D3979" t="s">
        <v>5974</v>
      </c>
    </row>
    <row r="3980" spans="1:4" x14ac:dyDescent="0.2">
      <c r="A3980">
        <v>21</v>
      </c>
      <c r="B3980">
        <v>499.7</v>
      </c>
      <c r="C3980">
        <v>500</v>
      </c>
      <c r="D3980" t="s">
        <v>5974</v>
      </c>
    </row>
    <row r="3981" spans="1:4" x14ac:dyDescent="0.2">
      <c r="A3981">
        <v>22</v>
      </c>
      <c r="B3981">
        <v>500.1</v>
      </c>
      <c r="C3981">
        <v>500</v>
      </c>
      <c r="D3981" t="s">
        <v>5974</v>
      </c>
    </row>
    <row r="3982" spans="1:4" x14ac:dyDescent="0.2">
      <c r="A3982">
        <v>23</v>
      </c>
      <c r="B3982">
        <v>499.9</v>
      </c>
      <c r="C3982">
        <v>500</v>
      </c>
      <c r="D3982" t="s">
        <v>5974</v>
      </c>
    </row>
    <row r="3983" spans="1:4" x14ac:dyDescent="0.2">
      <c r="A3983">
        <v>24</v>
      </c>
      <c r="B3983">
        <v>499.5</v>
      </c>
      <c r="C3983">
        <v>500</v>
      </c>
      <c r="D3983" t="s">
        <v>5974</v>
      </c>
    </row>
    <row r="3984" spans="1:4" x14ac:dyDescent="0.2">
      <c r="A3984">
        <v>19</v>
      </c>
      <c r="B3984">
        <v>999.6</v>
      </c>
      <c r="C3984">
        <v>1000</v>
      </c>
      <c r="D3984" t="s">
        <v>5974</v>
      </c>
    </row>
    <row r="3985" spans="1:4" x14ac:dyDescent="0.2">
      <c r="A3985">
        <v>20</v>
      </c>
      <c r="B3985">
        <v>999.7</v>
      </c>
      <c r="C3985">
        <v>1000</v>
      </c>
      <c r="D3985" t="s">
        <v>5974</v>
      </c>
    </row>
    <row r="3986" spans="1:4" x14ac:dyDescent="0.2">
      <c r="A3986">
        <v>21</v>
      </c>
      <c r="B3986">
        <v>999.7</v>
      </c>
      <c r="C3986">
        <v>1000</v>
      </c>
      <c r="D3986" t="s">
        <v>5974</v>
      </c>
    </row>
    <row r="3987" spans="1:4" x14ac:dyDescent="0.2">
      <c r="A3987">
        <v>22</v>
      </c>
      <c r="B3987">
        <v>1000</v>
      </c>
      <c r="C3987">
        <v>1000</v>
      </c>
      <c r="D3987" t="s">
        <v>5974</v>
      </c>
    </row>
    <row r="3988" spans="1:4" x14ac:dyDescent="0.2">
      <c r="A3988">
        <v>23</v>
      </c>
      <c r="B3988">
        <v>999.8</v>
      </c>
      <c r="C3988">
        <v>1000</v>
      </c>
      <c r="D3988" t="s">
        <v>5974</v>
      </c>
    </row>
    <row r="3989" spans="1:4" x14ac:dyDescent="0.2">
      <c r="A3989">
        <v>24</v>
      </c>
      <c r="B3989">
        <v>999.5</v>
      </c>
      <c r="C3989">
        <v>1000</v>
      </c>
      <c r="D3989" t="s">
        <v>5974</v>
      </c>
    </row>
    <row r="3990" spans="1:4" x14ac:dyDescent="0.2">
      <c r="A3990">
        <v>19</v>
      </c>
      <c r="B3990">
        <v>1499.5</v>
      </c>
      <c r="C3990">
        <v>1500</v>
      </c>
      <c r="D3990" t="s">
        <v>5974</v>
      </c>
    </row>
    <row r="3991" spans="1:4" x14ac:dyDescent="0.2">
      <c r="A3991">
        <v>20</v>
      </c>
      <c r="B3991">
        <v>1499.7</v>
      </c>
      <c r="C3991">
        <v>1500</v>
      </c>
      <c r="D3991" t="s">
        <v>5974</v>
      </c>
    </row>
    <row r="3992" spans="1:4" x14ac:dyDescent="0.2">
      <c r="A3992">
        <v>21</v>
      </c>
      <c r="B3992">
        <v>1499.7</v>
      </c>
      <c r="C3992">
        <v>1500</v>
      </c>
      <c r="D3992" t="s">
        <v>5974</v>
      </c>
    </row>
    <row r="3993" spans="1:4" x14ac:dyDescent="0.2">
      <c r="A3993">
        <v>22</v>
      </c>
      <c r="B3993">
        <v>1499.8</v>
      </c>
      <c r="C3993">
        <v>1500</v>
      </c>
      <c r="D3993" t="s">
        <v>5974</v>
      </c>
    </row>
    <row r="3994" spans="1:4" x14ac:dyDescent="0.2">
      <c r="A3994">
        <v>23</v>
      </c>
      <c r="B3994">
        <v>1499.8</v>
      </c>
      <c r="C3994">
        <v>1500</v>
      </c>
      <c r="D3994" t="s">
        <v>5974</v>
      </c>
    </row>
    <row r="3995" spans="1:4" x14ac:dyDescent="0.2">
      <c r="A3995">
        <v>24</v>
      </c>
      <c r="B3995">
        <v>1499.5</v>
      </c>
      <c r="C3995">
        <v>1500</v>
      </c>
      <c r="D3995" t="s">
        <v>5974</v>
      </c>
    </row>
    <row r="3996" spans="1:4" x14ac:dyDescent="0.2">
      <c r="A3996">
        <v>19</v>
      </c>
      <c r="B3996">
        <v>1999.7</v>
      </c>
      <c r="C3996">
        <v>2000</v>
      </c>
      <c r="D3996" t="s">
        <v>5974</v>
      </c>
    </row>
    <row r="3997" spans="1:4" x14ac:dyDescent="0.2">
      <c r="A3997">
        <v>20</v>
      </c>
      <c r="B3997">
        <v>1999.9</v>
      </c>
      <c r="C3997">
        <v>2000</v>
      </c>
      <c r="D3997" t="s">
        <v>5974</v>
      </c>
    </row>
    <row r="3998" spans="1:4" x14ac:dyDescent="0.2">
      <c r="A3998">
        <v>21</v>
      </c>
      <c r="B3998">
        <v>1999.9</v>
      </c>
      <c r="C3998">
        <v>2000</v>
      </c>
      <c r="D3998" t="s">
        <v>5974</v>
      </c>
    </row>
    <row r="3999" spans="1:4" x14ac:dyDescent="0.2">
      <c r="A3999">
        <v>22</v>
      </c>
      <c r="B3999">
        <v>1999.9</v>
      </c>
      <c r="C3999">
        <v>2000</v>
      </c>
      <c r="D3999" t="s">
        <v>5974</v>
      </c>
    </row>
    <row r="4000" spans="1:4" x14ac:dyDescent="0.2">
      <c r="A4000">
        <v>23</v>
      </c>
      <c r="B4000">
        <v>1999.9</v>
      </c>
      <c r="C4000">
        <v>2000</v>
      </c>
      <c r="D4000" t="s">
        <v>5974</v>
      </c>
    </row>
    <row r="4001" spans="1:4" x14ac:dyDescent="0.2">
      <c r="A4001">
        <v>24</v>
      </c>
      <c r="B4001">
        <v>1999.6</v>
      </c>
      <c r="C4001">
        <v>2000</v>
      </c>
      <c r="D4001" t="s">
        <v>5974</v>
      </c>
    </row>
    <row r="4002" spans="1:4" x14ac:dyDescent="0.2">
      <c r="A4002">
        <v>19</v>
      </c>
      <c r="B4002">
        <v>2299.6999999999998</v>
      </c>
      <c r="C4002">
        <v>2300</v>
      </c>
      <c r="D4002" t="s">
        <v>5974</v>
      </c>
    </row>
    <row r="4003" spans="1:4" x14ac:dyDescent="0.2">
      <c r="A4003">
        <v>20</v>
      </c>
      <c r="B4003">
        <v>2300</v>
      </c>
      <c r="C4003">
        <v>2300</v>
      </c>
      <c r="D4003" t="s">
        <v>5974</v>
      </c>
    </row>
    <row r="4004" spans="1:4" x14ac:dyDescent="0.2">
      <c r="A4004">
        <v>21</v>
      </c>
      <c r="B4004">
        <v>2300</v>
      </c>
      <c r="C4004">
        <v>2300</v>
      </c>
      <c r="D4004" t="s">
        <v>5974</v>
      </c>
    </row>
    <row r="4005" spans="1:4" x14ac:dyDescent="0.2">
      <c r="A4005">
        <v>22</v>
      </c>
      <c r="B4005">
        <v>2299.9</v>
      </c>
      <c r="C4005">
        <v>2300</v>
      </c>
      <c r="D4005" t="s">
        <v>5974</v>
      </c>
    </row>
    <row r="4006" spans="1:4" x14ac:dyDescent="0.2">
      <c r="A4006">
        <v>23</v>
      </c>
      <c r="B4006">
        <v>2300</v>
      </c>
      <c r="C4006">
        <v>2300</v>
      </c>
      <c r="D4006" t="s">
        <v>5974</v>
      </c>
    </row>
    <row r="4007" spans="1:4" x14ac:dyDescent="0.2">
      <c r="A4007">
        <v>24</v>
      </c>
      <c r="B4007">
        <v>2299.6</v>
      </c>
      <c r="C4007">
        <v>2300</v>
      </c>
      <c r="D4007" t="s">
        <v>5974</v>
      </c>
    </row>
    <row r="4008" spans="1:4" x14ac:dyDescent="0.2">
      <c r="A4008">
        <v>25</v>
      </c>
      <c r="B4008">
        <v>32.1</v>
      </c>
      <c r="C4008">
        <v>32</v>
      </c>
      <c r="D4008" t="s">
        <v>5974</v>
      </c>
    </row>
    <row r="4009" spans="1:4" x14ac:dyDescent="0.2">
      <c r="A4009">
        <v>26</v>
      </c>
      <c r="B4009">
        <v>32</v>
      </c>
      <c r="C4009">
        <v>32</v>
      </c>
      <c r="D4009" t="s">
        <v>5974</v>
      </c>
    </row>
    <row r="4010" spans="1:4" x14ac:dyDescent="0.2">
      <c r="A4010">
        <v>27</v>
      </c>
      <c r="B4010">
        <v>32</v>
      </c>
      <c r="C4010">
        <v>32</v>
      </c>
      <c r="D4010" t="s">
        <v>5974</v>
      </c>
    </row>
    <row r="4011" spans="1:4" x14ac:dyDescent="0.2">
      <c r="A4011">
        <v>28</v>
      </c>
      <c r="B4011">
        <v>32</v>
      </c>
      <c r="C4011">
        <v>32</v>
      </c>
      <c r="D4011" t="s">
        <v>5974</v>
      </c>
    </row>
    <row r="4012" spans="1:4" x14ac:dyDescent="0.2">
      <c r="A4012">
        <v>25</v>
      </c>
      <c r="B4012">
        <v>499.6</v>
      </c>
      <c r="C4012">
        <v>500</v>
      </c>
      <c r="D4012" t="s">
        <v>5974</v>
      </c>
    </row>
    <row r="4013" spans="1:4" x14ac:dyDescent="0.2">
      <c r="A4013">
        <v>26</v>
      </c>
      <c r="B4013">
        <v>500.1</v>
      </c>
      <c r="C4013">
        <v>500</v>
      </c>
      <c r="D4013" t="s">
        <v>5974</v>
      </c>
    </row>
    <row r="4014" spans="1:4" x14ac:dyDescent="0.2">
      <c r="A4014">
        <v>27</v>
      </c>
      <c r="B4014">
        <v>499.7</v>
      </c>
      <c r="C4014">
        <v>500</v>
      </c>
      <c r="D4014" t="s">
        <v>5974</v>
      </c>
    </row>
    <row r="4015" spans="1:4" x14ac:dyDescent="0.2">
      <c r="A4015">
        <v>28</v>
      </c>
      <c r="B4015">
        <v>500</v>
      </c>
      <c r="C4015">
        <v>500</v>
      </c>
      <c r="D4015" t="s">
        <v>5974</v>
      </c>
    </row>
    <row r="4016" spans="1:4" x14ac:dyDescent="0.2">
      <c r="A4016">
        <v>25</v>
      </c>
      <c r="B4016">
        <v>999.5</v>
      </c>
      <c r="C4016">
        <v>1000</v>
      </c>
      <c r="D4016" t="s">
        <v>5974</v>
      </c>
    </row>
    <row r="4017" spans="1:4" x14ac:dyDescent="0.2">
      <c r="A4017">
        <v>26</v>
      </c>
      <c r="B4017">
        <v>1000.1</v>
      </c>
      <c r="C4017">
        <v>1000</v>
      </c>
      <c r="D4017" t="s">
        <v>5974</v>
      </c>
    </row>
    <row r="4018" spans="1:4" x14ac:dyDescent="0.2">
      <c r="A4018">
        <v>27</v>
      </c>
      <c r="B4018">
        <v>999.7</v>
      </c>
      <c r="C4018">
        <v>1000</v>
      </c>
      <c r="D4018" t="s">
        <v>5974</v>
      </c>
    </row>
    <row r="4019" spans="1:4" x14ac:dyDescent="0.2">
      <c r="A4019">
        <v>28</v>
      </c>
      <c r="B4019">
        <v>999.9</v>
      </c>
      <c r="C4019">
        <v>1000</v>
      </c>
      <c r="D4019" t="s">
        <v>5974</v>
      </c>
    </row>
    <row r="4020" spans="1:4" x14ac:dyDescent="0.2">
      <c r="A4020">
        <v>25</v>
      </c>
      <c r="B4020">
        <v>1499.2</v>
      </c>
      <c r="C4020">
        <v>1500</v>
      </c>
      <c r="D4020" t="s">
        <v>5974</v>
      </c>
    </row>
    <row r="4021" spans="1:4" x14ac:dyDescent="0.2">
      <c r="A4021">
        <v>26</v>
      </c>
      <c r="B4021">
        <v>1500</v>
      </c>
      <c r="C4021">
        <v>1500</v>
      </c>
      <c r="D4021" t="s">
        <v>5974</v>
      </c>
    </row>
    <row r="4022" spans="1:4" x14ac:dyDescent="0.2">
      <c r="A4022">
        <v>27</v>
      </c>
      <c r="B4022">
        <v>1499.6</v>
      </c>
      <c r="C4022">
        <v>1500</v>
      </c>
      <c r="D4022" t="s">
        <v>5974</v>
      </c>
    </row>
    <row r="4023" spans="1:4" x14ac:dyDescent="0.2">
      <c r="A4023">
        <v>28</v>
      </c>
      <c r="B4023">
        <v>1499.8</v>
      </c>
      <c r="C4023">
        <v>1500</v>
      </c>
      <c r="D4023" t="s">
        <v>5974</v>
      </c>
    </row>
    <row r="4024" spans="1:4" x14ac:dyDescent="0.2">
      <c r="A4024">
        <v>25</v>
      </c>
      <c r="B4024">
        <v>1999.3</v>
      </c>
      <c r="C4024">
        <v>2000</v>
      </c>
      <c r="D4024" t="s">
        <v>5974</v>
      </c>
    </row>
    <row r="4025" spans="1:4" x14ac:dyDescent="0.2">
      <c r="A4025">
        <v>26</v>
      </c>
      <c r="B4025">
        <v>2000.1</v>
      </c>
      <c r="C4025">
        <v>2000</v>
      </c>
      <c r="D4025" t="s">
        <v>5974</v>
      </c>
    </row>
    <row r="4026" spans="1:4" x14ac:dyDescent="0.2">
      <c r="A4026">
        <v>27</v>
      </c>
      <c r="B4026">
        <v>1999.7</v>
      </c>
      <c r="C4026">
        <v>2000</v>
      </c>
      <c r="D4026" t="s">
        <v>5974</v>
      </c>
    </row>
    <row r="4027" spans="1:4" x14ac:dyDescent="0.2">
      <c r="A4027">
        <v>28</v>
      </c>
      <c r="B4027">
        <v>1999.9</v>
      </c>
      <c r="C4027">
        <v>2000</v>
      </c>
      <c r="D4027" t="s">
        <v>5974</v>
      </c>
    </row>
    <row r="4028" spans="1:4" x14ac:dyDescent="0.2">
      <c r="A4028">
        <v>25</v>
      </c>
      <c r="B4028">
        <v>2299.3000000000002</v>
      </c>
      <c r="C4028">
        <v>2300</v>
      </c>
      <c r="D4028" t="s">
        <v>5974</v>
      </c>
    </row>
    <row r="4029" spans="1:4" x14ac:dyDescent="0.2">
      <c r="A4029">
        <v>26</v>
      </c>
      <c r="B4029">
        <v>2300.1</v>
      </c>
      <c r="C4029">
        <v>2300</v>
      </c>
      <c r="D4029" t="s">
        <v>5974</v>
      </c>
    </row>
    <row r="4030" spans="1:4" x14ac:dyDescent="0.2">
      <c r="A4030">
        <v>27</v>
      </c>
      <c r="B4030">
        <v>2299.8000000000002</v>
      </c>
      <c r="C4030">
        <v>2300</v>
      </c>
      <c r="D4030" t="s">
        <v>5974</v>
      </c>
    </row>
    <row r="4031" spans="1:4" x14ac:dyDescent="0.2">
      <c r="A4031">
        <v>28</v>
      </c>
      <c r="B4031">
        <v>2300</v>
      </c>
      <c r="C4031">
        <v>2300</v>
      </c>
      <c r="D4031" t="s">
        <v>5974</v>
      </c>
    </row>
    <row r="4032" spans="1:4" x14ac:dyDescent="0.2">
      <c r="A4032">
        <v>1</v>
      </c>
      <c r="B4032">
        <v>-99.8</v>
      </c>
      <c r="C4032">
        <v>-100</v>
      </c>
      <c r="D4032" t="s">
        <v>5975</v>
      </c>
    </row>
    <row r="4033" spans="1:4" x14ac:dyDescent="0.2">
      <c r="A4033">
        <v>2</v>
      </c>
      <c r="B4033">
        <v>-99.9</v>
      </c>
      <c r="C4033">
        <v>-100</v>
      </c>
      <c r="D4033" t="s">
        <v>5975</v>
      </c>
    </row>
    <row r="4034" spans="1:4" x14ac:dyDescent="0.2">
      <c r="A4034">
        <v>3</v>
      </c>
      <c r="B4034">
        <v>-99.8</v>
      </c>
      <c r="C4034">
        <v>-100</v>
      </c>
      <c r="D4034" t="s">
        <v>5975</v>
      </c>
    </row>
    <row r="4035" spans="1:4" x14ac:dyDescent="0.2">
      <c r="A4035">
        <v>4</v>
      </c>
      <c r="B4035">
        <v>-99.9</v>
      </c>
      <c r="C4035">
        <v>-100</v>
      </c>
      <c r="D4035" t="s">
        <v>5975</v>
      </c>
    </row>
    <row r="4036" spans="1:4" x14ac:dyDescent="0.2">
      <c r="A4036">
        <v>5</v>
      </c>
      <c r="B4036">
        <v>-100</v>
      </c>
      <c r="C4036">
        <v>-100</v>
      </c>
      <c r="D4036" t="s">
        <v>5975</v>
      </c>
    </row>
    <row r="4037" spans="1:4" x14ac:dyDescent="0.2">
      <c r="A4037">
        <v>6</v>
      </c>
      <c r="B4037">
        <v>-99.9</v>
      </c>
      <c r="C4037">
        <v>-100</v>
      </c>
      <c r="D4037" t="s">
        <v>5975</v>
      </c>
    </row>
    <row r="4038" spans="1:4" x14ac:dyDescent="0.2">
      <c r="A4038">
        <v>1</v>
      </c>
      <c r="B4038">
        <v>-49.8</v>
      </c>
      <c r="C4038">
        <v>-50</v>
      </c>
      <c r="D4038" t="s">
        <v>5975</v>
      </c>
    </row>
    <row r="4039" spans="1:4" x14ac:dyDescent="0.2">
      <c r="A4039">
        <v>2</v>
      </c>
      <c r="B4039">
        <v>-49.9</v>
      </c>
      <c r="C4039">
        <v>-50</v>
      </c>
      <c r="D4039" t="s">
        <v>5975</v>
      </c>
    </row>
    <row r="4040" spans="1:4" x14ac:dyDescent="0.2">
      <c r="A4040">
        <v>3</v>
      </c>
      <c r="B4040">
        <v>-49.8</v>
      </c>
      <c r="C4040">
        <v>-50</v>
      </c>
      <c r="D4040" t="s">
        <v>5975</v>
      </c>
    </row>
    <row r="4041" spans="1:4" x14ac:dyDescent="0.2">
      <c r="A4041">
        <v>4</v>
      </c>
      <c r="B4041">
        <v>-49.9</v>
      </c>
      <c r="C4041">
        <v>-50</v>
      </c>
      <c r="D4041" t="s">
        <v>5975</v>
      </c>
    </row>
    <row r="4042" spans="1:4" x14ac:dyDescent="0.2">
      <c r="A4042">
        <v>5</v>
      </c>
      <c r="B4042">
        <v>-50</v>
      </c>
      <c r="C4042">
        <v>-50</v>
      </c>
      <c r="D4042" t="s">
        <v>5975</v>
      </c>
    </row>
    <row r="4043" spans="1:4" x14ac:dyDescent="0.2">
      <c r="A4043">
        <v>6</v>
      </c>
      <c r="B4043">
        <v>-49.9</v>
      </c>
      <c r="C4043">
        <v>-50</v>
      </c>
      <c r="D4043" t="s">
        <v>5975</v>
      </c>
    </row>
    <row r="4044" spans="1:4" x14ac:dyDescent="0.2">
      <c r="A4044">
        <v>1</v>
      </c>
      <c r="B4044">
        <v>-0.1</v>
      </c>
      <c r="C4044">
        <v>0</v>
      </c>
      <c r="D4044" t="s">
        <v>5975</v>
      </c>
    </row>
    <row r="4045" spans="1:4" x14ac:dyDescent="0.2">
      <c r="A4045">
        <v>2</v>
      </c>
      <c r="B4045">
        <v>0</v>
      </c>
      <c r="C4045">
        <v>0</v>
      </c>
      <c r="D4045" t="s">
        <v>5975</v>
      </c>
    </row>
    <row r="4046" spans="1:4" x14ac:dyDescent="0.2">
      <c r="A4046">
        <v>3</v>
      </c>
      <c r="B4046">
        <v>-0.2</v>
      </c>
      <c r="C4046">
        <v>0</v>
      </c>
      <c r="D4046" t="s">
        <v>5975</v>
      </c>
    </row>
    <row r="4047" spans="1:4" x14ac:dyDescent="0.2">
      <c r="A4047">
        <v>4</v>
      </c>
      <c r="B4047">
        <v>0</v>
      </c>
      <c r="C4047">
        <v>0</v>
      </c>
      <c r="D4047" t="s">
        <v>5975</v>
      </c>
    </row>
    <row r="4048" spans="1:4" x14ac:dyDescent="0.2">
      <c r="A4048">
        <v>5</v>
      </c>
      <c r="B4048">
        <v>0</v>
      </c>
      <c r="C4048">
        <v>0</v>
      </c>
      <c r="D4048" t="s">
        <v>5975</v>
      </c>
    </row>
    <row r="4049" spans="1:4" x14ac:dyDescent="0.2">
      <c r="A4049">
        <v>6</v>
      </c>
      <c r="B4049">
        <v>0</v>
      </c>
      <c r="C4049">
        <v>0</v>
      </c>
      <c r="D4049" t="s">
        <v>5975</v>
      </c>
    </row>
    <row r="4050" spans="1:4" x14ac:dyDescent="0.2">
      <c r="A4050">
        <v>1</v>
      </c>
      <c r="B4050">
        <v>249.9</v>
      </c>
      <c r="C4050">
        <v>250</v>
      </c>
      <c r="D4050" t="s">
        <v>5975</v>
      </c>
    </row>
    <row r="4051" spans="1:4" x14ac:dyDescent="0.2">
      <c r="A4051">
        <v>2</v>
      </c>
      <c r="B4051">
        <v>249.9</v>
      </c>
      <c r="C4051">
        <v>250</v>
      </c>
      <c r="D4051" t="s">
        <v>5975</v>
      </c>
    </row>
    <row r="4052" spans="1:4" x14ac:dyDescent="0.2">
      <c r="A4052">
        <v>3</v>
      </c>
      <c r="B4052">
        <v>249.9</v>
      </c>
      <c r="C4052">
        <v>250</v>
      </c>
      <c r="D4052" t="s">
        <v>5975</v>
      </c>
    </row>
    <row r="4053" spans="1:4" x14ac:dyDescent="0.2">
      <c r="A4053">
        <v>4</v>
      </c>
      <c r="B4053">
        <v>250</v>
      </c>
      <c r="C4053">
        <v>250</v>
      </c>
      <c r="D4053" t="s">
        <v>5975</v>
      </c>
    </row>
    <row r="4054" spans="1:4" x14ac:dyDescent="0.2">
      <c r="A4054">
        <v>5</v>
      </c>
      <c r="B4054">
        <v>249.9</v>
      </c>
      <c r="C4054">
        <v>250</v>
      </c>
      <c r="D4054" t="s">
        <v>5975</v>
      </c>
    </row>
    <row r="4055" spans="1:4" x14ac:dyDescent="0.2">
      <c r="A4055">
        <v>6</v>
      </c>
      <c r="B4055">
        <v>250</v>
      </c>
      <c r="C4055">
        <v>250</v>
      </c>
      <c r="D4055" t="s">
        <v>5975</v>
      </c>
    </row>
    <row r="4056" spans="1:4" x14ac:dyDescent="0.2">
      <c r="A4056">
        <v>1</v>
      </c>
      <c r="B4056">
        <v>499.9</v>
      </c>
      <c r="C4056">
        <v>500</v>
      </c>
      <c r="D4056" t="s">
        <v>5975</v>
      </c>
    </row>
    <row r="4057" spans="1:4" x14ac:dyDescent="0.2">
      <c r="A4057">
        <v>2</v>
      </c>
      <c r="B4057">
        <v>499.9</v>
      </c>
      <c r="C4057">
        <v>500</v>
      </c>
      <c r="D4057" t="s">
        <v>5975</v>
      </c>
    </row>
    <row r="4058" spans="1:4" x14ac:dyDescent="0.2">
      <c r="A4058">
        <v>3</v>
      </c>
      <c r="B4058">
        <v>499.9</v>
      </c>
      <c r="C4058">
        <v>500</v>
      </c>
      <c r="D4058" t="s">
        <v>5975</v>
      </c>
    </row>
    <row r="4059" spans="1:4" x14ac:dyDescent="0.2">
      <c r="A4059">
        <v>4</v>
      </c>
      <c r="B4059">
        <v>499.9</v>
      </c>
      <c r="C4059">
        <v>500</v>
      </c>
      <c r="D4059" t="s">
        <v>5975</v>
      </c>
    </row>
    <row r="4060" spans="1:4" x14ac:dyDescent="0.2">
      <c r="A4060">
        <v>5</v>
      </c>
      <c r="B4060">
        <v>499.9</v>
      </c>
      <c r="C4060">
        <v>500</v>
      </c>
      <c r="D4060" t="s">
        <v>5975</v>
      </c>
    </row>
    <row r="4061" spans="1:4" x14ac:dyDescent="0.2">
      <c r="A4061">
        <v>6</v>
      </c>
      <c r="B4061">
        <v>499.9</v>
      </c>
      <c r="C4061">
        <v>500</v>
      </c>
      <c r="D4061" t="s">
        <v>5975</v>
      </c>
    </row>
    <row r="4062" spans="1:4" x14ac:dyDescent="0.2">
      <c r="A4062">
        <v>1</v>
      </c>
      <c r="B4062">
        <v>999.9</v>
      </c>
      <c r="C4062">
        <v>1000</v>
      </c>
      <c r="D4062" t="s">
        <v>5975</v>
      </c>
    </row>
    <row r="4063" spans="1:4" x14ac:dyDescent="0.2">
      <c r="A4063">
        <v>2</v>
      </c>
      <c r="B4063">
        <v>999.8</v>
      </c>
      <c r="C4063">
        <v>1000</v>
      </c>
      <c r="D4063" t="s">
        <v>5975</v>
      </c>
    </row>
    <row r="4064" spans="1:4" x14ac:dyDescent="0.2">
      <c r="A4064">
        <v>3</v>
      </c>
      <c r="B4064">
        <v>999.9</v>
      </c>
      <c r="C4064">
        <v>1000</v>
      </c>
      <c r="D4064" t="s">
        <v>5975</v>
      </c>
    </row>
    <row r="4065" spans="1:4" x14ac:dyDescent="0.2">
      <c r="A4065">
        <v>4</v>
      </c>
      <c r="B4065">
        <v>999.9</v>
      </c>
      <c r="C4065">
        <v>1000</v>
      </c>
      <c r="D4065" t="s">
        <v>5975</v>
      </c>
    </row>
    <row r="4066" spans="1:4" x14ac:dyDescent="0.2">
      <c r="A4066">
        <v>5</v>
      </c>
      <c r="B4066">
        <v>999.8</v>
      </c>
      <c r="C4066">
        <v>1000</v>
      </c>
      <c r="D4066" t="s">
        <v>5975</v>
      </c>
    </row>
    <row r="4067" spans="1:4" x14ac:dyDescent="0.2">
      <c r="A4067">
        <v>6</v>
      </c>
      <c r="B4067">
        <v>999.9</v>
      </c>
      <c r="C4067">
        <v>1000</v>
      </c>
      <c r="D4067" t="s">
        <v>5975</v>
      </c>
    </row>
    <row r="4068" spans="1:4" x14ac:dyDescent="0.2">
      <c r="A4068">
        <v>7</v>
      </c>
      <c r="B4068">
        <v>-99.9</v>
      </c>
      <c r="C4068">
        <v>-100</v>
      </c>
      <c r="D4068" t="s">
        <v>5975</v>
      </c>
    </row>
    <row r="4069" spans="1:4" x14ac:dyDescent="0.2">
      <c r="A4069">
        <v>8</v>
      </c>
      <c r="B4069">
        <v>-100</v>
      </c>
      <c r="C4069">
        <v>-100</v>
      </c>
      <c r="D4069" t="s">
        <v>5975</v>
      </c>
    </row>
    <row r="4070" spans="1:4" x14ac:dyDescent="0.2">
      <c r="A4070">
        <v>9</v>
      </c>
      <c r="B4070">
        <v>-99.7</v>
      </c>
      <c r="C4070">
        <v>-100</v>
      </c>
      <c r="D4070" t="s">
        <v>5975</v>
      </c>
    </row>
    <row r="4071" spans="1:4" x14ac:dyDescent="0.2">
      <c r="A4071">
        <v>10</v>
      </c>
      <c r="B4071">
        <v>-100.1</v>
      </c>
      <c r="C4071">
        <v>-100</v>
      </c>
      <c r="D4071" t="s">
        <v>5975</v>
      </c>
    </row>
    <row r="4072" spans="1:4" x14ac:dyDescent="0.2">
      <c r="A4072">
        <v>11</v>
      </c>
      <c r="B4072">
        <v>-99.8</v>
      </c>
      <c r="C4072">
        <v>-100</v>
      </c>
      <c r="D4072" t="s">
        <v>5975</v>
      </c>
    </row>
    <row r="4073" spans="1:4" x14ac:dyDescent="0.2">
      <c r="A4073">
        <v>12</v>
      </c>
      <c r="B4073">
        <v>-100.1</v>
      </c>
      <c r="C4073">
        <v>-100</v>
      </c>
      <c r="D4073" t="s">
        <v>5975</v>
      </c>
    </row>
    <row r="4074" spans="1:4" x14ac:dyDescent="0.2">
      <c r="A4074">
        <v>7</v>
      </c>
      <c r="B4074">
        <v>-50</v>
      </c>
      <c r="C4074">
        <v>-50</v>
      </c>
      <c r="D4074" t="s">
        <v>5975</v>
      </c>
    </row>
    <row r="4075" spans="1:4" x14ac:dyDescent="0.2">
      <c r="A4075">
        <v>8</v>
      </c>
      <c r="B4075">
        <v>-50</v>
      </c>
      <c r="C4075">
        <v>-50</v>
      </c>
      <c r="D4075" t="s">
        <v>5975</v>
      </c>
    </row>
    <row r="4076" spans="1:4" x14ac:dyDescent="0.2">
      <c r="A4076">
        <v>9</v>
      </c>
      <c r="B4076">
        <v>-49.7</v>
      </c>
      <c r="C4076">
        <v>-50</v>
      </c>
      <c r="D4076" t="s">
        <v>5975</v>
      </c>
    </row>
    <row r="4077" spans="1:4" x14ac:dyDescent="0.2">
      <c r="A4077">
        <v>10</v>
      </c>
      <c r="B4077">
        <v>-50.1</v>
      </c>
      <c r="C4077">
        <v>-50</v>
      </c>
      <c r="D4077" t="s">
        <v>5975</v>
      </c>
    </row>
    <row r="4078" spans="1:4" x14ac:dyDescent="0.2">
      <c r="A4078">
        <v>11</v>
      </c>
      <c r="B4078">
        <v>-49.8</v>
      </c>
      <c r="C4078">
        <v>-50</v>
      </c>
      <c r="D4078" t="s">
        <v>5975</v>
      </c>
    </row>
    <row r="4079" spans="1:4" x14ac:dyDescent="0.2">
      <c r="A4079">
        <v>12</v>
      </c>
      <c r="B4079">
        <v>-50.1</v>
      </c>
      <c r="C4079">
        <v>-50</v>
      </c>
      <c r="D4079" t="s">
        <v>5975</v>
      </c>
    </row>
    <row r="4080" spans="1:4" x14ac:dyDescent="0.2">
      <c r="A4080">
        <v>7</v>
      </c>
      <c r="B4080">
        <v>0</v>
      </c>
      <c r="C4080">
        <v>0</v>
      </c>
      <c r="D4080" t="s">
        <v>5975</v>
      </c>
    </row>
    <row r="4081" spans="1:4" x14ac:dyDescent="0.2">
      <c r="A4081">
        <v>8</v>
      </c>
      <c r="B4081">
        <v>0.1</v>
      </c>
      <c r="C4081">
        <v>0</v>
      </c>
      <c r="D4081" t="s">
        <v>5975</v>
      </c>
    </row>
    <row r="4082" spans="1:4" x14ac:dyDescent="0.2">
      <c r="A4082">
        <v>9</v>
      </c>
      <c r="B4082">
        <v>-0.3</v>
      </c>
      <c r="C4082">
        <v>0</v>
      </c>
      <c r="D4082" t="s">
        <v>5975</v>
      </c>
    </row>
    <row r="4083" spans="1:4" x14ac:dyDescent="0.2">
      <c r="A4083">
        <v>10</v>
      </c>
      <c r="B4083">
        <v>0.1</v>
      </c>
      <c r="C4083">
        <v>0</v>
      </c>
      <c r="D4083" t="s">
        <v>5975</v>
      </c>
    </row>
    <row r="4084" spans="1:4" x14ac:dyDescent="0.2">
      <c r="A4084">
        <v>11</v>
      </c>
      <c r="B4084">
        <v>-0.2</v>
      </c>
      <c r="C4084">
        <v>0</v>
      </c>
      <c r="D4084" t="s">
        <v>5975</v>
      </c>
    </row>
    <row r="4085" spans="1:4" x14ac:dyDescent="0.2">
      <c r="A4085">
        <v>12</v>
      </c>
      <c r="B4085">
        <v>-0.1</v>
      </c>
      <c r="C4085">
        <v>0</v>
      </c>
      <c r="D4085" t="s">
        <v>5975</v>
      </c>
    </row>
    <row r="4086" spans="1:4" x14ac:dyDescent="0.2">
      <c r="A4086">
        <v>7</v>
      </c>
      <c r="B4086">
        <v>249.9</v>
      </c>
      <c r="C4086">
        <v>250</v>
      </c>
      <c r="D4086" t="s">
        <v>5975</v>
      </c>
    </row>
    <row r="4087" spans="1:4" x14ac:dyDescent="0.2">
      <c r="A4087">
        <v>8</v>
      </c>
      <c r="B4087">
        <v>249.9</v>
      </c>
      <c r="C4087">
        <v>250</v>
      </c>
      <c r="D4087" t="s">
        <v>5975</v>
      </c>
    </row>
    <row r="4088" spans="1:4" x14ac:dyDescent="0.2">
      <c r="A4088">
        <v>9</v>
      </c>
      <c r="B4088">
        <v>249.8</v>
      </c>
      <c r="C4088">
        <v>250</v>
      </c>
      <c r="D4088" t="s">
        <v>5975</v>
      </c>
    </row>
    <row r="4089" spans="1:4" x14ac:dyDescent="0.2">
      <c r="A4089">
        <v>10</v>
      </c>
      <c r="B4089">
        <v>249.9</v>
      </c>
      <c r="C4089">
        <v>250</v>
      </c>
      <c r="D4089" t="s">
        <v>5975</v>
      </c>
    </row>
    <row r="4090" spans="1:4" x14ac:dyDescent="0.2">
      <c r="A4090">
        <v>11</v>
      </c>
      <c r="B4090">
        <v>249.9</v>
      </c>
      <c r="C4090">
        <v>250</v>
      </c>
      <c r="D4090" t="s">
        <v>5975</v>
      </c>
    </row>
    <row r="4091" spans="1:4" x14ac:dyDescent="0.2">
      <c r="A4091">
        <v>12</v>
      </c>
      <c r="B4091">
        <v>249.8</v>
      </c>
      <c r="C4091">
        <v>250</v>
      </c>
      <c r="D4091" t="s">
        <v>5975</v>
      </c>
    </row>
    <row r="4092" spans="1:4" x14ac:dyDescent="0.2">
      <c r="A4092">
        <v>7</v>
      </c>
      <c r="B4092">
        <v>499.8</v>
      </c>
      <c r="C4092">
        <v>500</v>
      </c>
      <c r="D4092" t="s">
        <v>5975</v>
      </c>
    </row>
    <row r="4093" spans="1:4" x14ac:dyDescent="0.2">
      <c r="A4093">
        <v>8</v>
      </c>
      <c r="B4093">
        <v>499.8</v>
      </c>
      <c r="C4093">
        <v>500</v>
      </c>
      <c r="D4093" t="s">
        <v>5975</v>
      </c>
    </row>
    <row r="4094" spans="1:4" x14ac:dyDescent="0.2">
      <c r="A4094">
        <v>9</v>
      </c>
      <c r="B4094">
        <v>499.8</v>
      </c>
      <c r="C4094">
        <v>500</v>
      </c>
      <c r="D4094" t="s">
        <v>5975</v>
      </c>
    </row>
    <row r="4095" spans="1:4" x14ac:dyDescent="0.2">
      <c r="A4095">
        <v>10</v>
      </c>
      <c r="B4095">
        <v>499.8</v>
      </c>
      <c r="C4095">
        <v>500</v>
      </c>
      <c r="D4095" t="s">
        <v>5975</v>
      </c>
    </row>
    <row r="4096" spans="1:4" x14ac:dyDescent="0.2">
      <c r="A4096">
        <v>11</v>
      </c>
      <c r="B4096">
        <v>499.8</v>
      </c>
      <c r="C4096">
        <v>500</v>
      </c>
      <c r="D4096" t="s">
        <v>5975</v>
      </c>
    </row>
    <row r="4097" spans="1:4" x14ac:dyDescent="0.2">
      <c r="A4097">
        <v>12</v>
      </c>
      <c r="B4097">
        <v>499.8</v>
      </c>
      <c r="C4097">
        <v>500</v>
      </c>
      <c r="D4097" t="s">
        <v>5975</v>
      </c>
    </row>
    <row r="4098" spans="1:4" x14ac:dyDescent="0.2">
      <c r="A4098">
        <v>7</v>
      </c>
      <c r="B4098">
        <v>999.6</v>
      </c>
      <c r="C4098">
        <v>1000</v>
      </c>
      <c r="D4098" t="s">
        <v>5975</v>
      </c>
    </row>
    <row r="4099" spans="1:4" x14ac:dyDescent="0.2">
      <c r="A4099">
        <v>8</v>
      </c>
      <c r="B4099">
        <v>999.8</v>
      </c>
      <c r="C4099">
        <v>1000</v>
      </c>
      <c r="D4099" t="s">
        <v>5975</v>
      </c>
    </row>
    <row r="4100" spans="1:4" x14ac:dyDescent="0.2">
      <c r="A4100">
        <v>9</v>
      </c>
      <c r="B4100">
        <v>999.9</v>
      </c>
      <c r="C4100">
        <v>1000</v>
      </c>
      <c r="D4100" t="s">
        <v>5975</v>
      </c>
    </row>
    <row r="4101" spans="1:4" x14ac:dyDescent="0.2">
      <c r="A4101">
        <v>10</v>
      </c>
      <c r="B4101">
        <v>999.7</v>
      </c>
      <c r="C4101">
        <v>1000</v>
      </c>
      <c r="D4101" t="s">
        <v>5975</v>
      </c>
    </row>
    <row r="4102" spans="1:4" x14ac:dyDescent="0.2">
      <c r="A4102">
        <v>11</v>
      </c>
      <c r="B4102">
        <v>999.8</v>
      </c>
      <c r="C4102">
        <v>1000</v>
      </c>
      <c r="D4102" t="s">
        <v>5975</v>
      </c>
    </row>
    <row r="4103" spans="1:4" x14ac:dyDescent="0.2">
      <c r="A4103">
        <v>12</v>
      </c>
      <c r="B4103">
        <v>999.8</v>
      </c>
      <c r="C4103">
        <v>1000</v>
      </c>
      <c r="D4103" t="s">
        <v>5975</v>
      </c>
    </row>
    <row r="4104" spans="1:4" x14ac:dyDescent="0.2">
      <c r="A4104">
        <v>13</v>
      </c>
      <c r="B4104">
        <v>-100</v>
      </c>
      <c r="C4104">
        <v>-100</v>
      </c>
      <c r="D4104" t="s">
        <v>5975</v>
      </c>
    </row>
    <row r="4105" spans="1:4" x14ac:dyDescent="0.2">
      <c r="A4105">
        <v>14</v>
      </c>
      <c r="B4105">
        <v>-100.1</v>
      </c>
      <c r="C4105">
        <v>-100</v>
      </c>
      <c r="D4105" t="s">
        <v>5975</v>
      </c>
    </row>
    <row r="4106" spans="1:4" x14ac:dyDescent="0.2">
      <c r="A4106">
        <v>15</v>
      </c>
      <c r="B4106">
        <v>-100.1</v>
      </c>
      <c r="C4106">
        <v>-100</v>
      </c>
      <c r="D4106" t="s">
        <v>5975</v>
      </c>
    </row>
    <row r="4107" spans="1:4" x14ac:dyDescent="0.2">
      <c r="A4107">
        <v>16</v>
      </c>
      <c r="B4107">
        <v>-100</v>
      </c>
      <c r="C4107">
        <v>-100</v>
      </c>
      <c r="D4107" t="s">
        <v>5975</v>
      </c>
    </row>
    <row r="4108" spans="1:4" x14ac:dyDescent="0.2">
      <c r="A4108">
        <v>17</v>
      </c>
      <c r="B4108">
        <v>-100.2</v>
      </c>
      <c r="C4108">
        <v>-100</v>
      </c>
      <c r="D4108" t="s">
        <v>5975</v>
      </c>
    </row>
    <row r="4109" spans="1:4" x14ac:dyDescent="0.2">
      <c r="A4109">
        <v>18</v>
      </c>
      <c r="B4109">
        <v>-99.8</v>
      </c>
      <c r="C4109">
        <v>-100</v>
      </c>
      <c r="D4109" t="s">
        <v>5975</v>
      </c>
    </row>
    <row r="4110" spans="1:4" x14ac:dyDescent="0.2">
      <c r="A4110">
        <v>13</v>
      </c>
      <c r="B4110">
        <v>-50.1</v>
      </c>
      <c r="C4110">
        <v>-50</v>
      </c>
      <c r="D4110" t="s">
        <v>5975</v>
      </c>
    </row>
    <row r="4111" spans="1:4" x14ac:dyDescent="0.2">
      <c r="A4111">
        <v>14</v>
      </c>
      <c r="B4111">
        <v>-50.1</v>
      </c>
      <c r="C4111">
        <v>-50</v>
      </c>
      <c r="D4111" t="s">
        <v>5975</v>
      </c>
    </row>
    <row r="4112" spans="1:4" x14ac:dyDescent="0.2">
      <c r="A4112">
        <v>15</v>
      </c>
      <c r="B4112">
        <v>-50.1</v>
      </c>
      <c r="C4112">
        <v>-50</v>
      </c>
      <c r="D4112" t="s">
        <v>5975</v>
      </c>
    </row>
    <row r="4113" spans="1:4" x14ac:dyDescent="0.2">
      <c r="A4113">
        <v>16</v>
      </c>
      <c r="B4113">
        <v>-49.9</v>
      </c>
      <c r="C4113">
        <v>-50</v>
      </c>
      <c r="D4113" t="s">
        <v>5975</v>
      </c>
    </row>
    <row r="4114" spans="1:4" x14ac:dyDescent="0.2">
      <c r="A4114">
        <v>17</v>
      </c>
      <c r="B4114">
        <v>-49.9</v>
      </c>
      <c r="C4114">
        <v>-50</v>
      </c>
      <c r="D4114" t="s">
        <v>5975</v>
      </c>
    </row>
    <row r="4115" spans="1:4" x14ac:dyDescent="0.2">
      <c r="A4115">
        <v>18</v>
      </c>
      <c r="B4115">
        <v>-49.9</v>
      </c>
      <c r="C4115">
        <v>-50</v>
      </c>
      <c r="D4115" t="s">
        <v>5975</v>
      </c>
    </row>
    <row r="4116" spans="1:4" x14ac:dyDescent="0.2">
      <c r="A4116">
        <v>13</v>
      </c>
      <c r="B4116">
        <v>0.1</v>
      </c>
      <c r="C4116">
        <v>0</v>
      </c>
      <c r="D4116" t="s">
        <v>5975</v>
      </c>
    </row>
    <row r="4117" spans="1:4" x14ac:dyDescent="0.2">
      <c r="A4117">
        <v>14</v>
      </c>
      <c r="B4117">
        <v>-0.2</v>
      </c>
      <c r="C4117">
        <v>0</v>
      </c>
      <c r="D4117" t="s">
        <v>5975</v>
      </c>
    </row>
    <row r="4118" spans="1:4" x14ac:dyDescent="0.2">
      <c r="A4118">
        <v>15</v>
      </c>
      <c r="B4118">
        <v>-0.2</v>
      </c>
      <c r="C4118">
        <v>0</v>
      </c>
      <c r="D4118" t="s">
        <v>5975</v>
      </c>
    </row>
    <row r="4119" spans="1:4" x14ac:dyDescent="0.2">
      <c r="A4119">
        <v>16</v>
      </c>
      <c r="B4119">
        <v>0.1</v>
      </c>
      <c r="C4119">
        <v>0</v>
      </c>
      <c r="D4119" t="s">
        <v>5975</v>
      </c>
    </row>
    <row r="4120" spans="1:4" x14ac:dyDescent="0.2">
      <c r="A4120">
        <v>17</v>
      </c>
      <c r="B4120">
        <v>-0.1</v>
      </c>
      <c r="C4120">
        <v>0</v>
      </c>
      <c r="D4120" t="s">
        <v>5975</v>
      </c>
    </row>
    <row r="4121" spans="1:4" x14ac:dyDescent="0.2">
      <c r="A4121">
        <v>18</v>
      </c>
      <c r="B4121">
        <v>0.1</v>
      </c>
      <c r="C4121">
        <v>0</v>
      </c>
      <c r="D4121" t="s">
        <v>5975</v>
      </c>
    </row>
    <row r="4122" spans="1:4" x14ac:dyDescent="0.2">
      <c r="A4122">
        <v>13</v>
      </c>
      <c r="B4122">
        <v>250.1</v>
      </c>
      <c r="C4122">
        <v>250</v>
      </c>
      <c r="D4122" t="s">
        <v>5975</v>
      </c>
    </row>
    <row r="4123" spans="1:4" x14ac:dyDescent="0.2">
      <c r="A4123">
        <v>14</v>
      </c>
      <c r="B4123">
        <v>249.8</v>
      </c>
      <c r="C4123">
        <v>250</v>
      </c>
      <c r="D4123" t="s">
        <v>5975</v>
      </c>
    </row>
    <row r="4124" spans="1:4" x14ac:dyDescent="0.2">
      <c r="A4124">
        <v>15</v>
      </c>
      <c r="B4124">
        <v>249.8</v>
      </c>
      <c r="C4124">
        <v>250</v>
      </c>
      <c r="D4124" t="s">
        <v>5975</v>
      </c>
    </row>
    <row r="4125" spans="1:4" x14ac:dyDescent="0.2">
      <c r="A4125">
        <v>16</v>
      </c>
      <c r="B4125">
        <v>250.2</v>
      </c>
      <c r="C4125">
        <v>250</v>
      </c>
      <c r="D4125" t="s">
        <v>5975</v>
      </c>
    </row>
    <row r="4126" spans="1:4" x14ac:dyDescent="0.2">
      <c r="A4126">
        <v>17</v>
      </c>
      <c r="B4126">
        <v>250</v>
      </c>
      <c r="C4126">
        <v>250</v>
      </c>
      <c r="D4126" t="s">
        <v>5975</v>
      </c>
    </row>
    <row r="4127" spans="1:4" x14ac:dyDescent="0.2">
      <c r="A4127">
        <v>18</v>
      </c>
      <c r="B4127">
        <v>250.1</v>
      </c>
      <c r="C4127">
        <v>250</v>
      </c>
      <c r="D4127" t="s">
        <v>5975</v>
      </c>
    </row>
    <row r="4128" spans="1:4" x14ac:dyDescent="0.2">
      <c r="A4128">
        <v>13</v>
      </c>
      <c r="B4128">
        <v>500.1</v>
      </c>
      <c r="C4128">
        <v>500</v>
      </c>
      <c r="D4128" t="s">
        <v>5975</v>
      </c>
    </row>
    <row r="4129" spans="1:4" x14ac:dyDescent="0.2">
      <c r="A4129">
        <v>14</v>
      </c>
      <c r="B4129">
        <v>499.8</v>
      </c>
      <c r="C4129">
        <v>500</v>
      </c>
      <c r="D4129" t="s">
        <v>5975</v>
      </c>
    </row>
    <row r="4130" spans="1:4" x14ac:dyDescent="0.2">
      <c r="A4130">
        <v>15</v>
      </c>
      <c r="B4130">
        <v>499.7</v>
      </c>
      <c r="C4130">
        <v>500</v>
      </c>
      <c r="D4130" t="s">
        <v>5975</v>
      </c>
    </row>
    <row r="4131" spans="1:4" x14ac:dyDescent="0.2">
      <c r="A4131">
        <v>16</v>
      </c>
      <c r="B4131">
        <v>500.1</v>
      </c>
      <c r="C4131">
        <v>500</v>
      </c>
      <c r="D4131" t="s">
        <v>5975</v>
      </c>
    </row>
    <row r="4132" spans="1:4" x14ac:dyDescent="0.2">
      <c r="A4132">
        <v>17</v>
      </c>
      <c r="B4132">
        <v>500</v>
      </c>
      <c r="C4132">
        <v>500</v>
      </c>
      <c r="D4132" t="s">
        <v>5975</v>
      </c>
    </row>
    <row r="4133" spans="1:4" x14ac:dyDescent="0.2">
      <c r="A4133">
        <v>18</v>
      </c>
      <c r="B4133">
        <v>500.1</v>
      </c>
      <c r="C4133">
        <v>500</v>
      </c>
      <c r="D4133" t="s">
        <v>5975</v>
      </c>
    </row>
    <row r="4134" spans="1:4" x14ac:dyDescent="0.2">
      <c r="A4134">
        <v>13</v>
      </c>
      <c r="B4134">
        <v>1000.1</v>
      </c>
      <c r="C4134">
        <v>1000</v>
      </c>
      <c r="D4134" t="s">
        <v>5975</v>
      </c>
    </row>
    <row r="4135" spans="1:4" x14ac:dyDescent="0.2">
      <c r="A4135">
        <v>14</v>
      </c>
      <c r="B4135">
        <v>999.8</v>
      </c>
      <c r="C4135">
        <v>1000</v>
      </c>
      <c r="D4135" t="s">
        <v>5975</v>
      </c>
    </row>
    <row r="4136" spans="1:4" x14ac:dyDescent="0.2">
      <c r="A4136">
        <v>15</v>
      </c>
      <c r="B4136">
        <v>999.7</v>
      </c>
      <c r="C4136">
        <v>1000</v>
      </c>
      <c r="D4136" t="s">
        <v>5975</v>
      </c>
    </row>
    <row r="4137" spans="1:4" x14ac:dyDescent="0.2">
      <c r="A4137">
        <v>16</v>
      </c>
      <c r="B4137">
        <v>1000.1</v>
      </c>
      <c r="C4137">
        <v>1000</v>
      </c>
      <c r="D4137" t="s">
        <v>5975</v>
      </c>
    </row>
    <row r="4138" spans="1:4" x14ac:dyDescent="0.2">
      <c r="A4138">
        <v>17</v>
      </c>
      <c r="B4138">
        <v>1000.2</v>
      </c>
      <c r="C4138">
        <v>1000</v>
      </c>
      <c r="D4138" t="s">
        <v>5975</v>
      </c>
    </row>
    <row r="4139" spans="1:4" x14ac:dyDescent="0.2">
      <c r="A4139">
        <v>18</v>
      </c>
      <c r="B4139">
        <v>1000.1</v>
      </c>
      <c r="C4139">
        <v>1000</v>
      </c>
      <c r="D4139" t="s">
        <v>5975</v>
      </c>
    </row>
    <row r="4140" spans="1:4" x14ac:dyDescent="0.2">
      <c r="A4140">
        <v>19</v>
      </c>
      <c r="B4140">
        <v>-100.1</v>
      </c>
      <c r="C4140">
        <v>-100</v>
      </c>
      <c r="D4140" t="s">
        <v>5975</v>
      </c>
    </row>
    <row r="4141" spans="1:4" x14ac:dyDescent="0.2">
      <c r="A4141">
        <v>20</v>
      </c>
      <c r="B4141">
        <v>-100.1</v>
      </c>
      <c r="C4141">
        <v>-100</v>
      </c>
      <c r="D4141" t="s">
        <v>5975</v>
      </c>
    </row>
    <row r="4142" spans="1:4" x14ac:dyDescent="0.2">
      <c r="A4142">
        <v>21</v>
      </c>
      <c r="B4142">
        <v>-100.1</v>
      </c>
      <c r="C4142">
        <v>-100</v>
      </c>
      <c r="D4142" t="s">
        <v>5975</v>
      </c>
    </row>
    <row r="4143" spans="1:4" x14ac:dyDescent="0.2">
      <c r="A4143">
        <v>22</v>
      </c>
      <c r="B4143">
        <v>-100</v>
      </c>
      <c r="C4143">
        <v>-100</v>
      </c>
      <c r="D4143" t="s">
        <v>5975</v>
      </c>
    </row>
    <row r="4144" spans="1:4" x14ac:dyDescent="0.2">
      <c r="A4144">
        <v>23</v>
      </c>
      <c r="B4144">
        <v>-100.2</v>
      </c>
      <c r="C4144">
        <v>-100</v>
      </c>
      <c r="D4144" t="s">
        <v>5975</v>
      </c>
    </row>
    <row r="4145" spans="1:4" x14ac:dyDescent="0.2">
      <c r="A4145">
        <v>24</v>
      </c>
      <c r="B4145">
        <v>-99.8</v>
      </c>
      <c r="C4145">
        <v>-100</v>
      </c>
      <c r="D4145" t="s">
        <v>5975</v>
      </c>
    </row>
    <row r="4146" spans="1:4" x14ac:dyDescent="0.2">
      <c r="A4146">
        <v>19</v>
      </c>
      <c r="B4146">
        <v>-49.9</v>
      </c>
      <c r="C4146">
        <v>-50</v>
      </c>
      <c r="D4146" t="s">
        <v>5975</v>
      </c>
    </row>
    <row r="4147" spans="1:4" x14ac:dyDescent="0.2">
      <c r="A4147">
        <v>20</v>
      </c>
      <c r="B4147">
        <v>-50.1</v>
      </c>
      <c r="C4147">
        <v>-50</v>
      </c>
      <c r="D4147" t="s">
        <v>5975</v>
      </c>
    </row>
    <row r="4148" spans="1:4" x14ac:dyDescent="0.2">
      <c r="A4148">
        <v>21</v>
      </c>
      <c r="B4148">
        <v>-49.9</v>
      </c>
      <c r="C4148">
        <v>-50</v>
      </c>
      <c r="D4148" t="s">
        <v>5975</v>
      </c>
    </row>
    <row r="4149" spans="1:4" x14ac:dyDescent="0.2">
      <c r="A4149">
        <v>22</v>
      </c>
      <c r="B4149">
        <v>-49.9</v>
      </c>
      <c r="C4149">
        <v>-50</v>
      </c>
      <c r="D4149" t="s">
        <v>5975</v>
      </c>
    </row>
    <row r="4150" spans="1:4" x14ac:dyDescent="0.2">
      <c r="A4150">
        <v>23</v>
      </c>
      <c r="B4150">
        <v>-50.2</v>
      </c>
      <c r="C4150">
        <v>-50</v>
      </c>
      <c r="D4150" t="s">
        <v>5975</v>
      </c>
    </row>
    <row r="4151" spans="1:4" x14ac:dyDescent="0.2">
      <c r="A4151">
        <v>24</v>
      </c>
      <c r="B4151">
        <v>-49.8</v>
      </c>
      <c r="C4151">
        <v>-50</v>
      </c>
      <c r="D4151" t="s">
        <v>5975</v>
      </c>
    </row>
    <row r="4152" spans="1:4" x14ac:dyDescent="0.2">
      <c r="A4152">
        <v>19</v>
      </c>
      <c r="B4152">
        <v>0</v>
      </c>
      <c r="C4152">
        <v>0</v>
      </c>
      <c r="D4152" t="s">
        <v>5975</v>
      </c>
    </row>
    <row r="4153" spans="1:4" x14ac:dyDescent="0.2">
      <c r="A4153">
        <v>20</v>
      </c>
      <c r="B4153">
        <v>-0.1</v>
      </c>
      <c r="C4153">
        <v>0</v>
      </c>
      <c r="D4153" t="s">
        <v>5975</v>
      </c>
    </row>
    <row r="4154" spans="1:4" x14ac:dyDescent="0.2">
      <c r="A4154">
        <v>21</v>
      </c>
      <c r="B4154">
        <v>0</v>
      </c>
      <c r="C4154">
        <v>0</v>
      </c>
      <c r="D4154" t="s">
        <v>5975</v>
      </c>
    </row>
    <row r="4155" spans="1:4" x14ac:dyDescent="0.2">
      <c r="A4155">
        <v>22</v>
      </c>
      <c r="B4155">
        <v>0.1</v>
      </c>
      <c r="C4155">
        <v>0</v>
      </c>
      <c r="D4155" t="s">
        <v>5975</v>
      </c>
    </row>
    <row r="4156" spans="1:4" x14ac:dyDescent="0.2">
      <c r="A4156">
        <v>23</v>
      </c>
      <c r="B4156">
        <v>-0.1</v>
      </c>
      <c r="C4156">
        <v>0</v>
      </c>
      <c r="D4156" t="s">
        <v>5975</v>
      </c>
    </row>
    <row r="4157" spans="1:4" x14ac:dyDescent="0.2">
      <c r="A4157">
        <v>24</v>
      </c>
      <c r="B4157">
        <v>0</v>
      </c>
      <c r="C4157">
        <v>0</v>
      </c>
      <c r="D4157" t="s">
        <v>5975</v>
      </c>
    </row>
    <row r="4158" spans="1:4" x14ac:dyDescent="0.2">
      <c r="A4158">
        <v>19</v>
      </c>
      <c r="B4158">
        <v>250</v>
      </c>
      <c r="C4158">
        <v>250</v>
      </c>
      <c r="D4158" t="s">
        <v>5975</v>
      </c>
    </row>
    <row r="4159" spans="1:4" x14ac:dyDescent="0.2">
      <c r="A4159">
        <v>20</v>
      </c>
      <c r="B4159">
        <v>249.9</v>
      </c>
      <c r="C4159">
        <v>250</v>
      </c>
      <c r="D4159" t="s">
        <v>5975</v>
      </c>
    </row>
    <row r="4160" spans="1:4" x14ac:dyDescent="0.2">
      <c r="A4160">
        <v>21</v>
      </c>
      <c r="B4160">
        <v>250.1</v>
      </c>
      <c r="C4160">
        <v>250</v>
      </c>
      <c r="D4160" t="s">
        <v>5975</v>
      </c>
    </row>
    <row r="4161" spans="1:4" x14ac:dyDescent="0.2">
      <c r="A4161">
        <v>22</v>
      </c>
      <c r="B4161">
        <v>250.1</v>
      </c>
      <c r="C4161">
        <v>250</v>
      </c>
      <c r="D4161" t="s">
        <v>5975</v>
      </c>
    </row>
    <row r="4162" spans="1:4" x14ac:dyDescent="0.2">
      <c r="A4162">
        <v>23</v>
      </c>
      <c r="B4162">
        <v>250</v>
      </c>
      <c r="C4162">
        <v>250</v>
      </c>
      <c r="D4162" t="s">
        <v>5975</v>
      </c>
    </row>
    <row r="4163" spans="1:4" x14ac:dyDescent="0.2">
      <c r="A4163">
        <v>24</v>
      </c>
      <c r="B4163">
        <v>250.1</v>
      </c>
      <c r="C4163">
        <v>250</v>
      </c>
      <c r="D4163" t="s">
        <v>5975</v>
      </c>
    </row>
    <row r="4164" spans="1:4" x14ac:dyDescent="0.2">
      <c r="A4164">
        <v>19</v>
      </c>
      <c r="B4164">
        <v>499.9</v>
      </c>
      <c r="C4164">
        <v>500</v>
      </c>
      <c r="D4164" t="s">
        <v>5975</v>
      </c>
    </row>
    <row r="4165" spans="1:4" x14ac:dyDescent="0.2">
      <c r="A4165">
        <v>20</v>
      </c>
      <c r="B4165">
        <v>499.8</v>
      </c>
      <c r="C4165">
        <v>500</v>
      </c>
      <c r="D4165" t="s">
        <v>5975</v>
      </c>
    </row>
    <row r="4166" spans="1:4" x14ac:dyDescent="0.2">
      <c r="A4166">
        <v>21</v>
      </c>
      <c r="B4166">
        <v>500.1</v>
      </c>
      <c r="C4166">
        <v>500</v>
      </c>
      <c r="D4166" t="s">
        <v>5975</v>
      </c>
    </row>
    <row r="4167" spans="1:4" x14ac:dyDescent="0.2">
      <c r="A4167">
        <v>22</v>
      </c>
      <c r="B4167">
        <v>500.1</v>
      </c>
      <c r="C4167">
        <v>500</v>
      </c>
      <c r="D4167" t="s">
        <v>5975</v>
      </c>
    </row>
    <row r="4168" spans="1:4" x14ac:dyDescent="0.2">
      <c r="A4168">
        <v>23</v>
      </c>
      <c r="B4168">
        <v>499.9</v>
      </c>
      <c r="C4168">
        <v>500</v>
      </c>
      <c r="D4168" t="s">
        <v>5975</v>
      </c>
    </row>
    <row r="4169" spans="1:4" x14ac:dyDescent="0.2">
      <c r="A4169">
        <v>24</v>
      </c>
      <c r="B4169">
        <v>499.9</v>
      </c>
      <c r="C4169">
        <v>500</v>
      </c>
      <c r="D4169" t="s">
        <v>5975</v>
      </c>
    </row>
    <row r="4170" spans="1:4" x14ac:dyDescent="0.2">
      <c r="A4170">
        <v>19</v>
      </c>
      <c r="B4170">
        <v>1000</v>
      </c>
      <c r="C4170">
        <v>1000</v>
      </c>
      <c r="D4170" t="s">
        <v>5975</v>
      </c>
    </row>
    <row r="4171" spans="1:4" x14ac:dyDescent="0.2">
      <c r="A4171">
        <v>20</v>
      </c>
      <c r="B4171">
        <v>999.7</v>
      </c>
      <c r="C4171">
        <v>1000</v>
      </c>
      <c r="D4171" t="s">
        <v>5975</v>
      </c>
    </row>
    <row r="4172" spans="1:4" x14ac:dyDescent="0.2">
      <c r="A4172">
        <v>21</v>
      </c>
      <c r="B4172">
        <v>1000.2</v>
      </c>
      <c r="C4172">
        <v>1000</v>
      </c>
      <c r="D4172" t="s">
        <v>5975</v>
      </c>
    </row>
    <row r="4173" spans="1:4" x14ac:dyDescent="0.2">
      <c r="A4173">
        <v>22</v>
      </c>
      <c r="B4173">
        <v>1000.1</v>
      </c>
      <c r="C4173">
        <v>1000</v>
      </c>
      <c r="D4173" t="s">
        <v>5975</v>
      </c>
    </row>
    <row r="4174" spans="1:4" x14ac:dyDescent="0.2">
      <c r="A4174">
        <v>23</v>
      </c>
      <c r="B4174">
        <v>999.9</v>
      </c>
      <c r="C4174">
        <v>1000</v>
      </c>
      <c r="D4174" t="s">
        <v>5975</v>
      </c>
    </row>
    <row r="4175" spans="1:4" x14ac:dyDescent="0.2">
      <c r="A4175">
        <v>24</v>
      </c>
      <c r="B4175">
        <v>999.8</v>
      </c>
      <c r="C4175">
        <v>1000</v>
      </c>
      <c r="D4175" t="s">
        <v>5975</v>
      </c>
    </row>
    <row r="4176" spans="1:4" x14ac:dyDescent="0.2">
      <c r="A4176">
        <v>25</v>
      </c>
      <c r="B4176">
        <v>-99.9</v>
      </c>
      <c r="C4176">
        <v>-100</v>
      </c>
      <c r="D4176" t="s">
        <v>5975</v>
      </c>
    </row>
    <row r="4177" spans="1:4" x14ac:dyDescent="0.2">
      <c r="A4177">
        <v>26</v>
      </c>
      <c r="B4177">
        <v>-100</v>
      </c>
      <c r="C4177">
        <v>-100</v>
      </c>
      <c r="D4177" t="s">
        <v>5975</v>
      </c>
    </row>
    <row r="4178" spans="1:4" x14ac:dyDescent="0.2">
      <c r="A4178">
        <v>27</v>
      </c>
      <c r="B4178">
        <v>-100.2</v>
      </c>
      <c r="C4178">
        <v>-100</v>
      </c>
      <c r="D4178" t="s">
        <v>5975</v>
      </c>
    </row>
    <row r="4179" spans="1:4" x14ac:dyDescent="0.2">
      <c r="A4179">
        <v>28</v>
      </c>
      <c r="B4179">
        <v>-100.1</v>
      </c>
      <c r="C4179">
        <v>-100</v>
      </c>
      <c r="D4179" t="s">
        <v>5975</v>
      </c>
    </row>
    <row r="4180" spans="1:4" x14ac:dyDescent="0.2">
      <c r="A4180">
        <v>29</v>
      </c>
      <c r="B4180">
        <v>-100.2</v>
      </c>
      <c r="C4180">
        <v>-100</v>
      </c>
      <c r="D4180" t="s">
        <v>5975</v>
      </c>
    </row>
    <row r="4181" spans="1:4" x14ac:dyDescent="0.2">
      <c r="A4181">
        <v>30</v>
      </c>
      <c r="B4181">
        <v>-100.2</v>
      </c>
      <c r="C4181">
        <v>-100</v>
      </c>
      <c r="D4181" t="s">
        <v>5975</v>
      </c>
    </row>
    <row r="4182" spans="1:4" x14ac:dyDescent="0.2">
      <c r="A4182">
        <v>25</v>
      </c>
      <c r="B4182">
        <v>-49.9</v>
      </c>
      <c r="C4182">
        <v>-50</v>
      </c>
      <c r="D4182" t="s">
        <v>5975</v>
      </c>
    </row>
    <row r="4183" spans="1:4" x14ac:dyDescent="0.2">
      <c r="A4183">
        <v>26</v>
      </c>
      <c r="B4183">
        <v>-49.8</v>
      </c>
      <c r="C4183">
        <v>-50</v>
      </c>
      <c r="D4183" t="s">
        <v>5975</v>
      </c>
    </row>
    <row r="4184" spans="1:4" x14ac:dyDescent="0.2">
      <c r="A4184">
        <v>27</v>
      </c>
      <c r="B4184">
        <v>-50.1</v>
      </c>
      <c r="C4184">
        <v>-50</v>
      </c>
      <c r="D4184" t="s">
        <v>5975</v>
      </c>
    </row>
    <row r="4185" spans="1:4" x14ac:dyDescent="0.2">
      <c r="A4185">
        <v>28</v>
      </c>
      <c r="B4185">
        <v>-50.1</v>
      </c>
      <c r="C4185">
        <v>-50</v>
      </c>
      <c r="D4185" t="s">
        <v>5975</v>
      </c>
    </row>
    <row r="4186" spans="1:4" x14ac:dyDescent="0.2">
      <c r="A4186">
        <v>29</v>
      </c>
      <c r="B4186">
        <v>-50.1</v>
      </c>
      <c r="C4186">
        <v>-50</v>
      </c>
      <c r="D4186" t="s">
        <v>5975</v>
      </c>
    </row>
    <row r="4187" spans="1:4" x14ac:dyDescent="0.2">
      <c r="A4187">
        <v>30</v>
      </c>
      <c r="B4187">
        <v>-50</v>
      </c>
      <c r="C4187">
        <v>-50</v>
      </c>
      <c r="D4187" t="s">
        <v>5975</v>
      </c>
    </row>
    <row r="4188" spans="1:4" x14ac:dyDescent="0.2">
      <c r="A4188">
        <v>25</v>
      </c>
      <c r="B4188">
        <v>0</v>
      </c>
      <c r="C4188">
        <v>0</v>
      </c>
      <c r="D4188" t="s">
        <v>5975</v>
      </c>
    </row>
    <row r="4189" spans="1:4" x14ac:dyDescent="0.2">
      <c r="A4189">
        <v>26</v>
      </c>
      <c r="B4189">
        <v>0.1</v>
      </c>
      <c r="C4189">
        <v>0</v>
      </c>
      <c r="D4189" t="s">
        <v>5975</v>
      </c>
    </row>
    <row r="4190" spans="1:4" x14ac:dyDescent="0.2">
      <c r="A4190">
        <v>27</v>
      </c>
      <c r="B4190">
        <v>-0.1</v>
      </c>
      <c r="C4190">
        <v>0</v>
      </c>
      <c r="D4190" t="s">
        <v>5975</v>
      </c>
    </row>
    <row r="4191" spans="1:4" x14ac:dyDescent="0.2">
      <c r="A4191">
        <v>28</v>
      </c>
      <c r="B4191">
        <v>0</v>
      </c>
      <c r="C4191">
        <v>0</v>
      </c>
      <c r="D4191" t="s">
        <v>5975</v>
      </c>
    </row>
    <row r="4192" spans="1:4" x14ac:dyDescent="0.2">
      <c r="A4192">
        <v>29</v>
      </c>
      <c r="B4192">
        <v>0.1</v>
      </c>
      <c r="C4192">
        <v>0</v>
      </c>
      <c r="D4192" t="s">
        <v>5975</v>
      </c>
    </row>
    <row r="4193" spans="1:4" x14ac:dyDescent="0.2">
      <c r="A4193">
        <v>30</v>
      </c>
      <c r="B4193">
        <v>0.1</v>
      </c>
      <c r="C4193">
        <v>0</v>
      </c>
      <c r="D4193" t="s">
        <v>5975</v>
      </c>
    </row>
    <row r="4194" spans="1:4" x14ac:dyDescent="0.2">
      <c r="A4194">
        <v>25</v>
      </c>
      <c r="B4194">
        <v>250.1</v>
      </c>
      <c r="C4194">
        <v>250</v>
      </c>
      <c r="D4194" t="s">
        <v>5975</v>
      </c>
    </row>
    <row r="4195" spans="1:4" x14ac:dyDescent="0.2">
      <c r="A4195">
        <v>26</v>
      </c>
      <c r="B4195">
        <v>250.1</v>
      </c>
      <c r="C4195">
        <v>250</v>
      </c>
      <c r="D4195" t="s">
        <v>5975</v>
      </c>
    </row>
    <row r="4196" spans="1:4" x14ac:dyDescent="0.2">
      <c r="A4196">
        <v>27</v>
      </c>
      <c r="B4196">
        <v>250.2</v>
      </c>
      <c r="C4196">
        <v>250</v>
      </c>
      <c r="D4196" t="s">
        <v>5975</v>
      </c>
    </row>
    <row r="4197" spans="1:4" x14ac:dyDescent="0.2">
      <c r="A4197">
        <v>28</v>
      </c>
      <c r="B4197">
        <v>250.1</v>
      </c>
      <c r="C4197">
        <v>250</v>
      </c>
      <c r="D4197" t="s">
        <v>5975</v>
      </c>
    </row>
    <row r="4198" spans="1:4" x14ac:dyDescent="0.2">
      <c r="A4198">
        <v>29</v>
      </c>
      <c r="B4198">
        <v>249.8</v>
      </c>
      <c r="C4198">
        <v>250</v>
      </c>
      <c r="D4198" t="s">
        <v>5975</v>
      </c>
    </row>
    <row r="4199" spans="1:4" x14ac:dyDescent="0.2">
      <c r="A4199">
        <v>30</v>
      </c>
      <c r="B4199">
        <v>249.9</v>
      </c>
      <c r="C4199">
        <v>250</v>
      </c>
      <c r="D4199" t="s">
        <v>5975</v>
      </c>
    </row>
    <row r="4200" spans="1:4" x14ac:dyDescent="0.2">
      <c r="A4200">
        <v>25</v>
      </c>
      <c r="B4200">
        <v>500.1</v>
      </c>
      <c r="C4200">
        <v>500</v>
      </c>
      <c r="D4200" t="s">
        <v>5975</v>
      </c>
    </row>
    <row r="4201" spans="1:4" x14ac:dyDescent="0.2">
      <c r="A4201">
        <v>26</v>
      </c>
      <c r="B4201">
        <v>500.1</v>
      </c>
      <c r="C4201">
        <v>500</v>
      </c>
      <c r="D4201" t="s">
        <v>5975</v>
      </c>
    </row>
    <row r="4202" spans="1:4" x14ac:dyDescent="0.2">
      <c r="A4202">
        <v>27</v>
      </c>
      <c r="B4202">
        <v>500.2</v>
      </c>
      <c r="C4202">
        <v>500</v>
      </c>
      <c r="D4202" t="s">
        <v>5975</v>
      </c>
    </row>
    <row r="4203" spans="1:4" x14ac:dyDescent="0.2">
      <c r="A4203">
        <v>28</v>
      </c>
      <c r="B4203">
        <v>500.1</v>
      </c>
      <c r="C4203">
        <v>500</v>
      </c>
      <c r="D4203" t="s">
        <v>5975</v>
      </c>
    </row>
    <row r="4204" spans="1:4" x14ac:dyDescent="0.2">
      <c r="A4204">
        <v>29</v>
      </c>
      <c r="B4204">
        <v>499.9</v>
      </c>
      <c r="C4204">
        <v>500</v>
      </c>
      <c r="D4204" t="s">
        <v>5975</v>
      </c>
    </row>
    <row r="4205" spans="1:4" x14ac:dyDescent="0.2">
      <c r="A4205">
        <v>30</v>
      </c>
      <c r="B4205">
        <v>500</v>
      </c>
      <c r="C4205">
        <v>500</v>
      </c>
      <c r="D4205" t="s">
        <v>5975</v>
      </c>
    </row>
    <row r="4206" spans="1:4" x14ac:dyDescent="0.2">
      <c r="A4206">
        <v>25</v>
      </c>
      <c r="B4206">
        <v>1000.2</v>
      </c>
      <c r="C4206">
        <v>1000</v>
      </c>
      <c r="D4206" t="s">
        <v>5975</v>
      </c>
    </row>
    <row r="4207" spans="1:4" x14ac:dyDescent="0.2">
      <c r="A4207">
        <v>26</v>
      </c>
      <c r="B4207">
        <v>1000.1</v>
      </c>
      <c r="C4207">
        <v>1000</v>
      </c>
      <c r="D4207" t="s">
        <v>5975</v>
      </c>
    </row>
    <row r="4208" spans="1:4" x14ac:dyDescent="0.2">
      <c r="A4208">
        <v>27</v>
      </c>
      <c r="B4208">
        <v>1000.3</v>
      </c>
      <c r="C4208">
        <v>1000</v>
      </c>
      <c r="D4208" t="s">
        <v>5975</v>
      </c>
    </row>
    <row r="4209" spans="1:4" x14ac:dyDescent="0.2">
      <c r="A4209">
        <v>28</v>
      </c>
      <c r="B4209">
        <v>1000.2</v>
      </c>
      <c r="C4209">
        <v>1000</v>
      </c>
      <c r="D4209" t="s">
        <v>5975</v>
      </c>
    </row>
    <row r="4210" spans="1:4" x14ac:dyDescent="0.2">
      <c r="A4210">
        <v>29</v>
      </c>
      <c r="B4210">
        <v>999.9</v>
      </c>
      <c r="C4210">
        <v>1000</v>
      </c>
      <c r="D4210" t="s">
        <v>5975</v>
      </c>
    </row>
    <row r="4211" spans="1:4" x14ac:dyDescent="0.2">
      <c r="A4211">
        <v>30</v>
      </c>
      <c r="B4211">
        <v>1000</v>
      </c>
      <c r="C4211">
        <v>1000</v>
      </c>
      <c r="D4211" t="s">
        <v>5975</v>
      </c>
    </row>
    <row r="4212" spans="1:4" x14ac:dyDescent="0.2">
      <c r="A4212">
        <v>31</v>
      </c>
      <c r="B4212">
        <v>-100.1</v>
      </c>
      <c r="C4212">
        <v>-100</v>
      </c>
      <c r="D4212" t="s">
        <v>5975</v>
      </c>
    </row>
    <row r="4213" spans="1:4" x14ac:dyDescent="0.2">
      <c r="A4213">
        <v>32</v>
      </c>
      <c r="B4213">
        <v>-100</v>
      </c>
      <c r="C4213">
        <v>-100</v>
      </c>
      <c r="D4213" t="s">
        <v>5975</v>
      </c>
    </row>
    <row r="4214" spans="1:4" x14ac:dyDescent="0.2">
      <c r="A4214">
        <v>33</v>
      </c>
      <c r="B4214">
        <v>-100.2</v>
      </c>
      <c r="C4214">
        <v>-100</v>
      </c>
      <c r="D4214" t="s">
        <v>5975</v>
      </c>
    </row>
    <row r="4215" spans="1:4" x14ac:dyDescent="0.2">
      <c r="A4215">
        <v>34</v>
      </c>
      <c r="B4215">
        <v>-100.2</v>
      </c>
      <c r="C4215">
        <v>-100</v>
      </c>
      <c r="D4215" t="s">
        <v>5975</v>
      </c>
    </row>
    <row r="4216" spans="1:4" x14ac:dyDescent="0.2">
      <c r="A4216">
        <v>35</v>
      </c>
      <c r="B4216">
        <v>-100.2</v>
      </c>
      <c r="C4216">
        <v>-100</v>
      </c>
      <c r="D4216" t="s">
        <v>5975</v>
      </c>
    </row>
    <row r="4217" spans="1:4" x14ac:dyDescent="0.2">
      <c r="A4217">
        <v>36</v>
      </c>
      <c r="B4217">
        <v>-100.3</v>
      </c>
      <c r="C4217">
        <v>-100</v>
      </c>
      <c r="D4217" t="s">
        <v>5975</v>
      </c>
    </row>
    <row r="4218" spans="1:4" x14ac:dyDescent="0.2">
      <c r="A4218">
        <v>31</v>
      </c>
      <c r="B4218">
        <v>-49.9</v>
      </c>
      <c r="C4218">
        <v>-50</v>
      </c>
      <c r="D4218" t="s">
        <v>5975</v>
      </c>
    </row>
    <row r="4219" spans="1:4" x14ac:dyDescent="0.2">
      <c r="A4219">
        <v>32</v>
      </c>
      <c r="B4219">
        <v>-50</v>
      </c>
      <c r="C4219">
        <v>-50</v>
      </c>
      <c r="D4219" t="s">
        <v>5975</v>
      </c>
    </row>
    <row r="4220" spans="1:4" x14ac:dyDescent="0.2">
      <c r="A4220">
        <v>33</v>
      </c>
      <c r="B4220">
        <v>-50.1</v>
      </c>
      <c r="C4220">
        <v>-50</v>
      </c>
      <c r="D4220" t="s">
        <v>5975</v>
      </c>
    </row>
    <row r="4221" spans="1:4" x14ac:dyDescent="0.2">
      <c r="A4221">
        <v>34</v>
      </c>
      <c r="B4221">
        <v>-50.2</v>
      </c>
      <c r="C4221">
        <v>-50</v>
      </c>
      <c r="D4221" t="s">
        <v>5975</v>
      </c>
    </row>
    <row r="4222" spans="1:4" x14ac:dyDescent="0.2">
      <c r="A4222">
        <v>35</v>
      </c>
      <c r="B4222">
        <v>-50.1</v>
      </c>
      <c r="C4222">
        <v>-50</v>
      </c>
      <c r="D4222" t="s">
        <v>5975</v>
      </c>
    </row>
    <row r="4223" spans="1:4" x14ac:dyDescent="0.2">
      <c r="A4223">
        <v>36</v>
      </c>
      <c r="B4223">
        <v>-50.2</v>
      </c>
      <c r="C4223">
        <v>-50</v>
      </c>
      <c r="D4223" t="s">
        <v>5975</v>
      </c>
    </row>
    <row r="4224" spans="1:4" x14ac:dyDescent="0.2">
      <c r="A4224">
        <v>31</v>
      </c>
      <c r="B4224">
        <v>0.2</v>
      </c>
      <c r="C4224">
        <v>0</v>
      </c>
      <c r="D4224" t="s">
        <v>5975</v>
      </c>
    </row>
    <row r="4225" spans="1:4" x14ac:dyDescent="0.2">
      <c r="A4225">
        <v>32</v>
      </c>
      <c r="B4225">
        <v>0.2</v>
      </c>
      <c r="C4225">
        <v>0</v>
      </c>
      <c r="D4225" t="s">
        <v>5975</v>
      </c>
    </row>
    <row r="4226" spans="1:4" x14ac:dyDescent="0.2">
      <c r="A4226">
        <v>33</v>
      </c>
      <c r="B4226">
        <v>0.1</v>
      </c>
      <c r="C4226">
        <v>0</v>
      </c>
      <c r="D4226" t="s">
        <v>5975</v>
      </c>
    </row>
    <row r="4227" spans="1:4" x14ac:dyDescent="0.2">
      <c r="A4227">
        <v>34</v>
      </c>
      <c r="B4227">
        <v>0.1</v>
      </c>
      <c r="C4227">
        <v>0</v>
      </c>
      <c r="D4227" t="s">
        <v>5975</v>
      </c>
    </row>
    <row r="4228" spans="1:4" x14ac:dyDescent="0.2">
      <c r="A4228">
        <v>35</v>
      </c>
      <c r="B4228">
        <v>0.1</v>
      </c>
      <c r="C4228">
        <v>0</v>
      </c>
      <c r="D4228" t="s">
        <v>5975</v>
      </c>
    </row>
    <row r="4229" spans="1:4" x14ac:dyDescent="0.2">
      <c r="A4229">
        <v>36</v>
      </c>
      <c r="B4229">
        <v>0.1</v>
      </c>
      <c r="C4229">
        <v>0</v>
      </c>
      <c r="D4229" t="s">
        <v>5975</v>
      </c>
    </row>
    <row r="4230" spans="1:4" x14ac:dyDescent="0.2">
      <c r="A4230">
        <v>31</v>
      </c>
      <c r="B4230">
        <v>250</v>
      </c>
      <c r="C4230">
        <v>250</v>
      </c>
      <c r="D4230" t="s">
        <v>5975</v>
      </c>
    </row>
    <row r="4231" spans="1:4" x14ac:dyDescent="0.2">
      <c r="A4231">
        <v>32</v>
      </c>
      <c r="B4231">
        <v>250.1</v>
      </c>
      <c r="C4231">
        <v>250</v>
      </c>
      <c r="D4231" t="s">
        <v>5975</v>
      </c>
    </row>
    <row r="4232" spans="1:4" x14ac:dyDescent="0.2">
      <c r="A4232">
        <v>33</v>
      </c>
      <c r="B4232">
        <v>249.8</v>
      </c>
      <c r="C4232">
        <v>250</v>
      </c>
      <c r="D4232" t="s">
        <v>5975</v>
      </c>
    </row>
    <row r="4233" spans="1:4" x14ac:dyDescent="0.2">
      <c r="A4233">
        <v>34</v>
      </c>
      <c r="B4233">
        <v>249.7</v>
      </c>
      <c r="C4233">
        <v>250</v>
      </c>
      <c r="D4233" t="s">
        <v>5975</v>
      </c>
    </row>
    <row r="4234" spans="1:4" x14ac:dyDescent="0.2">
      <c r="A4234">
        <v>35</v>
      </c>
      <c r="B4234">
        <v>249.8</v>
      </c>
      <c r="C4234">
        <v>250</v>
      </c>
      <c r="D4234" t="s">
        <v>5975</v>
      </c>
    </row>
    <row r="4235" spans="1:4" x14ac:dyDescent="0.2">
      <c r="A4235">
        <v>36</v>
      </c>
      <c r="B4235">
        <v>250</v>
      </c>
      <c r="C4235">
        <v>250</v>
      </c>
      <c r="D4235" t="s">
        <v>5975</v>
      </c>
    </row>
    <row r="4236" spans="1:4" x14ac:dyDescent="0.2">
      <c r="A4236">
        <v>31</v>
      </c>
      <c r="B4236">
        <v>500.1</v>
      </c>
      <c r="C4236">
        <v>500</v>
      </c>
      <c r="D4236" t="s">
        <v>5975</v>
      </c>
    </row>
    <row r="4237" spans="1:4" x14ac:dyDescent="0.2">
      <c r="A4237">
        <v>32</v>
      </c>
      <c r="B4237">
        <v>500.1</v>
      </c>
      <c r="C4237">
        <v>500</v>
      </c>
      <c r="D4237" t="s">
        <v>5975</v>
      </c>
    </row>
    <row r="4238" spans="1:4" x14ac:dyDescent="0.2">
      <c r="A4238">
        <v>33</v>
      </c>
      <c r="B4238">
        <v>500</v>
      </c>
      <c r="C4238">
        <v>500</v>
      </c>
      <c r="D4238" t="s">
        <v>5975</v>
      </c>
    </row>
    <row r="4239" spans="1:4" x14ac:dyDescent="0.2">
      <c r="A4239">
        <v>34</v>
      </c>
      <c r="B4239">
        <v>500.1</v>
      </c>
      <c r="C4239">
        <v>500</v>
      </c>
      <c r="D4239" t="s">
        <v>5975</v>
      </c>
    </row>
    <row r="4240" spans="1:4" x14ac:dyDescent="0.2">
      <c r="A4240">
        <v>35</v>
      </c>
      <c r="B4240">
        <v>500</v>
      </c>
      <c r="C4240">
        <v>500</v>
      </c>
      <c r="D4240" t="s">
        <v>5975</v>
      </c>
    </row>
    <row r="4241" spans="1:4" x14ac:dyDescent="0.2">
      <c r="A4241">
        <v>36</v>
      </c>
      <c r="B4241">
        <v>500.2</v>
      </c>
      <c r="C4241">
        <v>500</v>
      </c>
      <c r="D4241" t="s">
        <v>5975</v>
      </c>
    </row>
    <row r="4242" spans="1:4" x14ac:dyDescent="0.2">
      <c r="A4242">
        <v>31</v>
      </c>
      <c r="B4242">
        <v>1000</v>
      </c>
      <c r="C4242">
        <v>1000</v>
      </c>
      <c r="D4242" t="s">
        <v>5975</v>
      </c>
    </row>
    <row r="4243" spans="1:4" x14ac:dyDescent="0.2">
      <c r="A4243">
        <v>32</v>
      </c>
      <c r="B4243">
        <v>1000.2</v>
      </c>
      <c r="C4243">
        <v>1000</v>
      </c>
      <c r="D4243" t="s">
        <v>5975</v>
      </c>
    </row>
    <row r="4244" spans="1:4" x14ac:dyDescent="0.2">
      <c r="A4244">
        <v>33</v>
      </c>
      <c r="B4244">
        <v>1000.1</v>
      </c>
      <c r="C4244">
        <v>1000</v>
      </c>
      <c r="D4244" t="s">
        <v>5975</v>
      </c>
    </row>
    <row r="4245" spans="1:4" x14ac:dyDescent="0.2">
      <c r="A4245">
        <v>34</v>
      </c>
      <c r="B4245">
        <v>1000.3</v>
      </c>
      <c r="C4245">
        <v>1000</v>
      </c>
      <c r="D4245" t="s">
        <v>5975</v>
      </c>
    </row>
    <row r="4246" spans="1:4" x14ac:dyDescent="0.2">
      <c r="A4246">
        <v>35</v>
      </c>
      <c r="B4246">
        <v>1000.1</v>
      </c>
      <c r="C4246">
        <v>1000</v>
      </c>
      <c r="D4246" t="s">
        <v>5975</v>
      </c>
    </row>
    <row r="4247" spans="1:4" x14ac:dyDescent="0.2">
      <c r="A4247">
        <v>36</v>
      </c>
      <c r="B4247">
        <v>1000.2</v>
      </c>
      <c r="C4247">
        <v>1000</v>
      </c>
      <c r="D4247" t="s">
        <v>5975</v>
      </c>
    </row>
    <row r="4248" spans="1:4" x14ac:dyDescent="0.2">
      <c r="A4248">
        <v>37</v>
      </c>
      <c r="B4248">
        <v>-100.5</v>
      </c>
      <c r="C4248">
        <v>-100</v>
      </c>
      <c r="D4248" t="s">
        <v>5975</v>
      </c>
    </row>
    <row r="4249" spans="1:4" x14ac:dyDescent="0.2">
      <c r="A4249">
        <v>38</v>
      </c>
      <c r="B4249">
        <v>-100.1</v>
      </c>
      <c r="C4249">
        <v>-100</v>
      </c>
      <c r="D4249" t="s">
        <v>5975</v>
      </c>
    </row>
    <row r="4250" spans="1:4" x14ac:dyDescent="0.2">
      <c r="A4250">
        <v>39</v>
      </c>
      <c r="B4250">
        <v>-99.8</v>
      </c>
      <c r="C4250">
        <v>-100</v>
      </c>
      <c r="D4250" t="s">
        <v>5975</v>
      </c>
    </row>
    <row r="4251" spans="1:4" x14ac:dyDescent="0.2">
      <c r="A4251">
        <v>40</v>
      </c>
      <c r="B4251">
        <v>-99.8</v>
      </c>
      <c r="C4251">
        <v>-100</v>
      </c>
      <c r="D4251" t="s">
        <v>5975</v>
      </c>
    </row>
    <row r="4252" spans="1:4" x14ac:dyDescent="0.2">
      <c r="A4252">
        <v>37</v>
      </c>
      <c r="B4252">
        <v>-50.3</v>
      </c>
      <c r="C4252">
        <v>-50</v>
      </c>
      <c r="D4252" t="s">
        <v>5975</v>
      </c>
    </row>
    <row r="4253" spans="1:4" x14ac:dyDescent="0.2">
      <c r="A4253">
        <v>38</v>
      </c>
      <c r="B4253">
        <v>-49.8</v>
      </c>
      <c r="C4253">
        <v>-50</v>
      </c>
      <c r="D4253" t="s">
        <v>5975</v>
      </c>
    </row>
    <row r="4254" spans="1:4" x14ac:dyDescent="0.2">
      <c r="A4254">
        <v>39</v>
      </c>
      <c r="B4254">
        <v>-50</v>
      </c>
      <c r="C4254">
        <v>-50</v>
      </c>
      <c r="D4254" t="s">
        <v>5975</v>
      </c>
    </row>
    <row r="4255" spans="1:4" x14ac:dyDescent="0.2">
      <c r="A4255">
        <v>40</v>
      </c>
      <c r="B4255">
        <v>-50</v>
      </c>
      <c r="C4255">
        <v>-50</v>
      </c>
      <c r="D4255" t="s">
        <v>5975</v>
      </c>
    </row>
    <row r="4256" spans="1:4" x14ac:dyDescent="0.2">
      <c r="A4256">
        <v>37</v>
      </c>
      <c r="B4256">
        <v>0.3</v>
      </c>
      <c r="C4256">
        <v>0</v>
      </c>
      <c r="D4256" t="s">
        <v>5975</v>
      </c>
    </row>
    <row r="4257" spans="1:4" x14ac:dyDescent="0.2">
      <c r="A4257">
        <v>38</v>
      </c>
      <c r="B4257">
        <v>0.2</v>
      </c>
      <c r="C4257">
        <v>0</v>
      </c>
      <c r="D4257" t="s">
        <v>5975</v>
      </c>
    </row>
    <row r="4258" spans="1:4" x14ac:dyDescent="0.2">
      <c r="A4258">
        <v>39</v>
      </c>
      <c r="B4258">
        <v>0.2</v>
      </c>
      <c r="C4258">
        <v>0</v>
      </c>
      <c r="D4258" t="s">
        <v>5975</v>
      </c>
    </row>
    <row r="4259" spans="1:4" x14ac:dyDescent="0.2">
      <c r="A4259">
        <v>40</v>
      </c>
      <c r="B4259">
        <v>0.2</v>
      </c>
      <c r="C4259">
        <v>0</v>
      </c>
      <c r="D4259" t="s">
        <v>5975</v>
      </c>
    </row>
    <row r="4260" spans="1:4" x14ac:dyDescent="0.2">
      <c r="A4260">
        <v>37</v>
      </c>
      <c r="B4260">
        <v>250.3</v>
      </c>
      <c r="C4260">
        <v>250</v>
      </c>
      <c r="D4260" t="s">
        <v>5975</v>
      </c>
    </row>
    <row r="4261" spans="1:4" x14ac:dyDescent="0.2">
      <c r="A4261">
        <v>38</v>
      </c>
      <c r="B4261">
        <v>250.2</v>
      </c>
      <c r="C4261">
        <v>250</v>
      </c>
      <c r="D4261" t="s">
        <v>5975</v>
      </c>
    </row>
    <row r="4262" spans="1:4" x14ac:dyDescent="0.2">
      <c r="A4262">
        <v>39</v>
      </c>
      <c r="B4262">
        <v>250.3</v>
      </c>
      <c r="C4262">
        <v>250</v>
      </c>
      <c r="D4262" t="s">
        <v>5975</v>
      </c>
    </row>
    <row r="4263" spans="1:4" x14ac:dyDescent="0.2">
      <c r="A4263">
        <v>40</v>
      </c>
      <c r="B4263">
        <v>250.1</v>
      </c>
      <c r="C4263">
        <v>250</v>
      </c>
      <c r="D4263" t="s">
        <v>5975</v>
      </c>
    </row>
    <row r="4264" spans="1:4" x14ac:dyDescent="0.2">
      <c r="A4264">
        <v>37</v>
      </c>
      <c r="B4264">
        <v>500.4</v>
      </c>
      <c r="C4264">
        <v>500</v>
      </c>
      <c r="D4264" t="s">
        <v>5975</v>
      </c>
    </row>
    <row r="4265" spans="1:4" x14ac:dyDescent="0.2">
      <c r="A4265">
        <v>38</v>
      </c>
      <c r="B4265">
        <v>500.3</v>
      </c>
      <c r="C4265">
        <v>500</v>
      </c>
      <c r="D4265" t="s">
        <v>5975</v>
      </c>
    </row>
    <row r="4266" spans="1:4" x14ac:dyDescent="0.2">
      <c r="A4266">
        <v>39</v>
      </c>
      <c r="B4266">
        <v>500</v>
      </c>
      <c r="C4266">
        <v>500</v>
      </c>
      <c r="D4266" t="s">
        <v>5975</v>
      </c>
    </row>
    <row r="4267" spans="1:4" x14ac:dyDescent="0.2">
      <c r="A4267">
        <v>40</v>
      </c>
      <c r="B4267">
        <v>500.1</v>
      </c>
      <c r="C4267">
        <v>500</v>
      </c>
      <c r="D4267" t="s">
        <v>5975</v>
      </c>
    </row>
    <row r="4268" spans="1:4" x14ac:dyDescent="0.2">
      <c r="A4268">
        <v>37</v>
      </c>
      <c r="B4268">
        <v>1000.5</v>
      </c>
      <c r="C4268">
        <v>1000</v>
      </c>
      <c r="D4268" t="s">
        <v>5975</v>
      </c>
    </row>
    <row r="4269" spans="1:4" x14ac:dyDescent="0.2">
      <c r="A4269">
        <v>38</v>
      </c>
      <c r="B4269">
        <v>1000.3</v>
      </c>
      <c r="C4269">
        <v>1000</v>
      </c>
      <c r="D4269" t="s">
        <v>5975</v>
      </c>
    </row>
    <row r="4270" spans="1:4" x14ac:dyDescent="0.2">
      <c r="A4270">
        <v>39</v>
      </c>
      <c r="B4270">
        <v>1000.1</v>
      </c>
      <c r="C4270">
        <v>1000</v>
      </c>
      <c r="D4270" t="s">
        <v>5975</v>
      </c>
    </row>
    <row r="4271" spans="1:4" x14ac:dyDescent="0.2">
      <c r="A4271">
        <v>40</v>
      </c>
      <c r="B4271">
        <v>1000.1</v>
      </c>
      <c r="C4271">
        <v>1000</v>
      </c>
      <c r="D4271" t="s">
        <v>5975</v>
      </c>
    </row>
    <row r="4272" spans="1:4" x14ac:dyDescent="0.2">
      <c r="A4272">
        <v>1</v>
      </c>
      <c r="B4272">
        <v>9.9</v>
      </c>
      <c r="C4272">
        <v>10</v>
      </c>
      <c r="D4272" t="s">
        <v>5976</v>
      </c>
    </row>
    <row r="4273" spans="1:4" x14ac:dyDescent="0.2">
      <c r="A4273">
        <v>2</v>
      </c>
      <c r="B4273">
        <v>10</v>
      </c>
      <c r="C4273">
        <v>10</v>
      </c>
      <c r="D4273" t="s">
        <v>5976</v>
      </c>
    </row>
    <row r="4274" spans="1:4" x14ac:dyDescent="0.2">
      <c r="A4274">
        <v>3</v>
      </c>
      <c r="B4274">
        <v>10</v>
      </c>
      <c r="C4274">
        <v>10</v>
      </c>
      <c r="D4274" t="s">
        <v>5976</v>
      </c>
    </row>
    <row r="4275" spans="1:4" x14ac:dyDescent="0.2">
      <c r="A4275">
        <v>4</v>
      </c>
      <c r="B4275">
        <v>10</v>
      </c>
      <c r="C4275">
        <v>10</v>
      </c>
      <c r="D4275" t="s">
        <v>5976</v>
      </c>
    </row>
    <row r="4276" spans="1:4" x14ac:dyDescent="0.2">
      <c r="A4276">
        <v>5</v>
      </c>
      <c r="B4276">
        <v>10</v>
      </c>
      <c r="C4276">
        <v>10</v>
      </c>
      <c r="D4276" t="s">
        <v>5976</v>
      </c>
    </row>
    <row r="4277" spans="1:4" x14ac:dyDescent="0.2">
      <c r="A4277">
        <v>6</v>
      </c>
      <c r="B4277">
        <v>9.9</v>
      </c>
      <c r="C4277">
        <v>10</v>
      </c>
      <c r="D4277" t="s">
        <v>5976</v>
      </c>
    </row>
    <row r="4278" spans="1:4" x14ac:dyDescent="0.2">
      <c r="A4278">
        <v>1</v>
      </c>
      <c r="B4278">
        <v>499.9</v>
      </c>
      <c r="C4278">
        <v>500</v>
      </c>
      <c r="D4278" t="s">
        <v>5976</v>
      </c>
    </row>
    <row r="4279" spans="1:4" x14ac:dyDescent="0.2">
      <c r="A4279">
        <v>2</v>
      </c>
      <c r="B4279">
        <v>499.5</v>
      </c>
      <c r="C4279">
        <v>500</v>
      </c>
      <c r="D4279" t="s">
        <v>5976</v>
      </c>
    </row>
    <row r="4280" spans="1:4" x14ac:dyDescent="0.2">
      <c r="A4280">
        <v>3</v>
      </c>
      <c r="B4280">
        <v>499.9</v>
      </c>
      <c r="C4280">
        <v>500</v>
      </c>
      <c r="D4280" t="s">
        <v>5976</v>
      </c>
    </row>
    <row r="4281" spans="1:4" x14ac:dyDescent="0.2">
      <c r="A4281">
        <v>4</v>
      </c>
      <c r="B4281">
        <v>500</v>
      </c>
      <c r="C4281">
        <v>500</v>
      </c>
      <c r="D4281" t="s">
        <v>5976</v>
      </c>
    </row>
    <row r="4282" spans="1:4" x14ac:dyDescent="0.2">
      <c r="A4282">
        <v>5</v>
      </c>
      <c r="B4282">
        <v>500</v>
      </c>
      <c r="C4282">
        <v>500</v>
      </c>
      <c r="D4282" t="s">
        <v>5976</v>
      </c>
    </row>
    <row r="4283" spans="1:4" x14ac:dyDescent="0.2">
      <c r="A4283">
        <v>6</v>
      </c>
      <c r="B4283">
        <v>499.9</v>
      </c>
      <c r="C4283">
        <v>500</v>
      </c>
      <c r="D4283" t="s">
        <v>5976</v>
      </c>
    </row>
    <row r="4284" spans="1:4" x14ac:dyDescent="0.2">
      <c r="A4284">
        <v>1</v>
      </c>
      <c r="B4284">
        <v>999.9</v>
      </c>
      <c r="C4284">
        <v>1000</v>
      </c>
      <c r="D4284" t="s">
        <v>5976</v>
      </c>
    </row>
    <row r="4285" spans="1:4" x14ac:dyDescent="0.2">
      <c r="A4285">
        <v>2</v>
      </c>
      <c r="B4285">
        <v>999.4</v>
      </c>
      <c r="C4285">
        <v>1000</v>
      </c>
      <c r="D4285" t="s">
        <v>5976</v>
      </c>
    </row>
    <row r="4286" spans="1:4" x14ac:dyDescent="0.2">
      <c r="A4286">
        <v>3</v>
      </c>
      <c r="B4286">
        <v>999.9</v>
      </c>
      <c r="C4286">
        <v>1000</v>
      </c>
      <c r="D4286" t="s">
        <v>5976</v>
      </c>
    </row>
    <row r="4287" spans="1:4" x14ac:dyDescent="0.2">
      <c r="A4287">
        <v>4</v>
      </c>
      <c r="B4287">
        <v>1000</v>
      </c>
      <c r="C4287">
        <v>1000</v>
      </c>
      <c r="D4287" t="s">
        <v>5976</v>
      </c>
    </row>
    <row r="4288" spans="1:4" x14ac:dyDescent="0.2">
      <c r="A4288">
        <v>5</v>
      </c>
      <c r="B4288">
        <v>1000</v>
      </c>
      <c r="C4288">
        <v>1000</v>
      </c>
      <c r="D4288" t="s">
        <v>5976</v>
      </c>
    </row>
    <row r="4289" spans="1:4" x14ac:dyDescent="0.2">
      <c r="A4289">
        <v>6</v>
      </c>
      <c r="B4289">
        <v>999.9</v>
      </c>
      <c r="C4289">
        <v>1000</v>
      </c>
      <c r="D4289" t="s">
        <v>5976</v>
      </c>
    </row>
    <row r="4290" spans="1:4" x14ac:dyDescent="0.2">
      <c r="A4290">
        <v>1</v>
      </c>
      <c r="B4290">
        <v>1499.8</v>
      </c>
      <c r="C4290">
        <v>1500</v>
      </c>
      <c r="D4290" t="s">
        <v>5976</v>
      </c>
    </row>
    <row r="4291" spans="1:4" x14ac:dyDescent="0.2">
      <c r="A4291">
        <v>2</v>
      </c>
      <c r="B4291">
        <v>1499.3</v>
      </c>
      <c r="C4291">
        <v>1500</v>
      </c>
      <c r="D4291" t="s">
        <v>5976</v>
      </c>
    </row>
    <row r="4292" spans="1:4" x14ac:dyDescent="0.2">
      <c r="A4292">
        <v>3</v>
      </c>
      <c r="B4292">
        <v>1499.8</v>
      </c>
      <c r="C4292">
        <v>1500</v>
      </c>
      <c r="D4292" t="s">
        <v>5976</v>
      </c>
    </row>
    <row r="4293" spans="1:4" x14ac:dyDescent="0.2">
      <c r="A4293">
        <v>4</v>
      </c>
      <c r="B4293">
        <v>1500</v>
      </c>
      <c r="C4293">
        <v>1500</v>
      </c>
      <c r="D4293" t="s">
        <v>5976</v>
      </c>
    </row>
    <row r="4294" spans="1:4" x14ac:dyDescent="0.2">
      <c r="A4294">
        <v>5</v>
      </c>
      <c r="B4294">
        <v>1500</v>
      </c>
      <c r="C4294">
        <v>1500</v>
      </c>
      <c r="D4294" t="s">
        <v>5976</v>
      </c>
    </row>
    <row r="4295" spans="1:4" x14ac:dyDescent="0.2">
      <c r="A4295">
        <v>6</v>
      </c>
      <c r="B4295">
        <v>1499.9</v>
      </c>
      <c r="C4295">
        <v>1500</v>
      </c>
      <c r="D4295" t="s">
        <v>5976</v>
      </c>
    </row>
    <row r="4296" spans="1:4" x14ac:dyDescent="0.2">
      <c r="A4296">
        <v>1</v>
      </c>
      <c r="B4296">
        <v>1999.7</v>
      </c>
      <c r="C4296">
        <v>2000</v>
      </c>
      <c r="D4296" t="s">
        <v>5976</v>
      </c>
    </row>
    <row r="4297" spans="1:4" x14ac:dyDescent="0.2">
      <c r="A4297">
        <v>2</v>
      </c>
      <c r="B4297">
        <v>1999.3</v>
      </c>
      <c r="C4297">
        <v>2000</v>
      </c>
      <c r="D4297" t="s">
        <v>5976</v>
      </c>
    </row>
    <row r="4298" spans="1:4" x14ac:dyDescent="0.2">
      <c r="A4298">
        <v>3</v>
      </c>
      <c r="B4298">
        <v>1999.6</v>
      </c>
      <c r="C4298">
        <v>2000</v>
      </c>
      <c r="D4298" t="s">
        <v>5976</v>
      </c>
    </row>
    <row r="4299" spans="1:4" x14ac:dyDescent="0.2">
      <c r="A4299">
        <v>4</v>
      </c>
      <c r="B4299">
        <v>2000</v>
      </c>
      <c r="C4299">
        <v>2000</v>
      </c>
      <c r="D4299" t="s">
        <v>5976</v>
      </c>
    </row>
    <row r="4300" spans="1:4" x14ac:dyDescent="0.2">
      <c r="A4300">
        <v>5</v>
      </c>
      <c r="B4300">
        <v>2000</v>
      </c>
      <c r="C4300">
        <v>2000</v>
      </c>
      <c r="D4300" t="s">
        <v>5976</v>
      </c>
    </row>
    <row r="4301" spans="1:4" x14ac:dyDescent="0.2">
      <c r="A4301">
        <v>6</v>
      </c>
      <c r="B4301">
        <v>1999.8</v>
      </c>
      <c r="C4301">
        <v>2000</v>
      </c>
      <c r="D4301" t="s">
        <v>5976</v>
      </c>
    </row>
    <row r="4302" spans="1:4" x14ac:dyDescent="0.2">
      <c r="A4302">
        <v>1</v>
      </c>
      <c r="B4302">
        <v>2289.6999999999998</v>
      </c>
      <c r="C4302">
        <v>2290</v>
      </c>
      <c r="D4302" t="s">
        <v>5976</v>
      </c>
    </row>
    <row r="4303" spans="1:4" x14ac:dyDescent="0.2">
      <c r="A4303">
        <v>2</v>
      </c>
      <c r="B4303">
        <v>2290</v>
      </c>
      <c r="C4303">
        <v>2290</v>
      </c>
      <c r="D4303" t="s">
        <v>5976</v>
      </c>
    </row>
    <row r="4304" spans="1:4" x14ac:dyDescent="0.2">
      <c r="A4304">
        <v>3</v>
      </c>
      <c r="B4304">
        <v>2289.6999999999998</v>
      </c>
      <c r="C4304">
        <v>2290</v>
      </c>
      <c r="D4304" t="s">
        <v>5976</v>
      </c>
    </row>
    <row r="4305" spans="1:4" x14ac:dyDescent="0.2">
      <c r="A4305">
        <v>4</v>
      </c>
      <c r="B4305">
        <v>2290.1</v>
      </c>
      <c r="C4305">
        <v>2290</v>
      </c>
      <c r="D4305" t="s">
        <v>5976</v>
      </c>
    </row>
    <row r="4306" spans="1:4" x14ac:dyDescent="0.2">
      <c r="A4306">
        <v>5</v>
      </c>
      <c r="B4306">
        <v>2290.1</v>
      </c>
      <c r="C4306">
        <v>2290</v>
      </c>
      <c r="D4306" t="s">
        <v>5976</v>
      </c>
    </row>
    <row r="4307" spans="1:4" x14ac:dyDescent="0.2">
      <c r="A4307">
        <v>6</v>
      </c>
      <c r="B4307">
        <v>2290</v>
      </c>
      <c r="C4307">
        <v>2290</v>
      </c>
      <c r="D4307" t="s">
        <v>5976</v>
      </c>
    </row>
    <row r="4308" spans="1:4" x14ac:dyDescent="0.2">
      <c r="A4308">
        <v>7</v>
      </c>
      <c r="B4308">
        <v>10</v>
      </c>
      <c r="C4308">
        <v>10</v>
      </c>
      <c r="D4308" t="s">
        <v>5976</v>
      </c>
    </row>
    <row r="4309" spans="1:4" x14ac:dyDescent="0.2">
      <c r="A4309">
        <v>8</v>
      </c>
      <c r="B4309">
        <v>10</v>
      </c>
      <c r="C4309">
        <v>10</v>
      </c>
      <c r="D4309" t="s">
        <v>5976</v>
      </c>
    </row>
    <row r="4310" spans="1:4" x14ac:dyDescent="0.2">
      <c r="A4310">
        <v>9</v>
      </c>
      <c r="B4310">
        <v>9.9</v>
      </c>
      <c r="C4310">
        <v>10</v>
      </c>
      <c r="D4310" t="s">
        <v>5976</v>
      </c>
    </row>
    <row r="4311" spans="1:4" x14ac:dyDescent="0.2">
      <c r="A4311">
        <v>10</v>
      </c>
      <c r="B4311">
        <v>10</v>
      </c>
      <c r="C4311">
        <v>10</v>
      </c>
      <c r="D4311" t="s">
        <v>5976</v>
      </c>
    </row>
    <row r="4312" spans="1:4" x14ac:dyDescent="0.2">
      <c r="A4312">
        <v>11</v>
      </c>
      <c r="B4312">
        <v>10</v>
      </c>
      <c r="C4312">
        <v>10</v>
      </c>
      <c r="D4312" t="s">
        <v>5976</v>
      </c>
    </row>
    <row r="4313" spans="1:4" x14ac:dyDescent="0.2">
      <c r="A4313">
        <v>12</v>
      </c>
      <c r="B4313">
        <v>10</v>
      </c>
      <c r="C4313">
        <v>10</v>
      </c>
      <c r="D4313" t="s">
        <v>5976</v>
      </c>
    </row>
    <row r="4314" spans="1:4" x14ac:dyDescent="0.2">
      <c r="A4314">
        <v>7</v>
      </c>
      <c r="B4314">
        <v>499.8</v>
      </c>
      <c r="C4314">
        <v>500</v>
      </c>
      <c r="D4314" t="s">
        <v>5976</v>
      </c>
    </row>
    <row r="4315" spans="1:4" x14ac:dyDescent="0.2">
      <c r="A4315">
        <v>8</v>
      </c>
      <c r="B4315">
        <v>499.9</v>
      </c>
      <c r="C4315">
        <v>500</v>
      </c>
      <c r="D4315" t="s">
        <v>5976</v>
      </c>
    </row>
    <row r="4316" spans="1:4" x14ac:dyDescent="0.2">
      <c r="A4316">
        <v>9</v>
      </c>
      <c r="B4316">
        <v>499.9</v>
      </c>
      <c r="C4316">
        <v>500</v>
      </c>
      <c r="D4316" t="s">
        <v>5976</v>
      </c>
    </row>
    <row r="4317" spans="1:4" x14ac:dyDescent="0.2">
      <c r="A4317">
        <v>10</v>
      </c>
      <c r="B4317">
        <v>499.9</v>
      </c>
      <c r="C4317">
        <v>500</v>
      </c>
      <c r="D4317" t="s">
        <v>5976</v>
      </c>
    </row>
    <row r="4318" spans="1:4" x14ac:dyDescent="0.2">
      <c r="A4318">
        <v>11</v>
      </c>
      <c r="B4318">
        <v>500.1</v>
      </c>
      <c r="C4318">
        <v>500</v>
      </c>
      <c r="D4318" t="s">
        <v>5976</v>
      </c>
    </row>
    <row r="4319" spans="1:4" x14ac:dyDescent="0.2">
      <c r="A4319">
        <v>12</v>
      </c>
      <c r="B4319">
        <v>500.1</v>
      </c>
      <c r="C4319">
        <v>500</v>
      </c>
      <c r="D4319" t="s">
        <v>5976</v>
      </c>
    </row>
    <row r="4320" spans="1:4" x14ac:dyDescent="0.2">
      <c r="A4320">
        <v>7</v>
      </c>
      <c r="B4320">
        <v>999.7</v>
      </c>
      <c r="C4320">
        <v>1000</v>
      </c>
      <c r="D4320" t="s">
        <v>5976</v>
      </c>
    </row>
    <row r="4321" spans="1:4" x14ac:dyDescent="0.2">
      <c r="A4321">
        <v>8</v>
      </c>
      <c r="B4321">
        <v>999.9</v>
      </c>
      <c r="C4321">
        <v>1000</v>
      </c>
      <c r="D4321" t="s">
        <v>5976</v>
      </c>
    </row>
    <row r="4322" spans="1:4" x14ac:dyDescent="0.2">
      <c r="A4322">
        <v>9</v>
      </c>
      <c r="B4322">
        <v>999.8</v>
      </c>
      <c r="C4322">
        <v>1000</v>
      </c>
      <c r="D4322" t="s">
        <v>5976</v>
      </c>
    </row>
    <row r="4323" spans="1:4" x14ac:dyDescent="0.2">
      <c r="A4323">
        <v>10</v>
      </c>
      <c r="B4323">
        <v>999.9</v>
      </c>
      <c r="C4323">
        <v>1000</v>
      </c>
      <c r="D4323" t="s">
        <v>5976</v>
      </c>
    </row>
    <row r="4324" spans="1:4" x14ac:dyDescent="0.2">
      <c r="A4324">
        <v>11</v>
      </c>
      <c r="B4324">
        <v>1000.3</v>
      </c>
      <c r="C4324">
        <v>1000</v>
      </c>
      <c r="D4324" t="s">
        <v>5976</v>
      </c>
    </row>
    <row r="4325" spans="1:4" x14ac:dyDescent="0.2">
      <c r="A4325">
        <v>12</v>
      </c>
      <c r="B4325">
        <v>1000.1</v>
      </c>
      <c r="C4325">
        <v>1000</v>
      </c>
      <c r="D4325" t="s">
        <v>5976</v>
      </c>
    </row>
    <row r="4326" spans="1:4" x14ac:dyDescent="0.2">
      <c r="A4326">
        <v>7</v>
      </c>
      <c r="B4326">
        <v>1499.6</v>
      </c>
      <c r="C4326">
        <v>1500</v>
      </c>
      <c r="D4326" t="s">
        <v>5976</v>
      </c>
    </row>
    <row r="4327" spans="1:4" x14ac:dyDescent="0.2">
      <c r="A4327">
        <v>8</v>
      </c>
      <c r="B4327">
        <v>1499.8</v>
      </c>
      <c r="C4327">
        <v>1500</v>
      </c>
      <c r="D4327" t="s">
        <v>5976</v>
      </c>
    </row>
    <row r="4328" spans="1:4" x14ac:dyDescent="0.2">
      <c r="A4328">
        <v>9</v>
      </c>
      <c r="B4328">
        <v>1499.8</v>
      </c>
      <c r="C4328">
        <v>1500</v>
      </c>
      <c r="D4328" t="s">
        <v>5976</v>
      </c>
    </row>
    <row r="4329" spans="1:4" x14ac:dyDescent="0.2">
      <c r="A4329">
        <v>10</v>
      </c>
      <c r="B4329">
        <v>1499.9</v>
      </c>
      <c r="C4329">
        <v>1500</v>
      </c>
      <c r="D4329" t="s">
        <v>5976</v>
      </c>
    </row>
    <row r="4330" spans="1:4" x14ac:dyDescent="0.2">
      <c r="A4330">
        <v>11</v>
      </c>
      <c r="B4330">
        <v>1500.3</v>
      </c>
      <c r="C4330">
        <v>1500</v>
      </c>
      <c r="D4330" t="s">
        <v>5976</v>
      </c>
    </row>
    <row r="4331" spans="1:4" x14ac:dyDescent="0.2">
      <c r="A4331">
        <v>12</v>
      </c>
      <c r="B4331">
        <v>1500</v>
      </c>
      <c r="C4331">
        <v>1500</v>
      </c>
      <c r="D4331" t="s">
        <v>5976</v>
      </c>
    </row>
    <row r="4332" spans="1:4" x14ac:dyDescent="0.2">
      <c r="A4332">
        <v>7</v>
      </c>
      <c r="B4332">
        <v>1999.5</v>
      </c>
      <c r="C4332">
        <v>2000</v>
      </c>
      <c r="D4332" t="s">
        <v>5976</v>
      </c>
    </row>
    <row r="4333" spans="1:4" x14ac:dyDescent="0.2">
      <c r="A4333">
        <v>8</v>
      </c>
      <c r="B4333">
        <v>1999.7</v>
      </c>
      <c r="C4333">
        <v>2000</v>
      </c>
      <c r="D4333" t="s">
        <v>5976</v>
      </c>
    </row>
    <row r="4334" spans="1:4" x14ac:dyDescent="0.2">
      <c r="A4334">
        <v>9</v>
      </c>
      <c r="B4334">
        <v>1999.6</v>
      </c>
      <c r="C4334">
        <v>2000</v>
      </c>
      <c r="D4334" t="s">
        <v>5976</v>
      </c>
    </row>
    <row r="4335" spans="1:4" x14ac:dyDescent="0.2">
      <c r="A4335">
        <v>10</v>
      </c>
      <c r="B4335">
        <v>1999.8</v>
      </c>
      <c r="C4335">
        <v>2000</v>
      </c>
      <c r="D4335" t="s">
        <v>5976</v>
      </c>
    </row>
    <row r="4336" spans="1:4" x14ac:dyDescent="0.2">
      <c r="A4336">
        <v>11</v>
      </c>
      <c r="B4336">
        <v>2000.4</v>
      </c>
      <c r="C4336">
        <v>2000</v>
      </c>
      <c r="D4336" t="s">
        <v>5976</v>
      </c>
    </row>
    <row r="4337" spans="1:4" x14ac:dyDescent="0.2">
      <c r="A4337">
        <v>12</v>
      </c>
      <c r="B4337">
        <v>2000</v>
      </c>
      <c r="C4337">
        <v>2000</v>
      </c>
      <c r="D4337" t="s">
        <v>5976</v>
      </c>
    </row>
    <row r="4338" spans="1:4" x14ac:dyDescent="0.2">
      <c r="A4338">
        <v>7</v>
      </c>
      <c r="B4338">
        <v>2289.5</v>
      </c>
      <c r="C4338">
        <v>2290</v>
      </c>
      <c r="D4338" t="s">
        <v>5976</v>
      </c>
    </row>
    <row r="4339" spans="1:4" x14ac:dyDescent="0.2">
      <c r="A4339">
        <v>8</v>
      </c>
      <c r="B4339">
        <v>2289.8000000000002</v>
      </c>
      <c r="C4339">
        <v>2290</v>
      </c>
      <c r="D4339" t="s">
        <v>5976</v>
      </c>
    </row>
    <row r="4340" spans="1:4" x14ac:dyDescent="0.2">
      <c r="A4340">
        <v>9</v>
      </c>
      <c r="B4340">
        <v>2289.6999999999998</v>
      </c>
      <c r="C4340">
        <v>2290</v>
      </c>
      <c r="D4340" t="s">
        <v>5976</v>
      </c>
    </row>
    <row r="4341" spans="1:4" x14ac:dyDescent="0.2">
      <c r="A4341">
        <v>10</v>
      </c>
      <c r="B4341">
        <v>2289.9</v>
      </c>
      <c r="C4341">
        <v>2290</v>
      </c>
      <c r="D4341" t="s">
        <v>5976</v>
      </c>
    </row>
    <row r="4342" spans="1:4" x14ac:dyDescent="0.2">
      <c r="A4342">
        <v>11</v>
      </c>
      <c r="B4342">
        <v>2290.5</v>
      </c>
      <c r="C4342">
        <v>2290</v>
      </c>
      <c r="D4342" t="s">
        <v>5976</v>
      </c>
    </row>
    <row r="4343" spans="1:4" x14ac:dyDescent="0.2">
      <c r="A4343">
        <v>12</v>
      </c>
      <c r="B4343">
        <v>2290.1</v>
      </c>
      <c r="C4343">
        <v>2290</v>
      </c>
      <c r="D4343" t="s">
        <v>5976</v>
      </c>
    </row>
    <row r="4344" spans="1:4" x14ac:dyDescent="0.2">
      <c r="A4344">
        <v>13</v>
      </c>
      <c r="B4344">
        <v>10</v>
      </c>
      <c r="C4344">
        <v>10</v>
      </c>
      <c r="D4344" t="s">
        <v>5976</v>
      </c>
    </row>
    <row r="4345" spans="1:4" x14ac:dyDescent="0.2">
      <c r="A4345">
        <v>14</v>
      </c>
      <c r="B4345">
        <v>10</v>
      </c>
      <c r="C4345">
        <v>10</v>
      </c>
      <c r="D4345" t="s">
        <v>5976</v>
      </c>
    </row>
    <row r="4346" spans="1:4" x14ac:dyDescent="0.2">
      <c r="A4346">
        <v>15</v>
      </c>
      <c r="B4346">
        <v>10</v>
      </c>
      <c r="C4346">
        <v>10</v>
      </c>
      <c r="D4346" t="s">
        <v>5976</v>
      </c>
    </row>
    <row r="4347" spans="1:4" x14ac:dyDescent="0.2">
      <c r="A4347">
        <v>16</v>
      </c>
      <c r="B4347">
        <v>10</v>
      </c>
      <c r="C4347">
        <v>10</v>
      </c>
      <c r="D4347" t="s">
        <v>5976</v>
      </c>
    </row>
    <row r="4348" spans="1:4" x14ac:dyDescent="0.2">
      <c r="A4348">
        <v>17</v>
      </c>
      <c r="B4348">
        <v>10.1</v>
      </c>
      <c r="C4348">
        <v>10</v>
      </c>
      <c r="D4348" t="s">
        <v>5976</v>
      </c>
    </row>
    <row r="4349" spans="1:4" x14ac:dyDescent="0.2">
      <c r="A4349">
        <v>18</v>
      </c>
      <c r="B4349">
        <v>10</v>
      </c>
      <c r="C4349">
        <v>10</v>
      </c>
      <c r="D4349" t="s">
        <v>5976</v>
      </c>
    </row>
    <row r="4350" spans="1:4" x14ac:dyDescent="0.2">
      <c r="A4350">
        <v>13</v>
      </c>
      <c r="B4350">
        <v>499.8</v>
      </c>
      <c r="C4350">
        <v>500</v>
      </c>
      <c r="D4350" t="s">
        <v>5976</v>
      </c>
    </row>
    <row r="4351" spans="1:4" x14ac:dyDescent="0.2">
      <c r="A4351">
        <v>14</v>
      </c>
      <c r="B4351">
        <v>500.2</v>
      </c>
      <c r="C4351">
        <v>500</v>
      </c>
      <c r="D4351" t="s">
        <v>5976</v>
      </c>
    </row>
    <row r="4352" spans="1:4" x14ac:dyDescent="0.2">
      <c r="A4352">
        <v>15</v>
      </c>
      <c r="B4352">
        <v>500.1</v>
      </c>
      <c r="C4352">
        <v>500</v>
      </c>
      <c r="D4352" t="s">
        <v>5976</v>
      </c>
    </row>
    <row r="4353" spans="1:4" x14ac:dyDescent="0.2">
      <c r="A4353">
        <v>16</v>
      </c>
      <c r="B4353">
        <v>500</v>
      </c>
      <c r="C4353">
        <v>500</v>
      </c>
      <c r="D4353" t="s">
        <v>5976</v>
      </c>
    </row>
    <row r="4354" spans="1:4" x14ac:dyDescent="0.2">
      <c r="A4354">
        <v>17</v>
      </c>
      <c r="B4354">
        <v>500.1</v>
      </c>
      <c r="C4354">
        <v>500</v>
      </c>
      <c r="D4354" t="s">
        <v>5976</v>
      </c>
    </row>
    <row r="4355" spans="1:4" x14ac:dyDescent="0.2">
      <c r="A4355">
        <v>18</v>
      </c>
      <c r="B4355">
        <v>500.1</v>
      </c>
      <c r="C4355">
        <v>500</v>
      </c>
      <c r="D4355" t="s">
        <v>5976</v>
      </c>
    </row>
    <row r="4356" spans="1:4" x14ac:dyDescent="0.2">
      <c r="A4356">
        <v>13</v>
      </c>
      <c r="B4356">
        <v>999.7</v>
      </c>
      <c r="C4356">
        <v>1000</v>
      </c>
      <c r="D4356" t="s">
        <v>5976</v>
      </c>
    </row>
    <row r="4357" spans="1:4" x14ac:dyDescent="0.2">
      <c r="A4357">
        <v>14</v>
      </c>
      <c r="B4357">
        <v>1000.4</v>
      </c>
      <c r="C4357">
        <v>1000</v>
      </c>
      <c r="D4357" t="s">
        <v>5976</v>
      </c>
    </row>
    <row r="4358" spans="1:4" x14ac:dyDescent="0.2">
      <c r="A4358">
        <v>15</v>
      </c>
      <c r="B4358">
        <v>1000.1</v>
      </c>
      <c r="C4358">
        <v>1000</v>
      </c>
      <c r="D4358" t="s">
        <v>5976</v>
      </c>
    </row>
    <row r="4359" spans="1:4" x14ac:dyDescent="0.2">
      <c r="A4359">
        <v>16</v>
      </c>
      <c r="B4359">
        <v>1000</v>
      </c>
      <c r="C4359">
        <v>1000</v>
      </c>
      <c r="D4359" t="s">
        <v>5976</v>
      </c>
    </row>
    <row r="4360" spans="1:4" x14ac:dyDescent="0.2">
      <c r="A4360">
        <v>17</v>
      </c>
      <c r="B4360">
        <v>1000.1</v>
      </c>
      <c r="C4360">
        <v>1000</v>
      </c>
      <c r="D4360" t="s">
        <v>5976</v>
      </c>
    </row>
    <row r="4361" spans="1:4" x14ac:dyDescent="0.2">
      <c r="A4361">
        <v>18</v>
      </c>
      <c r="B4361">
        <v>1000.1</v>
      </c>
      <c r="C4361">
        <v>1000</v>
      </c>
      <c r="D4361" t="s">
        <v>5976</v>
      </c>
    </row>
    <row r="4362" spans="1:4" x14ac:dyDescent="0.2">
      <c r="A4362">
        <v>13</v>
      </c>
      <c r="B4362">
        <v>1499.5</v>
      </c>
      <c r="C4362">
        <v>1500</v>
      </c>
      <c r="D4362" t="s">
        <v>5976</v>
      </c>
    </row>
    <row r="4363" spans="1:4" x14ac:dyDescent="0.2">
      <c r="A4363">
        <v>14</v>
      </c>
      <c r="B4363">
        <v>1500.5</v>
      </c>
      <c r="C4363">
        <v>1500</v>
      </c>
      <c r="D4363" t="s">
        <v>5976</v>
      </c>
    </row>
    <row r="4364" spans="1:4" x14ac:dyDescent="0.2">
      <c r="A4364">
        <v>15</v>
      </c>
      <c r="B4364">
        <v>1500.1</v>
      </c>
      <c r="C4364">
        <v>1500</v>
      </c>
      <c r="D4364" t="s">
        <v>5976</v>
      </c>
    </row>
    <row r="4365" spans="1:4" x14ac:dyDescent="0.2">
      <c r="A4365">
        <v>16</v>
      </c>
      <c r="B4365">
        <v>1499.8</v>
      </c>
      <c r="C4365">
        <v>1500</v>
      </c>
      <c r="D4365" t="s">
        <v>5976</v>
      </c>
    </row>
    <row r="4366" spans="1:4" x14ac:dyDescent="0.2">
      <c r="A4366">
        <v>17</v>
      </c>
      <c r="B4366">
        <v>1500</v>
      </c>
      <c r="C4366">
        <v>1500</v>
      </c>
      <c r="D4366" t="s">
        <v>5976</v>
      </c>
    </row>
    <row r="4367" spans="1:4" x14ac:dyDescent="0.2">
      <c r="A4367">
        <v>18</v>
      </c>
      <c r="B4367">
        <v>1500</v>
      </c>
      <c r="C4367">
        <v>1500</v>
      </c>
      <c r="D4367" t="s">
        <v>5976</v>
      </c>
    </row>
    <row r="4368" spans="1:4" x14ac:dyDescent="0.2">
      <c r="A4368">
        <v>13</v>
      </c>
      <c r="B4368">
        <v>1999.5</v>
      </c>
      <c r="C4368">
        <v>2000</v>
      </c>
      <c r="D4368" t="s">
        <v>5976</v>
      </c>
    </row>
    <row r="4369" spans="1:4" x14ac:dyDescent="0.2">
      <c r="A4369">
        <v>14</v>
      </c>
      <c r="B4369">
        <v>2000.5</v>
      </c>
      <c r="C4369">
        <v>2000</v>
      </c>
      <c r="D4369" t="s">
        <v>5976</v>
      </c>
    </row>
    <row r="4370" spans="1:4" x14ac:dyDescent="0.2">
      <c r="A4370">
        <v>15</v>
      </c>
      <c r="B4370">
        <v>2000.2</v>
      </c>
      <c r="C4370">
        <v>2000</v>
      </c>
      <c r="D4370" t="s">
        <v>5976</v>
      </c>
    </row>
    <row r="4371" spans="1:4" x14ac:dyDescent="0.2">
      <c r="A4371">
        <v>16</v>
      </c>
      <c r="B4371">
        <v>1999.7</v>
      </c>
      <c r="C4371">
        <v>2000</v>
      </c>
      <c r="D4371" t="s">
        <v>5976</v>
      </c>
    </row>
    <row r="4372" spans="1:4" x14ac:dyDescent="0.2">
      <c r="A4372">
        <v>17</v>
      </c>
      <c r="B4372">
        <v>1999.9</v>
      </c>
      <c r="C4372">
        <v>2000</v>
      </c>
      <c r="D4372" t="s">
        <v>5976</v>
      </c>
    </row>
    <row r="4373" spans="1:4" x14ac:dyDescent="0.2">
      <c r="A4373">
        <v>18</v>
      </c>
      <c r="B4373">
        <v>2000</v>
      </c>
      <c r="C4373">
        <v>2000</v>
      </c>
      <c r="D4373" t="s">
        <v>5976</v>
      </c>
    </row>
    <row r="4374" spans="1:4" x14ac:dyDescent="0.2">
      <c r="A4374">
        <v>13</v>
      </c>
      <c r="B4374">
        <v>2289.6</v>
      </c>
      <c r="C4374">
        <v>2290</v>
      </c>
      <c r="D4374" t="s">
        <v>5976</v>
      </c>
    </row>
    <row r="4375" spans="1:4" x14ac:dyDescent="0.2">
      <c r="A4375">
        <v>14</v>
      </c>
      <c r="B4375">
        <v>2290.5</v>
      </c>
      <c r="C4375">
        <v>2290</v>
      </c>
      <c r="D4375" t="s">
        <v>5976</v>
      </c>
    </row>
    <row r="4376" spans="1:4" x14ac:dyDescent="0.2">
      <c r="A4376">
        <v>15</v>
      </c>
      <c r="B4376">
        <v>2290.1999999999998</v>
      </c>
      <c r="C4376">
        <v>2290</v>
      </c>
      <c r="D4376" t="s">
        <v>5976</v>
      </c>
    </row>
    <row r="4377" spans="1:4" x14ac:dyDescent="0.2">
      <c r="A4377">
        <v>16</v>
      </c>
      <c r="B4377">
        <v>2289.6</v>
      </c>
      <c r="C4377">
        <v>2290</v>
      </c>
      <c r="D4377" t="s">
        <v>5976</v>
      </c>
    </row>
    <row r="4378" spans="1:4" x14ac:dyDescent="0.2">
      <c r="A4378">
        <v>17</v>
      </c>
      <c r="B4378">
        <v>2289.9</v>
      </c>
      <c r="C4378">
        <v>2290</v>
      </c>
      <c r="D4378" t="s">
        <v>5976</v>
      </c>
    </row>
    <row r="4379" spans="1:4" x14ac:dyDescent="0.2">
      <c r="A4379">
        <v>18</v>
      </c>
      <c r="B4379">
        <v>2289.9</v>
      </c>
      <c r="C4379">
        <v>2290</v>
      </c>
      <c r="D4379" t="s">
        <v>5976</v>
      </c>
    </row>
    <row r="4380" spans="1:4" x14ac:dyDescent="0.2">
      <c r="A4380">
        <v>19</v>
      </c>
      <c r="B4380">
        <v>10</v>
      </c>
      <c r="C4380">
        <v>10</v>
      </c>
      <c r="D4380" t="s">
        <v>5976</v>
      </c>
    </row>
    <row r="4381" spans="1:4" x14ac:dyDescent="0.2">
      <c r="A4381">
        <v>20</v>
      </c>
      <c r="B4381">
        <v>9.9</v>
      </c>
      <c r="C4381">
        <v>10</v>
      </c>
      <c r="D4381" t="s">
        <v>5976</v>
      </c>
    </row>
    <row r="4382" spans="1:4" x14ac:dyDescent="0.2">
      <c r="A4382">
        <v>21</v>
      </c>
      <c r="B4382">
        <v>10</v>
      </c>
      <c r="C4382">
        <v>10</v>
      </c>
      <c r="D4382" t="s">
        <v>5976</v>
      </c>
    </row>
    <row r="4383" spans="1:4" x14ac:dyDescent="0.2">
      <c r="A4383">
        <v>22</v>
      </c>
      <c r="B4383">
        <v>9.9</v>
      </c>
      <c r="C4383">
        <v>10</v>
      </c>
      <c r="D4383" t="s">
        <v>5976</v>
      </c>
    </row>
    <row r="4384" spans="1:4" x14ac:dyDescent="0.2">
      <c r="A4384">
        <v>23</v>
      </c>
      <c r="B4384">
        <v>10</v>
      </c>
      <c r="C4384">
        <v>10</v>
      </c>
      <c r="D4384" t="s">
        <v>5976</v>
      </c>
    </row>
    <row r="4385" spans="1:4" x14ac:dyDescent="0.2">
      <c r="A4385">
        <v>24</v>
      </c>
      <c r="B4385">
        <v>9.9</v>
      </c>
      <c r="C4385">
        <v>10</v>
      </c>
      <c r="D4385" t="s">
        <v>5976</v>
      </c>
    </row>
    <row r="4386" spans="1:4" x14ac:dyDescent="0.2">
      <c r="A4386">
        <v>19</v>
      </c>
      <c r="B4386">
        <v>500</v>
      </c>
      <c r="C4386">
        <v>500</v>
      </c>
      <c r="D4386" t="s">
        <v>5976</v>
      </c>
    </row>
    <row r="4387" spans="1:4" x14ac:dyDescent="0.2">
      <c r="A4387">
        <v>20</v>
      </c>
      <c r="B4387">
        <v>500.1</v>
      </c>
      <c r="C4387">
        <v>500</v>
      </c>
      <c r="D4387" t="s">
        <v>5976</v>
      </c>
    </row>
    <row r="4388" spans="1:4" x14ac:dyDescent="0.2">
      <c r="A4388">
        <v>21</v>
      </c>
      <c r="B4388">
        <v>500</v>
      </c>
      <c r="C4388">
        <v>500</v>
      </c>
      <c r="D4388" t="s">
        <v>5976</v>
      </c>
    </row>
    <row r="4389" spans="1:4" x14ac:dyDescent="0.2">
      <c r="A4389">
        <v>22</v>
      </c>
      <c r="B4389">
        <v>500.1</v>
      </c>
      <c r="C4389">
        <v>500</v>
      </c>
      <c r="D4389" t="s">
        <v>5976</v>
      </c>
    </row>
    <row r="4390" spans="1:4" x14ac:dyDescent="0.2">
      <c r="A4390">
        <v>23</v>
      </c>
      <c r="B4390">
        <v>500.1</v>
      </c>
      <c r="C4390">
        <v>500</v>
      </c>
      <c r="D4390" t="s">
        <v>5976</v>
      </c>
    </row>
    <row r="4391" spans="1:4" x14ac:dyDescent="0.2">
      <c r="A4391">
        <v>24</v>
      </c>
      <c r="B4391">
        <v>500</v>
      </c>
      <c r="C4391">
        <v>500</v>
      </c>
      <c r="D4391" t="s">
        <v>5976</v>
      </c>
    </row>
    <row r="4392" spans="1:4" x14ac:dyDescent="0.2">
      <c r="A4392">
        <v>19</v>
      </c>
      <c r="B4392">
        <v>1000</v>
      </c>
      <c r="C4392">
        <v>1000</v>
      </c>
      <c r="D4392" t="s">
        <v>5976</v>
      </c>
    </row>
    <row r="4393" spans="1:4" x14ac:dyDescent="0.2">
      <c r="A4393">
        <v>20</v>
      </c>
      <c r="B4393">
        <v>1000.1</v>
      </c>
      <c r="C4393">
        <v>1000</v>
      </c>
      <c r="D4393" t="s">
        <v>5976</v>
      </c>
    </row>
    <row r="4394" spans="1:4" x14ac:dyDescent="0.2">
      <c r="A4394">
        <v>21</v>
      </c>
      <c r="B4394">
        <v>1000</v>
      </c>
      <c r="C4394">
        <v>1000</v>
      </c>
      <c r="D4394" t="s">
        <v>5976</v>
      </c>
    </row>
    <row r="4395" spans="1:4" x14ac:dyDescent="0.2">
      <c r="A4395">
        <v>22</v>
      </c>
      <c r="B4395">
        <v>1000.1</v>
      </c>
      <c r="C4395">
        <v>1000</v>
      </c>
      <c r="D4395" t="s">
        <v>5976</v>
      </c>
    </row>
    <row r="4396" spans="1:4" x14ac:dyDescent="0.2">
      <c r="A4396">
        <v>23</v>
      </c>
      <c r="B4396">
        <v>1000.1</v>
      </c>
      <c r="C4396">
        <v>1000</v>
      </c>
      <c r="D4396" t="s">
        <v>5976</v>
      </c>
    </row>
    <row r="4397" spans="1:4" x14ac:dyDescent="0.2">
      <c r="A4397">
        <v>24</v>
      </c>
      <c r="B4397">
        <v>1000</v>
      </c>
      <c r="C4397">
        <v>1000</v>
      </c>
      <c r="D4397" t="s">
        <v>5976</v>
      </c>
    </row>
    <row r="4398" spans="1:4" x14ac:dyDescent="0.2">
      <c r="A4398">
        <v>19</v>
      </c>
      <c r="B4398">
        <v>1499.9</v>
      </c>
      <c r="C4398">
        <v>1500</v>
      </c>
      <c r="D4398" t="s">
        <v>5976</v>
      </c>
    </row>
    <row r="4399" spans="1:4" x14ac:dyDescent="0.2">
      <c r="A4399">
        <v>20</v>
      </c>
      <c r="B4399">
        <v>1500.1</v>
      </c>
      <c r="C4399">
        <v>1500</v>
      </c>
      <c r="D4399" t="s">
        <v>5976</v>
      </c>
    </row>
    <row r="4400" spans="1:4" x14ac:dyDescent="0.2">
      <c r="A4400">
        <v>21</v>
      </c>
      <c r="B4400">
        <v>1499.9</v>
      </c>
      <c r="C4400">
        <v>1500</v>
      </c>
      <c r="D4400" t="s">
        <v>5976</v>
      </c>
    </row>
    <row r="4401" spans="1:4" x14ac:dyDescent="0.2">
      <c r="A4401">
        <v>22</v>
      </c>
      <c r="B4401">
        <v>1500</v>
      </c>
      <c r="C4401">
        <v>1500</v>
      </c>
      <c r="D4401" t="s">
        <v>5976</v>
      </c>
    </row>
    <row r="4402" spans="1:4" x14ac:dyDescent="0.2">
      <c r="A4402">
        <v>23</v>
      </c>
      <c r="B4402">
        <v>1500</v>
      </c>
      <c r="C4402">
        <v>1500</v>
      </c>
      <c r="D4402" t="s">
        <v>5976</v>
      </c>
    </row>
    <row r="4403" spans="1:4" x14ac:dyDescent="0.2">
      <c r="A4403">
        <v>24</v>
      </c>
      <c r="B4403">
        <v>1500</v>
      </c>
      <c r="C4403">
        <v>1500</v>
      </c>
      <c r="D4403" t="s">
        <v>5976</v>
      </c>
    </row>
    <row r="4404" spans="1:4" x14ac:dyDescent="0.2">
      <c r="A4404">
        <v>19</v>
      </c>
      <c r="B4404">
        <v>1999.8</v>
      </c>
      <c r="C4404">
        <v>2000</v>
      </c>
      <c r="D4404" t="s">
        <v>5976</v>
      </c>
    </row>
    <row r="4405" spans="1:4" x14ac:dyDescent="0.2">
      <c r="A4405">
        <v>20</v>
      </c>
      <c r="B4405">
        <v>2000</v>
      </c>
      <c r="C4405">
        <v>2000</v>
      </c>
      <c r="D4405" t="s">
        <v>5976</v>
      </c>
    </row>
    <row r="4406" spans="1:4" x14ac:dyDescent="0.2">
      <c r="A4406">
        <v>21</v>
      </c>
      <c r="B4406">
        <v>1999.8</v>
      </c>
      <c r="C4406">
        <v>2000</v>
      </c>
      <c r="D4406" t="s">
        <v>5976</v>
      </c>
    </row>
    <row r="4407" spans="1:4" x14ac:dyDescent="0.2">
      <c r="A4407">
        <v>22</v>
      </c>
      <c r="B4407">
        <v>2000</v>
      </c>
      <c r="C4407">
        <v>2000</v>
      </c>
      <c r="D4407" t="s">
        <v>5976</v>
      </c>
    </row>
    <row r="4408" spans="1:4" x14ac:dyDescent="0.2">
      <c r="A4408">
        <v>23</v>
      </c>
      <c r="B4408">
        <v>1999.9</v>
      </c>
      <c r="C4408">
        <v>2000</v>
      </c>
      <c r="D4408" t="s">
        <v>5976</v>
      </c>
    </row>
    <row r="4409" spans="1:4" x14ac:dyDescent="0.2">
      <c r="A4409">
        <v>24</v>
      </c>
      <c r="B4409">
        <v>2000</v>
      </c>
      <c r="C4409">
        <v>2000</v>
      </c>
      <c r="D4409" t="s">
        <v>5976</v>
      </c>
    </row>
    <row r="4410" spans="1:4" x14ac:dyDescent="0.2">
      <c r="A4410">
        <v>19</v>
      </c>
      <c r="B4410">
        <v>2289.6999999999998</v>
      </c>
      <c r="C4410">
        <v>2290</v>
      </c>
      <c r="D4410" t="s">
        <v>5976</v>
      </c>
    </row>
    <row r="4411" spans="1:4" x14ac:dyDescent="0.2">
      <c r="A4411">
        <v>20</v>
      </c>
      <c r="B4411">
        <v>2289.9</v>
      </c>
      <c r="C4411">
        <v>2290</v>
      </c>
      <c r="D4411" t="s">
        <v>5976</v>
      </c>
    </row>
    <row r="4412" spans="1:4" x14ac:dyDescent="0.2">
      <c r="A4412">
        <v>21</v>
      </c>
      <c r="B4412">
        <v>2289.8000000000002</v>
      </c>
      <c r="C4412">
        <v>2290</v>
      </c>
      <c r="D4412" t="s">
        <v>5976</v>
      </c>
    </row>
    <row r="4413" spans="1:4" x14ac:dyDescent="0.2">
      <c r="A4413">
        <v>22</v>
      </c>
      <c r="B4413">
        <v>2289.9</v>
      </c>
      <c r="C4413">
        <v>2290</v>
      </c>
      <c r="D4413" t="s">
        <v>5976</v>
      </c>
    </row>
    <row r="4414" spans="1:4" x14ac:dyDescent="0.2">
      <c r="A4414">
        <v>23</v>
      </c>
      <c r="B4414">
        <v>2289.9</v>
      </c>
      <c r="C4414">
        <v>2290</v>
      </c>
      <c r="D4414" t="s">
        <v>5976</v>
      </c>
    </row>
    <row r="4415" spans="1:4" x14ac:dyDescent="0.2">
      <c r="A4415">
        <v>24</v>
      </c>
      <c r="B4415">
        <v>2290</v>
      </c>
      <c r="C4415">
        <v>2290</v>
      </c>
      <c r="D4415" t="s">
        <v>5976</v>
      </c>
    </row>
    <row r="4416" spans="1:4" x14ac:dyDescent="0.2">
      <c r="A4416">
        <v>25</v>
      </c>
      <c r="B4416">
        <v>10</v>
      </c>
      <c r="C4416">
        <v>10</v>
      </c>
      <c r="D4416" t="s">
        <v>5976</v>
      </c>
    </row>
    <row r="4417" spans="1:4" x14ac:dyDescent="0.2">
      <c r="A4417">
        <v>26</v>
      </c>
      <c r="B4417">
        <v>10</v>
      </c>
      <c r="C4417">
        <v>10</v>
      </c>
      <c r="D4417" t="s">
        <v>5976</v>
      </c>
    </row>
    <row r="4418" spans="1:4" x14ac:dyDescent="0.2">
      <c r="A4418">
        <v>27</v>
      </c>
      <c r="B4418">
        <v>10</v>
      </c>
      <c r="C4418">
        <v>10</v>
      </c>
      <c r="D4418" t="s">
        <v>5976</v>
      </c>
    </row>
    <row r="4419" spans="1:4" x14ac:dyDescent="0.2">
      <c r="A4419">
        <v>28</v>
      </c>
      <c r="B4419">
        <v>10</v>
      </c>
      <c r="C4419">
        <v>10</v>
      </c>
      <c r="D4419" t="s">
        <v>5976</v>
      </c>
    </row>
    <row r="4420" spans="1:4" x14ac:dyDescent="0.2">
      <c r="A4420">
        <v>29</v>
      </c>
      <c r="B4420">
        <v>10</v>
      </c>
      <c r="C4420">
        <v>10</v>
      </c>
      <c r="D4420" t="s">
        <v>5976</v>
      </c>
    </row>
    <row r="4421" spans="1:4" x14ac:dyDescent="0.2">
      <c r="A4421">
        <v>30</v>
      </c>
      <c r="B4421">
        <v>9.8000000000000007</v>
      </c>
      <c r="C4421">
        <v>10</v>
      </c>
      <c r="D4421" t="s">
        <v>5976</v>
      </c>
    </row>
    <row r="4422" spans="1:4" x14ac:dyDescent="0.2">
      <c r="A4422">
        <v>25</v>
      </c>
      <c r="B4422">
        <v>500.1</v>
      </c>
      <c r="C4422">
        <v>500</v>
      </c>
      <c r="D4422" t="s">
        <v>5976</v>
      </c>
    </row>
    <row r="4423" spans="1:4" x14ac:dyDescent="0.2">
      <c r="A4423">
        <v>26</v>
      </c>
      <c r="B4423">
        <v>500</v>
      </c>
      <c r="C4423">
        <v>500</v>
      </c>
      <c r="D4423" t="s">
        <v>5976</v>
      </c>
    </row>
    <row r="4424" spans="1:4" x14ac:dyDescent="0.2">
      <c r="A4424">
        <v>27</v>
      </c>
      <c r="B4424">
        <v>500</v>
      </c>
      <c r="C4424">
        <v>500</v>
      </c>
      <c r="D4424" t="s">
        <v>5976</v>
      </c>
    </row>
    <row r="4425" spans="1:4" x14ac:dyDescent="0.2">
      <c r="A4425">
        <v>28</v>
      </c>
      <c r="B4425">
        <v>500</v>
      </c>
      <c r="C4425">
        <v>500</v>
      </c>
      <c r="D4425" t="s">
        <v>5976</v>
      </c>
    </row>
    <row r="4426" spans="1:4" x14ac:dyDescent="0.2">
      <c r="A4426">
        <v>29</v>
      </c>
      <c r="B4426">
        <v>499.9</v>
      </c>
      <c r="C4426">
        <v>500</v>
      </c>
      <c r="D4426" t="s">
        <v>5976</v>
      </c>
    </row>
    <row r="4427" spans="1:4" x14ac:dyDescent="0.2">
      <c r="A4427">
        <v>30</v>
      </c>
      <c r="B4427">
        <v>499.9</v>
      </c>
      <c r="C4427">
        <v>500</v>
      </c>
      <c r="D4427" t="s">
        <v>5976</v>
      </c>
    </row>
    <row r="4428" spans="1:4" x14ac:dyDescent="0.2">
      <c r="A4428">
        <v>25</v>
      </c>
      <c r="B4428">
        <v>1000.1</v>
      </c>
      <c r="C4428">
        <v>1000</v>
      </c>
      <c r="D4428" t="s">
        <v>5976</v>
      </c>
    </row>
    <row r="4429" spans="1:4" x14ac:dyDescent="0.2">
      <c r="A4429">
        <v>26</v>
      </c>
      <c r="B4429">
        <v>1000</v>
      </c>
      <c r="C4429">
        <v>1000</v>
      </c>
      <c r="D4429" t="s">
        <v>5976</v>
      </c>
    </row>
    <row r="4430" spans="1:4" x14ac:dyDescent="0.2">
      <c r="A4430">
        <v>27</v>
      </c>
      <c r="B4430">
        <v>999.9</v>
      </c>
      <c r="C4430">
        <v>1000</v>
      </c>
      <c r="D4430" t="s">
        <v>5976</v>
      </c>
    </row>
    <row r="4431" spans="1:4" x14ac:dyDescent="0.2">
      <c r="A4431">
        <v>28</v>
      </c>
      <c r="B4431">
        <v>1000</v>
      </c>
      <c r="C4431">
        <v>1000</v>
      </c>
      <c r="D4431" t="s">
        <v>5976</v>
      </c>
    </row>
    <row r="4432" spans="1:4" x14ac:dyDescent="0.2">
      <c r="A4432">
        <v>29</v>
      </c>
      <c r="B4432">
        <v>999.9</v>
      </c>
      <c r="C4432">
        <v>1000</v>
      </c>
      <c r="D4432" t="s">
        <v>5976</v>
      </c>
    </row>
    <row r="4433" spans="1:4" x14ac:dyDescent="0.2">
      <c r="A4433">
        <v>30</v>
      </c>
      <c r="B4433">
        <v>1000</v>
      </c>
      <c r="C4433">
        <v>1000</v>
      </c>
      <c r="D4433" t="s">
        <v>5976</v>
      </c>
    </row>
    <row r="4434" spans="1:4" x14ac:dyDescent="0.2">
      <c r="A4434">
        <v>25</v>
      </c>
      <c r="B4434">
        <v>1500</v>
      </c>
      <c r="C4434">
        <v>1500</v>
      </c>
      <c r="D4434" t="s">
        <v>5976</v>
      </c>
    </row>
    <row r="4435" spans="1:4" x14ac:dyDescent="0.2">
      <c r="A4435">
        <v>26</v>
      </c>
      <c r="B4435">
        <v>1499.9</v>
      </c>
      <c r="C4435">
        <v>1500</v>
      </c>
      <c r="D4435" t="s">
        <v>5976</v>
      </c>
    </row>
    <row r="4436" spans="1:4" x14ac:dyDescent="0.2">
      <c r="A4436">
        <v>27</v>
      </c>
      <c r="B4436">
        <v>1499.7</v>
      </c>
      <c r="C4436">
        <v>1500</v>
      </c>
      <c r="D4436" t="s">
        <v>5976</v>
      </c>
    </row>
    <row r="4437" spans="1:4" x14ac:dyDescent="0.2">
      <c r="A4437">
        <v>28</v>
      </c>
      <c r="B4437">
        <v>1499.9</v>
      </c>
      <c r="C4437">
        <v>1500</v>
      </c>
      <c r="D4437" t="s">
        <v>5976</v>
      </c>
    </row>
    <row r="4438" spans="1:4" x14ac:dyDescent="0.2">
      <c r="A4438">
        <v>29</v>
      </c>
      <c r="B4438">
        <v>1499.9</v>
      </c>
      <c r="C4438">
        <v>1500</v>
      </c>
      <c r="D4438" t="s">
        <v>5976</v>
      </c>
    </row>
    <row r="4439" spans="1:4" x14ac:dyDescent="0.2">
      <c r="A4439">
        <v>30</v>
      </c>
      <c r="B4439">
        <v>1500</v>
      </c>
      <c r="C4439">
        <v>1500</v>
      </c>
      <c r="D4439" t="s">
        <v>5976</v>
      </c>
    </row>
    <row r="4440" spans="1:4" x14ac:dyDescent="0.2">
      <c r="A4440">
        <v>25</v>
      </c>
      <c r="B4440">
        <v>1999.9</v>
      </c>
      <c r="C4440">
        <v>2000</v>
      </c>
      <c r="D4440" t="s">
        <v>5976</v>
      </c>
    </row>
    <row r="4441" spans="1:4" x14ac:dyDescent="0.2">
      <c r="A4441">
        <v>26</v>
      </c>
      <c r="B4441">
        <v>1999.8</v>
      </c>
      <c r="C4441">
        <v>2000</v>
      </c>
      <c r="D4441" t="s">
        <v>5976</v>
      </c>
    </row>
    <row r="4442" spans="1:4" x14ac:dyDescent="0.2">
      <c r="A4442">
        <v>27</v>
      </c>
      <c r="B4442">
        <v>1999.6</v>
      </c>
      <c r="C4442">
        <v>2000</v>
      </c>
      <c r="D4442" t="s">
        <v>5976</v>
      </c>
    </row>
    <row r="4443" spans="1:4" x14ac:dyDescent="0.2">
      <c r="A4443">
        <v>28</v>
      </c>
      <c r="B4443">
        <v>1999.8</v>
      </c>
      <c r="C4443">
        <v>2000</v>
      </c>
      <c r="D4443" t="s">
        <v>5976</v>
      </c>
    </row>
    <row r="4444" spans="1:4" x14ac:dyDescent="0.2">
      <c r="A4444">
        <v>29</v>
      </c>
      <c r="B4444">
        <v>1999.9</v>
      </c>
      <c r="C4444">
        <v>2000</v>
      </c>
      <c r="D4444" t="s">
        <v>5976</v>
      </c>
    </row>
    <row r="4445" spans="1:4" x14ac:dyDescent="0.2">
      <c r="A4445">
        <v>30</v>
      </c>
      <c r="B4445">
        <v>2000.1</v>
      </c>
      <c r="C4445">
        <v>2000</v>
      </c>
      <c r="D4445" t="s">
        <v>5976</v>
      </c>
    </row>
    <row r="4446" spans="1:4" x14ac:dyDescent="0.2">
      <c r="A4446">
        <v>25</v>
      </c>
      <c r="B4446">
        <v>2289.8000000000002</v>
      </c>
      <c r="C4446">
        <v>2290</v>
      </c>
      <c r="D4446" t="s">
        <v>5976</v>
      </c>
    </row>
    <row r="4447" spans="1:4" x14ac:dyDescent="0.2">
      <c r="A4447">
        <v>26</v>
      </c>
      <c r="B4447">
        <v>2289.6999999999998</v>
      </c>
      <c r="C4447">
        <v>2290</v>
      </c>
      <c r="D4447" t="s">
        <v>5976</v>
      </c>
    </row>
    <row r="4448" spans="1:4" x14ac:dyDescent="0.2">
      <c r="A4448">
        <v>27</v>
      </c>
      <c r="B4448">
        <v>2289.5</v>
      </c>
      <c r="C4448">
        <v>2290</v>
      </c>
      <c r="D4448" t="s">
        <v>5976</v>
      </c>
    </row>
    <row r="4449" spans="1:4" x14ac:dyDescent="0.2">
      <c r="A4449">
        <v>28</v>
      </c>
      <c r="B4449">
        <v>2289.8000000000002</v>
      </c>
      <c r="C4449">
        <v>2290</v>
      </c>
      <c r="D4449" t="s">
        <v>5976</v>
      </c>
    </row>
    <row r="4450" spans="1:4" x14ac:dyDescent="0.2">
      <c r="A4450">
        <v>29</v>
      </c>
      <c r="B4450">
        <v>2289.9</v>
      </c>
      <c r="C4450">
        <v>2290</v>
      </c>
      <c r="D4450" t="s">
        <v>5976</v>
      </c>
    </row>
    <row r="4451" spans="1:4" x14ac:dyDescent="0.2">
      <c r="A4451">
        <v>30</v>
      </c>
      <c r="B4451">
        <v>2290.1</v>
      </c>
      <c r="C4451">
        <v>2290</v>
      </c>
      <c r="D4451" t="s">
        <v>5976</v>
      </c>
    </row>
    <row r="4452" spans="1:4" x14ac:dyDescent="0.2">
      <c r="A4452">
        <v>31</v>
      </c>
      <c r="B4452">
        <v>9.8000000000000007</v>
      </c>
      <c r="C4452">
        <v>10</v>
      </c>
      <c r="D4452" t="s">
        <v>5976</v>
      </c>
    </row>
    <row r="4453" spans="1:4" x14ac:dyDescent="0.2">
      <c r="A4453">
        <v>32</v>
      </c>
      <c r="B4453">
        <v>9.8000000000000007</v>
      </c>
      <c r="C4453">
        <v>10</v>
      </c>
      <c r="D4453" t="s">
        <v>5976</v>
      </c>
    </row>
    <row r="4454" spans="1:4" x14ac:dyDescent="0.2">
      <c r="A4454">
        <v>33</v>
      </c>
      <c r="B4454">
        <v>10</v>
      </c>
      <c r="C4454">
        <v>10</v>
      </c>
      <c r="D4454" t="s">
        <v>5976</v>
      </c>
    </row>
    <row r="4455" spans="1:4" x14ac:dyDescent="0.2">
      <c r="A4455">
        <v>34</v>
      </c>
      <c r="B4455">
        <v>9.9</v>
      </c>
      <c r="C4455">
        <v>10</v>
      </c>
      <c r="D4455" t="s">
        <v>5976</v>
      </c>
    </row>
    <row r="4456" spans="1:4" x14ac:dyDescent="0.2">
      <c r="A4456">
        <v>35</v>
      </c>
      <c r="B4456">
        <v>9.9</v>
      </c>
      <c r="C4456">
        <v>10</v>
      </c>
      <c r="D4456" t="s">
        <v>5976</v>
      </c>
    </row>
    <row r="4457" spans="1:4" x14ac:dyDescent="0.2">
      <c r="A4457">
        <v>36</v>
      </c>
      <c r="B4457">
        <v>9.9</v>
      </c>
      <c r="C4457">
        <v>10</v>
      </c>
      <c r="D4457" t="s">
        <v>5976</v>
      </c>
    </row>
    <row r="4458" spans="1:4" x14ac:dyDescent="0.2">
      <c r="A4458">
        <v>31</v>
      </c>
      <c r="B4458">
        <v>499.8</v>
      </c>
      <c r="C4458">
        <v>500</v>
      </c>
      <c r="D4458" t="s">
        <v>5976</v>
      </c>
    </row>
    <row r="4459" spans="1:4" x14ac:dyDescent="0.2">
      <c r="A4459">
        <v>32</v>
      </c>
      <c r="B4459">
        <v>499.9</v>
      </c>
      <c r="C4459">
        <v>500</v>
      </c>
      <c r="D4459" t="s">
        <v>5976</v>
      </c>
    </row>
    <row r="4460" spans="1:4" x14ac:dyDescent="0.2">
      <c r="A4460">
        <v>33</v>
      </c>
      <c r="B4460">
        <v>500</v>
      </c>
      <c r="C4460">
        <v>500</v>
      </c>
      <c r="D4460" t="s">
        <v>5976</v>
      </c>
    </row>
    <row r="4461" spans="1:4" x14ac:dyDescent="0.2">
      <c r="A4461">
        <v>34</v>
      </c>
      <c r="B4461">
        <v>499.9</v>
      </c>
      <c r="C4461">
        <v>500</v>
      </c>
      <c r="D4461" t="s">
        <v>5976</v>
      </c>
    </row>
    <row r="4462" spans="1:4" x14ac:dyDescent="0.2">
      <c r="A4462">
        <v>35</v>
      </c>
      <c r="B4462">
        <v>500</v>
      </c>
      <c r="C4462">
        <v>500</v>
      </c>
      <c r="D4462" t="s">
        <v>5976</v>
      </c>
    </row>
    <row r="4463" spans="1:4" x14ac:dyDescent="0.2">
      <c r="A4463">
        <v>36</v>
      </c>
      <c r="B4463">
        <v>500</v>
      </c>
      <c r="C4463">
        <v>500</v>
      </c>
      <c r="D4463" t="s">
        <v>5976</v>
      </c>
    </row>
    <row r="4464" spans="1:4" x14ac:dyDescent="0.2">
      <c r="A4464">
        <v>31</v>
      </c>
      <c r="B4464">
        <v>999.8</v>
      </c>
      <c r="C4464">
        <v>1000</v>
      </c>
      <c r="D4464" t="s">
        <v>5976</v>
      </c>
    </row>
    <row r="4465" spans="1:4" x14ac:dyDescent="0.2">
      <c r="A4465">
        <v>32</v>
      </c>
      <c r="B4465">
        <v>999.9</v>
      </c>
      <c r="C4465">
        <v>1000</v>
      </c>
      <c r="D4465" t="s">
        <v>5976</v>
      </c>
    </row>
    <row r="4466" spans="1:4" x14ac:dyDescent="0.2">
      <c r="A4466">
        <v>33</v>
      </c>
      <c r="B4466">
        <v>1000.1</v>
      </c>
      <c r="C4466">
        <v>1000</v>
      </c>
      <c r="D4466" t="s">
        <v>5976</v>
      </c>
    </row>
    <row r="4467" spans="1:4" x14ac:dyDescent="0.2">
      <c r="A4467">
        <v>34</v>
      </c>
      <c r="B4467">
        <v>1000</v>
      </c>
      <c r="C4467">
        <v>1000</v>
      </c>
      <c r="D4467" t="s">
        <v>5976</v>
      </c>
    </row>
    <row r="4468" spans="1:4" x14ac:dyDescent="0.2">
      <c r="A4468">
        <v>35</v>
      </c>
      <c r="B4468">
        <v>1000.1</v>
      </c>
      <c r="C4468">
        <v>1000</v>
      </c>
      <c r="D4468" t="s">
        <v>5976</v>
      </c>
    </row>
    <row r="4469" spans="1:4" x14ac:dyDescent="0.2">
      <c r="A4469">
        <v>36</v>
      </c>
      <c r="B4469">
        <v>1000.1</v>
      </c>
      <c r="C4469">
        <v>1000</v>
      </c>
      <c r="D4469" t="s">
        <v>5976</v>
      </c>
    </row>
    <row r="4470" spans="1:4" x14ac:dyDescent="0.2">
      <c r="A4470">
        <v>31</v>
      </c>
      <c r="B4470">
        <v>1499.8</v>
      </c>
      <c r="C4470">
        <v>1500</v>
      </c>
      <c r="D4470" t="s">
        <v>5976</v>
      </c>
    </row>
    <row r="4471" spans="1:4" x14ac:dyDescent="0.2">
      <c r="A4471">
        <v>32</v>
      </c>
      <c r="B4471">
        <v>1499.9</v>
      </c>
      <c r="C4471">
        <v>1500</v>
      </c>
      <c r="D4471" t="s">
        <v>5976</v>
      </c>
    </row>
    <row r="4472" spans="1:4" x14ac:dyDescent="0.2">
      <c r="A4472">
        <v>33</v>
      </c>
      <c r="B4472">
        <v>1500</v>
      </c>
      <c r="C4472">
        <v>1500</v>
      </c>
      <c r="D4472" t="s">
        <v>5976</v>
      </c>
    </row>
    <row r="4473" spans="1:4" x14ac:dyDescent="0.2">
      <c r="A4473">
        <v>34</v>
      </c>
      <c r="B4473">
        <v>1499.9</v>
      </c>
      <c r="C4473">
        <v>1500</v>
      </c>
      <c r="D4473" t="s">
        <v>5976</v>
      </c>
    </row>
    <row r="4474" spans="1:4" x14ac:dyDescent="0.2">
      <c r="A4474">
        <v>35</v>
      </c>
      <c r="B4474">
        <v>1500.1</v>
      </c>
      <c r="C4474">
        <v>1500</v>
      </c>
      <c r="D4474" t="s">
        <v>5976</v>
      </c>
    </row>
    <row r="4475" spans="1:4" x14ac:dyDescent="0.2">
      <c r="A4475">
        <v>36</v>
      </c>
      <c r="B4475">
        <v>1500.2</v>
      </c>
      <c r="C4475">
        <v>1500</v>
      </c>
      <c r="D4475" t="s">
        <v>5976</v>
      </c>
    </row>
    <row r="4476" spans="1:4" x14ac:dyDescent="0.2">
      <c r="A4476">
        <v>31</v>
      </c>
      <c r="B4476">
        <v>1999.8</v>
      </c>
      <c r="C4476">
        <v>2000</v>
      </c>
      <c r="D4476" t="s">
        <v>5976</v>
      </c>
    </row>
    <row r="4477" spans="1:4" x14ac:dyDescent="0.2">
      <c r="A4477">
        <v>32</v>
      </c>
      <c r="B4477">
        <v>2000</v>
      </c>
      <c r="C4477">
        <v>2000</v>
      </c>
      <c r="D4477" t="s">
        <v>5976</v>
      </c>
    </row>
    <row r="4478" spans="1:4" x14ac:dyDescent="0.2">
      <c r="A4478">
        <v>33</v>
      </c>
      <c r="B4478">
        <v>2000</v>
      </c>
      <c r="C4478">
        <v>2000</v>
      </c>
      <c r="D4478" t="s">
        <v>5976</v>
      </c>
    </row>
    <row r="4479" spans="1:4" x14ac:dyDescent="0.2">
      <c r="A4479">
        <v>34</v>
      </c>
      <c r="B4479">
        <v>1999.9</v>
      </c>
      <c r="C4479">
        <v>2000</v>
      </c>
      <c r="D4479" t="s">
        <v>5976</v>
      </c>
    </row>
    <row r="4480" spans="1:4" x14ac:dyDescent="0.2">
      <c r="A4480">
        <v>35</v>
      </c>
      <c r="B4480">
        <v>2000.1</v>
      </c>
      <c r="C4480">
        <v>2000</v>
      </c>
      <c r="D4480" t="s">
        <v>5976</v>
      </c>
    </row>
    <row r="4481" spans="1:4" x14ac:dyDescent="0.2">
      <c r="A4481">
        <v>36</v>
      </c>
      <c r="B4481">
        <v>2000.2</v>
      </c>
      <c r="C4481">
        <v>2000</v>
      </c>
      <c r="D4481" t="s">
        <v>5976</v>
      </c>
    </row>
    <row r="4482" spans="1:4" x14ac:dyDescent="0.2">
      <c r="A4482">
        <v>31</v>
      </c>
      <c r="B4482">
        <v>2289.8000000000002</v>
      </c>
      <c r="C4482">
        <v>2290</v>
      </c>
      <c r="D4482" t="s">
        <v>5976</v>
      </c>
    </row>
    <row r="4483" spans="1:4" x14ac:dyDescent="0.2">
      <c r="A4483">
        <v>32</v>
      </c>
      <c r="B4483">
        <v>2290</v>
      </c>
      <c r="C4483">
        <v>2290</v>
      </c>
      <c r="D4483" t="s">
        <v>5976</v>
      </c>
    </row>
    <row r="4484" spans="1:4" x14ac:dyDescent="0.2">
      <c r="A4484">
        <v>33</v>
      </c>
      <c r="B4484">
        <v>2290</v>
      </c>
      <c r="C4484">
        <v>2290</v>
      </c>
      <c r="D4484" t="s">
        <v>5976</v>
      </c>
    </row>
    <row r="4485" spans="1:4" x14ac:dyDescent="0.2">
      <c r="A4485">
        <v>34</v>
      </c>
      <c r="B4485">
        <v>2289.8000000000002</v>
      </c>
      <c r="C4485">
        <v>2290</v>
      </c>
      <c r="D4485" t="s">
        <v>5976</v>
      </c>
    </row>
    <row r="4486" spans="1:4" x14ac:dyDescent="0.2">
      <c r="A4486">
        <v>35</v>
      </c>
      <c r="B4486">
        <v>2290.1</v>
      </c>
      <c r="C4486">
        <v>2290</v>
      </c>
      <c r="D4486" t="s">
        <v>5976</v>
      </c>
    </row>
    <row r="4487" spans="1:4" x14ac:dyDescent="0.2">
      <c r="A4487">
        <v>36</v>
      </c>
      <c r="B4487">
        <v>2290.1</v>
      </c>
      <c r="C4487">
        <v>2290</v>
      </c>
      <c r="D4487" t="s">
        <v>5976</v>
      </c>
    </row>
    <row r="4488" spans="1:4" x14ac:dyDescent="0.2">
      <c r="A4488">
        <v>37</v>
      </c>
      <c r="B4488">
        <v>9.9</v>
      </c>
      <c r="C4488">
        <v>10</v>
      </c>
      <c r="D4488" t="s">
        <v>5976</v>
      </c>
    </row>
    <row r="4489" spans="1:4" x14ac:dyDescent="0.2">
      <c r="A4489">
        <v>38</v>
      </c>
      <c r="B4489">
        <v>10</v>
      </c>
      <c r="C4489">
        <v>10</v>
      </c>
      <c r="D4489" t="s">
        <v>5976</v>
      </c>
    </row>
    <row r="4490" spans="1:4" x14ac:dyDescent="0.2">
      <c r="A4490">
        <v>39</v>
      </c>
      <c r="B4490">
        <v>9.9</v>
      </c>
      <c r="C4490">
        <v>10</v>
      </c>
      <c r="D4490" t="s">
        <v>5976</v>
      </c>
    </row>
    <row r="4491" spans="1:4" x14ac:dyDescent="0.2">
      <c r="A4491">
        <v>40</v>
      </c>
      <c r="B4491">
        <v>9.9</v>
      </c>
      <c r="C4491">
        <v>10</v>
      </c>
      <c r="D4491" t="s">
        <v>5976</v>
      </c>
    </row>
    <row r="4492" spans="1:4" x14ac:dyDescent="0.2">
      <c r="A4492">
        <v>37</v>
      </c>
      <c r="B4492">
        <v>499.9</v>
      </c>
      <c r="C4492">
        <v>500</v>
      </c>
      <c r="D4492" t="s">
        <v>5976</v>
      </c>
    </row>
    <row r="4493" spans="1:4" x14ac:dyDescent="0.2">
      <c r="A4493">
        <v>38</v>
      </c>
      <c r="B4493">
        <v>500.1</v>
      </c>
      <c r="C4493">
        <v>500</v>
      </c>
      <c r="D4493" t="s">
        <v>5976</v>
      </c>
    </row>
    <row r="4494" spans="1:4" x14ac:dyDescent="0.2">
      <c r="A4494">
        <v>39</v>
      </c>
      <c r="B4494">
        <v>499.9</v>
      </c>
      <c r="C4494">
        <v>500</v>
      </c>
      <c r="D4494" t="s">
        <v>5976</v>
      </c>
    </row>
    <row r="4495" spans="1:4" x14ac:dyDescent="0.2">
      <c r="A4495">
        <v>40</v>
      </c>
      <c r="B4495">
        <v>500</v>
      </c>
      <c r="C4495">
        <v>500</v>
      </c>
      <c r="D4495" t="s">
        <v>5976</v>
      </c>
    </row>
    <row r="4496" spans="1:4" x14ac:dyDescent="0.2">
      <c r="A4496">
        <v>37</v>
      </c>
      <c r="B4496">
        <v>1000</v>
      </c>
      <c r="C4496">
        <v>1000</v>
      </c>
      <c r="D4496" t="s">
        <v>5976</v>
      </c>
    </row>
    <row r="4497" spans="1:4" x14ac:dyDescent="0.2">
      <c r="A4497">
        <v>38</v>
      </c>
      <c r="B4497">
        <v>1000.1</v>
      </c>
      <c r="C4497">
        <v>1000</v>
      </c>
      <c r="D4497" t="s">
        <v>5976</v>
      </c>
    </row>
    <row r="4498" spans="1:4" x14ac:dyDescent="0.2">
      <c r="A4498">
        <v>39</v>
      </c>
      <c r="B4498">
        <v>1000</v>
      </c>
      <c r="C4498">
        <v>1000</v>
      </c>
      <c r="D4498" t="s">
        <v>5976</v>
      </c>
    </row>
    <row r="4499" spans="1:4" x14ac:dyDescent="0.2">
      <c r="A4499">
        <v>40</v>
      </c>
      <c r="B4499">
        <v>1000</v>
      </c>
      <c r="C4499">
        <v>1000</v>
      </c>
      <c r="D4499" t="s">
        <v>5976</v>
      </c>
    </row>
    <row r="4500" spans="1:4" x14ac:dyDescent="0.2">
      <c r="A4500">
        <v>37</v>
      </c>
      <c r="B4500">
        <v>1500</v>
      </c>
      <c r="C4500">
        <v>1500</v>
      </c>
      <c r="D4500" t="s">
        <v>5976</v>
      </c>
    </row>
    <row r="4501" spans="1:4" x14ac:dyDescent="0.2">
      <c r="A4501">
        <v>38</v>
      </c>
      <c r="B4501">
        <v>1500.1</v>
      </c>
      <c r="C4501">
        <v>1500</v>
      </c>
      <c r="D4501" t="s">
        <v>5976</v>
      </c>
    </row>
    <row r="4502" spans="1:4" x14ac:dyDescent="0.2">
      <c r="A4502">
        <v>39</v>
      </c>
      <c r="B4502">
        <v>1500</v>
      </c>
      <c r="C4502">
        <v>1500</v>
      </c>
      <c r="D4502" t="s">
        <v>5976</v>
      </c>
    </row>
    <row r="4503" spans="1:4" x14ac:dyDescent="0.2">
      <c r="A4503">
        <v>40</v>
      </c>
      <c r="B4503">
        <v>1500</v>
      </c>
      <c r="C4503">
        <v>1500</v>
      </c>
      <c r="D4503" t="s">
        <v>5976</v>
      </c>
    </row>
    <row r="4504" spans="1:4" x14ac:dyDescent="0.2">
      <c r="A4504">
        <v>37</v>
      </c>
      <c r="B4504">
        <v>2000</v>
      </c>
      <c r="C4504">
        <v>2000</v>
      </c>
      <c r="D4504" t="s">
        <v>5976</v>
      </c>
    </row>
    <row r="4505" spans="1:4" x14ac:dyDescent="0.2">
      <c r="A4505">
        <v>38</v>
      </c>
      <c r="B4505">
        <v>2000.2</v>
      </c>
      <c r="C4505">
        <v>2000</v>
      </c>
      <c r="D4505" t="s">
        <v>5976</v>
      </c>
    </row>
    <row r="4506" spans="1:4" x14ac:dyDescent="0.2">
      <c r="A4506">
        <v>39</v>
      </c>
      <c r="B4506">
        <v>2000</v>
      </c>
      <c r="C4506">
        <v>2000</v>
      </c>
      <c r="D4506" t="s">
        <v>5976</v>
      </c>
    </row>
    <row r="4507" spans="1:4" x14ac:dyDescent="0.2">
      <c r="A4507">
        <v>40</v>
      </c>
      <c r="B4507">
        <v>2000</v>
      </c>
      <c r="C4507">
        <v>2000</v>
      </c>
      <c r="D4507" t="s">
        <v>5976</v>
      </c>
    </row>
    <row r="4508" spans="1:4" x14ac:dyDescent="0.2">
      <c r="A4508">
        <v>37</v>
      </c>
      <c r="B4508">
        <v>2289.9</v>
      </c>
      <c r="C4508">
        <v>2290</v>
      </c>
      <c r="D4508" t="s">
        <v>5976</v>
      </c>
    </row>
    <row r="4509" spans="1:4" x14ac:dyDescent="0.2">
      <c r="A4509">
        <v>38</v>
      </c>
      <c r="B4509">
        <v>2290.1999999999998</v>
      </c>
      <c r="C4509">
        <v>2290</v>
      </c>
      <c r="D4509" t="s">
        <v>5976</v>
      </c>
    </row>
    <row r="4510" spans="1:4" x14ac:dyDescent="0.2">
      <c r="A4510">
        <v>39</v>
      </c>
      <c r="B4510">
        <v>2290</v>
      </c>
      <c r="C4510">
        <v>2290</v>
      </c>
      <c r="D4510" t="s">
        <v>5976</v>
      </c>
    </row>
    <row r="4511" spans="1:4" x14ac:dyDescent="0.2">
      <c r="A4511">
        <v>40</v>
      </c>
      <c r="B4511">
        <v>2290</v>
      </c>
      <c r="C4511">
        <v>2290</v>
      </c>
      <c r="D4511" t="s">
        <v>5976</v>
      </c>
    </row>
    <row r="4512" spans="1:4" x14ac:dyDescent="0.2">
      <c r="A4512">
        <v>1</v>
      </c>
      <c r="B4512">
        <v>10.1</v>
      </c>
      <c r="C4512">
        <v>10</v>
      </c>
      <c r="D4512" t="s">
        <v>5977</v>
      </c>
    </row>
    <row r="4513" spans="1:4" x14ac:dyDescent="0.2">
      <c r="A4513">
        <v>2</v>
      </c>
      <c r="B4513">
        <v>9.8000000000000007</v>
      </c>
      <c r="C4513">
        <v>10</v>
      </c>
      <c r="D4513" t="s">
        <v>5977</v>
      </c>
    </row>
    <row r="4514" spans="1:4" x14ac:dyDescent="0.2">
      <c r="A4514">
        <v>3</v>
      </c>
      <c r="B4514">
        <v>9.9</v>
      </c>
      <c r="C4514">
        <v>10</v>
      </c>
      <c r="D4514" t="s">
        <v>5977</v>
      </c>
    </row>
    <row r="4515" spans="1:4" x14ac:dyDescent="0.2">
      <c r="A4515">
        <v>4</v>
      </c>
      <c r="B4515">
        <v>10</v>
      </c>
      <c r="C4515">
        <v>10</v>
      </c>
      <c r="D4515" t="s">
        <v>5977</v>
      </c>
    </row>
    <row r="4516" spans="1:4" x14ac:dyDescent="0.2">
      <c r="A4516">
        <v>5</v>
      </c>
      <c r="B4516">
        <v>10</v>
      </c>
      <c r="C4516">
        <v>10</v>
      </c>
      <c r="D4516" t="s">
        <v>5977</v>
      </c>
    </row>
    <row r="4517" spans="1:4" x14ac:dyDescent="0.2">
      <c r="A4517">
        <v>6</v>
      </c>
      <c r="B4517">
        <v>10</v>
      </c>
      <c r="C4517">
        <v>10</v>
      </c>
      <c r="D4517" t="s">
        <v>5977</v>
      </c>
    </row>
    <row r="4518" spans="1:4" x14ac:dyDescent="0.2">
      <c r="A4518">
        <v>1</v>
      </c>
      <c r="B4518">
        <v>500</v>
      </c>
      <c r="C4518">
        <v>500</v>
      </c>
      <c r="D4518" t="s">
        <v>5977</v>
      </c>
    </row>
    <row r="4519" spans="1:4" x14ac:dyDescent="0.2">
      <c r="A4519">
        <v>2</v>
      </c>
      <c r="B4519">
        <v>499.8</v>
      </c>
      <c r="C4519">
        <v>500</v>
      </c>
      <c r="D4519" t="s">
        <v>5977</v>
      </c>
    </row>
    <row r="4520" spans="1:4" x14ac:dyDescent="0.2">
      <c r="A4520">
        <v>3</v>
      </c>
      <c r="B4520">
        <v>499.9</v>
      </c>
      <c r="C4520">
        <v>500</v>
      </c>
      <c r="D4520" t="s">
        <v>5977</v>
      </c>
    </row>
    <row r="4521" spans="1:4" x14ac:dyDescent="0.2">
      <c r="A4521">
        <v>4</v>
      </c>
      <c r="B4521">
        <v>500</v>
      </c>
      <c r="C4521">
        <v>500</v>
      </c>
      <c r="D4521" t="s">
        <v>5977</v>
      </c>
    </row>
    <row r="4522" spans="1:4" x14ac:dyDescent="0.2">
      <c r="A4522">
        <v>5</v>
      </c>
      <c r="B4522">
        <v>499.9</v>
      </c>
      <c r="C4522">
        <v>500</v>
      </c>
      <c r="D4522" t="s">
        <v>5977</v>
      </c>
    </row>
    <row r="4523" spans="1:4" x14ac:dyDescent="0.2">
      <c r="A4523">
        <v>6</v>
      </c>
      <c r="B4523">
        <v>500</v>
      </c>
      <c r="C4523">
        <v>500</v>
      </c>
      <c r="D4523" t="s">
        <v>5977</v>
      </c>
    </row>
    <row r="4524" spans="1:4" x14ac:dyDescent="0.2">
      <c r="A4524">
        <v>1</v>
      </c>
      <c r="B4524">
        <v>1000</v>
      </c>
      <c r="C4524">
        <v>1000</v>
      </c>
      <c r="D4524" t="s">
        <v>5977</v>
      </c>
    </row>
    <row r="4525" spans="1:4" x14ac:dyDescent="0.2">
      <c r="A4525">
        <v>2</v>
      </c>
      <c r="B4525">
        <v>999.9</v>
      </c>
      <c r="C4525">
        <v>1000</v>
      </c>
      <c r="D4525" t="s">
        <v>5977</v>
      </c>
    </row>
    <row r="4526" spans="1:4" x14ac:dyDescent="0.2">
      <c r="A4526">
        <v>3</v>
      </c>
      <c r="B4526">
        <v>1000</v>
      </c>
      <c r="C4526">
        <v>1000</v>
      </c>
      <c r="D4526" t="s">
        <v>5977</v>
      </c>
    </row>
    <row r="4527" spans="1:4" x14ac:dyDescent="0.2">
      <c r="A4527">
        <v>4</v>
      </c>
      <c r="B4527">
        <v>1000.1</v>
      </c>
      <c r="C4527">
        <v>1000</v>
      </c>
      <c r="D4527" t="s">
        <v>5977</v>
      </c>
    </row>
    <row r="4528" spans="1:4" x14ac:dyDescent="0.2">
      <c r="A4528">
        <v>5</v>
      </c>
      <c r="B4528">
        <v>999.9</v>
      </c>
      <c r="C4528">
        <v>1000</v>
      </c>
      <c r="D4528" t="s">
        <v>5977</v>
      </c>
    </row>
    <row r="4529" spans="1:4" x14ac:dyDescent="0.2">
      <c r="A4529">
        <v>6</v>
      </c>
      <c r="B4529">
        <v>1000.1</v>
      </c>
      <c r="C4529">
        <v>1000</v>
      </c>
      <c r="D4529" t="s">
        <v>5977</v>
      </c>
    </row>
    <row r="4530" spans="1:4" x14ac:dyDescent="0.2">
      <c r="A4530">
        <v>1</v>
      </c>
      <c r="B4530">
        <v>1500.1</v>
      </c>
      <c r="C4530">
        <v>1500</v>
      </c>
      <c r="D4530" t="s">
        <v>5977</v>
      </c>
    </row>
    <row r="4531" spans="1:4" x14ac:dyDescent="0.2">
      <c r="A4531">
        <v>2</v>
      </c>
      <c r="B4531">
        <v>1499.9</v>
      </c>
      <c r="C4531">
        <v>1500</v>
      </c>
      <c r="D4531" t="s">
        <v>5977</v>
      </c>
    </row>
    <row r="4532" spans="1:4" x14ac:dyDescent="0.2">
      <c r="A4532">
        <v>3</v>
      </c>
      <c r="B4532">
        <v>1500.1</v>
      </c>
      <c r="C4532">
        <v>1500</v>
      </c>
      <c r="D4532" t="s">
        <v>5977</v>
      </c>
    </row>
    <row r="4533" spans="1:4" x14ac:dyDescent="0.2">
      <c r="A4533">
        <v>4</v>
      </c>
      <c r="B4533">
        <v>1500.1</v>
      </c>
      <c r="C4533">
        <v>1500</v>
      </c>
      <c r="D4533" t="s">
        <v>5977</v>
      </c>
    </row>
    <row r="4534" spans="1:4" x14ac:dyDescent="0.2">
      <c r="A4534">
        <v>5</v>
      </c>
      <c r="B4534">
        <v>1499.8</v>
      </c>
      <c r="C4534">
        <v>1500</v>
      </c>
      <c r="D4534" t="s">
        <v>5977</v>
      </c>
    </row>
    <row r="4535" spans="1:4" x14ac:dyDescent="0.2">
      <c r="A4535">
        <v>6</v>
      </c>
      <c r="B4535">
        <v>1500.1</v>
      </c>
      <c r="C4535">
        <v>1500</v>
      </c>
      <c r="D4535" t="s">
        <v>5977</v>
      </c>
    </row>
    <row r="4536" spans="1:4" x14ac:dyDescent="0.2">
      <c r="A4536">
        <v>1</v>
      </c>
      <c r="B4536">
        <v>2000.1</v>
      </c>
      <c r="C4536">
        <v>2000</v>
      </c>
      <c r="D4536" t="s">
        <v>5977</v>
      </c>
    </row>
    <row r="4537" spans="1:4" x14ac:dyDescent="0.2">
      <c r="A4537">
        <v>2</v>
      </c>
      <c r="B4537">
        <v>1999.9</v>
      </c>
      <c r="C4537">
        <v>2000</v>
      </c>
      <c r="D4537" t="s">
        <v>5977</v>
      </c>
    </row>
    <row r="4538" spans="1:4" x14ac:dyDescent="0.2">
      <c r="A4538">
        <v>3</v>
      </c>
      <c r="B4538">
        <v>2000.1</v>
      </c>
      <c r="C4538">
        <v>2000</v>
      </c>
      <c r="D4538" t="s">
        <v>5977</v>
      </c>
    </row>
    <row r="4539" spans="1:4" x14ac:dyDescent="0.2">
      <c r="A4539">
        <v>4</v>
      </c>
      <c r="B4539">
        <v>2000.1</v>
      </c>
      <c r="C4539">
        <v>2000</v>
      </c>
      <c r="D4539" t="s">
        <v>5977</v>
      </c>
    </row>
    <row r="4540" spans="1:4" x14ac:dyDescent="0.2">
      <c r="A4540">
        <v>5</v>
      </c>
      <c r="B4540">
        <v>1999.8</v>
      </c>
      <c r="C4540">
        <v>2000</v>
      </c>
      <c r="D4540" t="s">
        <v>5977</v>
      </c>
    </row>
    <row r="4541" spans="1:4" x14ac:dyDescent="0.2">
      <c r="A4541">
        <v>6</v>
      </c>
      <c r="B4541">
        <v>2000.1</v>
      </c>
      <c r="C4541">
        <v>2000</v>
      </c>
      <c r="D4541" t="s">
        <v>5977</v>
      </c>
    </row>
    <row r="4542" spans="1:4" x14ac:dyDescent="0.2">
      <c r="A4542">
        <v>1</v>
      </c>
      <c r="B4542">
        <v>2250.1</v>
      </c>
      <c r="C4542">
        <v>2250</v>
      </c>
      <c r="D4542" t="s">
        <v>5977</v>
      </c>
    </row>
    <row r="4543" spans="1:4" x14ac:dyDescent="0.2">
      <c r="A4543">
        <v>2</v>
      </c>
      <c r="B4543">
        <v>2250</v>
      </c>
      <c r="C4543">
        <v>2250</v>
      </c>
      <c r="D4543" t="s">
        <v>5977</v>
      </c>
    </row>
    <row r="4544" spans="1:4" x14ac:dyDescent="0.2">
      <c r="A4544">
        <v>3</v>
      </c>
      <c r="B4544">
        <v>2250.1999999999998</v>
      </c>
      <c r="C4544">
        <v>2250</v>
      </c>
      <c r="D4544" t="s">
        <v>5977</v>
      </c>
    </row>
    <row r="4545" spans="1:4" x14ac:dyDescent="0.2">
      <c r="A4545">
        <v>4</v>
      </c>
      <c r="B4545">
        <v>2250.1999999999998</v>
      </c>
      <c r="C4545">
        <v>2250</v>
      </c>
      <c r="D4545" t="s">
        <v>5977</v>
      </c>
    </row>
    <row r="4546" spans="1:4" x14ac:dyDescent="0.2">
      <c r="A4546">
        <v>5</v>
      </c>
      <c r="B4546">
        <v>2249.9</v>
      </c>
      <c r="C4546">
        <v>2250</v>
      </c>
      <c r="D4546" t="s">
        <v>5977</v>
      </c>
    </row>
    <row r="4547" spans="1:4" x14ac:dyDescent="0.2">
      <c r="A4547">
        <v>6</v>
      </c>
      <c r="B4547">
        <v>2250.1999999999998</v>
      </c>
      <c r="C4547">
        <v>2250</v>
      </c>
      <c r="D4547" t="s">
        <v>5977</v>
      </c>
    </row>
    <row r="4548" spans="1:4" x14ac:dyDescent="0.2">
      <c r="A4548">
        <v>7</v>
      </c>
      <c r="B4548">
        <v>9.8000000000000007</v>
      </c>
      <c r="C4548">
        <v>10</v>
      </c>
      <c r="D4548" t="s">
        <v>5977</v>
      </c>
    </row>
    <row r="4549" spans="1:4" x14ac:dyDescent="0.2">
      <c r="A4549">
        <v>8</v>
      </c>
      <c r="B4549">
        <v>10</v>
      </c>
      <c r="C4549">
        <v>10</v>
      </c>
      <c r="D4549" t="s">
        <v>5977</v>
      </c>
    </row>
    <row r="4550" spans="1:4" x14ac:dyDescent="0.2">
      <c r="A4550">
        <v>9</v>
      </c>
      <c r="B4550">
        <v>9.9</v>
      </c>
      <c r="C4550">
        <v>10</v>
      </c>
      <c r="D4550" t="s">
        <v>5977</v>
      </c>
    </row>
    <row r="4551" spans="1:4" x14ac:dyDescent="0.2">
      <c r="A4551">
        <v>10</v>
      </c>
      <c r="B4551">
        <v>9.9</v>
      </c>
      <c r="C4551">
        <v>10</v>
      </c>
      <c r="D4551" t="s">
        <v>5977</v>
      </c>
    </row>
    <row r="4552" spans="1:4" x14ac:dyDescent="0.2">
      <c r="A4552">
        <v>11</v>
      </c>
      <c r="B4552">
        <v>9.9</v>
      </c>
      <c r="C4552">
        <v>10</v>
      </c>
      <c r="D4552" t="s">
        <v>5977</v>
      </c>
    </row>
    <row r="4553" spans="1:4" x14ac:dyDescent="0.2">
      <c r="A4553">
        <v>12</v>
      </c>
      <c r="B4553">
        <v>9.8000000000000007</v>
      </c>
      <c r="C4553">
        <v>10</v>
      </c>
      <c r="D4553" t="s">
        <v>5977</v>
      </c>
    </row>
    <row r="4554" spans="1:4" x14ac:dyDescent="0.2">
      <c r="A4554">
        <v>7</v>
      </c>
      <c r="B4554">
        <v>499.7</v>
      </c>
      <c r="C4554">
        <v>500</v>
      </c>
      <c r="D4554" t="s">
        <v>5977</v>
      </c>
    </row>
    <row r="4555" spans="1:4" x14ac:dyDescent="0.2">
      <c r="A4555">
        <v>8</v>
      </c>
      <c r="B4555">
        <v>500</v>
      </c>
      <c r="C4555">
        <v>500</v>
      </c>
      <c r="D4555" t="s">
        <v>5977</v>
      </c>
    </row>
    <row r="4556" spans="1:4" x14ac:dyDescent="0.2">
      <c r="A4556">
        <v>9</v>
      </c>
      <c r="B4556">
        <v>499.9</v>
      </c>
      <c r="C4556">
        <v>500</v>
      </c>
      <c r="D4556" t="s">
        <v>5977</v>
      </c>
    </row>
    <row r="4557" spans="1:4" x14ac:dyDescent="0.2">
      <c r="A4557">
        <v>10</v>
      </c>
      <c r="B4557">
        <v>499.9</v>
      </c>
      <c r="C4557">
        <v>500</v>
      </c>
      <c r="D4557" t="s">
        <v>5977</v>
      </c>
    </row>
    <row r="4558" spans="1:4" x14ac:dyDescent="0.2">
      <c r="A4558">
        <v>11</v>
      </c>
      <c r="B4558">
        <v>499.8</v>
      </c>
      <c r="C4558">
        <v>500</v>
      </c>
      <c r="D4558" t="s">
        <v>5977</v>
      </c>
    </row>
    <row r="4559" spans="1:4" x14ac:dyDescent="0.2">
      <c r="A4559">
        <v>12</v>
      </c>
      <c r="B4559">
        <v>499.7</v>
      </c>
      <c r="C4559">
        <v>500</v>
      </c>
      <c r="D4559" t="s">
        <v>5977</v>
      </c>
    </row>
    <row r="4560" spans="1:4" x14ac:dyDescent="0.2">
      <c r="A4560">
        <v>7</v>
      </c>
      <c r="B4560">
        <v>999.7</v>
      </c>
      <c r="C4560">
        <v>1000</v>
      </c>
      <c r="D4560" t="s">
        <v>5977</v>
      </c>
    </row>
    <row r="4561" spans="1:4" x14ac:dyDescent="0.2">
      <c r="A4561">
        <v>8</v>
      </c>
      <c r="B4561">
        <v>999.9</v>
      </c>
      <c r="C4561">
        <v>1000</v>
      </c>
      <c r="D4561" t="s">
        <v>5977</v>
      </c>
    </row>
    <row r="4562" spans="1:4" x14ac:dyDescent="0.2">
      <c r="A4562">
        <v>9</v>
      </c>
      <c r="B4562">
        <v>1000</v>
      </c>
      <c r="C4562">
        <v>1000</v>
      </c>
      <c r="D4562" t="s">
        <v>5977</v>
      </c>
    </row>
    <row r="4563" spans="1:4" x14ac:dyDescent="0.2">
      <c r="A4563">
        <v>10</v>
      </c>
      <c r="B4563">
        <v>1000.1</v>
      </c>
      <c r="C4563">
        <v>1000</v>
      </c>
      <c r="D4563" t="s">
        <v>5977</v>
      </c>
    </row>
    <row r="4564" spans="1:4" x14ac:dyDescent="0.2">
      <c r="A4564">
        <v>11</v>
      </c>
      <c r="B4564">
        <v>999.9</v>
      </c>
      <c r="C4564">
        <v>1000</v>
      </c>
      <c r="D4564" t="s">
        <v>5977</v>
      </c>
    </row>
    <row r="4565" spans="1:4" x14ac:dyDescent="0.2">
      <c r="A4565">
        <v>12</v>
      </c>
      <c r="B4565">
        <v>999.9</v>
      </c>
      <c r="C4565">
        <v>1000</v>
      </c>
      <c r="D4565" t="s">
        <v>5977</v>
      </c>
    </row>
    <row r="4566" spans="1:4" x14ac:dyDescent="0.2">
      <c r="A4566">
        <v>7</v>
      </c>
      <c r="B4566">
        <v>1499.7</v>
      </c>
      <c r="C4566">
        <v>1500</v>
      </c>
      <c r="D4566" t="s">
        <v>5977</v>
      </c>
    </row>
    <row r="4567" spans="1:4" x14ac:dyDescent="0.2">
      <c r="A4567">
        <v>8</v>
      </c>
      <c r="B4567">
        <v>1499.8</v>
      </c>
      <c r="C4567">
        <v>1500</v>
      </c>
      <c r="D4567" t="s">
        <v>5977</v>
      </c>
    </row>
    <row r="4568" spans="1:4" x14ac:dyDescent="0.2">
      <c r="A4568">
        <v>9</v>
      </c>
      <c r="B4568">
        <v>1500</v>
      </c>
      <c r="C4568">
        <v>1500</v>
      </c>
      <c r="D4568" t="s">
        <v>5977</v>
      </c>
    </row>
    <row r="4569" spans="1:4" x14ac:dyDescent="0.2">
      <c r="A4569">
        <v>10</v>
      </c>
      <c r="B4569">
        <v>1500.1</v>
      </c>
      <c r="C4569">
        <v>1500</v>
      </c>
      <c r="D4569" t="s">
        <v>5977</v>
      </c>
    </row>
    <row r="4570" spans="1:4" x14ac:dyDescent="0.2">
      <c r="A4570">
        <v>11</v>
      </c>
      <c r="B4570">
        <v>1499.9</v>
      </c>
      <c r="C4570">
        <v>1500</v>
      </c>
      <c r="D4570" t="s">
        <v>5977</v>
      </c>
    </row>
    <row r="4571" spans="1:4" x14ac:dyDescent="0.2">
      <c r="A4571">
        <v>12</v>
      </c>
      <c r="B4571">
        <v>1499.9</v>
      </c>
      <c r="C4571">
        <v>1500</v>
      </c>
      <c r="D4571" t="s">
        <v>5977</v>
      </c>
    </row>
    <row r="4572" spans="1:4" x14ac:dyDescent="0.2">
      <c r="A4572">
        <v>7</v>
      </c>
      <c r="B4572">
        <v>1999.7</v>
      </c>
      <c r="C4572">
        <v>2000</v>
      </c>
      <c r="D4572" t="s">
        <v>5977</v>
      </c>
    </row>
    <row r="4573" spans="1:4" x14ac:dyDescent="0.2">
      <c r="A4573">
        <v>8</v>
      </c>
      <c r="B4573">
        <v>1999.6</v>
      </c>
      <c r="C4573">
        <v>2000</v>
      </c>
      <c r="D4573" t="s">
        <v>5977</v>
      </c>
    </row>
    <row r="4574" spans="1:4" x14ac:dyDescent="0.2">
      <c r="A4574">
        <v>9</v>
      </c>
      <c r="B4574">
        <v>2000</v>
      </c>
      <c r="C4574">
        <v>2000</v>
      </c>
      <c r="D4574" t="s">
        <v>5977</v>
      </c>
    </row>
    <row r="4575" spans="1:4" x14ac:dyDescent="0.2">
      <c r="A4575">
        <v>10</v>
      </c>
      <c r="B4575">
        <v>2000.2</v>
      </c>
      <c r="C4575">
        <v>2000</v>
      </c>
      <c r="D4575" t="s">
        <v>5977</v>
      </c>
    </row>
    <row r="4576" spans="1:4" x14ac:dyDescent="0.2">
      <c r="A4576">
        <v>11</v>
      </c>
      <c r="B4576">
        <v>1999.9</v>
      </c>
      <c r="C4576">
        <v>2000</v>
      </c>
      <c r="D4576" t="s">
        <v>5977</v>
      </c>
    </row>
    <row r="4577" spans="1:4" x14ac:dyDescent="0.2">
      <c r="A4577">
        <v>12</v>
      </c>
      <c r="B4577">
        <v>1999.9</v>
      </c>
      <c r="C4577">
        <v>2000</v>
      </c>
      <c r="D4577" t="s">
        <v>5977</v>
      </c>
    </row>
    <row r="4578" spans="1:4" x14ac:dyDescent="0.2">
      <c r="A4578">
        <v>7</v>
      </c>
      <c r="B4578">
        <v>2249.6999999999998</v>
      </c>
      <c r="C4578">
        <v>2250</v>
      </c>
      <c r="D4578" t="s">
        <v>5977</v>
      </c>
    </row>
    <row r="4579" spans="1:4" x14ac:dyDescent="0.2">
      <c r="A4579">
        <v>8</v>
      </c>
      <c r="B4579">
        <v>2249.6</v>
      </c>
      <c r="C4579">
        <v>2250</v>
      </c>
      <c r="D4579" t="s">
        <v>5977</v>
      </c>
    </row>
    <row r="4580" spans="1:4" x14ac:dyDescent="0.2">
      <c r="A4580">
        <v>9</v>
      </c>
      <c r="B4580">
        <v>2250</v>
      </c>
      <c r="C4580">
        <v>2250</v>
      </c>
      <c r="D4580" t="s">
        <v>5977</v>
      </c>
    </row>
    <row r="4581" spans="1:4" x14ac:dyDescent="0.2">
      <c r="A4581">
        <v>10</v>
      </c>
      <c r="B4581">
        <v>2250.3000000000002</v>
      </c>
      <c r="C4581">
        <v>2250</v>
      </c>
      <c r="D4581" t="s">
        <v>5977</v>
      </c>
    </row>
    <row r="4582" spans="1:4" x14ac:dyDescent="0.2">
      <c r="A4582">
        <v>11</v>
      </c>
      <c r="B4582">
        <v>2250</v>
      </c>
      <c r="C4582">
        <v>2250</v>
      </c>
      <c r="D4582" t="s">
        <v>5977</v>
      </c>
    </row>
    <row r="4583" spans="1:4" x14ac:dyDescent="0.2">
      <c r="A4583">
        <v>12</v>
      </c>
      <c r="B4583">
        <v>2250</v>
      </c>
      <c r="C4583">
        <v>2250</v>
      </c>
      <c r="D4583" t="s">
        <v>5977</v>
      </c>
    </row>
    <row r="4584" spans="1:4" x14ac:dyDescent="0.2">
      <c r="A4584">
        <v>13</v>
      </c>
      <c r="B4584">
        <v>10</v>
      </c>
      <c r="C4584">
        <v>10</v>
      </c>
      <c r="D4584" t="s">
        <v>5977</v>
      </c>
    </row>
    <row r="4585" spans="1:4" x14ac:dyDescent="0.2">
      <c r="A4585">
        <v>14</v>
      </c>
      <c r="B4585">
        <v>10.1</v>
      </c>
      <c r="C4585">
        <v>10</v>
      </c>
      <c r="D4585" t="s">
        <v>5977</v>
      </c>
    </row>
    <row r="4586" spans="1:4" x14ac:dyDescent="0.2">
      <c r="A4586">
        <v>15</v>
      </c>
      <c r="B4586">
        <v>9.9</v>
      </c>
      <c r="C4586">
        <v>10</v>
      </c>
      <c r="D4586" t="s">
        <v>5977</v>
      </c>
    </row>
    <row r="4587" spans="1:4" x14ac:dyDescent="0.2">
      <c r="A4587">
        <v>16</v>
      </c>
      <c r="B4587">
        <v>9.8000000000000007</v>
      </c>
      <c r="C4587">
        <v>10</v>
      </c>
      <c r="D4587" t="s">
        <v>5977</v>
      </c>
    </row>
    <row r="4588" spans="1:4" x14ac:dyDescent="0.2">
      <c r="A4588">
        <v>17</v>
      </c>
      <c r="B4588">
        <v>10</v>
      </c>
      <c r="C4588">
        <v>10</v>
      </c>
      <c r="D4588" t="s">
        <v>5977</v>
      </c>
    </row>
    <row r="4589" spans="1:4" x14ac:dyDescent="0.2">
      <c r="A4589">
        <v>18</v>
      </c>
      <c r="B4589">
        <v>10</v>
      </c>
      <c r="C4589">
        <v>10</v>
      </c>
      <c r="D4589" t="s">
        <v>5977</v>
      </c>
    </row>
    <row r="4590" spans="1:4" x14ac:dyDescent="0.2">
      <c r="A4590">
        <v>13</v>
      </c>
      <c r="B4590">
        <v>499.9</v>
      </c>
      <c r="C4590">
        <v>500</v>
      </c>
      <c r="D4590" t="s">
        <v>5977</v>
      </c>
    </row>
    <row r="4591" spans="1:4" x14ac:dyDescent="0.2">
      <c r="A4591">
        <v>14</v>
      </c>
      <c r="B4591">
        <v>500</v>
      </c>
      <c r="C4591">
        <v>500</v>
      </c>
      <c r="D4591" t="s">
        <v>5977</v>
      </c>
    </row>
    <row r="4592" spans="1:4" x14ac:dyDescent="0.2">
      <c r="A4592">
        <v>15</v>
      </c>
      <c r="B4592">
        <v>499.7</v>
      </c>
      <c r="C4592">
        <v>500</v>
      </c>
      <c r="D4592" t="s">
        <v>5977</v>
      </c>
    </row>
    <row r="4593" spans="1:4" x14ac:dyDescent="0.2">
      <c r="A4593">
        <v>16</v>
      </c>
      <c r="B4593">
        <v>499.6</v>
      </c>
      <c r="C4593">
        <v>500</v>
      </c>
      <c r="D4593" t="s">
        <v>5977</v>
      </c>
    </row>
    <row r="4594" spans="1:4" x14ac:dyDescent="0.2">
      <c r="A4594">
        <v>17</v>
      </c>
      <c r="B4594">
        <v>499.8</v>
      </c>
      <c r="C4594">
        <v>500</v>
      </c>
      <c r="D4594" t="s">
        <v>5977</v>
      </c>
    </row>
    <row r="4595" spans="1:4" x14ac:dyDescent="0.2">
      <c r="A4595">
        <v>18</v>
      </c>
      <c r="B4595">
        <v>499.7</v>
      </c>
      <c r="C4595">
        <v>500</v>
      </c>
      <c r="D4595" t="s">
        <v>5977</v>
      </c>
    </row>
    <row r="4596" spans="1:4" x14ac:dyDescent="0.2">
      <c r="A4596">
        <v>13</v>
      </c>
      <c r="B4596">
        <v>1000</v>
      </c>
      <c r="C4596">
        <v>1000</v>
      </c>
      <c r="D4596" t="s">
        <v>5977</v>
      </c>
    </row>
    <row r="4597" spans="1:4" x14ac:dyDescent="0.2">
      <c r="A4597">
        <v>14</v>
      </c>
      <c r="B4597">
        <v>1000</v>
      </c>
      <c r="C4597">
        <v>1000</v>
      </c>
      <c r="D4597" t="s">
        <v>5977</v>
      </c>
    </row>
    <row r="4598" spans="1:4" x14ac:dyDescent="0.2">
      <c r="A4598">
        <v>15</v>
      </c>
      <c r="B4598">
        <v>999.7</v>
      </c>
      <c r="C4598">
        <v>1000</v>
      </c>
      <c r="D4598" t="s">
        <v>5977</v>
      </c>
    </row>
    <row r="4599" spans="1:4" x14ac:dyDescent="0.2">
      <c r="A4599">
        <v>16</v>
      </c>
      <c r="B4599">
        <v>999.7</v>
      </c>
      <c r="C4599">
        <v>1000</v>
      </c>
      <c r="D4599" t="s">
        <v>5977</v>
      </c>
    </row>
    <row r="4600" spans="1:4" x14ac:dyDescent="0.2">
      <c r="A4600">
        <v>17</v>
      </c>
      <c r="B4600">
        <v>999.9</v>
      </c>
      <c r="C4600">
        <v>1000</v>
      </c>
      <c r="D4600" t="s">
        <v>5977</v>
      </c>
    </row>
    <row r="4601" spans="1:4" x14ac:dyDescent="0.2">
      <c r="A4601">
        <v>18</v>
      </c>
      <c r="B4601">
        <v>999.8</v>
      </c>
      <c r="C4601">
        <v>1000</v>
      </c>
      <c r="D4601" t="s">
        <v>5977</v>
      </c>
    </row>
    <row r="4602" spans="1:4" x14ac:dyDescent="0.2">
      <c r="A4602">
        <v>13</v>
      </c>
      <c r="B4602">
        <v>1500.1</v>
      </c>
      <c r="C4602">
        <v>1500</v>
      </c>
      <c r="D4602" t="s">
        <v>5977</v>
      </c>
    </row>
    <row r="4603" spans="1:4" x14ac:dyDescent="0.2">
      <c r="A4603">
        <v>14</v>
      </c>
      <c r="B4603">
        <v>1500</v>
      </c>
      <c r="C4603">
        <v>1500</v>
      </c>
      <c r="D4603" t="s">
        <v>5977</v>
      </c>
    </row>
    <row r="4604" spans="1:4" x14ac:dyDescent="0.2">
      <c r="A4604">
        <v>15</v>
      </c>
      <c r="B4604">
        <v>1499.8</v>
      </c>
      <c r="C4604">
        <v>1500</v>
      </c>
      <c r="D4604" t="s">
        <v>5977</v>
      </c>
    </row>
    <row r="4605" spans="1:4" x14ac:dyDescent="0.2">
      <c r="A4605">
        <v>16</v>
      </c>
      <c r="B4605">
        <v>1499.7</v>
      </c>
      <c r="C4605">
        <v>1500</v>
      </c>
      <c r="D4605" t="s">
        <v>5977</v>
      </c>
    </row>
    <row r="4606" spans="1:4" x14ac:dyDescent="0.2">
      <c r="A4606">
        <v>17</v>
      </c>
      <c r="B4606">
        <v>1499.9</v>
      </c>
      <c r="C4606">
        <v>1500</v>
      </c>
      <c r="D4606" t="s">
        <v>5977</v>
      </c>
    </row>
    <row r="4607" spans="1:4" x14ac:dyDescent="0.2">
      <c r="A4607">
        <v>18</v>
      </c>
      <c r="B4607">
        <v>1499.8</v>
      </c>
      <c r="C4607">
        <v>1500</v>
      </c>
      <c r="D4607" t="s">
        <v>5977</v>
      </c>
    </row>
    <row r="4608" spans="1:4" x14ac:dyDescent="0.2">
      <c r="A4608">
        <v>13</v>
      </c>
      <c r="B4608">
        <v>2000.1</v>
      </c>
      <c r="C4608">
        <v>2000</v>
      </c>
      <c r="D4608" t="s">
        <v>5977</v>
      </c>
    </row>
    <row r="4609" spans="1:4" x14ac:dyDescent="0.2">
      <c r="A4609">
        <v>14</v>
      </c>
      <c r="B4609">
        <v>1999.9</v>
      </c>
      <c r="C4609">
        <v>2000</v>
      </c>
      <c r="D4609" t="s">
        <v>5977</v>
      </c>
    </row>
    <row r="4610" spans="1:4" x14ac:dyDescent="0.2">
      <c r="A4610">
        <v>15</v>
      </c>
      <c r="B4610">
        <v>1999.8</v>
      </c>
      <c r="C4610">
        <v>2000</v>
      </c>
      <c r="D4610" t="s">
        <v>5977</v>
      </c>
    </row>
    <row r="4611" spans="1:4" x14ac:dyDescent="0.2">
      <c r="A4611">
        <v>16</v>
      </c>
      <c r="B4611">
        <v>1999.8</v>
      </c>
      <c r="C4611">
        <v>2000</v>
      </c>
      <c r="D4611" t="s">
        <v>5977</v>
      </c>
    </row>
    <row r="4612" spans="1:4" x14ac:dyDescent="0.2">
      <c r="A4612">
        <v>17</v>
      </c>
      <c r="B4612">
        <v>1999.9</v>
      </c>
      <c r="C4612">
        <v>2000</v>
      </c>
      <c r="D4612" t="s">
        <v>5977</v>
      </c>
    </row>
    <row r="4613" spans="1:4" x14ac:dyDescent="0.2">
      <c r="A4613">
        <v>18</v>
      </c>
      <c r="B4613">
        <v>1999.8</v>
      </c>
      <c r="C4613">
        <v>2000</v>
      </c>
      <c r="D4613" t="s">
        <v>5977</v>
      </c>
    </row>
    <row r="4614" spans="1:4" x14ac:dyDescent="0.2">
      <c r="A4614">
        <v>13</v>
      </c>
      <c r="B4614">
        <v>2250.1999999999998</v>
      </c>
      <c r="C4614">
        <v>2250</v>
      </c>
      <c r="D4614" t="s">
        <v>5977</v>
      </c>
    </row>
    <row r="4615" spans="1:4" x14ac:dyDescent="0.2">
      <c r="A4615">
        <v>14</v>
      </c>
      <c r="B4615">
        <v>2250</v>
      </c>
      <c r="C4615">
        <v>2250</v>
      </c>
      <c r="D4615" t="s">
        <v>5977</v>
      </c>
    </row>
    <row r="4616" spans="1:4" x14ac:dyDescent="0.2">
      <c r="A4616">
        <v>15</v>
      </c>
      <c r="B4616">
        <v>2250</v>
      </c>
      <c r="C4616">
        <v>2250</v>
      </c>
      <c r="D4616" t="s">
        <v>5977</v>
      </c>
    </row>
    <row r="4617" spans="1:4" x14ac:dyDescent="0.2">
      <c r="A4617">
        <v>16</v>
      </c>
      <c r="B4617">
        <v>2249.9</v>
      </c>
      <c r="C4617">
        <v>2250</v>
      </c>
      <c r="D4617" t="s">
        <v>5977</v>
      </c>
    </row>
    <row r="4618" spans="1:4" x14ac:dyDescent="0.2">
      <c r="A4618">
        <v>17</v>
      </c>
      <c r="B4618">
        <v>2250</v>
      </c>
      <c r="C4618">
        <v>2250</v>
      </c>
      <c r="D4618" t="s">
        <v>5977</v>
      </c>
    </row>
    <row r="4619" spans="1:4" x14ac:dyDescent="0.2">
      <c r="A4619">
        <v>18</v>
      </c>
      <c r="B4619">
        <v>2249.9</v>
      </c>
      <c r="C4619">
        <v>2250</v>
      </c>
      <c r="D4619" t="s">
        <v>5977</v>
      </c>
    </row>
    <row r="4620" spans="1:4" x14ac:dyDescent="0.2">
      <c r="A4620">
        <v>19</v>
      </c>
      <c r="B4620">
        <v>9.9</v>
      </c>
      <c r="C4620">
        <v>10</v>
      </c>
      <c r="D4620" t="s">
        <v>5977</v>
      </c>
    </row>
    <row r="4621" spans="1:4" x14ac:dyDescent="0.2">
      <c r="A4621">
        <v>20</v>
      </c>
      <c r="B4621">
        <v>9.9</v>
      </c>
      <c r="C4621">
        <v>10</v>
      </c>
      <c r="D4621" t="s">
        <v>5977</v>
      </c>
    </row>
    <row r="4622" spans="1:4" x14ac:dyDescent="0.2">
      <c r="A4622">
        <v>21</v>
      </c>
      <c r="B4622">
        <v>9.9</v>
      </c>
      <c r="C4622">
        <v>10</v>
      </c>
      <c r="D4622" t="s">
        <v>5977</v>
      </c>
    </row>
    <row r="4623" spans="1:4" x14ac:dyDescent="0.2">
      <c r="A4623">
        <v>22</v>
      </c>
      <c r="B4623">
        <v>9.8000000000000007</v>
      </c>
      <c r="C4623">
        <v>10</v>
      </c>
      <c r="D4623" t="s">
        <v>5977</v>
      </c>
    </row>
    <row r="4624" spans="1:4" x14ac:dyDescent="0.2">
      <c r="A4624">
        <v>23</v>
      </c>
      <c r="B4624">
        <v>9.6999999999999993</v>
      </c>
      <c r="C4624">
        <v>10</v>
      </c>
      <c r="D4624" t="s">
        <v>5977</v>
      </c>
    </row>
    <row r="4625" spans="1:4" x14ac:dyDescent="0.2">
      <c r="A4625">
        <v>24</v>
      </c>
      <c r="B4625">
        <v>9.9</v>
      </c>
      <c r="C4625">
        <v>10</v>
      </c>
      <c r="D4625" t="s">
        <v>5977</v>
      </c>
    </row>
    <row r="4626" spans="1:4" x14ac:dyDescent="0.2">
      <c r="A4626">
        <v>19</v>
      </c>
      <c r="B4626">
        <v>499.7</v>
      </c>
      <c r="C4626">
        <v>500</v>
      </c>
      <c r="D4626" t="s">
        <v>5977</v>
      </c>
    </row>
    <row r="4627" spans="1:4" x14ac:dyDescent="0.2">
      <c r="A4627">
        <v>20</v>
      </c>
      <c r="B4627">
        <v>499.6</v>
      </c>
      <c r="C4627">
        <v>500</v>
      </c>
      <c r="D4627" t="s">
        <v>5977</v>
      </c>
    </row>
    <row r="4628" spans="1:4" x14ac:dyDescent="0.2">
      <c r="A4628">
        <v>21</v>
      </c>
      <c r="B4628">
        <v>499.7</v>
      </c>
      <c r="C4628">
        <v>500</v>
      </c>
      <c r="D4628" t="s">
        <v>5977</v>
      </c>
    </row>
    <row r="4629" spans="1:4" x14ac:dyDescent="0.2">
      <c r="A4629">
        <v>22</v>
      </c>
      <c r="B4629">
        <v>499.6</v>
      </c>
      <c r="C4629">
        <v>500</v>
      </c>
      <c r="D4629" t="s">
        <v>5977</v>
      </c>
    </row>
    <row r="4630" spans="1:4" x14ac:dyDescent="0.2">
      <c r="A4630">
        <v>23</v>
      </c>
      <c r="B4630">
        <v>499.6</v>
      </c>
      <c r="C4630">
        <v>500</v>
      </c>
      <c r="D4630" t="s">
        <v>5977</v>
      </c>
    </row>
    <row r="4631" spans="1:4" x14ac:dyDescent="0.2">
      <c r="A4631">
        <v>24</v>
      </c>
      <c r="B4631">
        <v>499.7</v>
      </c>
      <c r="C4631">
        <v>500</v>
      </c>
      <c r="D4631" t="s">
        <v>5977</v>
      </c>
    </row>
    <row r="4632" spans="1:4" x14ac:dyDescent="0.2">
      <c r="A4632">
        <v>19</v>
      </c>
      <c r="B4632">
        <v>999.8</v>
      </c>
      <c r="C4632">
        <v>1000</v>
      </c>
      <c r="D4632" t="s">
        <v>5977</v>
      </c>
    </row>
    <row r="4633" spans="1:4" x14ac:dyDescent="0.2">
      <c r="A4633">
        <v>20</v>
      </c>
      <c r="B4633">
        <v>999.7</v>
      </c>
      <c r="C4633">
        <v>1000</v>
      </c>
      <c r="D4633" t="s">
        <v>5977</v>
      </c>
    </row>
    <row r="4634" spans="1:4" x14ac:dyDescent="0.2">
      <c r="A4634">
        <v>21</v>
      </c>
      <c r="B4634">
        <v>999.7</v>
      </c>
      <c r="C4634">
        <v>1000</v>
      </c>
      <c r="D4634" t="s">
        <v>5977</v>
      </c>
    </row>
    <row r="4635" spans="1:4" x14ac:dyDescent="0.2">
      <c r="A4635">
        <v>22</v>
      </c>
      <c r="B4635">
        <v>999.7</v>
      </c>
      <c r="C4635">
        <v>1000</v>
      </c>
      <c r="D4635" t="s">
        <v>5977</v>
      </c>
    </row>
    <row r="4636" spans="1:4" x14ac:dyDescent="0.2">
      <c r="A4636">
        <v>23</v>
      </c>
      <c r="B4636">
        <v>999.6</v>
      </c>
      <c r="C4636">
        <v>1000</v>
      </c>
      <c r="D4636" t="s">
        <v>5977</v>
      </c>
    </row>
    <row r="4637" spans="1:4" x14ac:dyDescent="0.2">
      <c r="A4637">
        <v>24</v>
      </c>
      <c r="B4637">
        <v>999.7</v>
      </c>
      <c r="C4637">
        <v>1000</v>
      </c>
      <c r="D4637" t="s">
        <v>5977</v>
      </c>
    </row>
    <row r="4638" spans="1:4" x14ac:dyDescent="0.2">
      <c r="A4638">
        <v>19</v>
      </c>
      <c r="B4638">
        <v>1499.8</v>
      </c>
      <c r="C4638">
        <v>1500</v>
      </c>
      <c r="D4638" t="s">
        <v>5977</v>
      </c>
    </row>
    <row r="4639" spans="1:4" x14ac:dyDescent="0.2">
      <c r="A4639">
        <v>20</v>
      </c>
      <c r="B4639">
        <v>1499.7</v>
      </c>
      <c r="C4639">
        <v>1500</v>
      </c>
      <c r="D4639" t="s">
        <v>5977</v>
      </c>
    </row>
    <row r="4640" spans="1:4" x14ac:dyDescent="0.2">
      <c r="A4640">
        <v>21</v>
      </c>
      <c r="B4640">
        <v>1499.7</v>
      </c>
      <c r="C4640">
        <v>1500</v>
      </c>
      <c r="D4640" t="s">
        <v>5977</v>
      </c>
    </row>
    <row r="4641" spans="1:4" x14ac:dyDescent="0.2">
      <c r="A4641">
        <v>22</v>
      </c>
      <c r="B4641">
        <v>1499.7</v>
      </c>
      <c r="C4641">
        <v>1500</v>
      </c>
      <c r="D4641" t="s">
        <v>5977</v>
      </c>
    </row>
    <row r="4642" spans="1:4" x14ac:dyDescent="0.2">
      <c r="A4642">
        <v>23</v>
      </c>
      <c r="B4642">
        <v>1499.7</v>
      </c>
      <c r="C4642">
        <v>1500</v>
      </c>
      <c r="D4642" t="s">
        <v>5977</v>
      </c>
    </row>
    <row r="4643" spans="1:4" x14ac:dyDescent="0.2">
      <c r="A4643">
        <v>24</v>
      </c>
      <c r="B4643">
        <v>1499.8</v>
      </c>
      <c r="C4643">
        <v>1500</v>
      </c>
      <c r="D4643" t="s">
        <v>5977</v>
      </c>
    </row>
    <row r="4644" spans="1:4" x14ac:dyDescent="0.2">
      <c r="A4644">
        <v>19</v>
      </c>
      <c r="B4644">
        <v>1999.8</v>
      </c>
      <c r="C4644">
        <v>2000</v>
      </c>
      <c r="D4644" t="s">
        <v>5977</v>
      </c>
    </row>
    <row r="4645" spans="1:4" x14ac:dyDescent="0.2">
      <c r="A4645">
        <v>20</v>
      </c>
      <c r="B4645">
        <v>1999.7</v>
      </c>
      <c r="C4645">
        <v>2000</v>
      </c>
      <c r="D4645" t="s">
        <v>5977</v>
      </c>
    </row>
    <row r="4646" spans="1:4" x14ac:dyDescent="0.2">
      <c r="A4646">
        <v>21</v>
      </c>
      <c r="B4646">
        <v>1999.7</v>
      </c>
      <c r="C4646">
        <v>2000</v>
      </c>
      <c r="D4646" t="s">
        <v>5977</v>
      </c>
    </row>
    <row r="4647" spans="1:4" x14ac:dyDescent="0.2">
      <c r="A4647">
        <v>22</v>
      </c>
      <c r="B4647">
        <v>1999.7</v>
      </c>
      <c r="C4647">
        <v>2000</v>
      </c>
      <c r="D4647" t="s">
        <v>5977</v>
      </c>
    </row>
    <row r="4648" spans="1:4" x14ac:dyDescent="0.2">
      <c r="A4648">
        <v>23</v>
      </c>
      <c r="B4648">
        <v>1999.7</v>
      </c>
      <c r="C4648">
        <v>2000</v>
      </c>
      <c r="D4648" t="s">
        <v>5977</v>
      </c>
    </row>
    <row r="4649" spans="1:4" x14ac:dyDescent="0.2">
      <c r="A4649">
        <v>24</v>
      </c>
      <c r="B4649">
        <v>1999.8</v>
      </c>
      <c r="C4649">
        <v>2000</v>
      </c>
      <c r="D4649" t="s">
        <v>5977</v>
      </c>
    </row>
    <row r="4650" spans="1:4" x14ac:dyDescent="0.2">
      <c r="A4650">
        <v>19</v>
      </c>
      <c r="B4650">
        <v>2249.9</v>
      </c>
      <c r="C4650">
        <v>2250</v>
      </c>
      <c r="D4650" t="s">
        <v>5977</v>
      </c>
    </row>
    <row r="4651" spans="1:4" x14ac:dyDescent="0.2">
      <c r="A4651">
        <v>20</v>
      </c>
      <c r="B4651">
        <v>2249.8000000000002</v>
      </c>
      <c r="C4651">
        <v>2250</v>
      </c>
      <c r="D4651" t="s">
        <v>5977</v>
      </c>
    </row>
    <row r="4652" spans="1:4" x14ac:dyDescent="0.2">
      <c r="A4652">
        <v>21</v>
      </c>
      <c r="B4652">
        <v>2249.8000000000002</v>
      </c>
      <c r="C4652">
        <v>2250</v>
      </c>
      <c r="D4652" t="s">
        <v>5977</v>
      </c>
    </row>
    <row r="4653" spans="1:4" x14ac:dyDescent="0.2">
      <c r="A4653">
        <v>22</v>
      </c>
      <c r="B4653">
        <v>2249.8000000000002</v>
      </c>
      <c r="C4653">
        <v>2250</v>
      </c>
      <c r="D4653" t="s">
        <v>5977</v>
      </c>
    </row>
    <row r="4654" spans="1:4" x14ac:dyDescent="0.2">
      <c r="A4654">
        <v>23</v>
      </c>
      <c r="B4654">
        <v>2249.8000000000002</v>
      </c>
      <c r="C4654">
        <v>2250</v>
      </c>
      <c r="D4654" t="s">
        <v>5977</v>
      </c>
    </row>
    <row r="4655" spans="1:4" x14ac:dyDescent="0.2">
      <c r="A4655">
        <v>24</v>
      </c>
      <c r="B4655">
        <v>2249.9</v>
      </c>
      <c r="C4655">
        <v>2250</v>
      </c>
      <c r="D4655" t="s">
        <v>5977</v>
      </c>
    </row>
    <row r="4656" spans="1:4" x14ac:dyDescent="0.2">
      <c r="A4656">
        <v>25</v>
      </c>
      <c r="B4656">
        <v>9.8000000000000007</v>
      </c>
      <c r="C4656">
        <v>10</v>
      </c>
      <c r="D4656" t="s">
        <v>5977</v>
      </c>
    </row>
    <row r="4657" spans="1:4" x14ac:dyDescent="0.2">
      <c r="A4657">
        <v>26</v>
      </c>
      <c r="B4657">
        <v>9.9</v>
      </c>
      <c r="C4657">
        <v>10</v>
      </c>
      <c r="D4657" t="s">
        <v>5977</v>
      </c>
    </row>
    <row r="4658" spans="1:4" x14ac:dyDescent="0.2">
      <c r="A4658">
        <v>27</v>
      </c>
      <c r="B4658">
        <v>10</v>
      </c>
      <c r="C4658">
        <v>10</v>
      </c>
      <c r="D4658" t="s">
        <v>5977</v>
      </c>
    </row>
    <row r="4659" spans="1:4" x14ac:dyDescent="0.2">
      <c r="A4659">
        <v>28</v>
      </c>
      <c r="B4659">
        <v>10.1</v>
      </c>
      <c r="C4659">
        <v>10</v>
      </c>
      <c r="D4659" t="s">
        <v>5977</v>
      </c>
    </row>
    <row r="4660" spans="1:4" x14ac:dyDescent="0.2">
      <c r="A4660">
        <v>29</v>
      </c>
      <c r="B4660">
        <v>9.8000000000000007</v>
      </c>
      <c r="C4660">
        <v>10</v>
      </c>
      <c r="D4660" t="s">
        <v>5977</v>
      </c>
    </row>
    <row r="4661" spans="1:4" x14ac:dyDescent="0.2">
      <c r="A4661">
        <v>30</v>
      </c>
      <c r="B4661">
        <v>9.9</v>
      </c>
      <c r="C4661">
        <v>10</v>
      </c>
      <c r="D4661" t="s">
        <v>5977</v>
      </c>
    </row>
    <row r="4662" spans="1:4" x14ac:dyDescent="0.2">
      <c r="A4662">
        <v>25</v>
      </c>
      <c r="B4662">
        <v>499.6</v>
      </c>
      <c r="C4662">
        <v>500</v>
      </c>
      <c r="D4662" t="s">
        <v>5977</v>
      </c>
    </row>
    <row r="4663" spans="1:4" x14ac:dyDescent="0.2">
      <c r="A4663">
        <v>26</v>
      </c>
      <c r="B4663">
        <v>499.7</v>
      </c>
      <c r="C4663">
        <v>500</v>
      </c>
      <c r="D4663" t="s">
        <v>5977</v>
      </c>
    </row>
    <row r="4664" spans="1:4" x14ac:dyDescent="0.2">
      <c r="A4664">
        <v>27</v>
      </c>
      <c r="B4664">
        <v>499.8</v>
      </c>
      <c r="C4664">
        <v>500</v>
      </c>
      <c r="D4664" t="s">
        <v>5977</v>
      </c>
    </row>
    <row r="4665" spans="1:4" x14ac:dyDescent="0.2">
      <c r="A4665">
        <v>28</v>
      </c>
      <c r="B4665">
        <v>499.9</v>
      </c>
      <c r="C4665">
        <v>500</v>
      </c>
      <c r="D4665" t="s">
        <v>5977</v>
      </c>
    </row>
    <row r="4666" spans="1:4" x14ac:dyDescent="0.2">
      <c r="A4666">
        <v>29</v>
      </c>
      <c r="B4666">
        <v>499.6</v>
      </c>
      <c r="C4666">
        <v>500</v>
      </c>
      <c r="D4666" t="s">
        <v>5977</v>
      </c>
    </row>
    <row r="4667" spans="1:4" x14ac:dyDescent="0.2">
      <c r="A4667">
        <v>30</v>
      </c>
      <c r="B4667">
        <v>499.6</v>
      </c>
      <c r="C4667">
        <v>500</v>
      </c>
      <c r="D4667" t="s">
        <v>5977</v>
      </c>
    </row>
    <row r="4668" spans="1:4" x14ac:dyDescent="0.2">
      <c r="A4668">
        <v>25</v>
      </c>
      <c r="B4668">
        <v>999.7</v>
      </c>
      <c r="C4668">
        <v>1000</v>
      </c>
      <c r="D4668" t="s">
        <v>5977</v>
      </c>
    </row>
    <row r="4669" spans="1:4" x14ac:dyDescent="0.2">
      <c r="A4669">
        <v>26</v>
      </c>
      <c r="B4669">
        <v>999.7</v>
      </c>
      <c r="C4669">
        <v>1000</v>
      </c>
      <c r="D4669" t="s">
        <v>5977</v>
      </c>
    </row>
    <row r="4670" spans="1:4" x14ac:dyDescent="0.2">
      <c r="A4670">
        <v>27</v>
      </c>
      <c r="B4670">
        <v>999.8</v>
      </c>
      <c r="C4670">
        <v>1000</v>
      </c>
      <c r="D4670" t="s">
        <v>5977</v>
      </c>
    </row>
    <row r="4671" spans="1:4" x14ac:dyDescent="0.2">
      <c r="A4671">
        <v>28</v>
      </c>
      <c r="B4671">
        <v>999.9</v>
      </c>
      <c r="C4671">
        <v>1000</v>
      </c>
      <c r="D4671" t="s">
        <v>5977</v>
      </c>
    </row>
    <row r="4672" spans="1:4" x14ac:dyDescent="0.2">
      <c r="A4672">
        <v>29</v>
      </c>
      <c r="B4672">
        <v>999.5</v>
      </c>
      <c r="C4672">
        <v>1000</v>
      </c>
      <c r="D4672" t="s">
        <v>5977</v>
      </c>
    </row>
    <row r="4673" spans="1:4" x14ac:dyDescent="0.2">
      <c r="A4673">
        <v>30</v>
      </c>
      <c r="B4673">
        <v>999.5</v>
      </c>
      <c r="C4673">
        <v>1000</v>
      </c>
      <c r="D4673" t="s">
        <v>5977</v>
      </c>
    </row>
    <row r="4674" spans="1:4" x14ac:dyDescent="0.2">
      <c r="A4674">
        <v>25</v>
      </c>
      <c r="B4674">
        <v>1499.8</v>
      </c>
      <c r="C4674">
        <v>1500</v>
      </c>
      <c r="D4674" t="s">
        <v>5977</v>
      </c>
    </row>
    <row r="4675" spans="1:4" x14ac:dyDescent="0.2">
      <c r="A4675">
        <v>26</v>
      </c>
      <c r="B4675">
        <v>1499.8</v>
      </c>
      <c r="C4675">
        <v>1500</v>
      </c>
      <c r="D4675" t="s">
        <v>5977</v>
      </c>
    </row>
    <row r="4676" spans="1:4" x14ac:dyDescent="0.2">
      <c r="A4676">
        <v>27</v>
      </c>
      <c r="B4676">
        <v>1499.9</v>
      </c>
      <c r="C4676">
        <v>1500</v>
      </c>
      <c r="D4676" t="s">
        <v>5977</v>
      </c>
    </row>
    <row r="4677" spans="1:4" x14ac:dyDescent="0.2">
      <c r="A4677">
        <v>28</v>
      </c>
      <c r="B4677">
        <v>1500</v>
      </c>
      <c r="C4677">
        <v>1500</v>
      </c>
      <c r="D4677" t="s">
        <v>5977</v>
      </c>
    </row>
    <row r="4678" spans="1:4" x14ac:dyDescent="0.2">
      <c r="A4678">
        <v>29</v>
      </c>
      <c r="B4678">
        <v>1499.5</v>
      </c>
      <c r="C4678">
        <v>1500</v>
      </c>
      <c r="D4678" t="s">
        <v>5977</v>
      </c>
    </row>
    <row r="4679" spans="1:4" x14ac:dyDescent="0.2">
      <c r="A4679">
        <v>30</v>
      </c>
      <c r="B4679">
        <v>1499.5</v>
      </c>
      <c r="C4679">
        <v>1500</v>
      </c>
      <c r="D4679" t="s">
        <v>5977</v>
      </c>
    </row>
    <row r="4680" spans="1:4" x14ac:dyDescent="0.2">
      <c r="A4680">
        <v>25</v>
      </c>
      <c r="B4680">
        <v>1999.8</v>
      </c>
      <c r="C4680">
        <v>2000</v>
      </c>
      <c r="D4680" t="s">
        <v>5977</v>
      </c>
    </row>
    <row r="4681" spans="1:4" x14ac:dyDescent="0.2">
      <c r="A4681">
        <v>26</v>
      </c>
      <c r="B4681">
        <v>1999.8</v>
      </c>
      <c r="C4681">
        <v>2000</v>
      </c>
      <c r="D4681" t="s">
        <v>5977</v>
      </c>
    </row>
    <row r="4682" spans="1:4" x14ac:dyDescent="0.2">
      <c r="A4682">
        <v>27</v>
      </c>
      <c r="B4682">
        <v>1999.9</v>
      </c>
      <c r="C4682">
        <v>2000</v>
      </c>
      <c r="D4682" t="s">
        <v>5977</v>
      </c>
    </row>
    <row r="4683" spans="1:4" x14ac:dyDescent="0.2">
      <c r="A4683">
        <v>28</v>
      </c>
      <c r="B4683">
        <v>2000</v>
      </c>
      <c r="C4683">
        <v>2000</v>
      </c>
      <c r="D4683" t="s">
        <v>5977</v>
      </c>
    </row>
    <row r="4684" spans="1:4" x14ac:dyDescent="0.2">
      <c r="A4684">
        <v>29</v>
      </c>
      <c r="B4684">
        <v>1999.5</v>
      </c>
      <c r="C4684">
        <v>2000</v>
      </c>
      <c r="D4684" t="s">
        <v>5977</v>
      </c>
    </row>
    <row r="4685" spans="1:4" x14ac:dyDescent="0.2">
      <c r="A4685">
        <v>30</v>
      </c>
      <c r="B4685">
        <v>1999.5</v>
      </c>
      <c r="C4685">
        <v>2000</v>
      </c>
      <c r="D4685" t="s">
        <v>5977</v>
      </c>
    </row>
    <row r="4686" spans="1:4" x14ac:dyDescent="0.2">
      <c r="A4686">
        <v>25</v>
      </c>
      <c r="B4686">
        <v>2249.9</v>
      </c>
      <c r="C4686">
        <v>2250</v>
      </c>
      <c r="D4686" t="s">
        <v>5977</v>
      </c>
    </row>
    <row r="4687" spans="1:4" x14ac:dyDescent="0.2">
      <c r="A4687">
        <v>26</v>
      </c>
      <c r="B4687">
        <v>2249.8000000000002</v>
      </c>
      <c r="C4687">
        <v>2250</v>
      </c>
      <c r="D4687" t="s">
        <v>5977</v>
      </c>
    </row>
    <row r="4688" spans="1:4" x14ac:dyDescent="0.2">
      <c r="A4688">
        <v>27</v>
      </c>
      <c r="B4688">
        <v>2250</v>
      </c>
      <c r="C4688">
        <v>2250</v>
      </c>
      <c r="D4688" t="s">
        <v>5977</v>
      </c>
    </row>
    <row r="4689" spans="1:4" x14ac:dyDescent="0.2">
      <c r="A4689">
        <v>28</v>
      </c>
      <c r="B4689">
        <v>2250.1</v>
      </c>
      <c r="C4689">
        <v>2250</v>
      </c>
      <c r="D4689" t="s">
        <v>5977</v>
      </c>
    </row>
    <row r="4690" spans="1:4" x14ac:dyDescent="0.2">
      <c r="A4690">
        <v>29</v>
      </c>
      <c r="B4690">
        <v>2249.5</v>
      </c>
      <c r="C4690">
        <v>2250</v>
      </c>
      <c r="D4690" t="s">
        <v>5977</v>
      </c>
    </row>
    <row r="4691" spans="1:4" x14ac:dyDescent="0.2">
      <c r="A4691">
        <v>30</v>
      </c>
      <c r="B4691">
        <v>2249.5</v>
      </c>
      <c r="C4691">
        <v>2250</v>
      </c>
      <c r="D4691" t="s">
        <v>5977</v>
      </c>
    </row>
    <row r="4692" spans="1:4" x14ac:dyDescent="0.2">
      <c r="A4692">
        <v>31</v>
      </c>
      <c r="B4692">
        <v>9.6</v>
      </c>
      <c r="C4692">
        <v>10</v>
      </c>
      <c r="D4692" t="s">
        <v>5977</v>
      </c>
    </row>
    <row r="4693" spans="1:4" x14ac:dyDescent="0.2">
      <c r="A4693">
        <v>32</v>
      </c>
      <c r="B4693">
        <v>9.6999999999999993</v>
      </c>
      <c r="C4693">
        <v>10</v>
      </c>
      <c r="D4693" t="s">
        <v>5977</v>
      </c>
    </row>
    <row r="4694" spans="1:4" x14ac:dyDescent="0.2">
      <c r="A4694">
        <v>33</v>
      </c>
      <c r="B4694">
        <v>9.6999999999999993</v>
      </c>
      <c r="C4694">
        <v>10</v>
      </c>
      <c r="D4694" t="s">
        <v>5977</v>
      </c>
    </row>
    <row r="4695" spans="1:4" x14ac:dyDescent="0.2">
      <c r="A4695">
        <v>34</v>
      </c>
      <c r="B4695">
        <v>9.5</v>
      </c>
      <c r="C4695">
        <v>10</v>
      </c>
      <c r="D4695" t="s">
        <v>5977</v>
      </c>
    </row>
    <row r="4696" spans="1:4" x14ac:dyDescent="0.2">
      <c r="A4696">
        <v>35</v>
      </c>
      <c r="B4696">
        <v>9.8000000000000007</v>
      </c>
      <c r="C4696">
        <v>10</v>
      </c>
      <c r="D4696" t="s">
        <v>5977</v>
      </c>
    </row>
    <row r="4697" spans="1:4" x14ac:dyDescent="0.2">
      <c r="A4697">
        <v>36</v>
      </c>
      <c r="B4697">
        <v>9.5</v>
      </c>
      <c r="C4697">
        <v>10</v>
      </c>
      <c r="D4697" t="s">
        <v>5977</v>
      </c>
    </row>
    <row r="4698" spans="1:4" x14ac:dyDescent="0.2">
      <c r="A4698">
        <v>31</v>
      </c>
      <c r="B4698">
        <v>499.5</v>
      </c>
      <c r="C4698">
        <v>500</v>
      </c>
      <c r="D4698" t="s">
        <v>5977</v>
      </c>
    </row>
    <row r="4699" spans="1:4" x14ac:dyDescent="0.2">
      <c r="A4699">
        <v>32</v>
      </c>
      <c r="B4699">
        <v>499.6</v>
      </c>
      <c r="C4699">
        <v>500</v>
      </c>
      <c r="D4699" t="s">
        <v>5977</v>
      </c>
    </row>
    <row r="4700" spans="1:4" x14ac:dyDescent="0.2">
      <c r="A4700">
        <v>33</v>
      </c>
      <c r="B4700">
        <v>499.6</v>
      </c>
      <c r="C4700">
        <v>500</v>
      </c>
      <c r="D4700" t="s">
        <v>5977</v>
      </c>
    </row>
    <row r="4701" spans="1:4" x14ac:dyDescent="0.2">
      <c r="A4701">
        <v>34</v>
      </c>
      <c r="B4701">
        <v>499.5</v>
      </c>
      <c r="C4701">
        <v>500</v>
      </c>
      <c r="D4701" t="s">
        <v>5977</v>
      </c>
    </row>
    <row r="4702" spans="1:4" x14ac:dyDescent="0.2">
      <c r="A4702">
        <v>35</v>
      </c>
      <c r="B4702">
        <v>499.6</v>
      </c>
      <c r="C4702">
        <v>500</v>
      </c>
      <c r="D4702" t="s">
        <v>5977</v>
      </c>
    </row>
    <row r="4703" spans="1:4" x14ac:dyDescent="0.2">
      <c r="A4703">
        <v>36</v>
      </c>
      <c r="B4703">
        <v>499.5</v>
      </c>
      <c r="C4703">
        <v>500</v>
      </c>
      <c r="D4703" t="s">
        <v>5977</v>
      </c>
    </row>
    <row r="4704" spans="1:4" x14ac:dyDescent="0.2">
      <c r="A4704">
        <v>31</v>
      </c>
      <c r="B4704">
        <v>999.5</v>
      </c>
      <c r="C4704">
        <v>1000</v>
      </c>
      <c r="D4704" t="s">
        <v>5977</v>
      </c>
    </row>
    <row r="4705" spans="1:4" x14ac:dyDescent="0.2">
      <c r="A4705">
        <v>32</v>
      </c>
      <c r="B4705">
        <v>999.5</v>
      </c>
      <c r="C4705">
        <v>1000</v>
      </c>
      <c r="D4705" t="s">
        <v>5977</v>
      </c>
    </row>
    <row r="4706" spans="1:4" x14ac:dyDescent="0.2">
      <c r="A4706">
        <v>33</v>
      </c>
      <c r="B4706">
        <v>999.7</v>
      </c>
      <c r="C4706">
        <v>1000</v>
      </c>
      <c r="D4706" t="s">
        <v>5977</v>
      </c>
    </row>
    <row r="4707" spans="1:4" x14ac:dyDescent="0.2">
      <c r="A4707">
        <v>34</v>
      </c>
      <c r="B4707">
        <v>999.5</v>
      </c>
      <c r="C4707">
        <v>1000</v>
      </c>
      <c r="D4707" t="s">
        <v>5977</v>
      </c>
    </row>
    <row r="4708" spans="1:4" x14ac:dyDescent="0.2">
      <c r="A4708">
        <v>35</v>
      </c>
      <c r="B4708">
        <v>999.6</v>
      </c>
      <c r="C4708">
        <v>1000</v>
      </c>
      <c r="D4708" t="s">
        <v>5977</v>
      </c>
    </row>
    <row r="4709" spans="1:4" x14ac:dyDescent="0.2">
      <c r="A4709">
        <v>36</v>
      </c>
      <c r="B4709">
        <v>999.5</v>
      </c>
      <c r="C4709">
        <v>1000</v>
      </c>
      <c r="D4709" t="s">
        <v>5977</v>
      </c>
    </row>
    <row r="4710" spans="1:4" x14ac:dyDescent="0.2">
      <c r="A4710">
        <v>31</v>
      </c>
      <c r="B4710">
        <v>1499.5</v>
      </c>
      <c r="C4710">
        <v>1500</v>
      </c>
      <c r="D4710" t="s">
        <v>5977</v>
      </c>
    </row>
    <row r="4711" spans="1:4" x14ac:dyDescent="0.2">
      <c r="A4711">
        <v>32</v>
      </c>
      <c r="B4711">
        <v>1499.5</v>
      </c>
      <c r="C4711">
        <v>1500</v>
      </c>
      <c r="D4711" t="s">
        <v>5977</v>
      </c>
    </row>
    <row r="4712" spans="1:4" x14ac:dyDescent="0.2">
      <c r="A4712">
        <v>33</v>
      </c>
      <c r="B4712">
        <v>1499.7</v>
      </c>
      <c r="C4712">
        <v>1500</v>
      </c>
      <c r="D4712" t="s">
        <v>5977</v>
      </c>
    </row>
    <row r="4713" spans="1:4" x14ac:dyDescent="0.2">
      <c r="A4713">
        <v>34</v>
      </c>
      <c r="B4713">
        <v>1499.6</v>
      </c>
      <c r="C4713">
        <v>1500</v>
      </c>
      <c r="D4713" t="s">
        <v>5977</v>
      </c>
    </row>
    <row r="4714" spans="1:4" x14ac:dyDescent="0.2">
      <c r="A4714">
        <v>35</v>
      </c>
      <c r="B4714">
        <v>1499.6</v>
      </c>
      <c r="C4714">
        <v>1500</v>
      </c>
      <c r="D4714" t="s">
        <v>5977</v>
      </c>
    </row>
    <row r="4715" spans="1:4" x14ac:dyDescent="0.2">
      <c r="A4715">
        <v>36</v>
      </c>
      <c r="B4715">
        <v>1499.5</v>
      </c>
      <c r="C4715">
        <v>1500</v>
      </c>
      <c r="D4715" t="s">
        <v>5977</v>
      </c>
    </row>
    <row r="4716" spans="1:4" x14ac:dyDescent="0.2">
      <c r="A4716">
        <v>31</v>
      </c>
      <c r="B4716">
        <v>1999.5</v>
      </c>
      <c r="C4716">
        <v>2000</v>
      </c>
      <c r="D4716" t="s">
        <v>5977</v>
      </c>
    </row>
    <row r="4717" spans="1:4" x14ac:dyDescent="0.2">
      <c r="A4717">
        <v>32</v>
      </c>
      <c r="B4717">
        <v>1999.5</v>
      </c>
      <c r="C4717">
        <v>2000</v>
      </c>
      <c r="D4717" t="s">
        <v>5977</v>
      </c>
    </row>
    <row r="4718" spans="1:4" x14ac:dyDescent="0.2">
      <c r="A4718">
        <v>33</v>
      </c>
      <c r="B4718">
        <v>1999.8</v>
      </c>
      <c r="C4718">
        <v>2000</v>
      </c>
      <c r="D4718" t="s">
        <v>5977</v>
      </c>
    </row>
    <row r="4719" spans="1:4" x14ac:dyDescent="0.2">
      <c r="A4719">
        <v>34</v>
      </c>
      <c r="B4719">
        <v>1999.6</v>
      </c>
      <c r="C4719">
        <v>2000</v>
      </c>
      <c r="D4719" t="s">
        <v>5977</v>
      </c>
    </row>
    <row r="4720" spans="1:4" x14ac:dyDescent="0.2">
      <c r="A4720">
        <v>35</v>
      </c>
      <c r="B4720">
        <v>1999.6</v>
      </c>
      <c r="C4720">
        <v>2000</v>
      </c>
      <c r="D4720" t="s">
        <v>5977</v>
      </c>
    </row>
    <row r="4721" spans="1:4" x14ac:dyDescent="0.2">
      <c r="A4721">
        <v>36</v>
      </c>
      <c r="B4721">
        <v>1999.5</v>
      </c>
      <c r="C4721">
        <v>2000</v>
      </c>
      <c r="D4721" t="s">
        <v>5977</v>
      </c>
    </row>
    <row r="4722" spans="1:4" x14ac:dyDescent="0.2">
      <c r="A4722">
        <v>31</v>
      </c>
      <c r="B4722">
        <v>2249.5</v>
      </c>
      <c r="C4722">
        <v>2250</v>
      </c>
      <c r="D4722" t="s">
        <v>5977</v>
      </c>
    </row>
    <row r="4723" spans="1:4" x14ac:dyDescent="0.2">
      <c r="A4723">
        <v>32</v>
      </c>
      <c r="B4723">
        <v>2249.6999999999998</v>
      </c>
      <c r="C4723">
        <v>2250</v>
      </c>
      <c r="D4723" t="s">
        <v>5977</v>
      </c>
    </row>
    <row r="4724" spans="1:4" x14ac:dyDescent="0.2">
      <c r="A4724">
        <v>33</v>
      </c>
      <c r="B4724">
        <v>2249.9</v>
      </c>
      <c r="C4724">
        <v>2250</v>
      </c>
      <c r="D4724" t="s">
        <v>5977</v>
      </c>
    </row>
    <row r="4725" spans="1:4" x14ac:dyDescent="0.2">
      <c r="A4725">
        <v>34</v>
      </c>
      <c r="B4725">
        <v>2249.6999999999998</v>
      </c>
      <c r="C4725">
        <v>2250</v>
      </c>
      <c r="D4725" t="s">
        <v>5977</v>
      </c>
    </row>
    <row r="4726" spans="1:4" x14ac:dyDescent="0.2">
      <c r="A4726">
        <v>35</v>
      </c>
      <c r="B4726">
        <v>2249.6999999999998</v>
      </c>
      <c r="C4726">
        <v>2250</v>
      </c>
      <c r="D4726" t="s">
        <v>5977</v>
      </c>
    </row>
    <row r="4727" spans="1:4" x14ac:dyDescent="0.2">
      <c r="A4727">
        <v>36</v>
      </c>
      <c r="B4727">
        <v>2249.5</v>
      </c>
      <c r="C4727">
        <v>2250</v>
      </c>
      <c r="D4727" t="s">
        <v>5977</v>
      </c>
    </row>
    <row r="4728" spans="1:4" x14ac:dyDescent="0.2">
      <c r="A4728">
        <v>37</v>
      </c>
      <c r="B4728">
        <v>9.9</v>
      </c>
      <c r="C4728">
        <v>10</v>
      </c>
      <c r="D4728" t="s">
        <v>5977</v>
      </c>
    </row>
    <row r="4729" spans="1:4" x14ac:dyDescent="0.2">
      <c r="A4729">
        <v>38</v>
      </c>
      <c r="B4729">
        <v>9.6</v>
      </c>
      <c r="C4729">
        <v>10</v>
      </c>
      <c r="D4729" t="s">
        <v>5977</v>
      </c>
    </row>
    <row r="4730" spans="1:4" x14ac:dyDescent="0.2">
      <c r="A4730">
        <v>39</v>
      </c>
      <c r="B4730">
        <v>9.6999999999999993</v>
      </c>
      <c r="C4730">
        <v>10</v>
      </c>
      <c r="D4730" t="s">
        <v>5977</v>
      </c>
    </row>
    <row r="4731" spans="1:4" x14ac:dyDescent="0.2">
      <c r="A4731">
        <v>40</v>
      </c>
      <c r="B4731">
        <v>9.6999999999999993</v>
      </c>
      <c r="C4731">
        <v>10</v>
      </c>
      <c r="D4731" t="s">
        <v>5977</v>
      </c>
    </row>
    <row r="4732" spans="1:4" x14ac:dyDescent="0.2">
      <c r="A4732">
        <v>37</v>
      </c>
      <c r="B4732">
        <v>499.7</v>
      </c>
      <c r="C4732">
        <v>500</v>
      </c>
      <c r="D4732" t="s">
        <v>5977</v>
      </c>
    </row>
    <row r="4733" spans="1:4" x14ac:dyDescent="0.2">
      <c r="A4733">
        <v>38</v>
      </c>
      <c r="B4733">
        <v>499.5</v>
      </c>
      <c r="C4733">
        <v>500</v>
      </c>
      <c r="D4733" t="s">
        <v>5977</v>
      </c>
    </row>
    <row r="4734" spans="1:4" x14ac:dyDescent="0.2">
      <c r="A4734">
        <v>39</v>
      </c>
      <c r="B4734">
        <v>499.6</v>
      </c>
      <c r="C4734">
        <v>500</v>
      </c>
      <c r="D4734" t="s">
        <v>5977</v>
      </c>
    </row>
    <row r="4735" spans="1:4" x14ac:dyDescent="0.2">
      <c r="A4735">
        <v>40</v>
      </c>
      <c r="B4735">
        <v>499.6</v>
      </c>
      <c r="C4735">
        <v>500</v>
      </c>
      <c r="D4735" t="s">
        <v>5977</v>
      </c>
    </row>
    <row r="4736" spans="1:4" x14ac:dyDescent="0.2">
      <c r="A4736">
        <v>37</v>
      </c>
      <c r="B4736">
        <v>999.6</v>
      </c>
      <c r="C4736">
        <v>1000</v>
      </c>
      <c r="D4736" t="s">
        <v>5977</v>
      </c>
    </row>
    <row r="4737" spans="1:4" x14ac:dyDescent="0.2">
      <c r="A4737">
        <v>38</v>
      </c>
      <c r="B4737">
        <v>999.5</v>
      </c>
      <c r="C4737">
        <v>1000</v>
      </c>
      <c r="D4737" t="s">
        <v>5977</v>
      </c>
    </row>
    <row r="4738" spans="1:4" x14ac:dyDescent="0.2">
      <c r="A4738">
        <v>39</v>
      </c>
      <c r="B4738">
        <v>999.6</v>
      </c>
      <c r="C4738">
        <v>1000</v>
      </c>
      <c r="D4738" t="s">
        <v>5977</v>
      </c>
    </row>
    <row r="4739" spans="1:4" x14ac:dyDescent="0.2">
      <c r="A4739">
        <v>40</v>
      </c>
      <c r="B4739">
        <v>999.6</v>
      </c>
      <c r="C4739">
        <v>1000</v>
      </c>
      <c r="D4739" t="s">
        <v>5977</v>
      </c>
    </row>
    <row r="4740" spans="1:4" x14ac:dyDescent="0.2">
      <c r="A4740">
        <v>37</v>
      </c>
      <c r="B4740">
        <v>1499.5</v>
      </c>
      <c r="C4740">
        <v>1500</v>
      </c>
      <c r="D4740" t="s">
        <v>5977</v>
      </c>
    </row>
    <row r="4741" spans="1:4" x14ac:dyDescent="0.2">
      <c r="A4741">
        <v>38</v>
      </c>
      <c r="B4741">
        <v>1499.6</v>
      </c>
      <c r="C4741">
        <v>1500</v>
      </c>
      <c r="D4741" t="s">
        <v>5977</v>
      </c>
    </row>
    <row r="4742" spans="1:4" x14ac:dyDescent="0.2">
      <c r="A4742">
        <v>39</v>
      </c>
      <c r="B4742">
        <v>1499.5</v>
      </c>
      <c r="C4742">
        <v>1500</v>
      </c>
      <c r="D4742" t="s">
        <v>5977</v>
      </c>
    </row>
    <row r="4743" spans="1:4" x14ac:dyDescent="0.2">
      <c r="A4743">
        <v>40</v>
      </c>
      <c r="B4743">
        <v>1499.5</v>
      </c>
      <c r="C4743">
        <v>1500</v>
      </c>
      <c r="D4743" t="s">
        <v>5977</v>
      </c>
    </row>
    <row r="4744" spans="1:4" x14ac:dyDescent="0.2">
      <c r="A4744">
        <v>37</v>
      </c>
      <c r="B4744">
        <v>1999.5</v>
      </c>
      <c r="C4744">
        <v>2000</v>
      </c>
      <c r="D4744" t="s">
        <v>5977</v>
      </c>
    </row>
    <row r="4745" spans="1:4" x14ac:dyDescent="0.2">
      <c r="A4745">
        <v>38</v>
      </c>
      <c r="B4745">
        <v>1999.7</v>
      </c>
      <c r="C4745">
        <v>2000</v>
      </c>
      <c r="D4745" t="s">
        <v>5977</v>
      </c>
    </row>
    <row r="4746" spans="1:4" x14ac:dyDescent="0.2">
      <c r="A4746">
        <v>39</v>
      </c>
      <c r="B4746">
        <v>1999.5</v>
      </c>
      <c r="C4746">
        <v>2000</v>
      </c>
      <c r="D4746" t="s">
        <v>5977</v>
      </c>
    </row>
    <row r="4747" spans="1:4" x14ac:dyDescent="0.2">
      <c r="A4747">
        <v>40</v>
      </c>
      <c r="B4747">
        <v>1999.5</v>
      </c>
      <c r="C4747">
        <v>2000</v>
      </c>
      <c r="D4747" t="s">
        <v>5977</v>
      </c>
    </row>
    <row r="4748" spans="1:4" x14ac:dyDescent="0.2">
      <c r="A4748">
        <v>37</v>
      </c>
      <c r="B4748">
        <v>2249.5</v>
      </c>
      <c r="C4748">
        <v>2250</v>
      </c>
      <c r="D4748" t="s">
        <v>5977</v>
      </c>
    </row>
    <row r="4749" spans="1:4" x14ac:dyDescent="0.2">
      <c r="A4749">
        <v>38</v>
      </c>
      <c r="B4749">
        <v>2249.9</v>
      </c>
      <c r="C4749">
        <v>2250</v>
      </c>
      <c r="D4749" t="s">
        <v>5977</v>
      </c>
    </row>
    <row r="4750" spans="1:4" x14ac:dyDescent="0.2">
      <c r="A4750">
        <v>39</v>
      </c>
      <c r="B4750">
        <v>2249.5</v>
      </c>
      <c r="C4750">
        <v>2250</v>
      </c>
      <c r="D4750" t="s">
        <v>5977</v>
      </c>
    </row>
    <row r="4751" spans="1:4" x14ac:dyDescent="0.2">
      <c r="A4751">
        <v>40</v>
      </c>
      <c r="B4751">
        <v>2249.6</v>
      </c>
      <c r="C4751">
        <v>2250</v>
      </c>
      <c r="D4751" t="s">
        <v>5977</v>
      </c>
    </row>
    <row r="4752" spans="1:4" x14ac:dyDescent="0.2">
      <c r="A4752">
        <v>1</v>
      </c>
      <c r="B4752">
        <v>-99.8</v>
      </c>
      <c r="C4752">
        <v>-100</v>
      </c>
      <c r="D4752" t="s">
        <v>5978</v>
      </c>
    </row>
    <row r="4753" spans="1:4" x14ac:dyDescent="0.2">
      <c r="A4753">
        <v>2</v>
      </c>
      <c r="B4753">
        <v>-100.1</v>
      </c>
      <c r="C4753">
        <v>-100</v>
      </c>
      <c r="D4753" t="s">
        <v>5978</v>
      </c>
    </row>
    <row r="4754" spans="1:4" x14ac:dyDescent="0.2">
      <c r="A4754">
        <v>3</v>
      </c>
      <c r="B4754">
        <v>-99.9</v>
      </c>
      <c r="C4754">
        <v>-100</v>
      </c>
      <c r="D4754" t="s">
        <v>5978</v>
      </c>
    </row>
    <row r="4755" spans="1:4" x14ac:dyDescent="0.2">
      <c r="A4755">
        <v>4</v>
      </c>
      <c r="B4755">
        <v>-99.8</v>
      </c>
      <c r="C4755">
        <v>-100</v>
      </c>
      <c r="D4755" t="s">
        <v>5978</v>
      </c>
    </row>
    <row r="4756" spans="1:4" x14ac:dyDescent="0.2">
      <c r="A4756">
        <v>5</v>
      </c>
      <c r="B4756">
        <v>-100</v>
      </c>
      <c r="C4756">
        <v>-100</v>
      </c>
      <c r="D4756" t="s">
        <v>5978</v>
      </c>
    </row>
    <row r="4757" spans="1:4" x14ac:dyDescent="0.2">
      <c r="A4757">
        <v>6</v>
      </c>
      <c r="B4757">
        <v>-99.9</v>
      </c>
      <c r="C4757">
        <v>-100</v>
      </c>
      <c r="D4757" t="s">
        <v>5978</v>
      </c>
    </row>
    <row r="4758" spans="1:4" x14ac:dyDescent="0.2">
      <c r="A4758">
        <v>1</v>
      </c>
      <c r="B4758">
        <v>-49.8</v>
      </c>
      <c r="C4758">
        <v>-50</v>
      </c>
      <c r="D4758" t="s">
        <v>5978</v>
      </c>
    </row>
    <row r="4759" spans="1:4" x14ac:dyDescent="0.2">
      <c r="A4759">
        <v>2</v>
      </c>
      <c r="B4759">
        <v>-50.1</v>
      </c>
      <c r="C4759">
        <v>-50</v>
      </c>
      <c r="D4759" t="s">
        <v>5978</v>
      </c>
    </row>
    <row r="4760" spans="1:4" x14ac:dyDescent="0.2">
      <c r="A4760">
        <v>3</v>
      </c>
      <c r="B4760">
        <v>-49.9</v>
      </c>
      <c r="C4760">
        <v>-50</v>
      </c>
      <c r="D4760" t="s">
        <v>5978</v>
      </c>
    </row>
    <row r="4761" spans="1:4" x14ac:dyDescent="0.2">
      <c r="A4761">
        <v>4</v>
      </c>
      <c r="B4761">
        <v>-49.8</v>
      </c>
      <c r="C4761">
        <v>-50</v>
      </c>
      <c r="D4761" t="s">
        <v>5978</v>
      </c>
    </row>
    <row r="4762" spans="1:4" x14ac:dyDescent="0.2">
      <c r="A4762">
        <v>5</v>
      </c>
      <c r="B4762">
        <v>-50</v>
      </c>
      <c r="C4762">
        <v>-50</v>
      </c>
      <c r="D4762" t="s">
        <v>5978</v>
      </c>
    </row>
    <row r="4763" spans="1:4" x14ac:dyDescent="0.2">
      <c r="A4763">
        <v>6</v>
      </c>
      <c r="B4763">
        <v>-49.9</v>
      </c>
      <c r="C4763">
        <v>-50</v>
      </c>
      <c r="D4763" t="s">
        <v>5978</v>
      </c>
    </row>
    <row r="4764" spans="1:4" x14ac:dyDescent="0.2">
      <c r="A4764">
        <v>1</v>
      </c>
      <c r="B4764">
        <v>0.2</v>
      </c>
      <c r="C4764">
        <v>0</v>
      </c>
      <c r="D4764" t="s">
        <v>5978</v>
      </c>
    </row>
    <row r="4765" spans="1:4" x14ac:dyDescent="0.2">
      <c r="A4765">
        <v>2</v>
      </c>
      <c r="B4765">
        <v>-0.1</v>
      </c>
      <c r="C4765">
        <v>0</v>
      </c>
      <c r="D4765" t="s">
        <v>5978</v>
      </c>
    </row>
    <row r="4766" spans="1:4" x14ac:dyDescent="0.2">
      <c r="A4766">
        <v>3</v>
      </c>
      <c r="B4766">
        <v>0.1</v>
      </c>
      <c r="C4766">
        <v>0</v>
      </c>
      <c r="D4766" t="s">
        <v>5978</v>
      </c>
    </row>
    <row r="4767" spans="1:4" x14ac:dyDescent="0.2">
      <c r="A4767">
        <v>4</v>
      </c>
      <c r="B4767">
        <v>0.3</v>
      </c>
      <c r="C4767">
        <v>0</v>
      </c>
      <c r="D4767" t="s">
        <v>5978</v>
      </c>
    </row>
    <row r="4768" spans="1:4" x14ac:dyDescent="0.2">
      <c r="A4768">
        <v>5</v>
      </c>
      <c r="B4768">
        <v>0.1</v>
      </c>
      <c r="C4768">
        <v>0</v>
      </c>
      <c r="D4768" t="s">
        <v>5978</v>
      </c>
    </row>
    <row r="4769" spans="1:4" x14ac:dyDescent="0.2">
      <c r="A4769">
        <v>6</v>
      </c>
      <c r="B4769">
        <v>0.1</v>
      </c>
      <c r="C4769">
        <v>0</v>
      </c>
      <c r="D4769" t="s">
        <v>5978</v>
      </c>
    </row>
    <row r="4770" spans="1:4" x14ac:dyDescent="0.2">
      <c r="A4770">
        <v>1</v>
      </c>
      <c r="B4770">
        <v>250.2</v>
      </c>
      <c r="C4770">
        <v>250</v>
      </c>
      <c r="D4770" t="s">
        <v>5978</v>
      </c>
    </row>
    <row r="4771" spans="1:4" x14ac:dyDescent="0.2">
      <c r="A4771">
        <v>2</v>
      </c>
      <c r="B4771">
        <v>250</v>
      </c>
      <c r="C4771">
        <v>250</v>
      </c>
      <c r="D4771" t="s">
        <v>5978</v>
      </c>
    </row>
    <row r="4772" spans="1:4" x14ac:dyDescent="0.2">
      <c r="A4772">
        <v>3</v>
      </c>
      <c r="B4772">
        <v>250.1</v>
      </c>
      <c r="C4772">
        <v>250</v>
      </c>
      <c r="D4772" t="s">
        <v>5978</v>
      </c>
    </row>
    <row r="4773" spans="1:4" x14ac:dyDescent="0.2">
      <c r="A4773">
        <v>4</v>
      </c>
      <c r="B4773">
        <v>250.3</v>
      </c>
      <c r="C4773">
        <v>250</v>
      </c>
      <c r="D4773" t="s">
        <v>5978</v>
      </c>
    </row>
    <row r="4774" spans="1:4" x14ac:dyDescent="0.2">
      <c r="A4774">
        <v>5</v>
      </c>
      <c r="B4774">
        <v>250.1</v>
      </c>
      <c r="C4774">
        <v>250</v>
      </c>
      <c r="D4774" t="s">
        <v>5978</v>
      </c>
    </row>
    <row r="4775" spans="1:4" x14ac:dyDescent="0.2">
      <c r="A4775">
        <v>6</v>
      </c>
      <c r="B4775">
        <v>250.2</v>
      </c>
      <c r="C4775">
        <v>250</v>
      </c>
      <c r="D4775" t="s">
        <v>5978</v>
      </c>
    </row>
    <row r="4776" spans="1:4" x14ac:dyDescent="0.2">
      <c r="A4776">
        <v>1</v>
      </c>
      <c r="B4776">
        <v>500.3</v>
      </c>
      <c r="C4776">
        <v>500</v>
      </c>
      <c r="D4776" t="s">
        <v>5978</v>
      </c>
    </row>
    <row r="4777" spans="1:4" x14ac:dyDescent="0.2">
      <c r="A4777">
        <v>2</v>
      </c>
      <c r="B4777">
        <v>500</v>
      </c>
      <c r="C4777">
        <v>500</v>
      </c>
      <c r="D4777" t="s">
        <v>5978</v>
      </c>
    </row>
    <row r="4778" spans="1:4" x14ac:dyDescent="0.2">
      <c r="A4778">
        <v>3</v>
      </c>
      <c r="B4778">
        <v>500.2</v>
      </c>
      <c r="C4778">
        <v>500</v>
      </c>
      <c r="D4778" t="s">
        <v>5978</v>
      </c>
    </row>
    <row r="4779" spans="1:4" x14ac:dyDescent="0.2">
      <c r="A4779">
        <v>4</v>
      </c>
      <c r="B4779">
        <v>500.3</v>
      </c>
      <c r="C4779">
        <v>500</v>
      </c>
      <c r="D4779" t="s">
        <v>5978</v>
      </c>
    </row>
    <row r="4780" spans="1:4" x14ac:dyDescent="0.2">
      <c r="A4780">
        <v>5</v>
      </c>
      <c r="B4780">
        <v>500.1</v>
      </c>
      <c r="C4780">
        <v>500</v>
      </c>
      <c r="D4780" t="s">
        <v>5978</v>
      </c>
    </row>
    <row r="4781" spans="1:4" x14ac:dyDescent="0.2">
      <c r="A4781">
        <v>6</v>
      </c>
      <c r="B4781">
        <v>500.2</v>
      </c>
      <c r="C4781">
        <v>500</v>
      </c>
      <c r="D4781" t="s">
        <v>5978</v>
      </c>
    </row>
    <row r="4782" spans="1:4" x14ac:dyDescent="0.2">
      <c r="A4782">
        <v>1</v>
      </c>
      <c r="B4782">
        <v>1000.3</v>
      </c>
      <c r="C4782">
        <v>1000</v>
      </c>
      <c r="D4782" t="s">
        <v>5978</v>
      </c>
    </row>
    <row r="4783" spans="1:4" x14ac:dyDescent="0.2">
      <c r="A4783">
        <v>2</v>
      </c>
      <c r="B4783">
        <v>1000.1</v>
      </c>
      <c r="C4783">
        <v>1000</v>
      </c>
      <c r="D4783" t="s">
        <v>5978</v>
      </c>
    </row>
    <row r="4784" spans="1:4" x14ac:dyDescent="0.2">
      <c r="A4784">
        <v>3</v>
      </c>
      <c r="B4784">
        <v>1000.3</v>
      </c>
      <c r="C4784">
        <v>1000</v>
      </c>
      <c r="D4784" t="s">
        <v>5978</v>
      </c>
    </row>
    <row r="4785" spans="1:4" x14ac:dyDescent="0.2">
      <c r="A4785">
        <v>4</v>
      </c>
      <c r="B4785">
        <v>1000.3</v>
      </c>
      <c r="C4785">
        <v>1000</v>
      </c>
      <c r="D4785" t="s">
        <v>5978</v>
      </c>
    </row>
    <row r="4786" spans="1:4" x14ac:dyDescent="0.2">
      <c r="A4786">
        <v>5</v>
      </c>
      <c r="B4786">
        <v>1000.2</v>
      </c>
      <c r="C4786">
        <v>1000</v>
      </c>
      <c r="D4786" t="s">
        <v>5978</v>
      </c>
    </row>
    <row r="4787" spans="1:4" x14ac:dyDescent="0.2">
      <c r="A4787">
        <v>6</v>
      </c>
      <c r="B4787">
        <v>1000.2</v>
      </c>
      <c r="C4787">
        <v>1000</v>
      </c>
      <c r="D4787" t="s">
        <v>5978</v>
      </c>
    </row>
    <row r="4788" spans="1:4" x14ac:dyDescent="0.2">
      <c r="A4788">
        <v>7</v>
      </c>
      <c r="B4788">
        <v>-100</v>
      </c>
      <c r="C4788">
        <v>-100</v>
      </c>
      <c r="D4788" t="s">
        <v>5978</v>
      </c>
    </row>
    <row r="4789" spans="1:4" x14ac:dyDescent="0.2">
      <c r="A4789">
        <v>8</v>
      </c>
      <c r="B4789">
        <v>-100.2</v>
      </c>
      <c r="C4789">
        <v>-100</v>
      </c>
      <c r="D4789" t="s">
        <v>5978</v>
      </c>
    </row>
    <row r="4790" spans="1:4" x14ac:dyDescent="0.2">
      <c r="A4790">
        <v>9</v>
      </c>
      <c r="B4790">
        <v>-99.8</v>
      </c>
      <c r="C4790">
        <v>-100</v>
      </c>
      <c r="D4790" t="s">
        <v>5978</v>
      </c>
    </row>
    <row r="4791" spans="1:4" x14ac:dyDescent="0.2">
      <c r="A4791">
        <v>10</v>
      </c>
      <c r="B4791">
        <v>-100.1</v>
      </c>
      <c r="C4791">
        <v>-100</v>
      </c>
      <c r="D4791" t="s">
        <v>5978</v>
      </c>
    </row>
    <row r="4792" spans="1:4" x14ac:dyDescent="0.2">
      <c r="A4792">
        <v>11</v>
      </c>
      <c r="B4792">
        <v>-99.8</v>
      </c>
      <c r="C4792">
        <v>-100</v>
      </c>
      <c r="D4792" t="s">
        <v>5978</v>
      </c>
    </row>
    <row r="4793" spans="1:4" x14ac:dyDescent="0.2">
      <c r="A4793">
        <v>12</v>
      </c>
      <c r="B4793">
        <v>-100.2</v>
      </c>
      <c r="C4793">
        <v>-100</v>
      </c>
      <c r="D4793" t="s">
        <v>5978</v>
      </c>
    </row>
    <row r="4794" spans="1:4" x14ac:dyDescent="0.2">
      <c r="A4794">
        <v>7</v>
      </c>
      <c r="B4794">
        <v>-49.9</v>
      </c>
      <c r="C4794">
        <v>-50</v>
      </c>
      <c r="D4794" t="s">
        <v>5978</v>
      </c>
    </row>
    <row r="4795" spans="1:4" x14ac:dyDescent="0.2">
      <c r="A4795">
        <v>8</v>
      </c>
      <c r="B4795">
        <v>-50.2</v>
      </c>
      <c r="C4795">
        <v>-50</v>
      </c>
      <c r="D4795" t="s">
        <v>5978</v>
      </c>
    </row>
    <row r="4796" spans="1:4" x14ac:dyDescent="0.2">
      <c r="A4796">
        <v>9</v>
      </c>
      <c r="B4796">
        <v>-49.8</v>
      </c>
      <c r="C4796">
        <v>-50</v>
      </c>
      <c r="D4796" t="s">
        <v>5978</v>
      </c>
    </row>
    <row r="4797" spans="1:4" x14ac:dyDescent="0.2">
      <c r="A4797">
        <v>10</v>
      </c>
      <c r="B4797">
        <v>-50.1</v>
      </c>
      <c r="C4797">
        <v>-50</v>
      </c>
      <c r="D4797" t="s">
        <v>5978</v>
      </c>
    </row>
    <row r="4798" spans="1:4" x14ac:dyDescent="0.2">
      <c r="A4798">
        <v>11</v>
      </c>
      <c r="B4798">
        <v>-49.8</v>
      </c>
      <c r="C4798">
        <v>-50</v>
      </c>
      <c r="D4798" t="s">
        <v>5978</v>
      </c>
    </row>
    <row r="4799" spans="1:4" x14ac:dyDescent="0.2">
      <c r="A4799">
        <v>12</v>
      </c>
      <c r="B4799">
        <v>-50.2</v>
      </c>
      <c r="C4799">
        <v>-50</v>
      </c>
      <c r="D4799" t="s">
        <v>5978</v>
      </c>
    </row>
    <row r="4800" spans="1:4" x14ac:dyDescent="0.2">
      <c r="A4800">
        <v>7</v>
      </c>
      <c r="B4800">
        <v>0.1</v>
      </c>
      <c r="C4800">
        <v>0</v>
      </c>
      <c r="D4800" t="s">
        <v>5978</v>
      </c>
    </row>
    <row r="4801" spans="1:4" x14ac:dyDescent="0.2">
      <c r="A4801">
        <v>8</v>
      </c>
      <c r="B4801">
        <v>-0.1</v>
      </c>
      <c r="C4801">
        <v>0</v>
      </c>
      <c r="D4801" t="s">
        <v>5978</v>
      </c>
    </row>
    <row r="4802" spans="1:4" x14ac:dyDescent="0.2">
      <c r="A4802">
        <v>9</v>
      </c>
      <c r="B4802">
        <v>0.3</v>
      </c>
      <c r="C4802">
        <v>0</v>
      </c>
      <c r="D4802" t="s">
        <v>5978</v>
      </c>
    </row>
    <row r="4803" spans="1:4" x14ac:dyDescent="0.2">
      <c r="A4803">
        <v>10</v>
      </c>
      <c r="B4803">
        <v>0</v>
      </c>
      <c r="C4803">
        <v>0</v>
      </c>
      <c r="D4803" t="s">
        <v>5978</v>
      </c>
    </row>
    <row r="4804" spans="1:4" x14ac:dyDescent="0.2">
      <c r="A4804">
        <v>11</v>
      </c>
      <c r="B4804">
        <v>0.2</v>
      </c>
      <c r="C4804">
        <v>0</v>
      </c>
      <c r="D4804" t="s">
        <v>5978</v>
      </c>
    </row>
    <row r="4805" spans="1:4" x14ac:dyDescent="0.2">
      <c r="A4805">
        <v>12</v>
      </c>
      <c r="B4805">
        <v>-0.1</v>
      </c>
      <c r="C4805">
        <v>0</v>
      </c>
      <c r="D4805" t="s">
        <v>5978</v>
      </c>
    </row>
    <row r="4806" spans="1:4" x14ac:dyDescent="0.2">
      <c r="A4806">
        <v>7</v>
      </c>
      <c r="B4806">
        <v>250.1</v>
      </c>
      <c r="C4806">
        <v>250</v>
      </c>
      <c r="D4806" t="s">
        <v>5978</v>
      </c>
    </row>
    <row r="4807" spans="1:4" x14ac:dyDescent="0.2">
      <c r="A4807">
        <v>8</v>
      </c>
      <c r="B4807">
        <v>249.8</v>
      </c>
      <c r="C4807">
        <v>250</v>
      </c>
      <c r="D4807" t="s">
        <v>5978</v>
      </c>
    </row>
    <row r="4808" spans="1:4" x14ac:dyDescent="0.2">
      <c r="A4808">
        <v>9</v>
      </c>
      <c r="B4808">
        <v>250.3</v>
      </c>
      <c r="C4808">
        <v>250</v>
      </c>
      <c r="D4808" t="s">
        <v>5978</v>
      </c>
    </row>
    <row r="4809" spans="1:4" x14ac:dyDescent="0.2">
      <c r="A4809">
        <v>10</v>
      </c>
      <c r="B4809">
        <v>250</v>
      </c>
      <c r="C4809">
        <v>250</v>
      </c>
      <c r="D4809" t="s">
        <v>5978</v>
      </c>
    </row>
    <row r="4810" spans="1:4" x14ac:dyDescent="0.2">
      <c r="A4810">
        <v>11</v>
      </c>
      <c r="B4810">
        <v>250.2</v>
      </c>
      <c r="C4810">
        <v>250</v>
      </c>
      <c r="D4810" t="s">
        <v>5978</v>
      </c>
    </row>
    <row r="4811" spans="1:4" x14ac:dyDescent="0.2">
      <c r="A4811">
        <v>12</v>
      </c>
      <c r="B4811">
        <v>250</v>
      </c>
      <c r="C4811">
        <v>250</v>
      </c>
      <c r="D4811" t="s">
        <v>5978</v>
      </c>
    </row>
    <row r="4812" spans="1:4" x14ac:dyDescent="0.2">
      <c r="A4812">
        <v>7</v>
      </c>
      <c r="B4812">
        <v>500.2</v>
      </c>
      <c r="C4812">
        <v>500</v>
      </c>
      <c r="D4812" t="s">
        <v>5978</v>
      </c>
    </row>
    <row r="4813" spans="1:4" x14ac:dyDescent="0.2">
      <c r="A4813">
        <v>8</v>
      </c>
      <c r="B4813">
        <v>499.8</v>
      </c>
      <c r="C4813">
        <v>500</v>
      </c>
      <c r="D4813" t="s">
        <v>5978</v>
      </c>
    </row>
    <row r="4814" spans="1:4" x14ac:dyDescent="0.2">
      <c r="A4814">
        <v>9</v>
      </c>
      <c r="B4814">
        <v>500.3</v>
      </c>
      <c r="C4814">
        <v>500</v>
      </c>
      <c r="D4814" t="s">
        <v>5978</v>
      </c>
    </row>
    <row r="4815" spans="1:4" x14ac:dyDescent="0.2">
      <c r="A4815">
        <v>10</v>
      </c>
      <c r="B4815">
        <v>500</v>
      </c>
      <c r="C4815">
        <v>500</v>
      </c>
      <c r="D4815" t="s">
        <v>5978</v>
      </c>
    </row>
    <row r="4816" spans="1:4" x14ac:dyDescent="0.2">
      <c r="A4816">
        <v>11</v>
      </c>
      <c r="B4816">
        <v>500.2</v>
      </c>
      <c r="C4816">
        <v>500</v>
      </c>
      <c r="D4816" t="s">
        <v>5978</v>
      </c>
    </row>
    <row r="4817" spans="1:4" x14ac:dyDescent="0.2">
      <c r="A4817">
        <v>12</v>
      </c>
      <c r="B4817">
        <v>500</v>
      </c>
      <c r="C4817">
        <v>500</v>
      </c>
      <c r="D4817" t="s">
        <v>5978</v>
      </c>
    </row>
    <row r="4818" spans="1:4" x14ac:dyDescent="0.2">
      <c r="A4818">
        <v>7</v>
      </c>
      <c r="B4818">
        <v>1000.2</v>
      </c>
      <c r="C4818">
        <v>1000</v>
      </c>
      <c r="D4818" t="s">
        <v>5978</v>
      </c>
    </row>
    <row r="4819" spans="1:4" x14ac:dyDescent="0.2">
      <c r="A4819">
        <v>8</v>
      </c>
      <c r="B4819">
        <v>999.8</v>
      </c>
      <c r="C4819">
        <v>1000</v>
      </c>
      <c r="D4819" t="s">
        <v>5978</v>
      </c>
    </row>
    <row r="4820" spans="1:4" x14ac:dyDescent="0.2">
      <c r="A4820">
        <v>9</v>
      </c>
      <c r="B4820">
        <v>1000.3</v>
      </c>
      <c r="C4820">
        <v>1000</v>
      </c>
      <c r="D4820" t="s">
        <v>5978</v>
      </c>
    </row>
    <row r="4821" spans="1:4" x14ac:dyDescent="0.2">
      <c r="A4821">
        <v>10</v>
      </c>
      <c r="B4821">
        <v>1000</v>
      </c>
      <c r="C4821">
        <v>1000</v>
      </c>
      <c r="D4821" t="s">
        <v>5978</v>
      </c>
    </row>
    <row r="4822" spans="1:4" x14ac:dyDescent="0.2">
      <c r="A4822">
        <v>11</v>
      </c>
      <c r="B4822">
        <v>1000.2</v>
      </c>
      <c r="C4822">
        <v>1000</v>
      </c>
      <c r="D4822" t="s">
        <v>5978</v>
      </c>
    </row>
    <row r="4823" spans="1:4" x14ac:dyDescent="0.2">
      <c r="A4823">
        <v>12</v>
      </c>
      <c r="B4823">
        <v>1000.1</v>
      </c>
      <c r="C4823">
        <v>1000</v>
      </c>
      <c r="D4823" t="s">
        <v>5978</v>
      </c>
    </row>
    <row r="4824" spans="1:4" x14ac:dyDescent="0.2">
      <c r="A4824">
        <v>13</v>
      </c>
      <c r="B4824">
        <v>-99.8</v>
      </c>
      <c r="C4824">
        <v>-100</v>
      </c>
      <c r="D4824" t="s">
        <v>5978</v>
      </c>
    </row>
    <row r="4825" spans="1:4" x14ac:dyDescent="0.2">
      <c r="A4825">
        <v>14</v>
      </c>
      <c r="B4825">
        <v>-99.5</v>
      </c>
      <c r="C4825">
        <v>-100</v>
      </c>
      <c r="D4825" t="s">
        <v>5978</v>
      </c>
    </row>
    <row r="4826" spans="1:4" x14ac:dyDescent="0.2">
      <c r="A4826">
        <v>15</v>
      </c>
      <c r="B4826">
        <v>-100.1</v>
      </c>
      <c r="C4826">
        <v>-100</v>
      </c>
      <c r="D4826" t="s">
        <v>5978</v>
      </c>
    </row>
    <row r="4827" spans="1:4" x14ac:dyDescent="0.2">
      <c r="A4827">
        <v>16</v>
      </c>
      <c r="B4827">
        <v>-100.2</v>
      </c>
      <c r="C4827">
        <v>-100</v>
      </c>
      <c r="D4827" t="s">
        <v>5978</v>
      </c>
    </row>
    <row r="4828" spans="1:4" x14ac:dyDescent="0.2">
      <c r="A4828">
        <v>17</v>
      </c>
      <c r="B4828">
        <v>-100.2</v>
      </c>
      <c r="C4828">
        <v>-100</v>
      </c>
      <c r="D4828" t="s">
        <v>5978</v>
      </c>
    </row>
    <row r="4829" spans="1:4" x14ac:dyDescent="0.2">
      <c r="A4829">
        <v>18</v>
      </c>
      <c r="B4829">
        <v>-100.2</v>
      </c>
      <c r="C4829">
        <v>-100</v>
      </c>
      <c r="D4829" t="s">
        <v>5978</v>
      </c>
    </row>
    <row r="4830" spans="1:4" x14ac:dyDescent="0.2">
      <c r="A4830">
        <v>13</v>
      </c>
      <c r="B4830">
        <v>-49.8</v>
      </c>
      <c r="C4830">
        <v>-50</v>
      </c>
      <c r="D4830" t="s">
        <v>5978</v>
      </c>
    </row>
    <row r="4831" spans="1:4" x14ac:dyDescent="0.2">
      <c r="A4831">
        <v>14</v>
      </c>
      <c r="B4831">
        <v>-49.5</v>
      </c>
      <c r="C4831">
        <v>-50</v>
      </c>
      <c r="D4831" t="s">
        <v>5978</v>
      </c>
    </row>
    <row r="4832" spans="1:4" x14ac:dyDescent="0.2">
      <c r="A4832">
        <v>15</v>
      </c>
      <c r="B4832">
        <v>-50.1</v>
      </c>
      <c r="C4832">
        <v>-50</v>
      </c>
      <c r="D4832" t="s">
        <v>5978</v>
      </c>
    </row>
    <row r="4833" spans="1:4" x14ac:dyDescent="0.2">
      <c r="A4833">
        <v>16</v>
      </c>
      <c r="B4833">
        <v>-50.2</v>
      </c>
      <c r="C4833">
        <v>-50</v>
      </c>
      <c r="D4833" t="s">
        <v>5978</v>
      </c>
    </row>
    <row r="4834" spans="1:4" x14ac:dyDescent="0.2">
      <c r="A4834">
        <v>17</v>
      </c>
      <c r="B4834">
        <v>-50.1</v>
      </c>
      <c r="C4834">
        <v>-50</v>
      </c>
      <c r="D4834" t="s">
        <v>5978</v>
      </c>
    </row>
    <row r="4835" spans="1:4" x14ac:dyDescent="0.2">
      <c r="A4835">
        <v>18</v>
      </c>
      <c r="B4835">
        <v>-50.1</v>
      </c>
      <c r="C4835">
        <v>-50</v>
      </c>
      <c r="D4835" t="s">
        <v>5978</v>
      </c>
    </row>
    <row r="4836" spans="1:4" x14ac:dyDescent="0.2">
      <c r="A4836">
        <v>13</v>
      </c>
      <c r="B4836">
        <v>0.2</v>
      </c>
      <c r="C4836">
        <v>0</v>
      </c>
      <c r="D4836" t="s">
        <v>5978</v>
      </c>
    </row>
    <row r="4837" spans="1:4" x14ac:dyDescent="0.2">
      <c r="A4837">
        <v>14</v>
      </c>
      <c r="B4837">
        <v>0.5</v>
      </c>
      <c r="C4837">
        <v>0</v>
      </c>
      <c r="D4837" t="s">
        <v>5978</v>
      </c>
    </row>
    <row r="4838" spans="1:4" x14ac:dyDescent="0.2">
      <c r="A4838">
        <v>15</v>
      </c>
      <c r="B4838">
        <v>-0.1</v>
      </c>
      <c r="C4838">
        <v>0</v>
      </c>
      <c r="D4838" t="s">
        <v>5978</v>
      </c>
    </row>
    <row r="4839" spans="1:4" x14ac:dyDescent="0.2">
      <c r="A4839">
        <v>16</v>
      </c>
      <c r="B4839">
        <v>-0.1</v>
      </c>
      <c r="C4839">
        <v>0</v>
      </c>
      <c r="D4839" t="s">
        <v>5978</v>
      </c>
    </row>
    <row r="4840" spans="1:4" x14ac:dyDescent="0.2">
      <c r="A4840">
        <v>17</v>
      </c>
      <c r="B4840">
        <v>-0.1</v>
      </c>
      <c r="C4840">
        <v>0</v>
      </c>
      <c r="D4840" t="s">
        <v>5978</v>
      </c>
    </row>
    <row r="4841" spans="1:4" x14ac:dyDescent="0.2">
      <c r="A4841">
        <v>18</v>
      </c>
      <c r="B4841">
        <v>0</v>
      </c>
      <c r="C4841">
        <v>0</v>
      </c>
      <c r="D4841" t="s">
        <v>5978</v>
      </c>
    </row>
    <row r="4842" spans="1:4" x14ac:dyDescent="0.2">
      <c r="A4842">
        <v>13</v>
      </c>
      <c r="B4842">
        <v>250.4</v>
      </c>
      <c r="C4842">
        <v>250</v>
      </c>
      <c r="D4842" t="s">
        <v>5978</v>
      </c>
    </row>
    <row r="4843" spans="1:4" x14ac:dyDescent="0.2">
      <c r="A4843">
        <v>14</v>
      </c>
      <c r="B4843">
        <v>250.5</v>
      </c>
      <c r="C4843">
        <v>250</v>
      </c>
      <c r="D4843" t="s">
        <v>5978</v>
      </c>
    </row>
    <row r="4844" spans="1:4" x14ac:dyDescent="0.2">
      <c r="A4844">
        <v>15</v>
      </c>
      <c r="B4844">
        <v>249.9</v>
      </c>
      <c r="C4844">
        <v>250</v>
      </c>
      <c r="D4844" t="s">
        <v>5978</v>
      </c>
    </row>
    <row r="4845" spans="1:4" x14ac:dyDescent="0.2">
      <c r="A4845">
        <v>16</v>
      </c>
      <c r="B4845">
        <v>250</v>
      </c>
      <c r="C4845">
        <v>250</v>
      </c>
      <c r="D4845" t="s">
        <v>5978</v>
      </c>
    </row>
    <row r="4846" spans="1:4" x14ac:dyDescent="0.2">
      <c r="A4846">
        <v>17</v>
      </c>
      <c r="B4846">
        <v>250</v>
      </c>
      <c r="C4846">
        <v>250</v>
      </c>
      <c r="D4846" t="s">
        <v>5978</v>
      </c>
    </row>
    <row r="4847" spans="1:4" x14ac:dyDescent="0.2">
      <c r="A4847">
        <v>18</v>
      </c>
      <c r="B4847">
        <v>250</v>
      </c>
      <c r="C4847">
        <v>250</v>
      </c>
      <c r="D4847" t="s">
        <v>5978</v>
      </c>
    </row>
    <row r="4848" spans="1:4" x14ac:dyDescent="0.2">
      <c r="A4848">
        <v>13</v>
      </c>
      <c r="B4848">
        <v>500.4</v>
      </c>
      <c r="C4848">
        <v>500</v>
      </c>
      <c r="D4848" t="s">
        <v>5978</v>
      </c>
    </row>
    <row r="4849" spans="1:4" x14ac:dyDescent="0.2">
      <c r="A4849">
        <v>14</v>
      </c>
      <c r="B4849">
        <v>500.5</v>
      </c>
      <c r="C4849">
        <v>500</v>
      </c>
      <c r="D4849" t="s">
        <v>5978</v>
      </c>
    </row>
    <row r="4850" spans="1:4" x14ac:dyDescent="0.2">
      <c r="A4850">
        <v>15</v>
      </c>
      <c r="B4850">
        <v>500</v>
      </c>
      <c r="C4850">
        <v>500</v>
      </c>
      <c r="D4850" t="s">
        <v>5978</v>
      </c>
    </row>
    <row r="4851" spans="1:4" x14ac:dyDescent="0.2">
      <c r="A4851">
        <v>16</v>
      </c>
      <c r="B4851">
        <v>500.1</v>
      </c>
      <c r="C4851">
        <v>500</v>
      </c>
      <c r="D4851" t="s">
        <v>5978</v>
      </c>
    </row>
    <row r="4852" spans="1:4" x14ac:dyDescent="0.2">
      <c r="A4852">
        <v>17</v>
      </c>
      <c r="B4852">
        <v>500</v>
      </c>
      <c r="C4852">
        <v>500</v>
      </c>
      <c r="D4852" t="s">
        <v>5978</v>
      </c>
    </row>
    <row r="4853" spans="1:4" x14ac:dyDescent="0.2">
      <c r="A4853">
        <v>18</v>
      </c>
      <c r="B4853">
        <v>500.1</v>
      </c>
      <c r="C4853">
        <v>500</v>
      </c>
      <c r="D4853" t="s">
        <v>5978</v>
      </c>
    </row>
    <row r="4854" spans="1:4" x14ac:dyDescent="0.2">
      <c r="A4854">
        <v>13</v>
      </c>
      <c r="B4854">
        <v>1000.5</v>
      </c>
      <c r="C4854">
        <v>1000</v>
      </c>
      <c r="D4854" t="s">
        <v>5978</v>
      </c>
    </row>
    <row r="4855" spans="1:4" x14ac:dyDescent="0.2">
      <c r="A4855">
        <v>14</v>
      </c>
      <c r="B4855">
        <v>1000.5</v>
      </c>
      <c r="C4855">
        <v>1000</v>
      </c>
      <c r="D4855" t="s">
        <v>5978</v>
      </c>
    </row>
    <row r="4856" spans="1:4" x14ac:dyDescent="0.2">
      <c r="A4856">
        <v>15</v>
      </c>
      <c r="B4856">
        <v>1000.1</v>
      </c>
      <c r="C4856">
        <v>1000</v>
      </c>
      <c r="D4856" t="s">
        <v>5978</v>
      </c>
    </row>
    <row r="4857" spans="1:4" x14ac:dyDescent="0.2">
      <c r="A4857">
        <v>16</v>
      </c>
      <c r="B4857">
        <v>1000.2</v>
      </c>
      <c r="C4857">
        <v>1000</v>
      </c>
      <c r="D4857" t="s">
        <v>5978</v>
      </c>
    </row>
    <row r="4858" spans="1:4" x14ac:dyDescent="0.2">
      <c r="A4858">
        <v>17</v>
      </c>
      <c r="B4858">
        <v>1000</v>
      </c>
      <c r="C4858">
        <v>1000</v>
      </c>
      <c r="D4858" t="s">
        <v>5978</v>
      </c>
    </row>
    <row r="4859" spans="1:4" x14ac:dyDescent="0.2">
      <c r="A4859">
        <v>18</v>
      </c>
      <c r="B4859">
        <v>1000.1</v>
      </c>
      <c r="C4859">
        <v>1000</v>
      </c>
      <c r="D4859" t="s">
        <v>5978</v>
      </c>
    </row>
    <row r="4860" spans="1:4" x14ac:dyDescent="0.2">
      <c r="A4860">
        <v>19</v>
      </c>
      <c r="B4860">
        <v>-99.9</v>
      </c>
      <c r="C4860">
        <v>-100</v>
      </c>
      <c r="D4860" t="s">
        <v>5978</v>
      </c>
    </row>
    <row r="4861" spans="1:4" x14ac:dyDescent="0.2">
      <c r="A4861">
        <v>20</v>
      </c>
      <c r="B4861">
        <v>-100.2</v>
      </c>
      <c r="C4861">
        <v>-100</v>
      </c>
      <c r="D4861" t="s">
        <v>5978</v>
      </c>
    </row>
    <row r="4862" spans="1:4" x14ac:dyDescent="0.2">
      <c r="A4862">
        <v>21</v>
      </c>
      <c r="B4862">
        <v>-100.2</v>
      </c>
      <c r="C4862">
        <v>-100</v>
      </c>
      <c r="D4862" t="s">
        <v>5978</v>
      </c>
    </row>
    <row r="4863" spans="1:4" x14ac:dyDescent="0.2">
      <c r="A4863">
        <v>22</v>
      </c>
      <c r="B4863">
        <v>-100.3</v>
      </c>
      <c r="C4863">
        <v>-100</v>
      </c>
      <c r="D4863" t="s">
        <v>5978</v>
      </c>
    </row>
    <row r="4864" spans="1:4" x14ac:dyDescent="0.2">
      <c r="A4864">
        <v>23</v>
      </c>
      <c r="B4864">
        <v>-100.2</v>
      </c>
      <c r="C4864">
        <v>-100</v>
      </c>
      <c r="D4864" t="s">
        <v>5978</v>
      </c>
    </row>
    <row r="4865" spans="1:4" x14ac:dyDescent="0.2">
      <c r="A4865">
        <v>24</v>
      </c>
      <c r="B4865">
        <v>-100.1</v>
      </c>
      <c r="C4865">
        <v>-100</v>
      </c>
      <c r="D4865" t="s">
        <v>5978</v>
      </c>
    </row>
    <row r="4866" spans="1:4" x14ac:dyDescent="0.2">
      <c r="A4866">
        <v>19</v>
      </c>
      <c r="B4866">
        <v>-49.9</v>
      </c>
      <c r="C4866">
        <v>-50</v>
      </c>
      <c r="D4866" t="s">
        <v>5978</v>
      </c>
    </row>
    <row r="4867" spans="1:4" x14ac:dyDescent="0.2">
      <c r="A4867">
        <v>20</v>
      </c>
      <c r="B4867">
        <v>-50.1</v>
      </c>
      <c r="C4867">
        <v>-50</v>
      </c>
      <c r="D4867" t="s">
        <v>5978</v>
      </c>
    </row>
    <row r="4868" spans="1:4" x14ac:dyDescent="0.2">
      <c r="A4868">
        <v>21</v>
      </c>
      <c r="B4868">
        <v>-50.2</v>
      </c>
      <c r="C4868">
        <v>-50</v>
      </c>
      <c r="D4868" t="s">
        <v>5978</v>
      </c>
    </row>
    <row r="4869" spans="1:4" x14ac:dyDescent="0.2">
      <c r="A4869">
        <v>22</v>
      </c>
      <c r="B4869">
        <v>-50.3</v>
      </c>
      <c r="C4869">
        <v>-50</v>
      </c>
      <c r="D4869" t="s">
        <v>5978</v>
      </c>
    </row>
    <row r="4870" spans="1:4" x14ac:dyDescent="0.2">
      <c r="A4870">
        <v>23</v>
      </c>
      <c r="B4870">
        <v>-50.2</v>
      </c>
      <c r="C4870">
        <v>-50</v>
      </c>
      <c r="D4870" t="s">
        <v>5978</v>
      </c>
    </row>
    <row r="4871" spans="1:4" x14ac:dyDescent="0.2">
      <c r="A4871">
        <v>24</v>
      </c>
      <c r="B4871">
        <v>-50.1</v>
      </c>
      <c r="C4871">
        <v>-50</v>
      </c>
      <c r="D4871" t="s">
        <v>5978</v>
      </c>
    </row>
    <row r="4872" spans="1:4" x14ac:dyDescent="0.2">
      <c r="A4872">
        <v>19</v>
      </c>
      <c r="B4872">
        <v>0.1</v>
      </c>
      <c r="C4872">
        <v>0</v>
      </c>
      <c r="D4872" t="s">
        <v>5978</v>
      </c>
    </row>
    <row r="4873" spans="1:4" x14ac:dyDescent="0.2">
      <c r="A4873">
        <v>20</v>
      </c>
      <c r="B4873">
        <v>0</v>
      </c>
      <c r="C4873">
        <v>0</v>
      </c>
      <c r="D4873" t="s">
        <v>5978</v>
      </c>
    </row>
    <row r="4874" spans="1:4" x14ac:dyDescent="0.2">
      <c r="A4874">
        <v>21</v>
      </c>
      <c r="B4874">
        <v>0</v>
      </c>
      <c r="C4874">
        <v>0</v>
      </c>
      <c r="D4874" t="s">
        <v>5978</v>
      </c>
    </row>
    <row r="4875" spans="1:4" x14ac:dyDescent="0.2">
      <c r="A4875">
        <v>22</v>
      </c>
      <c r="B4875">
        <v>-0.1</v>
      </c>
      <c r="C4875">
        <v>0</v>
      </c>
      <c r="D4875" t="s">
        <v>5978</v>
      </c>
    </row>
    <row r="4876" spans="1:4" x14ac:dyDescent="0.2">
      <c r="A4876">
        <v>23</v>
      </c>
      <c r="B4876">
        <v>-0.2</v>
      </c>
      <c r="C4876">
        <v>0</v>
      </c>
      <c r="D4876" t="s">
        <v>5978</v>
      </c>
    </row>
    <row r="4877" spans="1:4" x14ac:dyDescent="0.2">
      <c r="A4877">
        <v>24</v>
      </c>
      <c r="B4877">
        <v>0.1</v>
      </c>
      <c r="C4877">
        <v>0</v>
      </c>
      <c r="D4877" t="s">
        <v>5978</v>
      </c>
    </row>
    <row r="4878" spans="1:4" x14ac:dyDescent="0.2">
      <c r="A4878">
        <v>19</v>
      </c>
      <c r="B4878">
        <v>250.1</v>
      </c>
      <c r="C4878">
        <v>250</v>
      </c>
      <c r="D4878" t="s">
        <v>5978</v>
      </c>
    </row>
    <row r="4879" spans="1:4" x14ac:dyDescent="0.2">
      <c r="A4879">
        <v>20</v>
      </c>
      <c r="B4879">
        <v>249.9</v>
      </c>
      <c r="C4879">
        <v>250</v>
      </c>
      <c r="D4879" t="s">
        <v>5978</v>
      </c>
    </row>
    <row r="4880" spans="1:4" x14ac:dyDescent="0.2">
      <c r="A4880">
        <v>21</v>
      </c>
      <c r="B4880">
        <v>249.9</v>
      </c>
      <c r="C4880">
        <v>250</v>
      </c>
      <c r="D4880" t="s">
        <v>5978</v>
      </c>
    </row>
    <row r="4881" spans="1:4" x14ac:dyDescent="0.2">
      <c r="A4881">
        <v>22</v>
      </c>
      <c r="B4881">
        <v>249.9</v>
      </c>
      <c r="C4881">
        <v>250</v>
      </c>
      <c r="D4881" t="s">
        <v>5978</v>
      </c>
    </row>
    <row r="4882" spans="1:4" x14ac:dyDescent="0.2">
      <c r="A4882">
        <v>23</v>
      </c>
      <c r="B4882">
        <v>250.1</v>
      </c>
      <c r="C4882">
        <v>250</v>
      </c>
      <c r="D4882" t="s">
        <v>5978</v>
      </c>
    </row>
    <row r="4883" spans="1:4" x14ac:dyDescent="0.2">
      <c r="A4883">
        <v>24</v>
      </c>
      <c r="B4883">
        <v>250.2</v>
      </c>
      <c r="C4883">
        <v>250</v>
      </c>
      <c r="D4883" t="s">
        <v>5978</v>
      </c>
    </row>
    <row r="4884" spans="1:4" x14ac:dyDescent="0.2">
      <c r="A4884">
        <v>19</v>
      </c>
      <c r="B4884">
        <v>500.2</v>
      </c>
      <c r="C4884">
        <v>500</v>
      </c>
      <c r="D4884" t="s">
        <v>5978</v>
      </c>
    </row>
    <row r="4885" spans="1:4" x14ac:dyDescent="0.2">
      <c r="A4885">
        <v>20</v>
      </c>
      <c r="B4885">
        <v>500</v>
      </c>
      <c r="C4885">
        <v>500</v>
      </c>
      <c r="D4885" t="s">
        <v>5978</v>
      </c>
    </row>
    <row r="4886" spans="1:4" x14ac:dyDescent="0.2">
      <c r="A4886">
        <v>21</v>
      </c>
      <c r="B4886">
        <v>499.9</v>
      </c>
      <c r="C4886">
        <v>500</v>
      </c>
      <c r="D4886" t="s">
        <v>5978</v>
      </c>
    </row>
    <row r="4887" spans="1:4" x14ac:dyDescent="0.2">
      <c r="A4887">
        <v>22</v>
      </c>
      <c r="B4887">
        <v>499.9</v>
      </c>
      <c r="C4887">
        <v>500</v>
      </c>
      <c r="D4887" t="s">
        <v>5978</v>
      </c>
    </row>
    <row r="4888" spans="1:4" x14ac:dyDescent="0.2">
      <c r="A4888">
        <v>23</v>
      </c>
      <c r="B4888">
        <v>500</v>
      </c>
      <c r="C4888">
        <v>500</v>
      </c>
      <c r="D4888" t="s">
        <v>5978</v>
      </c>
    </row>
    <row r="4889" spans="1:4" x14ac:dyDescent="0.2">
      <c r="A4889">
        <v>24</v>
      </c>
      <c r="B4889">
        <v>500.2</v>
      </c>
      <c r="C4889">
        <v>500</v>
      </c>
      <c r="D4889" t="s">
        <v>5978</v>
      </c>
    </row>
    <row r="4890" spans="1:4" x14ac:dyDescent="0.2">
      <c r="A4890">
        <v>19</v>
      </c>
      <c r="B4890">
        <v>1000.2</v>
      </c>
      <c r="C4890">
        <v>1000</v>
      </c>
      <c r="D4890" t="s">
        <v>5978</v>
      </c>
    </row>
    <row r="4891" spans="1:4" x14ac:dyDescent="0.2">
      <c r="A4891">
        <v>20</v>
      </c>
      <c r="B4891">
        <v>999.8</v>
      </c>
      <c r="C4891">
        <v>1000</v>
      </c>
      <c r="D4891" t="s">
        <v>5978</v>
      </c>
    </row>
    <row r="4892" spans="1:4" x14ac:dyDescent="0.2">
      <c r="A4892">
        <v>21</v>
      </c>
      <c r="B4892">
        <v>999.8</v>
      </c>
      <c r="C4892">
        <v>1000</v>
      </c>
      <c r="D4892" t="s">
        <v>5978</v>
      </c>
    </row>
    <row r="4893" spans="1:4" x14ac:dyDescent="0.2">
      <c r="A4893">
        <v>22</v>
      </c>
      <c r="B4893">
        <v>1000</v>
      </c>
      <c r="C4893">
        <v>1000</v>
      </c>
      <c r="D4893" t="s">
        <v>5978</v>
      </c>
    </row>
    <row r="4894" spans="1:4" x14ac:dyDescent="0.2">
      <c r="A4894">
        <v>23</v>
      </c>
      <c r="B4894">
        <v>1000</v>
      </c>
      <c r="C4894">
        <v>1000</v>
      </c>
      <c r="D4894" t="s">
        <v>5978</v>
      </c>
    </row>
    <row r="4895" spans="1:4" x14ac:dyDescent="0.2">
      <c r="A4895">
        <v>24</v>
      </c>
      <c r="B4895">
        <v>1000.2</v>
      </c>
      <c r="C4895">
        <v>1000</v>
      </c>
      <c r="D4895" t="s">
        <v>5978</v>
      </c>
    </row>
    <row r="4896" spans="1:4" x14ac:dyDescent="0.2">
      <c r="A4896">
        <v>25</v>
      </c>
      <c r="B4896">
        <v>-99.9</v>
      </c>
      <c r="C4896">
        <v>-100</v>
      </c>
      <c r="D4896" t="s">
        <v>5978</v>
      </c>
    </row>
    <row r="4897" spans="1:4" x14ac:dyDescent="0.2">
      <c r="A4897">
        <v>26</v>
      </c>
      <c r="B4897">
        <v>-100.2</v>
      </c>
      <c r="C4897">
        <v>-100</v>
      </c>
      <c r="D4897" t="s">
        <v>5978</v>
      </c>
    </row>
    <row r="4898" spans="1:4" x14ac:dyDescent="0.2">
      <c r="A4898">
        <v>27</v>
      </c>
      <c r="B4898">
        <v>-100.4</v>
      </c>
      <c r="C4898">
        <v>-100</v>
      </c>
      <c r="D4898" t="s">
        <v>5978</v>
      </c>
    </row>
    <row r="4899" spans="1:4" x14ac:dyDescent="0.2">
      <c r="A4899">
        <v>28</v>
      </c>
      <c r="B4899">
        <v>-100.1</v>
      </c>
      <c r="C4899">
        <v>-100</v>
      </c>
      <c r="D4899" t="s">
        <v>5978</v>
      </c>
    </row>
    <row r="4900" spans="1:4" x14ac:dyDescent="0.2">
      <c r="A4900">
        <v>29</v>
      </c>
      <c r="B4900">
        <v>-99.7</v>
      </c>
      <c r="C4900">
        <v>-100</v>
      </c>
      <c r="D4900" t="s">
        <v>5978</v>
      </c>
    </row>
    <row r="4901" spans="1:4" x14ac:dyDescent="0.2">
      <c r="A4901">
        <v>30</v>
      </c>
      <c r="B4901">
        <v>-100.3</v>
      </c>
      <c r="C4901">
        <v>-100</v>
      </c>
      <c r="D4901" t="s">
        <v>5978</v>
      </c>
    </row>
    <row r="4902" spans="1:4" x14ac:dyDescent="0.2">
      <c r="A4902">
        <v>25</v>
      </c>
      <c r="B4902">
        <v>-49.9</v>
      </c>
      <c r="C4902">
        <v>-50</v>
      </c>
      <c r="D4902" t="s">
        <v>5978</v>
      </c>
    </row>
    <row r="4903" spans="1:4" x14ac:dyDescent="0.2">
      <c r="A4903">
        <v>26</v>
      </c>
      <c r="B4903">
        <v>-50.2</v>
      </c>
      <c r="C4903">
        <v>-50</v>
      </c>
      <c r="D4903" t="s">
        <v>5978</v>
      </c>
    </row>
    <row r="4904" spans="1:4" x14ac:dyDescent="0.2">
      <c r="A4904">
        <v>27</v>
      </c>
      <c r="B4904">
        <v>-50.4</v>
      </c>
      <c r="C4904">
        <v>-50</v>
      </c>
      <c r="D4904" t="s">
        <v>5978</v>
      </c>
    </row>
    <row r="4905" spans="1:4" x14ac:dyDescent="0.2">
      <c r="A4905">
        <v>28</v>
      </c>
      <c r="B4905">
        <v>-49.8</v>
      </c>
      <c r="C4905">
        <v>-50</v>
      </c>
      <c r="D4905" t="s">
        <v>5978</v>
      </c>
    </row>
    <row r="4906" spans="1:4" x14ac:dyDescent="0.2">
      <c r="A4906">
        <v>29</v>
      </c>
      <c r="B4906">
        <v>-49.7</v>
      </c>
      <c r="C4906">
        <v>-50</v>
      </c>
      <c r="D4906" t="s">
        <v>5978</v>
      </c>
    </row>
    <row r="4907" spans="1:4" x14ac:dyDescent="0.2">
      <c r="A4907">
        <v>30</v>
      </c>
      <c r="B4907">
        <v>-50.3</v>
      </c>
      <c r="C4907">
        <v>-50</v>
      </c>
      <c r="D4907" t="s">
        <v>5978</v>
      </c>
    </row>
    <row r="4908" spans="1:4" x14ac:dyDescent="0.2">
      <c r="A4908">
        <v>25</v>
      </c>
      <c r="B4908">
        <v>0.1</v>
      </c>
      <c r="C4908">
        <v>0</v>
      </c>
      <c r="D4908" t="s">
        <v>5978</v>
      </c>
    </row>
    <row r="4909" spans="1:4" x14ac:dyDescent="0.2">
      <c r="A4909">
        <v>26</v>
      </c>
      <c r="B4909">
        <v>0</v>
      </c>
      <c r="C4909">
        <v>0</v>
      </c>
      <c r="D4909" t="s">
        <v>5978</v>
      </c>
    </row>
    <row r="4910" spans="1:4" x14ac:dyDescent="0.2">
      <c r="A4910">
        <v>27</v>
      </c>
      <c r="B4910">
        <v>-0.3</v>
      </c>
      <c r="C4910">
        <v>0</v>
      </c>
      <c r="D4910" t="s">
        <v>5978</v>
      </c>
    </row>
    <row r="4911" spans="1:4" x14ac:dyDescent="0.2">
      <c r="A4911">
        <v>28</v>
      </c>
      <c r="B4911">
        <v>0.3</v>
      </c>
      <c r="C4911">
        <v>0</v>
      </c>
      <c r="D4911" t="s">
        <v>5978</v>
      </c>
    </row>
    <row r="4912" spans="1:4" x14ac:dyDescent="0.2">
      <c r="A4912">
        <v>29</v>
      </c>
      <c r="B4912">
        <v>0.2</v>
      </c>
      <c r="C4912">
        <v>0</v>
      </c>
      <c r="D4912" t="s">
        <v>5978</v>
      </c>
    </row>
    <row r="4913" spans="1:4" x14ac:dyDescent="0.2">
      <c r="A4913">
        <v>30</v>
      </c>
      <c r="B4913">
        <v>-0.3</v>
      </c>
      <c r="C4913">
        <v>0</v>
      </c>
      <c r="D4913" t="s">
        <v>5978</v>
      </c>
    </row>
    <row r="4914" spans="1:4" x14ac:dyDescent="0.2">
      <c r="A4914">
        <v>25</v>
      </c>
      <c r="B4914">
        <v>250</v>
      </c>
      <c r="C4914">
        <v>250</v>
      </c>
      <c r="D4914" t="s">
        <v>5978</v>
      </c>
    </row>
    <row r="4915" spans="1:4" x14ac:dyDescent="0.2">
      <c r="A4915">
        <v>26</v>
      </c>
      <c r="B4915">
        <v>250</v>
      </c>
      <c r="C4915">
        <v>250</v>
      </c>
      <c r="D4915" t="s">
        <v>5978</v>
      </c>
    </row>
    <row r="4916" spans="1:4" x14ac:dyDescent="0.2">
      <c r="A4916">
        <v>27</v>
      </c>
      <c r="B4916">
        <v>250</v>
      </c>
      <c r="C4916">
        <v>250</v>
      </c>
      <c r="D4916" t="s">
        <v>5978</v>
      </c>
    </row>
    <row r="4917" spans="1:4" x14ac:dyDescent="0.2">
      <c r="A4917">
        <v>28</v>
      </c>
      <c r="B4917">
        <v>250.2</v>
      </c>
      <c r="C4917">
        <v>250</v>
      </c>
      <c r="D4917" t="s">
        <v>5978</v>
      </c>
    </row>
    <row r="4918" spans="1:4" x14ac:dyDescent="0.2">
      <c r="A4918">
        <v>29</v>
      </c>
      <c r="B4918">
        <v>250.2</v>
      </c>
      <c r="C4918">
        <v>250</v>
      </c>
      <c r="D4918" t="s">
        <v>5978</v>
      </c>
    </row>
    <row r="4919" spans="1:4" x14ac:dyDescent="0.2">
      <c r="A4919">
        <v>30</v>
      </c>
      <c r="B4919">
        <v>249.8</v>
      </c>
      <c r="C4919">
        <v>250</v>
      </c>
      <c r="D4919" t="s">
        <v>5978</v>
      </c>
    </row>
    <row r="4920" spans="1:4" x14ac:dyDescent="0.2">
      <c r="A4920">
        <v>25</v>
      </c>
      <c r="B4920">
        <v>500</v>
      </c>
      <c r="C4920">
        <v>500</v>
      </c>
      <c r="D4920" t="s">
        <v>5978</v>
      </c>
    </row>
    <row r="4921" spans="1:4" x14ac:dyDescent="0.2">
      <c r="A4921">
        <v>26</v>
      </c>
      <c r="B4921">
        <v>500.1</v>
      </c>
      <c r="C4921">
        <v>500</v>
      </c>
      <c r="D4921" t="s">
        <v>5978</v>
      </c>
    </row>
    <row r="4922" spans="1:4" x14ac:dyDescent="0.2">
      <c r="A4922">
        <v>27</v>
      </c>
      <c r="B4922">
        <v>500</v>
      </c>
      <c r="C4922">
        <v>500</v>
      </c>
      <c r="D4922" t="s">
        <v>5978</v>
      </c>
    </row>
    <row r="4923" spans="1:4" x14ac:dyDescent="0.2">
      <c r="A4923">
        <v>28</v>
      </c>
      <c r="B4923">
        <v>500.3</v>
      </c>
      <c r="C4923">
        <v>500</v>
      </c>
      <c r="D4923" t="s">
        <v>5978</v>
      </c>
    </row>
    <row r="4924" spans="1:4" x14ac:dyDescent="0.2">
      <c r="A4924">
        <v>29</v>
      </c>
      <c r="B4924">
        <v>500.3</v>
      </c>
      <c r="C4924">
        <v>500</v>
      </c>
      <c r="D4924" t="s">
        <v>5978</v>
      </c>
    </row>
    <row r="4925" spans="1:4" x14ac:dyDescent="0.2">
      <c r="A4925">
        <v>30</v>
      </c>
      <c r="B4925">
        <v>499.8</v>
      </c>
      <c r="C4925">
        <v>500</v>
      </c>
      <c r="D4925" t="s">
        <v>5978</v>
      </c>
    </row>
    <row r="4926" spans="1:4" x14ac:dyDescent="0.2">
      <c r="A4926">
        <v>25</v>
      </c>
      <c r="B4926">
        <v>999.9</v>
      </c>
      <c r="C4926">
        <v>1000</v>
      </c>
      <c r="D4926" t="s">
        <v>5978</v>
      </c>
    </row>
    <row r="4927" spans="1:4" x14ac:dyDescent="0.2">
      <c r="A4927">
        <v>26</v>
      </c>
      <c r="B4927">
        <v>1000.1</v>
      </c>
      <c r="C4927">
        <v>1000</v>
      </c>
      <c r="D4927" t="s">
        <v>5978</v>
      </c>
    </row>
    <row r="4928" spans="1:4" x14ac:dyDescent="0.2">
      <c r="A4928">
        <v>27</v>
      </c>
      <c r="B4928">
        <v>1000.2</v>
      </c>
      <c r="C4928">
        <v>1000</v>
      </c>
      <c r="D4928" t="s">
        <v>5978</v>
      </c>
    </row>
    <row r="4929" spans="1:4" x14ac:dyDescent="0.2">
      <c r="A4929">
        <v>28</v>
      </c>
      <c r="B4929">
        <v>1000.3</v>
      </c>
      <c r="C4929">
        <v>1000</v>
      </c>
      <c r="D4929" t="s">
        <v>5978</v>
      </c>
    </row>
    <row r="4930" spans="1:4" x14ac:dyDescent="0.2">
      <c r="A4930">
        <v>29</v>
      </c>
      <c r="B4930">
        <v>1000.3</v>
      </c>
      <c r="C4930">
        <v>1000</v>
      </c>
      <c r="D4930" t="s">
        <v>5978</v>
      </c>
    </row>
    <row r="4931" spans="1:4" x14ac:dyDescent="0.2">
      <c r="A4931">
        <v>30</v>
      </c>
      <c r="B4931">
        <v>999.8</v>
      </c>
      <c r="C4931">
        <v>1000</v>
      </c>
      <c r="D4931" t="s">
        <v>5978</v>
      </c>
    </row>
    <row r="4932" spans="1:4" x14ac:dyDescent="0.2">
      <c r="A4932">
        <v>31</v>
      </c>
      <c r="B4932">
        <v>-100.2</v>
      </c>
      <c r="C4932">
        <v>-100</v>
      </c>
      <c r="D4932" t="s">
        <v>5978</v>
      </c>
    </row>
    <row r="4933" spans="1:4" x14ac:dyDescent="0.2">
      <c r="A4933">
        <v>32</v>
      </c>
      <c r="B4933">
        <v>-99.9</v>
      </c>
      <c r="C4933">
        <v>-100</v>
      </c>
      <c r="D4933" t="s">
        <v>5978</v>
      </c>
    </row>
    <row r="4934" spans="1:4" x14ac:dyDescent="0.2">
      <c r="A4934">
        <v>33</v>
      </c>
      <c r="B4934">
        <v>-99.9</v>
      </c>
      <c r="C4934">
        <v>-100</v>
      </c>
      <c r="D4934" t="s">
        <v>5978</v>
      </c>
    </row>
    <row r="4935" spans="1:4" x14ac:dyDescent="0.2">
      <c r="A4935">
        <v>34</v>
      </c>
      <c r="B4935">
        <v>-99.8</v>
      </c>
      <c r="C4935">
        <v>-100</v>
      </c>
      <c r="D4935" t="s">
        <v>5978</v>
      </c>
    </row>
    <row r="4936" spans="1:4" x14ac:dyDescent="0.2">
      <c r="A4936">
        <v>35</v>
      </c>
      <c r="B4936">
        <v>-100.2</v>
      </c>
      <c r="C4936">
        <v>-100</v>
      </c>
      <c r="D4936" t="s">
        <v>5978</v>
      </c>
    </row>
    <row r="4937" spans="1:4" x14ac:dyDescent="0.2">
      <c r="A4937">
        <v>36</v>
      </c>
      <c r="B4937">
        <v>-100.1</v>
      </c>
      <c r="C4937">
        <v>-100</v>
      </c>
      <c r="D4937" t="s">
        <v>5978</v>
      </c>
    </row>
    <row r="4938" spans="1:4" x14ac:dyDescent="0.2">
      <c r="A4938">
        <v>31</v>
      </c>
      <c r="B4938">
        <v>-50.2</v>
      </c>
      <c r="C4938">
        <v>-50</v>
      </c>
      <c r="D4938" t="s">
        <v>5978</v>
      </c>
    </row>
    <row r="4939" spans="1:4" x14ac:dyDescent="0.2">
      <c r="A4939">
        <v>32</v>
      </c>
      <c r="B4939">
        <v>-49.9</v>
      </c>
      <c r="C4939">
        <v>-50</v>
      </c>
      <c r="D4939" t="s">
        <v>5978</v>
      </c>
    </row>
    <row r="4940" spans="1:4" x14ac:dyDescent="0.2">
      <c r="A4940">
        <v>33</v>
      </c>
      <c r="B4940">
        <v>-49.9</v>
      </c>
      <c r="C4940">
        <v>-50</v>
      </c>
      <c r="D4940" t="s">
        <v>5978</v>
      </c>
    </row>
    <row r="4941" spans="1:4" x14ac:dyDescent="0.2">
      <c r="A4941">
        <v>34</v>
      </c>
      <c r="B4941">
        <v>-49.8</v>
      </c>
      <c r="C4941">
        <v>-50</v>
      </c>
      <c r="D4941" t="s">
        <v>5978</v>
      </c>
    </row>
    <row r="4942" spans="1:4" x14ac:dyDescent="0.2">
      <c r="A4942">
        <v>35</v>
      </c>
      <c r="B4942">
        <v>-50.2</v>
      </c>
      <c r="C4942">
        <v>-50</v>
      </c>
      <c r="D4942" t="s">
        <v>5978</v>
      </c>
    </row>
    <row r="4943" spans="1:4" x14ac:dyDescent="0.2">
      <c r="A4943">
        <v>36</v>
      </c>
      <c r="B4943">
        <v>-50</v>
      </c>
      <c r="C4943">
        <v>-50</v>
      </c>
      <c r="D4943" t="s">
        <v>5978</v>
      </c>
    </row>
    <row r="4944" spans="1:4" x14ac:dyDescent="0.2">
      <c r="A4944">
        <v>31</v>
      </c>
      <c r="B4944">
        <v>-0.3</v>
      </c>
      <c r="C4944">
        <v>0</v>
      </c>
      <c r="D4944" t="s">
        <v>5978</v>
      </c>
    </row>
    <row r="4945" spans="1:4" x14ac:dyDescent="0.2">
      <c r="A4945">
        <v>32</v>
      </c>
      <c r="B4945">
        <v>0</v>
      </c>
      <c r="C4945">
        <v>0</v>
      </c>
      <c r="D4945" t="s">
        <v>5978</v>
      </c>
    </row>
    <row r="4946" spans="1:4" x14ac:dyDescent="0.2">
      <c r="A4946">
        <v>33</v>
      </c>
      <c r="B4946">
        <v>0.3</v>
      </c>
      <c r="C4946">
        <v>0</v>
      </c>
      <c r="D4946" t="s">
        <v>5978</v>
      </c>
    </row>
    <row r="4947" spans="1:4" x14ac:dyDescent="0.2">
      <c r="A4947">
        <v>34</v>
      </c>
      <c r="B4947">
        <v>0.2</v>
      </c>
      <c r="C4947">
        <v>0</v>
      </c>
      <c r="D4947" t="s">
        <v>5978</v>
      </c>
    </row>
    <row r="4948" spans="1:4" x14ac:dyDescent="0.2">
      <c r="A4948">
        <v>35</v>
      </c>
      <c r="B4948">
        <v>-0.3</v>
      </c>
      <c r="C4948">
        <v>0</v>
      </c>
      <c r="D4948" t="s">
        <v>5978</v>
      </c>
    </row>
    <row r="4949" spans="1:4" x14ac:dyDescent="0.2">
      <c r="A4949">
        <v>36</v>
      </c>
      <c r="B4949">
        <v>-0.1</v>
      </c>
      <c r="C4949">
        <v>0</v>
      </c>
      <c r="D4949" t="s">
        <v>5978</v>
      </c>
    </row>
    <row r="4950" spans="1:4" x14ac:dyDescent="0.2">
      <c r="A4950">
        <v>31</v>
      </c>
      <c r="B4950">
        <v>249.8</v>
      </c>
      <c r="C4950">
        <v>250</v>
      </c>
      <c r="D4950" t="s">
        <v>5978</v>
      </c>
    </row>
    <row r="4951" spans="1:4" x14ac:dyDescent="0.2">
      <c r="A4951">
        <v>32</v>
      </c>
      <c r="B4951">
        <v>250</v>
      </c>
      <c r="C4951">
        <v>250</v>
      </c>
      <c r="D4951" t="s">
        <v>5978</v>
      </c>
    </row>
    <row r="4952" spans="1:4" x14ac:dyDescent="0.2">
      <c r="A4952">
        <v>33</v>
      </c>
      <c r="B4952">
        <v>250.4</v>
      </c>
      <c r="C4952">
        <v>250</v>
      </c>
      <c r="D4952" t="s">
        <v>5978</v>
      </c>
    </row>
    <row r="4953" spans="1:4" x14ac:dyDescent="0.2">
      <c r="A4953">
        <v>34</v>
      </c>
      <c r="B4953">
        <v>250.5</v>
      </c>
      <c r="C4953">
        <v>250</v>
      </c>
      <c r="D4953" t="s">
        <v>5978</v>
      </c>
    </row>
    <row r="4954" spans="1:4" x14ac:dyDescent="0.2">
      <c r="A4954">
        <v>35</v>
      </c>
      <c r="B4954">
        <v>249.7</v>
      </c>
      <c r="C4954">
        <v>250</v>
      </c>
      <c r="D4954" t="s">
        <v>5978</v>
      </c>
    </row>
    <row r="4955" spans="1:4" x14ac:dyDescent="0.2">
      <c r="A4955">
        <v>36</v>
      </c>
      <c r="B4955">
        <v>249.9</v>
      </c>
      <c r="C4955">
        <v>250</v>
      </c>
      <c r="D4955" t="s">
        <v>5978</v>
      </c>
    </row>
    <row r="4956" spans="1:4" x14ac:dyDescent="0.2">
      <c r="A4956">
        <v>31</v>
      </c>
      <c r="B4956">
        <v>499.9</v>
      </c>
      <c r="C4956">
        <v>500</v>
      </c>
      <c r="D4956" t="s">
        <v>5978</v>
      </c>
    </row>
    <row r="4957" spans="1:4" x14ac:dyDescent="0.2">
      <c r="A4957">
        <v>32</v>
      </c>
      <c r="B4957">
        <v>500.2</v>
      </c>
      <c r="C4957">
        <v>500</v>
      </c>
      <c r="D4957" t="s">
        <v>5978</v>
      </c>
    </row>
    <row r="4958" spans="1:4" x14ac:dyDescent="0.2">
      <c r="A4958">
        <v>33</v>
      </c>
      <c r="B4958">
        <v>500.5</v>
      </c>
      <c r="C4958">
        <v>500</v>
      </c>
      <c r="D4958" t="s">
        <v>5978</v>
      </c>
    </row>
    <row r="4959" spans="1:4" x14ac:dyDescent="0.2">
      <c r="A4959">
        <v>34</v>
      </c>
      <c r="B4959">
        <v>500.5</v>
      </c>
      <c r="C4959">
        <v>500</v>
      </c>
      <c r="D4959" t="s">
        <v>5978</v>
      </c>
    </row>
    <row r="4960" spans="1:4" x14ac:dyDescent="0.2">
      <c r="A4960">
        <v>35</v>
      </c>
      <c r="B4960">
        <v>500</v>
      </c>
      <c r="C4960">
        <v>500</v>
      </c>
      <c r="D4960" t="s">
        <v>5978</v>
      </c>
    </row>
    <row r="4961" spans="1:4" x14ac:dyDescent="0.2">
      <c r="A4961">
        <v>36</v>
      </c>
      <c r="B4961">
        <v>500</v>
      </c>
      <c r="C4961">
        <v>500</v>
      </c>
      <c r="D4961" t="s">
        <v>5978</v>
      </c>
    </row>
    <row r="4962" spans="1:4" x14ac:dyDescent="0.2">
      <c r="A4962">
        <v>31</v>
      </c>
      <c r="B4962">
        <v>1000</v>
      </c>
      <c r="C4962">
        <v>1000</v>
      </c>
      <c r="D4962" t="s">
        <v>5978</v>
      </c>
    </row>
    <row r="4963" spans="1:4" x14ac:dyDescent="0.2">
      <c r="A4963">
        <v>32</v>
      </c>
      <c r="B4963">
        <v>1000.2</v>
      </c>
      <c r="C4963">
        <v>1000</v>
      </c>
      <c r="D4963" t="s">
        <v>5978</v>
      </c>
    </row>
    <row r="4964" spans="1:4" x14ac:dyDescent="0.2">
      <c r="A4964">
        <v>33</v>
      </c>
      <c r="B4964">
        <v>1000.4</v>
      </c>
      <c r="C4964">
        <v>1000</v>
      </c>
      <c r="D4964" t="s">
        <v>5978</v>
      </c>
    </row>
    <row r="4965" spans="1:4" x14ac:dyDescent="0.2">
      <c r="A4965">
        <v>34</v>
      </c>
      <c r="B4965">
        <v>1000.5</v>
      </c>
      <c r="C4965">
        <v>1000</v>
      </c>
      <c r="D4965" t="s">
        <v>5978</v>
      </c>
    </row>
    <row r="4966" spans="1:4" x14ac:dyDescent="0.2">
      <c r="A4966">
        <v>35</v>
      </c>
      <c r="B4966">
        <v>1000</v>
      </c>
      <c r="C4966">
        <v>1000</v>
      </c>
      <c r="D4966" t="s">
        <v>5978</v>
      </c>
    </row>
    <row r="4967" spans="1:4" x14ac:dyDescent="0.2">
      <c r="A4967">
        <v>36</v>
      </c>
      <c r="B4967">
        <v>1000.1</v>
      </c>
      <c r="C4967">
        <v>1000</v>
      </c>
      <c r="D4967" t="s">
        <v>5978</v>
      </c>
    </row>
    <row r="4968" spans="1:4" x14ac:dyDescent="0.2">
      <c r="A4968">
        <v>37</v>
      </c>
      <c r="B4968">
        <v>-99.9</v>
      </c>
      <c r="C4968">
        <v>-100</v>
      </c>
      <c r="D4968" t="s">
        <v>5978</v>
      </c>
    </row>
    <row r="4969" spans="1:4" x14ac:dyDescent="0.2">
      <c r="A4969">
        <v>38</v>
      </c>
      <c r="B4969">
        <v>-100</v>
      </c>
      <c r="C4969">
        <v>-100</v>
      </c>
      <c r="D4969" t="s">
        <v>5978</v>
      </c>
    </row>
    <row r="4970" spans="1:4" x14ac:dyDescent="0.2">
      <c r="A4970">
        <v>39</v>
      </c>
      <c r="B4970">
        <v>-100.2</v>
      </c>
      <c r="C4970">
        <v>-100</v>
      </c>
      <c r="D4970" t="s">
        <v>5978</v>
      </c>
    </row>
    <row r="4971" spans="1:4" x14ac:dyDescent="0.2">
      <c r="A4971">
        <v>40</v>
      </c>
      <c r="B4971">
        <v>-99.7</v>
      </c>
      <c r="C4971">
        <v>-100</v>
      </c>
      <c r="D4971" t="s">
        <v>5978</v>
      </c>
    </row>
    <row r="4972" spans="1:4" x14ac:dyDescent="0.2">
      <c r="A4972">
        <v>37</v>
      </c>
      <c r="B4972">
        <v>-49.9</v>
      </c>
      <c r="C4972">
        <v>-50</v>
      </c>
      <c r="D4972" t="s">
        <v>5978</v>
      </c>
    </row>
    <row r="4973" spans="1:4" x14ac:dyDescent="0.2">
      <c r="A4973">
        <v>38</v>
      </c>
      <c r="B4973">
        <v>-50</v>
      </c>
      <c r="C4973">
        <v>-50</v>
      </c>
      <c r="D4973" t="s">
        <v>5978</v>
      </c>
    </row>
    <row r="4974" spans="1:4" x14ac:dyDescent="0.2">
      <c r="A4974">
        <v>39</v>
      </c>
      <c r="B4974">
        <v>-50.2</v>
      </c>
      <c r="C4974">
        <v>-50</v>
      </c>
      <c r="D4974" t="s">
        <v>5978</v>
      </c>
    </row>
    <row r="4975" spans="1:4" x14ac:dyDescent="0.2">
      <c r="A4975">
        <v>40</v>
      </c>
      <c r="B4975">
        <v>-49.7</v>
      </c>
      <c r="C4975">
        <v>-50</v>
      </c>
      <c r="D4975" t="s">
        <v>5978</v>
      </c>
    </row>
    <row r="4976" spans="1:4" x14ac:dyDescent="0.2">
      <c r="A4976">
        <v>37</v>
      </c>
      <c r="B4976">
        <v>0.1</v>
      </c>
      <c r="C4976">
        <v>0</v>
      </c>
      <c r="D4976" t="s">
        <v>5978</v>
      </c>
    </row>
    <row r="4977" spans="1:4" x14ac:dyDescent="0.2">
      <c r="A4977">
        <v>38</v>
      </c>
      <c r="B4977">
        <v>0</v>
      </c>
      <c r="C4977">
        <v>0</v>
      </c>
      <c r="D4977" t="s">
        <v>5978</v>
      </c>
    </row>
    <row r="4978" spans="1:4" x14ac:dyDescent="0.2">
      <c r="A4978">
        <v>39</v>
      </c>
      <c r="B4978">
        <v>-0.2</v>
      </c>
      <c r="C4978">
        <v>0</v>
      </c>
      <c r="D4978" t="s">
        <v>5978</v>
      </c>
    </row>
    <row r="4979" spans="1:4" x14ac:dyDescent="0.2">
      <c r="A4979">
        <v>40</v>
      </c>
      <c r="B4979">
        <v>0.2</v>
      </c>
      <c r="C4979">
        <v>0</v>
      </c>
      <c r="D4979" t="s">
        <v>5978</v>
      </c>
    </row>
    <row r="4980" spans="1:4" x14ac:dyDescent="0.2">
      <c r="A4980">
        <v>37</v>
      </c>
      <c r="B4980">
        <v>250.1</v>
      </c>
      <c r="C4980">
        <v>250</v>
      </c>
      <c r="D4980" t="s">
        <v>5978</v>
      </c>
    </row>
    <row r="4981" spans="1:4" x14ac:dyDescent="0.2">
      <c r="A4981">
        <v>38</v>
      </c>
      <c r="B4981">
        <v>250</v>
      </c>
      <c r="C4981">
        <v>250</v>
      </c>
      <c r="D4981" t="s">
        <v>5978</v>
      </c>
    </row>
    <row r="4982" spans="1:4" x14ac:dyDescent="0.2">
      <c r="A4982">
        <v>39</v>
      </c>
      <c r="B4982">
        <v>249.8</v>
      </c>
      <c r="C4982">
        <v>250</v>
      </c>
      <c r="D4982" t="s">
        <v>5978</v>
      </c>
    </row>
    <row r="4983" spans="1:4" x14ac:dyDescent="0.2">
      <c r="A4983">
        <v>40</v>
      </c>
      <c r="B4983">
        <v>250.2</v>
      </c>
      <c r="C4983">
        <v>250</v>
      </c>
      <c r="D4983" t="s">
        <v>5978</v>
      </c>
    </row>
    <row r="4984" spans="1:4" x14ac:dyDescent="0.2">
      <c r="A4984">
        <v>37</v>
      </c>
      <c r="B4984">
        <v>500.1</v>
      </c>
      <c r="C4984">
        <v>500</v>
      </c>
      <c r="D4984" t="s">
        <v>5978</v>
      </c>
    </row>
    <row r="4985" spans="1:4" x14ac:dyDescent="0.2">
      <c r="A4985">
        <v>38</v>
      </c>
      <c r="B4985">
        <v>500</v>
      </c>
      <c r="C4985">
        <v>500</v>
      </c>
      <c r="D4985" t="s">
        <v>5978</v>
      </c>
    </row>
    <row r="4986" spans="1:4" x14ac:dyDescent="0.2">
      <c r="A4986">
        <v>39</v>
      </c>
      <c r="B4986">
        <v>499.9</v>
      </c>
      <c r="C4986">
        <v>500</v>
      </c>
      <c r="D4986" t="s">
        <v>5978</v>
      </c>
    </row>
    <row r="4987" spans="1:4" x14ac:dyDescent="0.2">
      <c r="A4987">
        <v>40</v>
      </c>
      <c r="B4987">
        <v>500.2</v>
      </c>
      <c r="C4987">
        <v>500</v>
      </c>
      <c r="D4987" t="s">
        <v>5978</v>
      </c>
    </row>
    <row r="4988" spans="1:4" x14ac:dyDescent="0.2">
      <c r="A4988">
        <v>37</v>
      </c>
      <c r="B4988">
        <v>1000.1</v>
      </c>
      <c r="C4988">
        <v>1000</v>
      </c>
      <c r="D4988" t="s">
        <v>5978</v>
      </c>
    </row>
    <row r="4989" spans="1:4" x14ac:dyDescent="0.2">
      <c r="A4989">
        <v>38</v>
      </c>
      <c r="B4989">
        <v>1000</v>
      </c>
      <c r="C4989">
        <v>1000</v>
      </c>
      <c r="D4989" t="s">
        <v>5978</v>
      </c>
    </row>
    <row r="4990" spans="1:4" x14ac:dyDescent="0.2">
      <c r="A4990">
        <v>39</v>
      </c>
      <c r="B4990">
        <v>999.9</v>
      </c>
      <c r="C4990">
        <v>1000</v>
      </c>
      <c r="D4990" t="s">
        <v>5978</v>
      </c>
    </row>
    <row r="4991" spans="1:4" x14ac:dyDescent="0.2">
      <c r="A4991">
        <v>40</v>
      </c>
      <c r="B4991">
        <v>1000.2</v>
      </c>
      <c r="C4991">
        <v>1000</v>
      </c>
      <c r="D4991" t="s">
        <v>5978</v>
      </c>
    </row>
    <row r="4992" spans="1:4" x14ac:dyDescent="0.2">
      <c r="A4992">
        <v>1</v>
      </c>
      <c r="B4992">
        <v>-100.1</v>
      </c>
      <c r="C4992">
        <v>-100</v>
      </c>
      <c r="D4992" t="s">
        <v>5979</v>
      </c>
    </row>
    <row r="4993" spans="1:4" x14ac:dyDescent="0.2">
      <c r="A4993">
        <v>2</v>
      </c>
      <c r="B4993">
        <v>-99.8</v>
      </c>
      <c r="C4993">
        <v>-100</v>
      </c>
      <c r="D4993" t="s">
        <v>5979</v>
      </c>
    </row>
    <row r="4994" spans="1:4" x14ac:dyDescent="0.2">
      <c r="A4994">
        <v>3</v>
      </c>
      <c r="B4994">
        <v>-100.1</v>
      </c>
      <c r="C4994">
        <v>-100</v>
      </c>
      <c r="D4994" t="s">
        <v>5979</v>
      </c>
    </row>
    <row r="4995" spans="1:4" x14ac:dyDescent="0.2">
      <c r="A4995">
        <v>4</v>
      </c>
      <c r="B4995">
        <v>-99.9</v>
      </c>
      <c r="C4995">
        <v>-100</v>
      </c>
      <c r="D4995" t="s">
        <v>5979</v>
      </c>
    </row>
    <row r="4996" spans="1:4" x14ac:dyDescent="0.2">
      <c r="A4996">
        <v>5</v>
      </c>
      <c r="B4996">
        <v>-100.2</v>
      </c>
      <c r="C4996">
        <v>-100</v>
      </c>
      <c r="D4996" t="s">
        <v>5979</v>
      </c>
    </row>
    <row r="4997" spans="1:4" x14ac:dyDescent="0.2">
      <c r="A4997">
        <v>6</v>
      </c>
      <c r="B4997">
        <v>-99.9</v>
      </c>
      <c r="C4997">
        <v>-100</v>
      </c>
      <c r="D4997" t="s">
        <v>5979</v>
      </c>
    </row>
    <row r="4998" spans="1:4" x14ac:dyDescent="0.2">
      <c r="A4998">
        <v>1</v>
      </c>
      <c r="B4998">
        <v>499.8</v>
      </c>
      <c r="C4998">
        <v>500</v>
      </c>
      <c r="D4998" t="s">
        <v>5979</v>
      </c>
    </row>
    <row r="4999" spans="1:4" x14ac:dyDescent="0.2">
      <c r="A4999">
        <v>2</v>
      </c>
      <c r="B4999">
        <v>500.1</v>
      </c>
      <c r="C4999">
        <v>500</v>
      </c>
      <c r="D4999" t="s">
        <v>5979</v>
      </c>
    </row>
    <row r="5000" spans="1:4" x14ac:dyDescent="0.2">
      <c r="A5000">
        <v>3</v>
      </c>
      <c r="B5000">
        <v>500</v>
      </c>
      <c r="C5000">
        <v>500</v>
      </c>
      <c r="D5000" t="s">
        <v>5979</v>
      </c>
    </row>
    <row r="5001" spans="1:4" x14ac:dyDescent="0.2">
      <c r="A5001">
        <v>4</v>
      </c>
      <c r="B5001">
        <v>500.1</v>
      </c>
      <c r="C5001">
        <v>500</v>
      </c>
      <c r="D5001" t="s">
        <v>5979</v>
      </c>
    </row>
    <row r="5002" spans="1:4" x14ac:dyDescent="0.2">
      <c r="A5002">
        <v>5</v>
      </c>
      <c r="B5002">
        <v>499.8</v>
      </c>
      <c r="C5002">
        <v>500</v>
      </c>
      <c r="D5002" t="s">
        <v>5979</v>
      </c>
    </row>
    <row r="5003" spans="1:4" x14ac:dyDescent="0.2">
      <c r="A5003">
        <v>6</v>
      </c>
      <c r="B5003">
        <v>500.1</v>
      </c>
      <c r="C5003">
        <v>500</v>
      </c>
      <c r="D5003" t="s">
        <v>5979</v>
      </c>
    </row>
    <row r="5004" spans="1:4" x14ac:dyDescent="0.2">
      <c r="A5004">
        <v>1</v>
      </c>
      <c r="B5004">
        <v>999.8</v>
      </c>
      <c r="C5004">
        <v>1000</v>
      </c>
      <c r="D5004" t="s">
        <v>5979</v>
      </c>
    </row>
    <row r="5005" spans="1:4" x14ac:dyDescent="0.2">
      <c r="A5005">
        <v>2</v>
      </c>
      <c r="B5005">
        <v>1000.1</v>
      </c>
      <c r="C5005">
        <v>1000</v>
      </c>
      <c r="D5005" t="s">
        <v>5979</v>
      </c>
    </row>
    <row r="5006" spans="1:4" x14ac:dyDescent="0.2">
      <c r="A5006">
        <v>3</v>
      </c>
      <c r="B5006">
        <v>1000</v>
      </c>
      <c r="C5006">
        <v>1000</v>
      </c>
      <c r="D5006" t="s">
        <v>5979</v>
      </c>
    </row>
    <row r="5007" spans="1:4" x14ac:dyDescent="0.2">
      <c r="A5007">
        <v>4</v>
      </c>
      <c r="B5007">
        <v>1000.1</v>
      </c>
      <c r="C5007">
        <v>1000</v>
      </c>
      <c r="D5007" t="s">
        <v>5979</v>
      </c>
    </row>
    <row r="5008" spans="1:4" x14ac:dyDescent="0.2">
      <c r="A5008">
        <v>5</v>
      </c>
      <c r="B5008">
        <v>999.8</v>
      </c>
      <c r="C5008">
        <v>1000</v>
      </c>
      <c r="D5008" t="s">
        <v>5979</v>
      </c>
    </row>
    <row r="5009" spans="1:4" x14ac:dyDescent="0.2">
      <c r="A5009">
        <v>6</v>
      </c>
      <c r="B5009">
        <v>1000.1</v>
      </c>
      <c r="C5009">
        <v>1000</v>
      </c>
      <c r="D5009" t="s">
        <v>5979</v>
      </c>
    </row>
    <row r="5010" spans="1:4" x14ac:dyDescent="0.2">
      <c r="A5010">
        <v>1</v>
      </c>
      <c r="B5010">
        <v>1499.6</v>
      </c>
      <c r="C5010">
        <v>1500</v>
      </c>
      <c r="D5010" t="s">
        <v>5979</v>
      </c>
    </row>
    <row r="5011" spans="1:4" x14ac:dyDescent="0.2">
      <c r="A5011">
        <v>2</v>
      </c>
      <c r="B5011">
        <v>1500.1</v>
      </c>
      <c r="C5011">
        <v>1500</v>
      </c>
      <c r="D5011" t="s">
        <v>5979</v>
      </c>
    </row>
    <row r="5012" spans="1:4" x14ac:dyDescent="0.2">
      <c r="A5012">
        <v>3</v>
      </c>
      <c r="B5012">
        <v>1500</v>
      </c>
      <c r="C5012">
        <v>1500</v>
      </c>
      <c r="D5012" t="s">
        <v>5979</v>
      </c>
    </row>
    <row r="5013" spans="1:4" x14ac:dyDescent="0.2">
      <c r="A5013">
        <v>4</v>
      </c>
      <c r="B5013">
        <v>1500.1</v>
      </c>
      <c r="C5013">
        <v>1500</v>
      </c>
      <c r="D5013" t="s">
        <v>5979</v>
      </c>
    </row>
    <row r="5014" spans="1:4" x14ac:dyDescent="0.2">
      <c r="A5014">
        <v>5</v>
      </c>
      <c r="B5014">
        <v>1499.8</v>
      </c>
      <c r="C5014">
        <v>1500</v>
      </c>
      <c r="D5014" t="s">
        <v>5979</v>
      </c>
    </row>
    <row r="5015" spans="1:4" x14ac:dyDescent="0.2">
      <c r="A5015">
        <v>6</v>
      </c>
      <c r="B5015">
        <v>1500</v>
      </c>
      <c r="C5015">
        <v>1500</v>
      </c>
      <c r="D5015" t="s">
        <v>5979</v>
      </c>
    </row>
    <row r="5016" spans="1:4" x14ac:dyDescent="0.2">
      <c r="A5016">
        <v>1</v>
      </c>
      <c r="B5016">
        <v>1999.6</v>
      </c>
      <c r="C5016">
        <v>2000</v>
      </c>
      <c r="D5016" t="s">
        <v>5979</v>
      </c>
    </row>
    <row r="5017" spans="1:4" x14ac:dyDescent="0.2">
      <c r="A5017">
        <v>2</v>
      </c>
      <c r="B5017">
        <v>2000.1</v>
      </c>
      <c r="C5017">
        <v>2000</v>
      </c>
      <c r="D5017" t="s">
        <v>5979</v>
      </c>
    </row>
    <row r="5018" spans="1:4" x14ac:dyDescent="0.2">
      <c r="A5018">
        <v>3</v>
      </c>
      <c r="B5018">
        <v>1999.9</v>
      </c>
      <c r="C5018">
        <v>2000</v>
      </c>
      <c r="D5018" t="s">
        <v>5979</v>
      </c>
    </row>
    <row r="5019" spans="1:4" x14ac:dyDescent="0.2">
      <c r="A5019">
        <v>4</v>
      </c>
      <c r="B5019">
        <v>2000.1</v>
      </c>
      <c r="C5019">
        <v>2000</v>
      </c>
      <c r="D5019" t="s">
        <v>5979</v>
      </c>
    </row>
    <row r="5020" spans="1:4" x14ac:dyDescent="0.2">
      <c r="A5020">
        <v>5</v>
      </c>
      <c r="B5020">
        <v>1999.9</v>
      </c>
      <c r="C5020">
        <v>2000</v>
      </c>
      <c r="D5020" t="s">
        <v>5979</v>
      </c>
    </row>
    <row r="5021" spans="1:4" x14ac:dyDescent="0.2">
      <c r="A5021">
        <v>6</v>
      </c>
      <c r="B5021">
        <v>2000.1</v>
      </c>
      <c r="C5021">
        <v>2000</v>
      </c>
      <c r="D5021" t="s">
        <v>5979</v>
      </c>
    </row>
    <row r="5022" spans="1:4" x14ac:dyDescent="0.2">
      <c r="A5022">
        <v>1</v>
      </c>
      <c r="B5022">
        <v>2279.6</v>
      </c>
      <c r="C5022">
        <v>2280</v>
      </c>
      <c r="D5022" t="s">
        <v>5979</v>
      </c>
    </row>
    <row r="5023" spans="1:4" x14ac:dyDescent="0.2">
      <c r="A5023">
        <v>2</v>
      </c>
      <c r="B5023">
        <v>2280.1</v>
      </c>
      <c r="C5023">
        <v>2280</v>
      </c>
      <c r="D5023" t="s">
        <v>5979</v>
      </c>
    </row>
    <row r="5024" spans="1:4" x14ac:dyDescent="0.2">
      <c r="A5024">
        <v>3</v>
      </c>
      <c r="B5024">
        <v>2280.1</v>
      </c>
      <c r="C5024">
        <v>2280</v>
      </c>
      <c r="D5024" t="s">
        <v>5979</v>
      </c>
    </row>
    <row r="5025" spans="1:4" x14ac:dyDescent="0.2">
      <c r="A5025">
        <v>4</v>
      </c>
      <c r="B5025">
        <v>2280.1999999999998</v>
      </c>
      <c r="C5025">
        <v>2280</v>
      </c>
      <c r="D5025" t="s">
        <v>5979</v>
      </c>
    </row>
    <row r="5026" spans="1:4" x14ac:dyDescent="0.2">
      <c r="A5026">
        <v>5</v>
      </c>
      <c r="B5026">
        <v>2280</v>
      </c>
      <c r="C5026">
        <v>2280</v>
      </c>
      <c r="D5026" t="s">
        <v>5979</v>
      </c>
    </row>
    <row r="5027" spans="1:4" x14ac:dyDescent="0.2">
      <c r="A5027">
        <v>6</v>
      </c>
      <c r="B5027">
        <v>2280.1</v>
      </c>
      <c r="C5027">
        <v>2280</v>
      </c>
      <c r="D5027" t="s">
        <v>5979</v>
      </c>
    </row>
    <row r="5028" spans="1:4" x14ac:dyDescent="0.2">
      <c r="A5028">
        <v>7</v>
      </c>
      <c r="B5028">
        <v>-99.8</v>
      </c>
      <c r="C5028">
        <v>-100</v>
      </c>
      <c r="D5028" t="s">
        <v>5979</v>
      </c>
    </row>
    <row r="5029" spans="1:4" x14ac:dyDescent="0.2">
      <c r="A5029">
        <v>8</v>
      </c>
      <c r="B5029">
        <v>-99.7</v>
      </c>
      <c r="C5029">
        <v>-100</v>
      </c>
      <c r="D5029" t="s">
        <v>5979</v>
      </c>
    </row>
    <row r="5030" spans="1:4" x14ac:dyDescent="0.2">
      <c r="A5030">
        <v>9</v>
      </c>
      <c r="B5030">
        <v>-99.8</v>
      </c>
      <c r="C5030">
        <v>-100</v>
      </c>
      <c r="D5030" t="s">
        <v>5979</v>
      </c>
    </row>
    <row r="5031" spans="1:4" x14ac:dyDescent="0.2">
      <c r="A5031">
        <v>10</v>
      </c>
      <c r="B5031">
        <v>-99.9</v>
      </c>
      <c r="C5031">
        <v>-100</v>
      </c>
      <c r="D5031" t="s">
        <v>5979</v>
      </c>
    </row>
    <row r="5032" spans="1:4" x14ac:dyDescent="0.2">
      <c r="A5032">
        <v>11</v>
      </c>
      <c r="B5032">
        <v>-99.9</v>
      </c>
      <c r="C5032">
        <v>-100</v>
      </c>
      <c r="D5032" t="s">
        <v>5979</v>
      </c>
    </row>
    <row r="5033" spans="1:4" x14ac:dyDescent="0.2">
      <c r="A5033">
        <v>12</v>
      </c>
      <c r="B5033">
        <v>-99.9</v>
      </c>
      <c r="C5033">
        <v>-100</v>
      </c>
      <c r="D5033" t="s">
        <v>5979</v>
      </c>
    </row>
    <row r="5034" spans="1:4" x14ac:dyDescent="0.2">
      <c r="A5034">
        <v>7</v>
      </c>
      <c r="B5034">
        <v>500.2</v>
      </c>
      <c r="C5034">
        <v>500</v>
      </c>
      <c r="D5034" t="s">
        <v>5979</v>
      </c>
    </row>
    <row r="5035" spans="1:4" x14ac:dyDescent="0.2">
      <c r="A5035">
        <v>8</v>
      </c>
      <c r="B5035">
        <v>500.2</v>
      </c>
      <c r="C5035">
        <v>500</v>
      </c>
      <c r="D5035" t="s">
        <v>5979</v>
      </c>
    </row>
    <row r="5036" spans="1:4" x14ac:dyDescent="0.2">
      <c r="A5036">
        <v>9</v>
      </c>
      <c r="B5036">
        <v>500</v>
      </c>
      <c r="C5036">
        <v>500</v>
      </c>
      <c r="D5036" t="s">
        <v>5979</v>
      </c>
    </row>
    <row r="5037" spans="1:4" x14ac:dyDescent="0.2">
      <c r="A5037">
        <v>10</v>
      </c>
      <c r="B5037">
        <v>499.8</v>
      </c>
      <c r="C5037">
        <v>500</v>
      </c>
      <c r="D5037" t="s">
        <v>5979</v>
      </c>
    </row>
    <row r="5038" spans="1:4" x14ac:dyDescent="0.2">
      <c r="A5038">
        <v>11</v>
      </c>
      <c r="B5038">
        <v>500.2</v>
      </c>
      <c r="C5038">
        <v>500</v>
      </c>
      <c r="D5038" t="s">
        <v>5979</v>
      </c>
    </row>
    <row r="5039" spans="1:4" x14ac:dyDescent="0.2">
      <c r="A5039">
        <v>12</v>
      </c>
      <c r="B5039">
        <v>500.1</v>
      </c>
      <c r="C5039">
        <v>500</v>
      </c>
      <c r="D5039" t="s">
        <v>5979</v>
      </c>
    </row>
    <row r="5040" spans="1:4" x14ac:dyDescent="0.2">
      <c r="A5040">
        <v>7</v>
      </c>
      <c r="B5040">
        <v>1000.1</v>
      </c>
      <c r="C5040">
        <v>1000</v>
      </c>
      <c r="D5040" t="s">
        <v>5979</v>
      </c>
    </row>
    <row r="5041" spans="1:4" x14ac:dyDescent="0.2">
      <c r="A5041">
        <v>8</v>
      </c>
      <c r="B5041">
        <v>1000.2</v>
      </c>
      <c r="C5041">
        <v>1000</v>
      </c>
      <c r="D5041" t="s">
        <v>5979</v>
      </c>
    </row>
    <row r="5042" spans="1:4" x14ac:dyDescent="0.2">
      <c r="A5042">
        <v>9</v>
      </c>
      <c r="B5042">
        <v>1000</v>
      </c>
      <c r="C5042">
        <v>1000</v>
      </c>
      <c r="D5042" t="s">
        <v>5979</v>
      </c>
    </row>
    <row r="5043" spans="1:4" x14ac:dyDescent="0.2">
      <c r="A5043">
        <v>10</v>
      </c>
      <c r="B5043">
        <v>999.8</v>
      </c>
      <c r="C5043">
        <v>1000</v>
      </c>
      <c r="D5043" t="s">
        <v>5979</v>
      </c>
    </row>
    <row r="5044" spans="1:4" x14ac:dyDescent="0.2">
      <c r="A5044">
        <v>11</v>
      </c>
      <c r="B5044">
        <v>1000.2</v>
      </c>
      <c r="C5044">
        <v>1000</v>
      </c>
      <c r="D5044" t="s">
        <v>5979</v>
      </c>
    </row>
    <row r="5045" spans="1:4" x14ac:dyDescent="0.2">
      <c r="A5045">
        <v>12</v>
      </c>
      <c r="B5045">
        <v>1000.1</v>
      </c>
      <c r="C5045">
        <v>1000</v>
      </c>
      <c r="D5045" t="s">
        <v>5979</v>
      </c>
    </row>
    <row r="5046" spans="1:4" x14ac:dyDescent="0.2">
      <c r="A5046">
        <v>7</v>
      </c>
      <c r="B5046">
        <v>1500</v>
      </c>
      <c r="C5046">
        <v>1500</v>
      </c>
      <c r="D5046" t="s">
        <v>5979</v>
      </c>
    </row>
    <row r="5047" spans="1:4" x14ac:dyDescent="0.2">
      <c r="A5047">
        <v>8</v>
      </c>
      <c r="B5047">
        <v>1500</v>
      </c>
      <c r="C5047">
        <v>1500</v>
      </c>
      <c r="D5047" t="s">
        <v>5979</v>
      </c>
    </row>
    <row r="5048" spans="1:4" x14ac:dyDescent="0.2">
      <c r="A5048">
        <v>9</v>
      </c>
      <c r="B5048">
        <v>1500</v>
      </c>
      <c r="C5048">
        <v>1500</v>
      </c>
      <c r="D5048" t="s">
        <v>5979</v>
      </c>
    </row>
    <row r="5049" spans="1:4" x14ac:dyDescent="0.2">
      <c r="A5049">
        <v>10</v>
      </c>
      <c r="B5049">
        <v>1499.7</v>
      </c>
      <c r="C5049">
        <v>1500</v>
      </c>
      <c r="D5049" t="s">
        <v>5979</v>
      </c>
    </row>
    <row r="5050" spans="1:4" x14ac:dyDescent="0.2">
      <c r="A5050">
        <v>11</v>
      </c>
      <c r="B5050">
        <v>1500.2</v>
      </c>
      <c r="C5050">
        <v>1500</v>
      </c>
      <c r="D5050" t="s">
        <v>5979</v>
      </c>
    </row>
    <row r="5051" spans="1:4" x14ac:dyDescent="0.2">
      <c r="A5051">
        <v>12</v>
      </c>
      <c r="B5051">
        <v>1500</v>
      </c>
      <c r="C5051">
        <v>1500</v>
      </c>
      <c r="D5051" t="s">
        <v>5979</v>
      </c>
    </row>
    <row r="5052" spans="1:4" x14ac:dyDescent="0.2">
      <c r="A5052">
        <v>7</v>
      </c>
      <c r="B5052">
        <v>2000</v>
      </c>
      <c r="C5052">
        <v>2000</v>
      </c>
      <c r="D5052" t="s">
        <v>5979</v>
      </c>
    </row>
    <row r="5053" spans="1:4" x14ac:dyDescent="0.2">
      <c r="A5053">
        <v>8</v>
      </c>
      <c r="B5053">
        <v>2000</v>
      </c>
      <c r="C5053">
        <v>2000</v>
      </c>
      <c r="D5053" t="s">
        <v>5979</v>
      </c>
    </row>
    <row r="5054" spans="1:4" x14ac:dyDescent="0.2">
      <c r="A5054">
        <v>9</v>
      </c>
      <c r="B5054">
        <v>2000</v>
      </c>
      <c r="C5054">
        <v>2000</v>
      </c>
      <c r="D5054" t="s">
        <v>5979</v>
      </c>
    </row>
    <row r="5055" spans="1:4" x14ac:dyDescent="0.2">
      <c r="A5055">
        <v>10</v>
      </c>
      <c r="B5055">
        <v>1999.7</v>
      </c>
      <c r="C5055">
        <v>2000</v>
      </c>
      <c r="D5055" t="s">
        <v>5979</v>
      </c>
    </row>
    <row r="5056" spans="1:4" x14ac:dyDescent="0.2">
      <c r="A5056">
        <v>11</v>
      </c>
      <c r="B5056">
        <v>2000.1</v>
      </c>
      <c r="C5056">
        <v>2000</v>
      </c>
      <c r="D5056" t="s">
        <v>5979</v>
      </c>
    </row>
    <row r="5057" spans="1:4" x14ac:dyDescent="0.2">
      <c r="A5057">
        <v>12</v>
      </c>
      <c r="B5057">
        <v>1999.9</v>
      </c>
      <c r="C5057">
        <v>2000</v>
      </c>
      <c r="D5057" t="s">
        <v>5979</v>
      </c>
    </row>
    <row r="5058" spans="1:4" x14ac:dyDescent="0.2">
      <c r="A5058">
        <v>7</v>
      </c>
      <c r="B5058">
        <v>2280.1</v>
      </c>
      <c r="C5058">
        <v>2280</v>
      </c>
      <c r="D5058" t="s">
        <v>5979</v>
      </c>
    </row>
    <row r="5059" spans="1:4" x14ac:dyDescent="0.2">
      <c r="A5059">
        <v>8</v>
      </c>
      <c r="B5059">
        <v>2280</v>
      </c>
      <c r="C5059">
        <v>2280</v>
      </c>
      <c r="D5059" t="s">
        <v>5979</v>
      </c>
    </row>
    <row r="5060" spans="1:4" x14ac:dyDescent="0.2">
      <c r="A5060">
        <v>9</v>
      </c>
      <c r="B5060">
        <v>2280.1</v>
      </c>
      <c r="C5060">
        <v>2280</v>
      </c>
      <c r="D5060" t="s">
        <v>5979</v>
      </c>
    </row>
    <row r="5061" spans="1:4" x14ac:dyDescent="0.2">
      <c r="A5061">
        <v>10</v>
      </c>
      <c r="B5061">
        <v>2279.8000000000002</v>
      </c>
      <c r="C5061">
        <v>2280</v>
      </c>
      <c r="D5061" t="s">
        <v>5979</v>
      </c>
    </row>
    <row r="5062" spans="1:4" x14ac:dyDescent="0.2">
      <c r="A5062">
        <v>11</v>
      </c>
      <c r="B5062">
        <v>2280.1</v>
      </c>
      <c r="C5062">
        <v>2280</v>
      </c>
      <c r="D5062" t="s">
        <v>5979</v>
      </c>
    </row>
    <row r="5063" spans="1:4" x14ac:dyDescent="0.2">
      <c r="A5063">
        <v>12</v>
      </c>
      <c r="B5063">
        <v>2280.1</v>
      </c>
      <c r="C5063">
        <v>2280</v>
      </c>
      <c r="D5063" t="s">
        <v>5979</v>
      </c>
    </row>
    <row r="5064" spans="1:4" x14ac:dyDescent="0.2">
      <c r="A5064">
        <v>13</v>
      </c>
      <c r="B5064">
        <v>-100.2</v>
      </c>
      <c r="C5064">
        <v>-100</v>
      </c>
      <c r="D5064" t="s">
        <v>5979</v>
      </c>
    </row>
    <row r="5065" spans="1:4" x14ac:dyDescent="0.2">
      <c r="A5065">
        <v>14</v>
      </c>
      <c r="B5065">
        <v>-100.2</v>
      </c>
      <c r="C5065">
        <v>-100</v>
      </c>
      <c r="D5065" t="s">
        <v>5979</v>
      </c>
    </row>
    <row r="5066" spans="1:4" x14ac:dyDescent="0.2">
      <c r="A5066">
        <v>15</v>
      </c>
      <c r="B5066">
        <v>-99.8</v>
      </c>
      <c r="C5066">
        <v>-100</v>
      </c>
      <c r="D5066" t="s">
        <v>5979</v>
      </c>
    </row>
    <row r="5067" spans="1:4" x14ac:dyDescent="0.2">
      <c r="A5067">
        <v>16</v>
      </c>
      <c r="B5067">
        <v>-99.8</v>
      </c>
      <c r="C5067">
        <v>-100</v>
      </c>
      <c r="D5067" t="s">
        <v>5979</v>
      </c>
    </row>
    <row r="5068" spans="1:4" x14ac:dyDescent="0.2">
      <c r="A5068">
        <v>17</v>
      </c>
      <c r="B5068">
        <v>-99.7</v>
      </c>
      <c r="C5068">
        <v>-100</v>
      </c>
      <c r="D5068" t="s">
        <v>5979</v>
      </c>
    </row>
    <row r="5069" spans="1:4" x14ac:dyDescent="0.2">
      <c r="A5069">
        <v>18</v>
      </c>
      <c r="B5069">
        <v>-99.8</v>
      </c>
      <c r="C5069">
        <v>-100</v>
      </c>
      <c r="D5069" t="s">
        <v>5979</v>
      </c>
    </row>
    <row r="5070" spans="1:4" x14ac:dyDescent="0.2">
      <c r="A5070">
        <v>13</v>
      </c>
      <c r="B5070">
        <v>499.8</v>
      </c>
      <c r="C5070">
        <v>500</v>
      </c>
      <c r="D5070" t="s">
        <v>5979</v>
      </c>
    </row>
    <row r="5071" spans="1:4" x14ac:dyDescent="0.2">
      <c r="A5071">
        <v>14</v>
      </c>
      <c r="B5071">
        <v>499.7</v>
      </c>
      <c r="C5071">
        <v>500</v>
      </c>
      <c r="D5071" t="s">
        <v>5979</v>
      </c>
    </row>
    <row r="5072" spans="1:4" x14ac:dyDescent="0.2">
      <c r="A5072">
        <v>15</v>
      </c>
      <c r="B5072">
        <v>500.2</v>
      </c>
      <c r="C5072">
        <v>500</v>
      </c>
      <c r="D5072" t="s">
        <v>5979</v>
      </c>
    </row>
    <row r="5073" spans="1:4" x14ac:dyDescent="0.2">
      <c r="A5073">
        <v>16</v>
      </c>
      <c r="B5073">
        <v>500.2</v>
      </c>
      <c r="C5073">
        <v>500</v>
      </c>
      <c r="D5073" t="s">
        <v>5979</v>
      </c>
    </row>
    <row r="5074" spans="1:4" x14ac:dyDescent="0.2">
      <c r="A5074">
        <v>17</v>
      </c>
      <c r="B5074">
        <v>500.2</v>
      </c>
      <c r="C5074">
        <v>500</v>
      </c>
      <c r="D5074" t="s">
        <v>5979</v>
      </c>
    </row>
    <row r="5075" spans="1:4" x14ac:dyDescent="0.2">
      <c r="A5075">
        <v>18</v>
      </c>
      <c r="B5075">
        <v>500</v>
      </c>
      <c r="C5075">
        <v>500</v>
      </c>
      <c r="D5075" t="s">
        <v>5979</v>
      </c>
    </row>
    <row r="5076" spans="1:4" x14ac:dyDescent="0.2">
      <c r="A5076">
        <v>13</v>
      </c>
      <c r="B5076">
        <v>999.9</v>
      </c>
      <c r="C5076">
        <v>1000</v>
      </c>
      <c r="D5076" t="s">
        <v>5979</v>
      </c>
    </row>
    <row r="5077" spans="1:4" x14ac:dyDescent="0.2">
      <c r="A5077">
        <v>14</v>
      </c>
      <c r="B5077">
        <v>999.7</v>
      </c>
      <c r="C5077">
        <v>1000</v>
      </c>
      <c r="D5077" t="s">
        <v>5979</v>
      </c>
    </row>
    <row r="5078" spans="1:4" x14ac:dyDescent="0.2">
      <c r="A5078">
        <v>15</v>
      </c>
      <c r="B5078">
        <v>1000.2</v>
      </c>
      <c r="C5078">
        <v>1000</v>
      </c>
      <c r="D5078" t="s">
        <v>5979</v>
      </c>
    </row>
    <row r="5079" spans="1:4" x14ac:dyDescent="0.2">
      <c r="A5079">
        <v>16</v>
      </c>
      <c r="B5079">
        <v>1000.2</v>
      </c>
      <c r="C5079">
        <v>1000</v>
      </c>
      <c r="D5079" t="s">
        <v>5979</v>
      </c>
    </row>
    <row r="5080" spans="1:4" x14ac:dyDescent="0.2">
      <c r="A5080">
        <v>17</v>
      </c>
      <c r="B5080">
        <v>1000.2</v>
      </c>
      <c r="C5080">
        <v>1000</v>
      </c>
      <c r="D5080" t="s">
        <v>5979</v>
      </c>
    </row>
    <row r="5081" spans="1:4" x14ac:dyDescent="0.2">
      <c r="A5081">
        <v>18</v>
      </c>
      <c r="B5081">
        <v>1000</v>
      </c>
      <c r="C5081">
        <v>1000</v>
      </c>
      <c r="D5081" t="s">
        <v>5979</v>
      </c>
    </row>
    <row r="5082" spans="1:4" x14ac:dyDescent="0.2">
      <c r="A5082">
        <v>13</v>
      </c>
      <c r="B5082">
        <v>1499.8</v>
      </c>
      <c r="C5082">
        <v>1500</v>
      </c>
      <c r="D5082" t="s">
        <v>5979</v>
      </c>
    </row>
    <row r="5083" spans="1:4" x14ac:dyDescent="0.2">
      <c r="A5083">
        <v>14</v>
      </c>
      <c r="B5083">
        <v>1499.7</v>
      </c>
      <c r="C5083">
        <v>1500</v>
      </c>
      <c r="D5083" t="s">
        <v>5979</v>
      </c>
    </row>
    <row r="5084" spans="1:4" x14ac:dyDescent="0.2">
      <c r="A5084">
        <v>15</v>
      </c>
      <c r="B5084">
        <v>1500.1</v>
      </c>
      <c r="C5084">
        <v>1500</v>
      </c>
      <c r="D5084" t="s">
        <v>5979</v>
      </c>
    </row>
    <row r="5085" spans="1:4" x14ac:dyDescent="0.2">
      <c r="A5085">
        <v>16</v>
      </c>
      <c r="B5085">
        <v>1500.1</v>
      </c>
      <c r="C5085">
        <v>1500</v>
      </c>
      <c r="D5085" t="s">
        <v>5979</v>
      </c>
    </row>
    <row r="5086" spans="1:4" x14ac:dyDescent="0.2">
      <c r="A5086">
        <v>17</v>
      </c>
      <c r="B5086">
        <v>1500</v>
      </c>
      <c r="C5086">
        <v>1500</v>
      </c>
      <c r="D5086" t="s">
        <v>5979</v>
      </c>
    </row>
    <row r="5087" spans="1:4" x14ac:dyDescent="0.2">
      <c r="A5087">
        <v>18</v>
      </c>
      <c r="B5087">
        <v>1500</v>
      </c>
      <c r="C5087">
        <v>1500</v>
      </c>
      <c r="D5087" t="s">
        <v>5979</v>
      </c>
    </row>
    <row r="5088" spans="1:4" x14ac:dyDescent="0.2">
      <c r="A5088">
        <v>13</v>
      </c>
      <c r="B5088">
        <v>1999.7</v>
      </c>
      <c r="C5088">
        <v>2000</v>
      </c>
      <c r="D5088" t="s">
        <v>5979</v>
      </c>
    </row>
    <row r="5089" spans="1:4" x14ac:dyDescent="0.2">
      <c r="A5089">
        <v>14</v>
      </c>
      <c r="B5089">
        <v>1999.8</v>
      </c>
      <c r="C5089">
        <v>2000</v>
      </c>
      <c r="D5089" t="s">
        <v>5979</v>
      </c>
    </row>
    <row r="5090" spans="1:4" x14ac:dyDescent="0.2">
      <c r="A5090">
        <v>15</v>
      </c>
      <c r="B5090">
        <v>2000.1</v>
      </c>
      <c r="C5090">
        <v>2000</v>
      </c>
      <c r="D5090" t="s">
        <v>5979</v>
      </c>
    </row>
    <row r="5091" spans="1:4" x14ac:dyDescent="0.2">
      <c r="A5091">
        <v>16</v>
      </c>
      <c r="B5091">
        <v>2000.1</v>
      </c>
      <c r="C5091">
        <v>2000</v>
      </c>
      <c r="D5091" t="s">
        <v>5979</v>
      </c>
    </row>
    <row r="5092" spans="1:4" x14ac:dyDescent="0.2">
      <c r="A5092">
        <v>17</v>
      </c>
      <c r="B5092">
        <v>2000.1</v>
      </c>
      <c r="C5092">
        <v>2000</v>
      </c>
      <c r="D5092" t="s">
        <v>5979</v>
      </c>
    </row>
    <row r="5093" spans="1:4" x14ac:dyDescent="0.2">
      <c r="A5093">
        <v>18</v>
      </c>
      <c r="B5093">
        <v>2000</v>
      </c>
      <c r="C5093">
        <v>2000</v>
      </c>
      <c r="D5093" t="s">
        <v>5979</v>
      </c>
    </row>
    <row r="5094" spans="1:4" x14ac:dyDescent="0.2">
      <c r="A5094">
        <v>13</v>
      </c>
      <c r="B5094">
        <v>2280</v>
      </c>
      <c r="C5094">
        <v>2280</v>
      </c>
      <c r="D5094" t="s">
        <v>5979</v>
      </c>
    </row>
    <row r="5095" spans="1:4" x14ac:dyDescent="0.2">
      <c r="A5095">
        <v>14</v>
      </c>
      <c r="B5095">
        <v>2279.9</v>
      </c>
      <c r="C5095">
        <v>2280</v>
      </c>
      <c r="D5095" t="s">
        <v>5979</v>
      </c>
    </row>
    <row r="5096" spans="1:4" x14ac:dyDescent="0.2">
      <c r="A5096">
        <v>15</v>
      </c>
      <c r="B5096">
        <v>2280.1999999999998</v>
      </c>
      <c r="C5096">
        <v>2280</v>
      </c>
      <c r="D5096" t="s">
        <v>5979</v>
      </c>
    </row>
    <row r="5097" spans="1:4" x14ac:dyDescent="0.2">
      <c r="A5097">
        <v>16</v>
      </c>
      <c r="B5097">
        <v>2280.1</v>
      </c>
      <c r="C5097">
        <v>2280</v>
      </c>
      <c r="D5097" t="s">
        <v>5979</v>
      </c>
    </row>
    <row r="5098" spans="1:4" x14ac:dyDescent="0.2">
      <c r="A5098">
        <v>17</v>
      </c>
      <c r="B5098">
        <v>2280.1</v>
      </c>
      <c r="C5098">
        <v>2280</v>
      </c>
      <c r="D5098" t="s">
        <v>5979</v>
      </c>
    </row>
    <row r="5099" spans="1:4" x14ac:dyDescent="0.2">
      <c r="A5099">
        <v>18</v>
      </c>
      <c r="B5099">
        <v>2280.1</v>
      </c>
      <c r="C5099">
        <v>2280</v>
      </c>
      <c r="D5099" t="s">
        <v>5979</v>
      </c>
    </row>
    <row r="5100" spans="1:4" x14ac:dyDescent="0.2">
      <c r="A5100">
        <v>19</v>
      </c>
      <c r="B5100">
        <v>-99.7</v>
      </c>
      <c r="C5100">
        <v>-100</v>
      </c>
      <c r="D5100" t="s">
        <v>5979</v>
      </c>
    </row>
    <row r="5101" spans="1:4" x14ac:dyDescent="0.2">
      <c r="A5101">
        <v>20</v>
      </c>
      <c r="B5101">
        <v>-99.7</v>
      </c>
      <c r="C5101">
        <v>-100</v>
      </c>
      <c r="D5101" t="s">
        <v>5979</v>
      </c>
    </row>
    <row r="5102" spans="1:4" x14ac:dyDescent="0.2">
      <c r="A5102">
        <v>21</v>
      </c>
      <c r="B5102">
        <v>-100.2</v>
      </c>
      <c r="C5102">
        <v>-100</v>
      </c>
      <c r="D5102" t="s">
        <v>5979</v>
      </c>
    </row>
    <row r="5103" spans="1:4" x14ac:dyDescent="0.2">
      <c r="A5103">
        <v>22</v>
      </c>
      <c r="B5103">
        <v>-99.7</v>
      </c>
      <c r="C5103">
        <v>-100</v>
      </c>
      <c r="D5103" t="s">
        <v>5979</v>
      </c>
    </row>
    <row r="5104" spans="1:4" x14ac:dyDescent="0.2">
      <c r="A5104">
        <v>23</v>
      </c>
      <c r="B5104">
        <v>-99.8</v>
      </c>
      <c r="C5104">
        <v>-100</v>
      </c>
      <c r="D5104" t="s">
        <v>5979</v>
      </c>
    </row>
    <row r="5105" spans="1:4" x14ac:dyDescent="0.2">
      <c r="A5105">
        <v>24</v>
      </c>
      <c r="B5105">
        <v>-99.7</v>
      </c>
      <c r="C5105">
        <v>-100</v>
      </c>
      <c r="D5105" t="s">
        <v>5979</v>
      </c>
    </row>
    <row r="5106" spans="1:4" x14ac:dyDescent="0.2">
      <c r="A5106">
        <v>19</v>
      </c>
      <c r="B5106">
        <v>500</v>
      </c>
      <c r="C5106">
        <v>500</v>
      </c>
      <c r="D5106" t="s">
        <v>5979</v>
      </c>
    </row>
    <row r="5107" spans="1:4" x14ac:dyDescent="0.2">
      <c r="A5107">
        <v>20</v>
      </c>
      <c r="B5107">
        <v>500</v>
      </c>
      <c r="C5107">
        <v>500</v>
      </c>
      <c r="D5107" t="s">
        <v>5979</v>
      </c>
    </row>
    <row r="5108" spans="1:4" x14ac:dyDescent="0.2">
      <c r="A5108">
        <v>21</v>
      </c>
      <c r="B5108">
        <v>499.8</v>
      </c>
      <c r="C5108">
        <v>500</v>
      </c>
      <c r="D5108" t="s">
        <v>5979</v>
      </c>
    </row>
    <row r="5109" spans="1:4" x14ac:dyDescent="0.2">
      <c r="A5109">
        <v>22</v>
      </c>
      <c r="B5109">
        <v>500</v>
      </c>
      <c r="C5109">
        <v>500</v>
      </c>
      <c r="D5109" t="s">
        <v>5979</v>
      </c>
    </row>
    <row r="5110" spans="1:4" x14ac:dyDescent="0.2">
      <c r="A5110">
        <v>23</v>
      </c>
      <c r="B5110">
        <v>500.1</v>
      </c>
      <c r="C5110">
        <v>500</v>
      </c>
      <c r="D5110" t="s">
        <v>5979</v>
      </c>
    </row>
    <row r="5111" spans="1:4" x14ac:dyDescent="0.2">
      <c r="A5111">
        <v>24</v>
      </c>
      <c r="B5111">
        <v>500</v>
      </c>
      <c r="C5111">
        <v>500</v>
      </c>
      <c r="D5111" t="s">
        <v>5979</v>
      </c>
    </row>
    <row r="5112" spans="1:4" x14ac:dyDescent="0.2">
      <c r="A5112">
        <v>19</v>
      </c>
      <c r="B5112">
        <v>1000</v>
      </c>
      <c r="C5112">
        <v>1000</v>
      </c>
      <c r="D5112" t="s">
        <v>5979</v>
      </c>
    </row>
    <row r="5113" spans="1:4" x14ac:dyDescent="0.2">
      <c r="A5113">
        <v>20</v>
      </c>
      <c r="B5113">
        <v>999.9</v>
      </c>
      <c r="C5113">
        <v>1000</v>
      </c>
      <c r="D5113" t="s">
        <v>5979</v>
      </c>
    </row>
    <row r="5114" spans="1:4" x14ac:dyDescent="0.2">
      <c r="A5114">
        <v>21</v>
      </c>
      <c r="B5114">
        <v>999.8</v>
      </c>
      <c r="C5114">
        <v>1000</v>
      </c>
      <c r="D5114" t="s">
        <v>5979</v>
      </c>
    </row>
    <row r="5115" spans="1:4" x14ac:dyDescent="0.2">
      <c r="A5115">
        <v>22</v>
      </c>
      <c r="B5115">
        <v>1000</v>
      </c>
      <c r="C5115">
        <v>1000</v>
      </c>
      <c r="D5115" t="s">
        <v>5979</v>
      </c>
    </row>
    <row r="5116" spans="1:4" x14ac:dyDescent="0.2">
      <c r="A5116">
        <v>23</v>
      </c>
      <c r="B5116">
        <v>1000.1</v>
      </c>
      <c r="C5116">
        <v>1000</v>
      </c>
      <c r="D5116" t="s">
        <v>5979</v>
      </c>
    </row>
    <row r="5117" spans="1:4" x14ac:dyDescent="0.2">
      <c r="A5117">
        <v>24</v>
      </c>
      <c r="B5117">
        <v>999.9</v>
      </c>
      <c r="C5117">
        <v>1000</v>
      </c>
      <c r="D5117" t="s">
        <v>5979</v>
      </c>
    </row>
    <row r="5118" spans="1:4" x14ac:dyDescent="0.2">
      <c r="A5118">
        <v>19</v>
      </c>
      <c r="B5118">
        <v>1499.8</v>
      </c>
      <c r="C5118">
        <v>1500</v>
      </c>
      <c r="D5118" t="s">
        <v>5979</v>
      </c>
    </row>
    <row r="5119" spans="1:4" x14ac:dyDescent="0.2">
      <c r="A5119">
        <v>20</v>
      </c>
      <c r="B5119">
        <v>1499.8</v>
      </c>
      <c r="C5119">
        <v>1500</v>
      </c>
      <c r="D5119" t="s">
        <v>5979</v>
      </c>
    </row>
    <row r="5120" spans="1:4" x14ac:dyDescent="0.2">
      <c r="A5120">
        <v>21</v>
      </c>
      <c r="B5120">
        <v>1499.7</v>
      </c>
      <c r="C5120">
        <v>1500</v>
      </c>
      <c r="D5120" t="s">
        <v>5979</v>
      </c>
    </row>
    <row r="5121" spans="1:4" x14ac:dyDescent="0.2">
      <c r="A5121">
        <v>22</v>
      </c>
      <c r="B5121">
        <v>1500</v>
      </c>
      <c r="C5121">
        <v>1500</v>
      </c>
      <c r="D5121" t="s">
        <v>5979</v>
      </c>
    </row>
    <row r="5122" spans="1:4" x14ac:dyDescent="0.2">
      <c r="A5122">
        <v>23</v>
      </c>
      <c r="B5122">
        <v>1499.9</v>
      </c>
      <c r="C5122">
        <v>1500</v>
      </c>
      <c r="D5122" t="s">
        <v>5979</v>
      </c>
    </row>
    <row r="5123" spans="1:4" x14ac:dyDescent="0.2">
      <c r="A5123">
        <v>24</v>
      </c>
      <c r="B5123">
        <v>1499.7</v>
      </c>
      <c r="C5123">
        <v>1500</v>
      </c>
      <c r="D5123" t="s">
        <v>5979</v>
      </c>
    </row>
    <row r="5124" spans="1:4" x14ac:dyDescent="0.2">
      <c r="A5124">
        <v>19</v>
      </c>
      <c r="B5124">
        <v>1999.8</v>
      </c>
      <c r="C5124">
        <v>2000</v>
      </c>
      <c r="D5124" t="s">
        <v>5979</v>
      </c>
    </row>
    <row r="5125" spans="1:4" x14ac:dyDescent="0.2">
      <c r="A5125">
        <v>20</v>
      </c>
      <c r="B5125">
        <v>1999.8</v>
      </c>
      <c r="C5125">
        <v>2000</v>
      </c>
      <c r="D5125" t="s">
        <v>5979</v>
      </c>
    </row>
    <row r="5126" spans="1:4" x14ac:dyDescent="0.2">
      <c r="A5126">
        <v>21</v>
      </c>
      <c r="B5126">
        <v>1999.7</v>
      </c>
      <c r="C5126">
        <v>2000</v>
      </c>
      <c r="D5126" t="s">
        <v>5979</v>
      </c>
    </row>
    <row r="5127" spans="1:4" x14ac:dyDescent="0.2">
      <c r="A5127">
        <v>22</v>
      </c>
      <c r="B5127">
        <v>2000.1</v>
      </c>
      <c r="C5127">
        <v>2000</v>
      </c>
      <c r="D5127" t="s">
        <v>5979</v>
      </c>
    </row>
    <row r="5128" spans="1:4" x14ac:dyDescent="0.2">
      <c r="A5128">
        <v>23</v>
      </c>
      <c r="B5128">
        <v>2000</v>
      </c>
      <c r="C5128">
        <v>2000</v>
      </c>
      <c r="D5128" t="s">
        <v>5979</v>
      </c>
    </row>
    <row r="5129" spans="1:4" x14ac:dyDescent="0.2">
      <c r="A5129">
        <v>24</v>
      </c>
      <c r="B5129">
        <v>1999.7</v>
      </c>
      <c r="C5129">
        <v>2000</v>
      </c>
      <c r="D5129" t="s">
        <v>5979</v>
      </c>
    </row>
    <row r="5130" spans="1:4" x14ac:dyDescent="0.2">
      <c r="A5130">
        <v>19</v>
      </c>
      <c r="B5130">
        <v>2279.8000000000002</v>
      </c>
      <c r="C5130">
        <v>2280</v>
      </c>
      <c r="D5130" t="s">
        <v>5979</v>
      </c>
    </row>
    <row r="5131" spans="1:4" x14ac:dyDescent="0.2">
      <c r="A5131">
        <v>20</v>
      </c>
      <c r="B5131">
        <v>2279.8000000000002</v>
      </c>
      <c r="C5131">
        <v>2280</v>
      </c>
      <c r="D5131" t="s">
        <v>5979</v>
      </c>
    </row>
    <row r="5132" spans="1:4" x14ac:dyDescent="0.2">
      <c r="A5132">
        <v>21</v>
      </c>
      <c r="B5132">
        <v>2279.6</v>
      </c>
      <c r="C5132">
        <v>2280</v>
      </c>
      <c r="D5132" t="s">
        <v>5979</v>
      </c>
    </row>
    <row r="5133" spans="1:4" x14ac:dyDescent="0.2">
      <c r="A5133">
        <v>22</v>
      </c>
      <c r="B5133">
        <v>2280.3000000000002</v>
      </c>
      <c r="C5133">
        <v>2280</v>
      </c>
      <c r="D5133" t="s">
        <v>5979</v>
      </c>
    </row>
    <row r="5134" spans="1:4" x14ac:dyDescent="0.2">
      <c r="A5134">
        <v>23</v>
      </c>
      <c r="B5134">
        <v>2280.1</v>
      </c>
      <c r="C5134">
        <v>2280</v>
      </c>
      <c r="D5134" t="s">
        <v>5979</v>
      </c>
    </row>
    <row r="5135" spans="1:4" x14ac:dyDescent="0.2">
      <c r="A5135">
        <v>24</v>
      </c>
      <c r="B5135">
        <v>2279.6999999999998</v>
      </c>
      <c r="C5135">
        <v>2280</v>
      </c>
      <c r="D5135" t="s">
        <v>5979</v>
      </c>
    </row>
    <row r="5136" spans="1:4" x14ac:dyDescent="0.2">
      <c r="A5136">
        <v>25</v>
      </c>
      <c r="B5136">
        <v>-99.8</v>
      </c>
      <c r="C5136">
        <v>-100</v>
      </c>
      <c r="D5136" t="s">
        <v>5979</v>
      </c>
    </row>
    <row r="5137" spans="1:4" x14ac:dyDescent="0.2">
      <c r="A5137">
        <v>26</v>
      </c>
      <c r="B5137">
        <v>-99.9</v>
      </c>
      <c r="C5137">
        <v>-100</v>
      </c>
      <c r="D5137" t="s">
        <v>5979</v>
      </c>
    </row>
    <row r="5138" spans="1:4" x14ac:dyDescent="0.2">
      <c r="A5138">
        <v>27</v>
      </c>
      <c r="B5138">
        <v>-99.8</v>
      </c>
      <c r="C5138">
        <v>-100</v>
      </c>
      <c r="D5138" t="s">
        <v>5979</v>
      </c>
    </row>
    <row r="5139" spans="1:4" x14ac:dyDescent="0.2">
      <c r="A5139">
        <v>28</v>
      </c>
      <c r="B5139">
        <v>-99.9</v>
      </c>
      <c r="C5139">
        <v>-100</v>
      </c>
      <c r="D5139" t="s">
        <v>5979</v>
      </c>
    </row>
    <row r="5140" spans="1:4" x14ac:dyDescent="0.2">
      <c r="A5140">
        <v>29</v>
      </c>
      <c r="B5140">
        <v>0</v>
      </c>
      <c r="C5140">
        <v>-100</v>
      </c>
      <c r="D5140" t="s">
        <v>5979</v>
      </c>
    </row>
    <row r="5141" spans="1:4" x14ac:dyDescent="0.2">
      <c r="A5141">
        <v>30</v>
      </c>
      <c r="B5141">
        <v>0</v>
      </c>
      <c r="C5141">
        <v>-100</v>
      </c>
      <c r="D5141" t="s">
        <v>5979</v>
      </c>
    </row>
    <row r="5142" spans="1:4" x14ac:dyDescent="0.2">
      <c r="A5142">
        <v>25</v>
      </c>
      <c r="B5142">
        <v>500</v>
      </c>
      <c r="C5142">
        <v>500</v>
      </c>
      <c r="D5142" t="s">
        <v>5979</v>
      </c>
    </row>
    <row r="5143" spans="1:4" x14ac:dyDescent="0.2">
      <c r="A5143">
        <v>26</v>
      </c>
      <c r="B5143">
        <v>499.7</v>
      </c>
      <c r="C5143">
        <v>500</v>
      </c>
      <c r="D5143" t="s">
        <v>5979</v>
      </c>
    </row>
    <row r="5144" spans="1:4" x14ac:dyDescent="0.2">
      <c r="A5144">
        <v>27</v>
      </c>
      <c r="B5144">
        <v>500</v>
      </c>
      <c r="C5144">
        <v>500</v>
      </c>
      <c r="D5144" t="s">
        <v>5979</v>
      </c>
    </row>
    <row r="5145" spans="1:4" x14ac:dyDescent="0.2">
      <c r="A5145">
        <v>28</v>
      </c>
      <c r="B5145">
        <v>499.8</v>
      </c>
      <c r="C5145">
        <v>500</v>
      </c>
      <c r="D5145" t="s">
        <v>5979</v>
      </c>
    </row>
    <row r="5146" spans="1:4" x14ac:dyDescent="0.2">
      <c r="A5146">
        <v>29</v>
      </c>
      <c r="B5146">
        <v>0</v>
      </c>
      <c r="C5146">
        <v>500</v>
      </c>
      <c r="D5146" t="s">
        <v>5979</v>
      </c>
    </row>
    <row r="5147" spans="1:4" x14ac:dyDescent="0.2">
      <c r="A5147">
        <v>30</v>
      </c>
      <c r="B5147">
        <v>0</v>
      </c>
      <c r="C5147">
        <v>500</v>
      </c>
      <c r="D5147" t="s">
        <v>5979</v>
      </c>
    </row>
    <row r="5148" spans="1:4" x14ac:dyDescent="0.2">
      <c r="A5148">
        <v>25</v>
      </c>
      <c r="B5148">
        <v>1000</v>
      </c>
      <c r="C5148">
        <v>1000</v>
      </c>
      <c r="D5148" t="s">
        <v>5979</v>
      </c>
    </row>
    <row r="5149" spans="1:4" x14ac:dyDescent="0.2">
      <c r="A5149">
        <v>26</v>
      </c>
      <c r="B5149">
        <v>999.7</v>
      </c>
      <c r="C5149">
        <v>1000</v>
      </c>
      <c r="D5149" t="s">
        <v>5979</v>
      </c>
    </row>
    <row r="5150" spans="1:4" x14ac:dyDescent="0.2">
      <c r="A5150">
        <v>27</v>
      </c>
      <c r="B5150">
        <v>1000</v>
      </c>
      <c r="C5150">
        <v>1000</v>
      </c>
      <c r="D5150" t="s">
        <v>5979</v>
      </c>
    </row>
    <row r="5151" spans="1:4" x14ac:dyDescent="0.2">
      <c r="A5151">
        <v>28</v>
      </c>
      <c r="B5151">
        <v>999.7</v>
      </c>
      <c r="C5151">
        <v>1000</v>
      </c>
      <c r="D5151" t="s">
        <v>5979</v>
      </c>
    </row>
    <row r="5152" spans="1:4" x14ac:dyDescent="0.2">
      <c r="A5152">
        <v>29</v>
      </c>
      <c r="B5152">
        <v>0</v>
      </c>
      <c r="C5152">
        <v>1000</v>
      </c>
      <c r="D5152" t="s">
        <v>5979</v>
      </c>
    </row>
    <row r="5153" spans="1:4" x14ac:dyDescent="0.2">
      <c r="A5153">
        <v>30</v>
      </c>
      <c r="B5153">
        <v>0</v>
      </c>
      <c r="C5153">
        <v>1000</v>
      </c>
      <c r="D5153" t="s">
        <v>5979</v>
      </c>
    </row>
    <row r="5154" spans="1:4" x14ac:dyDescent="0.2">
      <c r="A5154">
        <v>25</v>
      </c>
      <c r="B5154">
        <v>1499.9</v>
      </c>
      <c r="C5154">
        <v>1500</v>
      </c>
      <c r="D5154" t="s">
        <v>5979</v>
      </c>
    </row>
    <row r="5155" spans="1:4" x14ac:dyDescent="0.2">
      <c r="A5155">
        <v>26</v>
      </c>
      <c r="B5155">
        <v>1499.6</v>
      </c>
      <c r="C5155">
        <v>1500</v>
      </c>
      <c r="D5155" t="s">
        <v>5979</v>
      </c>
    </row>
    <row r="5156" spans="1:4" x14ac:dyDescent="0.2">
      <c r="A5156">
        <v>27</v>
      </c>
      <c r="B5156">
        <v>1500</v>
      </c>
      <c r="C5156">
        <v>1500</v>
      </c>
      <c r="D5156" t="s">
        <v>5979</v>
      </c>
    </row>
    <row r="5157" spans="1:4" x14ac:dyDescent="0.2">
      <c r="A5157">
        <v>28</v>
      </c>
      <c r="B5157">
        <v>1499.7</v>
      </c>
      <c r="C5157">
        <v>1500</v>
      </c>
      <c r="D5157" t="s">
        <v>5979</v>
      </c>
    </row>
    <row r="5158" spans="1:4" x14ac:dyDescent="0.2">
      <c r="A5158">
        <v>29</v>
      </c>
      <c r="B5158">
        <v>0</v>
      </c>
      <c r="C5158">
        <v>1500</v>
      </c>
      <c r="D5158" t="s">
        <v>5979</v>
      </c>
    </row>
    <row r="5159" spans="1:4" x14ac:dyDescent="0.2">
      <c r="A5159">
        <v>30</v>
      </c>
      <c r="B5159">
        <v>0</v>
      </c>
      <c r="C5159">
        <v>1500</v>
      </c>
      <c r="D5159" t="s">
        <v>5979</v>
      </c>
    </row>
    <row r="5160" spans="1:4" x14ac:dyDescent="0.2">
      <c r="A5160">
        <v>25</v>
      </c>
      <c r="B5160">
        <v>2000</v>
      </c>
      <c r="C5160">
        <v>2000</v>
      </c>
      <c r="D5160" t="s">
        <v>5979</v>
      </c>
    </row>
    <row r="5161" spans="1:4" x14ac:dyDescent="0.2">
      <c r="A5161">
        <v>26</v>
      </c>
      <c r="B5161">
        <v>1999.8</v>
      </c>
      <c r="C5161">
        <v>2000</v>
      </c>
      <c r="D5161" t="s">
        <v>5979</v>
      </c>
    </row>
    <row r="5162" spans="1:4" x14ac:dyDescent="0.2">
      <c r="A5162">
        <v>27</v>
      </c>
      <c r="B5162">
        <v>2000</v>
      </c>
      <c r="C5162">
        <v>2000</v>
      </c>
      <c r="D5162" t="s">
        <v>5979</v>
      </c>
    </row>
    <row r="5163" spans="1:4" x14ac:dyDescent="0.2">
      <c r="A5163">
        <v>28</v>
      </c>
      <c r="B5163">
        <v>1999.7</v>
      </c>
      <c r="C5163">
        <v>2000</v>
      </c>
      <c r="D5163" t="s">
        <v>5979</v>
      </c>
    </row>
    <row r="5164" spans="1:4" x14ac:dyDescent="0.2">
      <c r="A5164">
        <v>29</v>
      </c>
      <c r="B5164">
        <v>0</v>
      </c>
      <c r="C5164">
        <v>2000</v>
      </c>
      <c r="D5164" t="s">
        <v>5979</v>
      </c>
    </row>
    <row r="5165" spans="1:4" x14ac:dyDescent="0.2">
      <c r="A5165">
        <v>30</v>
      </c>
      <c r="B5165">
        <v>0</v>
      </c>
      <c r="C5165">
        <v>2000</v>
      </c>
      <c r="D5165" t="s">
        <v>5979</v>
      </c>
    </row>
    <row r="5166" spans="1:4" x14ac:dyDescent="0.2">
      <c r="A5166">
        <v>25</v>
      </c>
      <c r="B5166">
        <v>2280.1</v>
      </c>
      <c r="C5166">
        <v>2280</v>
      </c>
      <c r="D5166" t="s">
        <v>5979</v>
      </c>
    </row>
    <row r="5167" spans="1:4" x14ac:dyDescent="0.2">
      <c r="A5167">
        <v>26</v>
      </c>
      <c r="B5167">
        <v>2279.9</v>
      </c>
      <c r="C5167">
        <v>2280</v>
      </c>
      <c r="D5167" t="s">
        <v>5979</v>
      </c>
    </row>
    <row r="5168" spans="1:4" x14ac:dyDescent="0.2">
      <c r="A5168">
        <v>27</v>
      </c>
      <c r="B5168">
        <v>2280.1</v>
      </c>
      <c r="C5168">
        <v>2280</v>
      </c>
      <c r="D5168" t="s">
        <v>5979</v>
      </c>
    </row>
    <row r="5169" spans="1:4" x14ac:dyDescent="0.2">
      <c r="A5169">
        <v>28</v>
      </c>
      <c r="B5169">
        <v>2279.6999999999998</v>
      </c>
      <c r="C5169">
        <v>2280</v>
      </c>
      <c r="D5169" t="s">
        <v>5979</v>
      </c>
    </row>
    <row r="5170" spans="1:4" x14ac:dyDescent="0.2">
      <c r="A5170">
        <v>29</v>
      </c>
      <c r="B5170">
        <v>0</v>
      </c>
      <c r="C5170">
        <v>2280</v>
      </c>
      <c r="D5170" t="s">
        <v>5979</v>
      </c>
    </row>
    <row r="5171" spans="1:4" x14ac:dyDescent="0.2">
      <c r="A5171">
        <v>30</v>
      </c>
      <c r="B5171">
        <v>0</v>
      </c>
      <c r="C5171">
        <v>2280</v>
      </c>
      <c r="D5171" t="s">
        <v>5979</v>
      </c>
    </row>
    <row r="5172" spans="1:4" x14ac:dyDescent="0.2">
      <c r="A5172">
        <v>31</v>
      </c>
      <c r="B5172">
        <v>0</v>
      </c>
      <c r="C5172">
        <v>-100</v>
      </c>
      <c r="D5172" t="s">
        <v>5979</v>
      </c>
    </row>
    <row r="5173" spans="1:4" x14ac:dyDescent="0.2">
      <c r="A5173">
        <v>32</v>
      </c>
      <c r="B5173">
        <v>0</v>
      </c>
      <c r="C5173">
        <v>-100</v>
      </c>
      <c r="D5173" t="s">
        <v>5979</v>
      </c>
    </row>
    <row r="5174" spans="1:4" x14ac:dyDescent="0.2">
      <c r="A5174">
        <v>33</v>
      </c>
      <c r="B5174">
        <v>0</v>
      </c>
      <c r="C5174">
        <v>-100</v>
      </c>
      <c r="D5174" t="s">
        <v>5979</v>
      </c>
    </row>
    <row r="5175" spans="1:4" x14ac:dyDescent="0.2">
      <c r="A5175">
        <v>34</v>
      </c>
      <c r="B5175">
        <v>0</v>
      </c>
      <c r="C5175">
        <v>-100</v>
      </c>
      <c r="D5175" t="s">
        <v>5979</v>
      </c>
    </row>
    <row r="5176" spans="1:4" x14ac:dyDescent="0.2">
      <c r="A5176">
        <v>35</v>
      </c>
      <c r="B5176">
        <v>0</v>
      </c>
      <c r="C5176">
        <v>-100</v>
      </c>
      <c r="D5176" t="s">
        <v>5979</v>
      </c>
    </row>
    <row r="5177" spans="1:4" x14ac:dyDescent="0.2">
      <c r="A5177">
        <v>36</v>
      </c>
      <c r="B5177">
        <v>0</v>
      </c>
      <c r="C5177">
        <v>-100</v>
      </c>
      <c r="D5177" t="s">
        <v>5979</v>
      </c>
    </row>
    <row r="5178" spans="1:4" x14ac:dyDescent="0.2">
      <c r="A5178">
        <v>31</v>
      </c>
      <c r="B5178">
        <v>0</v>
      </c>
      <c r="C5178">
        <v>500</v>
      </c>
      <c r="D5178" t="s">
        <v>5979</v>
      </c>
    </row>
    <row r="5179" spans="1:4" x14ac:dyDescent="0.2">
      <c r="A5179">
        <v>32</v>
      </c>
      <c r="B5179">
        <v>0</v>
      </c>
      <c r="C5179">
        <v>500</v>
      </c>
      <c r="D5179" t="s">
        <v>5979</v>
      </c>
    </row>
    <row r="5180" spans="1:4" x14ac:dyDescent="0.2">
      <c r="A5180">
        <v>33</v>
      </c>
      <c r="B5180">
        <v>0</v>
      </c>
      <c r="C5180">
        <v>500</v>
      </c>
      <c r="D5180" t="s">
        <v>5979</v>
      </c>
    </row>
    <row r="5181" spans="1:4" x14ac:dyDescent="0.2">
      <c r="A5181">
        <v>34</v>
      </c>
      <c r="B5181">
        <v>0</v>
      </c>
      <c r="C5181">
        <v>500</v>
      </c>
      <c r="D5181" t="s">
        <v>5979</v>
      </c>
    </row>
    <row r="5182" spans="1:4" x14ac:dyDescent="0.2">
      <c r="A5182">
        <v>35</v>
      </c>
      <c r="B5182">
        <v>0</v>
      </c>
      <c r="C5182">
        <v>500</v>
      </c>
      <c r="D5182" t="s">
        <v>5979</v>
      </c>
    </row>
    <row r="5183" spans="1:4" x14ac:dyDescent="0.2">
      <c r="A5183">
        <v>36</v>
      </c>
      <c r="B5183">
        <v>0</v>
      </c>
      <c r="C5183">
        <v>500</v>
      </c>
      <c r="D5183" t="s">
        <v>5979</v>
      </c>
    </row>
    <row r="5184" spans="1:4" x14ac:dyDescent="0.2">
      <c r="A5184">
        <v>31</v>
      </c>
      <c r="B5184">
        <v>0</v>
      </c>
      <c r="C5184">
        <v>1000</v>
      </c>
      <c r="D5184" t="s">
        <v>5979</v>
      </c>
    </row>
    <row r="5185" spans="1:4" x14ac:dyDescent="0.2">
      <c r="A5185">
        <v>32</v>
      </c>
      <c r="B5185">
        <v>0</v>
      </c>
      <c r="C5185">
        <v>1000</v>
      </c>
      <c r="D5185" t="s">
        <v>5979</v>
      </c>
    </row>
    <row r="5186" spans="1:4" x14ac:dyDescent="0.2">
      <c r="A5186">
        <v>33</v>
      </c>
      <c r="B5186">
        <v>0</v>
      </c>
      <c r="C5186">
        <v>1000</v>
      </c>
      <c r="D5186" t="s">
        <v>5979</v>
      </c>
    </row>
    <row r="5187" spans="1:4" x14ac:dyDescent="0.2">
      <c r="A5187">
        <v>34</v>
      </c>
      <c r="B5187">
        <v>0</v>
      </c>
      <c r="C5187">
        <v>1000</v>
      </c>
      <c r="D5187" t="s">
        <v>5979</v>
      </c>
    </row>
    <row r="5188" spans="1:4" x14ac:dyDescent="0.2">
      <c r="A5188">
        <v>35</v>
      </c>
      <c r="B5188">
        <v>0</v>
      </c>
      <c r="C5188">
        <v>1000</v>
      </c>
      <c r="D5188" t="s">
        <v>5979</v>
      </c>
    </row>
    <row r="5189" spans="1:4" x14ac:dyDescent="0.2">
      <c r="A5189">
        <v>36</v>
      </c>
      <c r="B5189">
        <v>0</v>
      </c>
      <c r="C5189">
        <v>1000</v>
      </c>
      <c r="D5189" t="s">
        <v>5979</v>
      </c>
    </row>
    <row r="5190" spans="1:4" x14ac:dyDescent="0.2">
      <c r="A5190">
        <v>31</v>
      </c>
      <c r="B5190">
        <v>0</v>
      </c>
      <c r="C5190">
        <v>1500</v>
      </c>
      <c r="D5190" t="s">
        <v>5979</v>
      </c>
    </row>
    <row r="5191" spans="1:4" x14ac:dyDescent="0.2">
      <c r="A5191">
        <v>32</v>
      </c>
      <c r="B5191">
        <v>0</v>
      </c>
      <c r="C5191">
        <v>1500</v>
      </c>
      <c r="D5191" t="s">
        <v>5979</v>
      </c>
    </row>
    <row r="5192" spans="1:4" x14ac:dyDescent="0.2">
      <c r="A5192">
        <v>33</v>
      </c>
      <c r="B5192">
        <v>0</v>
      </c>
      <c r="C5192">
        <v>1500</v>
      </c>
      <c r="D5192" t="s">
        <v>5979</v>
      </c>
    </row>
    <row r="5193" spans="1:4" x14ac:dyDescent="0.2">
      <c r="A5193">
        <v>34</v>
      </c>
      <c r="B5193">
        <v>0</v>
      </c>
      <c r="C5193">
        <v>1500</v>
      </c>
      <c r="D5193" t="s">
        <v>5979</v>
      </c>
    </row>
    <row r="5194" spans="1:4" x14ac:dyDescent="0.2">
      <c r="A5194">
        <v>35</v>
      </c>
      <c r="B5194">
        <v>0</v>
      </c>
      <c r="C5194">
        <v>1500</v>
      </c>
      <c r="D5194" t="s">
        <v>5979</v>
      </c>
    </row>
    <row r="5195" spans="1:4" x14ac:dyDescent="0.2">
      <c r="A5195">
        <v>36</v>
      </c>
      <c r="B5195">
        <v>0</v>
      </c>
      <c r="C5195">
        <v>1500</v>
      </c>
      <c r="D5195" t="s">
        <v>5979</v>
      </c>
    </row>
    <row r="5196" spans="1:4" x14ac:dyDescent="0.2">
      <c r="A5196">
        <v>32</v>
      </c>
      <c r="B5196">
        <v>0</v>
      </c>
      <c r="C5196">
        <v>2000</v>
      </c>
      <c r="D5196" t="s">
        <v>5979</v>
      </c>
    </row>
    <row r="5197" spans="1:4" x14ac:dyDescent="0.2">
      <c r="A5197">
        <v>33</v>
      </c>
      <c r="B5197">
        <v>0</v>
      </c>
      <c r="C5197">
        <v>2000</v>
      </c>
      <c r="D5197" t="s">
        <v>5979</v>
      </c>
    </row>
    <row r="5198" spans="1:4" x14ac:dyDescent="0.2">
      <c r="A5198">
        <v>34</v>
      </c>
      <c r="B5198">
        <v>0</v>
      </c>
      <c r="C5198">
        <v>2000</v>
      </c>
      <c r="D5198" t="s">
        <v>5979</v>
      </c>
    </row>
    <row r="5199" spans="1:4" x14ac:dyDescent="0.2">
      <c r="A5199">
        <v>35</v>
      </c>
      <c r="B5199">
        <v>0</v>
      </c>
      <c r="C5199">
        <v>2000</v>
      </c>
      <c r="D5199" t="s">
        <v>5979</v>
      </c>
    </row>
    <row r="5200" spans="1:4" x14ac:dyDescent="0.2">
      <c r="A5200">
        <v>36</v>
      </c>
      <c r="B5200">
        <v>0</v>
      </c>
      <c r="C5200">
        <v>2000</v>
      </c>
      <c r="D5200" t="s">
        <v>5979</v>
      </c>
    </row>
    <row r="5201" spans="1:4" x14ac:dyDescent="0.2">
      <c r="A5201">
        <v>31</v>
      </c>
      <c r="B5201">
        <v>0</v>
      </c>
      <c r="C5201">
        <v>2280</v>
      </c>
      <c r="D5201" t="s">
        <v>5979</v>
      </c>
    </row>
    <row r="5202" spans="1:4" x14ac:dyDescent="0.2">
      <c r="A5202">
        <v>32</v>
      </c>
      <c r="B5202">
        <v>0</v>
      </c>
      <c r="C5202">
        <v>2280</v>
      </c>
      <c r="D5202" t="s">
        <v>5979</v>
      </c>
    </row>
    <row r="5203" spans="1:4" x14ac:dyDescent="0.2">
      <c r="A5203">
        <v>33</v>
      </c>
      <c r="B5203">
        <v>0</v>
      </c>
      <c r="C5203">
        <v>2280</v>
      </c>
      <c r="D5203" t="s">
        <v>5979</v>
      </c>
    </row>
    <row r="5204" spans="1:4" x14ac:dyDescent="0.2">
      <c r="A5204">
        <v>34</v>
      </c>
      <c r="B5204">
        <v>0</v>
      </c>
      <c r="C5204">
        <v>2280</v>
      </c>
      <c r="D5204" t="s">
        <v>5979</v>
      </c>
    </row>
    <row r="5205" spans="1:4" x14ac:dyDescent="0.2">
      <c r="A5205">
        <v>35</v>
      </c>
      <c r="B5205">
        <v>0</v>
      </c>
      <c r="C5205">
        <v>2280</v>
      </c>
      <c r="D5205" t="s">
        <v>5979</v>
      </c>
    </row>
    <row r="5206" spans="1:4" x14ac:dyDescent="0.2">
      <c r="A5206">
        <v>36</v>
      </c>
      <c r="B5206">
        <v>0</v>
      </c>
      <c r="C5206">
        <v>2280</v>
      </c>
      <c r="D5206" t="s">
        <v>5979</v>
      </c>
    </row>
    <row r="5207" spans="1:4" x14ac:dyDescent="0.2">
      <c r="A5207">
        <v>37</v>
      </c>
      <c r="B5207">
        <v>0</v>
      </c>
      <c r="C5207">
        <v>-100</v>
      </c>
      <c r="D5207" t="s">
        <v>5979</v>
      </c>
    </row>
    <row r="5208" spans="1:4" x14ac:dyDescent="0.2">
      <c r="A5208">
        <v>38</v>
      </c>
      <c r="B5208">
        <v>0</v>
      </c>
      <c r="C5208">
        <v>-100</v>
      </c>
      <c r="D5208" t="s">
        <v>5979</v>
      </c>
    </row>
    <row r="5209" spans="1:4" x14ac:dyDescent="0.2">
      <c r="A5209">
        <v>39</v>
      </c>
      <c r="B5209">
        <v>0</v>
      </c>
      <c r="C5209">
        <v>-100</v>
      </c>
      <c r="D5209" t="s">
        <v>5979</v>
      </c>
    </row>
    <row r="5210" spans="1:4" x14ac:dyDescent="0.2">
      <c r="A5210">
        <v>40</v>
      </c>
      <c r="B5210">
        <v>0</v>
      </c>
      <c r="C5210">
        <v>-100</v>
      </c>
      <c r="D5210" t="s">
        <v>5979</v>
      </c>
    </row>
    <row r="5211" spans="1:4" x14ac:dyDescent="0.2">
      <c r="A5211">
        <v>37</v>
      </c>
      <c r="B5211">
        <v>0</v>
      </c>
      <c r="C5211">
        <v>500</v>
      </c>
      <c r="D5211" t="s">
        <v>5979</v>
      </c>
    </row>
    <row r="5212" spans="1:4" x14ac:dyDescent="0.2">
      <c r="A5212">
        <v>38</v>
      </c>
      <c r="B5212">
        <v>0</v>
      </c>
      <c r="C5212">
        <v>500</v>
      </c>
      <c r="D5212" t="s">
        <v>5979</v>
      </c>
    </row>
    <row r="5213" spans="1:4" x14ac:dyDescent="0.2">
      <c r="A5213">
        <v>39</v>
      </c>
      <c r="B5213">
        <v>0</v>
      </c>
      <c r="C5213">
        <v>500</v>
      </c>
      <c r="D5213" t="s">
        <v>5979</v>
      </c>
    </row>
    <row r="5214" spans="1:4" x14ac:dyDescent="0.2">
      <c r="A5214">
        <v>40</v>
      </c>
      <c r="B5214">
        <v>0</v>
      </c>
      <c r="C5214">
        <v>500</v>
      </c>
      <c r="D5214" t="s">
        <v>5979</v>
      </c>
    </row>
    <row r="5215" spans="1:4" x14ac:dyDescent="0.2">
      <c r="A5215">
        <v>37</v>
      </c>
      <c r="B5215">
        <v>0</v>
      </c>
      <c r="C5215">
        <v>1000</v>
      </c>
      <c r="D5215" t="s">
        <v>5979</v>
      </c>
    </row>
    <row r="5216" spans="1:4" x14ac:dyDescent="0.2">
      <c r="A5216">
        <v>38</v>
      </c>
      <c r="B5216">
        <v>0</v>
      </c>
      <c r="C5216">
        <v>1000</v>
      </c>
      <c r="D5216" t="s">
        <v>5979</v>
      </c>
    </row>
    <row r="5217" spans="1:4" x14ac:dyDescent="0.2">
      <c r="A5217">
        <v>39</v>
      </c>
      <c r="B5217">
        <v>0</v>
      </c>
      <c r="C5217">
        <v>1000</v>
      </c>
      <c r="D5217" t="s">
        <v>5979</v>
      </c>
    </row>
    <row r="5218" spans="1:4" x14ac:dyDescent="0.2">
      <c r="A5218">
        <v>40</v>
      </c>
      <c r="B5218">
        <v>0</v>
      </c>
      <c r="C5218">
        <v>1000</v>
      </c>
      <c r="D5218" t="s">
        <v>5979</v>
      </c>
    </row>
    <row r="5219" spans="1:4" x14ac:dyDescent="0.2">
      <c r="A5219">
        <v>37</v>
      </c>
      <c r="B5219">
        <v>0</v>
      </c>
      <c r="C5219">
        <v>1500</v>
      </c>
      <c r="D5219" t="s">
        <v>5979</v>
      </c>
    </row>
    <row r="5220" spans="1:4" x14ac:dyDescent="0.2">
      <c r="A5220">
        <v>38</v>
      </c>
      <c r="B5220">
        <v>0</v>
      </c>
      <c r="C5220">
        <v>1500</v>
      </c>
      <c r="D5220" t="s">
        <v>5979</v>
      </c>
    </row>
    <row r="5221" spans="1:4" x14ac:dyDescent="0.2">
      <c r="A5221">
        <v>39</v>
      </c>
      <c r="B5221">
        <v>0</v>
      </c>
      <c r="C5221">
        <v>1500</v>
      </c>
      <c r="D5221" t="s">
        <v>5979</v>
      </c>
    </row>
    <row r="5222" spans="1:4" x14ac:dyDescent="0.2">
      <c r="A5222">
        <v>40</v>
      </c>
      <c r="B5222">
        <v>0</v>
      </c>
      <c r="C5222">
        <v>1500</v>
      </c>
      <c r="D5222" t="s">
        <v>5979</v>
      </c>
    </row>
    <row r="5223" spans="1:4" x14ac:dyDescent="0.2">
      <c r="A5223">
        <v>37</v>
      </c>
      <c r="B5223">
        <v>0</v>
      </c>
      <c r="C5223">
        <v>2000</v>
      </c>
      <c r="D5223" t="s">
        <v>5979</v>
      </c>
    </row>
    <row r="5224" spans="1:4" x14ac:dyDescent="0.2">
      <c r="A5224">
        <v>38</v>
      </c>
      <c r="B5224">
        <v>0</v>
      </c>
      <c r="C5224">
        <v>2000</v>
      </c>
      <c r="D5224" t="s">
        <v>5979</v>
      </c>
    </row>
    <row r="5225" spans="1:4" x14ac:dyDescent="0.2">
      <c r="A5225">
        <v>39</v>
      </c>
      <c r="B5225">
        <v>0</v>
      </c>
      <c r="C5225">
        <v>2000</v>
      </c>
      <c r="D5225" t="s">
        <v>5979</v>
      </c>
    </row>
    <row r="5226" spans="1:4" x14ac:dyDescent="0.2">
      <c r="A5226">
        <v>40</v>
      </c>
      <c r="B5226">
        <v>0</v>
      </c>
      <c r="C5226">
        <v>2000</v>
      </c>
      <c r="D5226" t="s">
        <v>5979</v>
      </c>
    </row>
    <row r="5227" spans="1:4" x14ac:dyDescent="0.2">
      <c r="A5227">
        <v>37</v>
      </c>
      <c r="B5227">
        <v>0</v>
      </c>
      <c r="C5227">
        <v>2280</v>
      </c>
      <c r="D5227" t="s">
        <v>5979</v>
      </c>
    </row>
    <row r="5228" spans="1:4" x14ac:dyDescent="0.2">
      <c r="A5228">
        <v>38</v>
      </c>
      <c r="B5228">
        <v>0</v>
      </c>
      <c r="C5228">
        <v>2280</v>
      </c>
      <c r="D5228" t="s">
        <v>5979</v>
      </c>
    </row>
    <row r="5229" spans="1:4" x14ac:dyDescent="0.2">
      <c r="A5229">
        <v>39</v>
      </c>
      <c r="B5229">
        <v>0</v>
      </c>
      <c r="C5229">
        <v>2280</v>
      </c>
      <c r="D5229" t="s">
        <v>5979</v>
      </c>
    </row>
    <row r="5230" spans="1:4" x14ac:dyDescent="0.2">
      <c r="A5230">
        <v>40</v>
      </c>
      <c r="B5230">
        <v>0</v>
      </c>
      <c r="C5230">
        <v>2280</v>
      </c>
      <c r="D5230" t="s">
        <v>5979</v>
      </c>
    </row>
    <row r="5231" spans="1:4" x14ac:dyDescent="0.2">
      <c r="A5231">
        <v>1</v>
      </c>
      <c r="B5231">
        <v>-99.8</v>
      </c>
      <c r="C5231">
        <v>-100</v>
      </c>
      <c r="D5231" t="s">
        <v>5980</v>
      </c>
    </row>
    <row r="5232" spans="1:4" x14ac:dyDescent="0.2">
      <c r="A5232">
        <v>2</v>
      </c>
      <c r="B5232">
        <v>-100.1</v>
      </c>
      <c r="C5232">
        <v>-100</v>
      </c>
      <c r="D5232" t="s">
        <v>5980</v>
      </c>
    </row>
    <row r="5233" spans="1:4" x14ac:dyDescent="0.2">
      <c r="A5233">
        <v>3</v>
      </c>
      <c r="B5233">
        <v>-99.9</v>
      </c>
      <c r="C5233">
        <v>-100</v>
      </c>
      <c r="D5233" t="s">
        <v>5980</v>
      </c>
    </row>
    <row r="5234" spans="1:4" x14ac:dyDescent="0.2">
      <c r="A5234">
        <v>4</v>
      </c>
      <c r="B5234">
        <v>-99.8</v>
      </c>
      <c r="C5234">
        <v>-100</v>
      </c>
      <c r="D5234" t="s">
        <v>5980</v>
      </c>
    </row>
    <row r="5235" spans="1:4" x14ac:dyDescent="0.2">
      <c r="A5235">
        <v>5</v>
      </c>
      <c r="B5235">
        <v>-100</v>
      </c>
      <c r="C5235">
        <v>-100</v>
      </c>
      <c r="D5235" t="s">
        <v>5980</v>
      </c>
    </row>
    <row r="5236" spans="1:4" x14ac:dyDescent="0.2">
      <c r="A5236">
        <v>6</v>
      </c>
      <c r="B5236">
        <v>-99.9</v>
      </c>
      <c r="C5236">
        <v>-100</v>
      </c>
      <c r="D5236" t="s">
        <v>5980</v>
      </c>
    </row>
    <row r="5237" spans="1:4" x14ac:dyDescent="0.2">
      <c r="A5237">
        <v>1</v>
      </c>
      <c r="B5237">
        <v>-49.8</v>
      </c>
      <c r="C5237">
        <v>-50</v>
      </c>
      <c r="D5237" t="s">
        <v>5980</v>
      </c>
    </row>
    <row r="5238" spans="1:4" x14ac:dyDescent="0.2">
      <c r="A5238">
        <v>2</v>
      </c>
      <c r="B5238">
        <v>-50.1</v>
      </c>
      <c r="C5238">
        <v>-50</v>
      </c>
      <c r="D5238" t="s">
        <v>5980</v>
      </c>
    </row>
    <row r="5239" spans="1:4" x14ac:dyDescent="0.2">
      <c r="A5239">
        <v>3</v>
      </c>
      <c r="B5239">
        <v>-49.9</v>
      </c>
      <c r="C5239">
        <v>-50</v>
      </c>
      <c r="D5239" t="s">
        <v>5980</v>
      </c>
    </row>
    <row r="5240" spans="1:4" x14ac:dyDescent="0.2">
      <c r="A5240">
        <v>4</v>
      </c>
      <c r="B5240">
        <v>-49.8</v>
      </c>
      <c r="C5240">
        <v>-50</v>
      </c>
      <c r="D5240" t="s">
        <v>5980</v>
      </c>
    </row>
    <row r="5241" spans="1:4" x14ac:dyDescent="0.2">
      <c r="A5241">
        <v>5</v>
      </c>
      <c r="B5241">
        <v>-50</v>
      </c>
      <c r="C5241">
        <v>-50</v>
      </c>
      <c r="D5241" t="s">
        <v>5980</v>
      </c>
    </row>
    <row r="5242" spans="1:4" x14ac:dyDescent="0.2">
      <c r="A5242">
        <v>6</v>
      </c>
      <c r="B5242">
        <v>-49.9</v>
      </c>
      <c r="C5242">
        <v>-50</v>
      </c>
      <c r="D5242" t="s">
        <v>5980</v>
      </c>
    </row>
    <row r="5243" spans="1:4" x14ac:dyDescent="0.2">
      <c r="A5243">
        <v>1</v>
      </c>
      <c r="B5243">
        <v>0.3</v>
      </c>
      <c r="C5243">
        <v>0</v>
      </c>
      <c r="D5243" t="s">
        <v>5980</v>
      </c>
    </row>
    <row r="5244" spans="1:4" x14ac:dyDescent="0.2">
      <c r="A5244">
        <v>2</v>
      </c>
      <c r="B5244">
        <v>-0.1</v>
      </c>
      <c r="C5244">
        <v>0</v>
      </c>
      <c r="D5244" t="s">
        <v>5980</v>
      </c>
    </row>
    <row r="5245" spans="1:4" x14ac:dyDescent="0.2">
      <c r="A5245">
        <v>3</v>
      </c>
      <c r="B5245">
        <v>0.1</v>
      </c>
      <c r="C5245">
        <v>0</v>
      </c>
      <c r="D5245" t="s">
        <v>5980</v>
      </c>
    </row>
    <row r="5246" spans="1:4" x14ac:dyDescent="0.2">
      <c r="A5246">
        <v>4</v>
      </c>
      <c r="B5246">
        <v>0.3</v>
      </c>
      <c r="C5246">
        <v>0</v>
      </c>
      <c r="D5246" t="s">
        <v>5980</v>
      </c>
    </row>
    <row r="5247" spans="1:4" x14ac:dyDescent="0.2">
      <c r="A5247">
        <v>5</v>
      </c>
      <c r="B5247">
        <v>0.1</v>
      </c>
      <c r="C5247">
        <v>0</v>
      </c>
      <c r="D5247" t="s">
        <v>5980</v>
      </c>
    </row>
    <row r="5248" spans="1:4" x14ac:dyDescent="0.2">
      <c r="A5248">
        <v>6</v>
      </c>
      <c r="B5248">
        <v>0.1</v>
      </c>
      <c r="C5248">
        <v>0</v>
      </c>
      <c r="D5248" t="s">
        <v>5980</v>
      </c>
    </row>
    <row r="5249" spans="1:4" x14ac:dyDescent="0.2">
      <c r="A5249">
        <v>1</v>
      </c>
      <c r="B5249">
        <v>250.3</v>
      </c>
      <c r="C5249">
        <v>250</v>
      </c>
      <c r="D5249" t="s">
        <v>5980</v>
      </c>
    </row>
    <row r="5250" spans="1:4" x14ac:dyDescent="0.2">
      <c r="A5250">
        <v>2</v>
      </c>
      <c r="B5250">
        <v>250</v>
      </c>
      <c r="C5250">
        <v>250</v>
      </c>
      <c r="D5250" t="s">
        <v>5980</v>
      </c>
    </row>
    <row r="5251" spans="1:4" x14ac:dyDescent="0.2">
      <c r="A5251">
        <v>3</v>
      </c>
      <c r="B5251">
        <v>250.1</v>
      </c>
      <c r="C5251">
        <v>250</v>
      </c>
      <c r="D5251" t="s">
        <v>5980</v>
      </c>
    </row>
    <row r="5252" spans="1:4" x14ac:dyDescent="0.2">
      <c r="A5252">
        <v>4</v>
      </c>
      <c r="B5252">
        <v>250.3</v>
      </c>
      <c r="C5252">
        <v>250</v>
      </c>
      <c r="D5252" t="s">
        <v>5980</v>
      </c>
    </row>
    <row r="5253" spans="1:4" x14ac:dyDescent="0.2">
      <c r="A5253">
        <v>5</v>
      </c>
      <c r="B5253">
        <v>250.1</v>
      </c>
      <c r="C5253">
        <v>250</v>
      </c>
      <c r="D5253" t="s">
        <v>5980</v>
      </c>
    </row>
    <row r="5254" spans="1:4" x14ac:dyDescent="0.2">
      <c r="A5254">
        <v>6</v>
      </c>
      <c r="B5254">
        <v>250.2</v>
      </c>
      <c r="C5254">
        <v>250</v>
      </c>
      <c r="D5254" t="s">
        <v>5980</v>
      </c>
    </row>
    <row r="5255" spans="1:4" x14ac:dyDescent="0.2">
      <c r="A5255">
        <v>1</v>
      </c>
      <c r="B5255">
        <v>500.3</v>
      </c>
      <c r="C5255">
        <v>500</v>
      </c>
      <c r="D5255" t="s">
        <v>5980</v>
      </c>
    </row>
    <row r="5256" spans="1:4" x14ac:dyDescent="0.2">
      <c r="A5256">
        <v>2</v>
      </c>
      <c r="B5256">
        <v>500</v>
      </c>
      <c r="C5256">
        <v>500</v>
      </c>
      <c r="D5256" t="s">
        <v>5980</v>
      </c>
    </row>
    <row r="5257" spans="1:4" x14ac:dyDescent="0.2">
      <c r="A5257">
        <v>3</v>
      </c>
      <c r="B5257">
        <v>500.2</v>
      </c>
      <c r="C5257">
        <v>500</v>
      </c>
      <c r="D5257" t="s">
        <v>5980</v>
      </c>
    </row>
    <row r="5258" spans="1:4" x14ac:dyDescent="0.2">
      <c r="A5258">
        <v>4</v>
      </c>
      <c r="B5258">
        <v>500.3</v>
      </c>
      <c r="C5258">
        <v>500</v>
      </c>
      <c r="D5258" t="s">
        <v>5980</v>
      </c>
    </row>
    <row r="5259" spans="1:4" x14ac:dyDescent="0.2">
      <c r="A5259">
        <v>5</v>
      </c>
      <c r="B5259">
        <v>500.1</v>
      </c>
      <c r="C5259">
        <v>500</v>
      </c>
      <c r="D5259" t="s">
        <v>5980</v>
      </c>
    </row>
    <row r="5260" spans="1:4" x14ac:dyDescent="0.2">
      <c r="A5260">
        <v>6</v>
      </c>
      <c r="B5260">
        <v>500.2</v>
      </c>
      <c r="C5260">
        <v>500</v>
      </c>
      <c r="D5260" t="s">
        <v>5980</v>
      </c>
    </row>
    <row r="5261" spans="1:4" x14ac:dyDescent="0.2">
      <c r="A5261">
        <v>1</v>
      </c>
      <c r="B5261">
        <v>1000.3</v>
      </c>
      <c r="C5261">
        <v>1000</v>
      </c>
      <c r="D5261" t="s">
        <v>5980</v>
      </c>
    </row>
    <row r="5262" spans="1:4" x14ac:dyDescent="0.2">
      <c r="A5262">
        <v>2</v>
      </c>
      <c r="B5262">
        <v>1000.1</v>
      </c>
      <c r="C5262">
        <v>1000</v>
      </c>
      <c r="D5262" t="s">
        <v>5980</v>
      </c>
    </row>
    <row r="5263" spans="1:4" x14ac:dyDescent="0.2">
      <c r="A5263">
        <v>3</v>
      </c>
      <c r="B5263">
        <v>1000.3</v>
      </c>
      <c r="C5263">
        <v>1000</v>
      </c>
      <c r="D5263" t="s">
        <v>5980</v>
      </c>
    </row>
    <row r="5264" spans="1:4" x14ac:dyDescent="0.2">
      <c r="A5264">
        <v>4</v>
      </c>
      <c r="B5264">
        <v>1000.3</v>
      </c>
      <c r="C5264">
        <v>1000</v>
      </c>
      <c r="D5264" t="s">
        <v>5980</v>
      </c>
    </row>
    <row r="5265" spans="1:4" x14ac:dyDescent="0.2">
      <c r="A5265">
        <v>5</v>
      </c>
      <c r="B5265">
        <v>1000.2</v>
      </c>
      <c r="C5265">
        <v>1000</v>
      </c>
      <c r="D5265" t="s">
        <v>5980</v>
      </c>
    </row>
    <row r="5266" spans="1:4" x14ac:dyDescent="0.2">
      <c r="A5266">
        <v>6</v>
      </c>
      <c r="B5266">
        <v>1000.2</v>
      </c>
      <c r="C5266">
        <v>1000</v>
      </c>
      <c r="D5266" t="s">
        <v>5980</v>
      </c>
    </row>
    <row r="5267" spans="1:4" x14ac:dyDescent="0.2">
      <c r="A5267">
        <v>7</v>
      </c>
      <c r="B5267">
        <v>-100</v>
      </c>
      <c r="C5267">
        <v>-100</v>
      </c>
      <c r="D5267" t="s">
        <v>5980</v>
      </c>
    </row>
    <row r="5268" spans="1:4" x14ac:dyDescent="0.2">
      <c r="A5268">
        <v>8</v>
      </c>
      <c r="B5268">
        <v>-100.2</v>
      </c>
      <c r="C5268">
        <v>-100</v>
      </c>
      <c r="D5268" t="s">
        <v>5980</v>
      </c>
    </row>
    <row r="5269" spans="1:4" x14ac:dyDescent="0.2">
      <c r="A5269">
        <v>9</v>
      </c>
      <c r="B5269">
        <v>-99.8</v>
      </c>
      <c r="C5269">
        <v>-100</v>
      </c>
      <c r="D5269" t="s">
        <v>5980</v>
      </c>
    </row>
    <row r="5270" spans="1:4" x14ac:dyDescent="0.2">
      <c r="A5270">
        <v>10</v>
      </c>
      <c r="B5270">
        <v>-100.1</v>
      </c>
      <c r="C5270">
        <v>-100</v>
      </c>
      <c r="D5270" t="s">
        <v>5980</v>
      </c>
    </row>
    <row r="5271" spans="1:4" x14ac:dyDescent="0.2">
      <c r="A5271">
        <v>11</v>
      </c>
      <c r="B5271">
        <v>-99.8</v>
      </c>
      <c r="C5271">
        <v>-100</v>
      </c>
      <c r="D5271" t="s">
        <v>5980</v>
      </c>
    </row>
    <row r="5272" spans="1:4" x14ac:dyDescent="0.2">
      <c r="A5272">
        <v>12</v>
      </c>
      <c r="B5272">
        <v>-100.2</v>
      </c>
      <c r="C5272">
        <v>-100</v>
      </c>
      <c r="D5272" t="s">
        <v>5980</v>
      </c>
    </row>
    <row r="5273" spans="1:4" x14ac:dyDescent="0.2">
      <c r="A5273">
        <v>7</v>
      </c>
      <c r="B5273">
        <v>-49.9</v>
      </c>
      <c r="C5273">
        <v>-50</v>
      </c>
      <c r="D5273" t="s">
        <v>5980</v>
      </c>
    </row>
    <row r="5274" spans="1:4" x14ac:dyDescent="0.2">
      <c r="A5274">
        <v>8</v>
      </c>
      <c r="B5274">
        <v>-50.2</v>
      </c>
      <c r="C5274">
        <v>-50</v>
      </c>
      <c r="D5274" t="s">
        <v>5980</v>
      </c>
    </row>
    <row r="5275" spans="1:4" x14ac:dyDescent="0.2">
      <c r="A5275">
        <v>9</v>
      </c>
      <c r="B5275">
        <v>-49.8</v>
      </c>
      <c r="C5275">
        <v>-50</v>
      </c>
      <c r="D5275" t="s">
        <v>5980</v>
      </c>
    </row>
    <row r="5276" spans="1:4" x14ac:dyDescent="0.2">
      <c r="A5276">
        <v>10</v>
      </c>
      <c r="B5276">
        <v>-50.1</v>
      </c>
      <c r="C5276">
        <v>-50</v>
      </c>
      <c r="D5276" t="s">
        <v>5980</v>
      </c>
    </row>
    <row r="5277" spans="1:4" x14ac:dyDescent="0.2">
      <c r="A5277">
        <v>11</v>
      </c>
      <c r="B5277">
        <v>-49.8</v>
      </c>
      <c r="C5277">
        <v>-50</v>
      </c>
      <c r="D5277" t="s">
        <v>5980</v>
      </c>
    </row>
    <row r="5278" spans="1:4" x14ac:dyDescent="0.2">
      <c r="A5278">
        <v>12</v>
      </c>
      <c r="B5278">
        <v>-50.2</v>
      </c>
      <c r="C5278">
        <v>-50</v>
      </c>
      <c r="D5278" t="s">
        <v>5980</v>
      </c>
    </row>
    <row r="5279" spans="1:4" x14ac:dyDescent="0.2">
      <c r="A5279">
        <v>7</v>
      </c>
      <c r="B5279">
        <v>0.1</v>
      </c>
      <c r="C5279">
        <v>0</v>
      </c>
      <c r="D5279" t="s">
        <v>5980</v>
      </c>
    </row>
    <row r="5280" spans="1:4" x14ac:dyDescent="0.2">
      <c r="A5280">
        <v>8</v>
      </c>
      <c r="B5280">
        <v>-0.1</v>
      </c>
      <c r="C5280">
        <v>0</v>
      </c>
      <c r="D5280" t="s">
        <v>5980</v>
      </c>
    </row>
    <row r="5281" spans="1:4" x14ac:dyDescent="0.2">
      <c r="A5281">
        <v>9</v>
      </c>
      <c r="B5281">
        <v>0.3</v>
      </c>
      <c r="C5281">
        <v>0</v>
      </c>
      <c r="D5281" t="s">
        <v>5980</v>
      </c>
    </row>
    <row r="5282" spans="1:4" x14ac:dyDescent="0.2">
      <c r="A5282">
        <v>10</v>
      </c>
      <c r="B5282">
        <v>0</v>
      </c>
      <c r="C5282">
        <v>0</v>
      </c>
      <c r="D5282" t="s">
        <v>5980</v>
      </c>
    </row>
    <row r="5283" spans="1:4" x14ac:dyDescent="0.2">
      <c r="A5283">
        <v>11</v>
      </c>
      <c r="B5283">
        <v>0.2</v>
      </c>
      <c r="C5283">
        <v>0</v>
      </c>
      <c r="D5283" t="s">
        <v>5980</v>
      </c>
    </row>
    <row r="5284" spans="1:4" x14ac:dyDescent="0.2">
      <c r="A5284">
        <v>12</v>
      </c>
      <c r="B5284">
        <v>-0.1</v>
      </c>
      <c r="C5284">
        <v>0</v>
      </c>
      <c r="D5284" t="s">
        <v>5980</v>
      </c>
    </row>
    <row r="5285" spans="1:4" x14ac:dyDescent="0.2">
      <c r="A5285">
        <v>7</v>
      </c>
      <c r="B5285">
        <v>250.1</v>
      </c>
      <c r="C5285">
        <v>250</v>
      </c>
      <c r="D5285" t="s">
        <v>5980</v>
      </c>
    </row>
    <row r="5286" spans="1:4" x14ac:dyDescent="0.2">
      <c r="A5286">
        <v>8</v>
      </c>
      <c r="B5286">
        <v>249.8</v>
      </c>
      <c r="C5286">
        <v>250</v>
      </c>
      <c r="D5286" t="s">
        <v>5980</v>
      </c>
    </row>
    <row r="5287" spans="1:4" x14ac:dyDescent="0.2">
      <c r="A5287">
        <v>9</v>
      </c>
      <c r="B5287">
        <v>250.3</v>
      </c>
      <c r="C5287">
        <v>250</v>
      </c>
      <c r="D5287" t="s">
        <v>5980</v>
      </c>
    </row>
    <row r="5288" spans="1:4" x14ac:dyDescent="0.2">
      <c r="A5288">
        <v>10</v>
      </c>
      <c r="B5288">
        <v>250</v>
      </c>
      <c r="C5288">
        <v>250</v>
      </c>
      <c r="D5288" t="s">
        <v>5980</v>
      </c>
    </row>
    <row r="5289" spans="1:4" x14ac:dyDescent="0.2">
      <c r="A5289">
        <v>11</v>
      </c>
      <c r="B5289">
        <v>250.3</v>
      </c>
      <c r="C5289">
        <v>250</v>
      </c>
      <c r="D5289" t="s">
        <v>5980</v>
      </c>
    </row>
    <row r="5290" spans="1:4" x14ac:dyDescent="0.2">
      <c r="A5290">
        <v>12</v>
      </c>
      <c r="B5290">
        <v>250</v>
      </c>
      <c r="C5290">
        <v>250</v>
      </c>
      <c r="D5290" t="s">
        <v>5980</v>
      </c>
    </row>
    <row r="5291" spans="1:4" x14ac:dyDescent="0.2">
      <c r="A5291">
        <v>7</v>
      </c>
      <c r="B5291">
        <v>500.2</v>
      </c>
      <c r="C5291">
        <v>500</v>
      </c>
      <c r="D5291" t="s">
        <v>5980</v>
      </c>
    </row>
    <row r="5292" spans="1:4" x14ac:dyDescent="0.2">
      <c r="A5292">
        <v>8</v>
      </c>
      <c r="B5292">
        <v>499.8</v>
      </c>
      <c r="C5292">
        <v>500</v>
      </c>
      <c r="D5292" t="s">
        <v>5980</v>
      </c>
    </row>
    <row r="5293" spans="1:4" x14ac:dyDescent="0.2">
      <c r="A5293">
        <v>9</v>
      </c>
      <c r="B5293">
        <v>500.3</v>
      </c>
      <c r="C5293">
        <v>500</v>
      </c>
      <c r="D5293" t="s">
        <v>5980</v>
      </c>
    </row>
    <row r="5294" spans="1:4" x14ac:dyDescent="0.2">
      <c r="A5294">
        <v>10</v>
      </c>
      <c r="B5294">
        <v>500</v>
      </c>
      <c r="C5294">
        <v>500</v>
      </c>
      <c r="D5294" t="s">
        <v>5980</v>
      </c>
    </row>
    <row r="5295" spans="1:4" x14ac:dyDescent="0.2">
      <c r="A5295">
        <v>11</v>
      </c>
      <c r="B5295">
        <v>500.3</v>
      </c>
      <c r="C5295">
        <v>500</v>
      </c>
      <c r="D5295" t="s">
        <v>5980</v>
      </c>
    </row>
    <row r="5296" spans="1:4" x14ac:dyDescent="0.2">
      <c r="A5296">
        <v>12</v>
      </c>
      <c r="B5296">
        <v>500</v>
      </c>
      <c r="C5296">
        <v>500</v>
      </c>
      <c r="D5296" t="s">
        <v>5980</v>
      </c>
    </row>
    <row r="5297" spans="1:4" x14ac:dyDescent="0.2">
      <c r="A5297">
        <v>7</v>
      </c>
      <c r="B5297">
        <v>1000.2</v>
      </c>
      <c r="C5297">
        <v>1000</v>
      </c>
      <c r="D5297" t="s">
        <v>5980</v>
      </c>
    </row>
    <row r="5298" spans="1:4" x14ac:dyDescent="0.2">
      <c r="A5298">
        <v>8</v>
      </c>
      <c r="B5298">
        <v>999.8</v>
      </c>
      <c r="C5298">
        <v>1000</v>
      </c>
      <c r="D5298" t="s">
        <v>5980</v>
      </c>
    </row>
    <row r="5299" spans="1:4" x14ac:dyDescent="0.2">
      <c r="A5299">
        <v>9</v>
      </c>
      <c r="B5299">
        <v>1000.3</v>
      </c>
      <c r="C5299">
        <v>1000</v>
      </c>
      <c r="D5299" t="s">
        <v>5980</v>
      </c>
    </row>
    <row r="5300" spans="1:4" x14ac:dyDescent="0.2">
      <c r="A5300">
        <v>10</v>
      </c>
      <c r="B5300">
        <v>1000</v>
      </c>
      <c r="C5300">
        <v>1000</v>
      </c>
      <c r="D5300" t="s">
        <v>5980</v>
      </c>
    </row>
    <row r="5301" spans="1:4" x14ac:dyDescent="0.2">
      <c r="A5301">
        <v>11</v>
      </c>
      <c r="B5301">
        <v>1000.3</v>
      </c>
      <c r="C5301">
        <v>1000</v>
      </c>
      <c r="D5301" t="s">
        <v>5980</v>
      </c>
    </row>
    <row r="5302" spans="1:4" x14ac:dyDescent="0.2">
      <c r="A5302">
        <v>12</v>
      </c>
      <c r="B5302">
        <v>1000.1</v>
      </c>
      <c r="C5302">
        <v>1000</v>
      </c>
      <c r="D5302" t="s">
        <v>5980</v>
      </c>
    </row>
    <row r="5303" spans="1:4" x14ac:dyDescent="0.2">
      <c r="A5303">
        <v>13</v>
      </c>
      <c r="B5303">
        <v>-99.8</v>
      </c>
      <c r="C5303">
        <v>-100</v>
      </c>
      <c r="D5303" t="s">
        <v>5980</v>
      </c>
    </row>
    <row r="5304" spans="1:4" x14ac:dyDescent="0.2">
      <c r="A5304">
        <v>14</v>
      </c>
      <c r="B5304">
        <v>-99.5</v>
      </c>
      <c r="C5304">
        <v>-100</v>
      </c>
      <c r="D5304" t="s">
        <v>5980</v>
      </c>
    </row>
    <row r="5305" spans="1:4" x14ac:dyDescent="0.2">
      <c r="A5305">
        <v>15</v>
      </c>
      <c r="B5305">
        <v>-100.1</v>
      </c>
      <c r="C5305">
        <v>-100</v>
      </c>
      <c r="D5305" t="s">
        <v>5980</v>
      </c>
    </row>
    <row r="5306" spans="1:4" x14ac:dyDescent="0.2">
      <c r="A5306">
        <v>16</v>
      </c>
      <c r="B5306">
        <v>-100.2</v>
      </c>
      <c r="C5306">
        <v>-100</v>
      </c>
      <c r="D5306" t="s">
        <v>5980</v>
      </c>
    </row>
    <row r="5307" spans="1:4" x14ac:dyDescent="0.2">
      <c r="A5307">
        <v>17</v>
      </c>
      <c r="B5307">
        <v>-100.2</v>
      </c>
      <c r="C5307">
        <v>-100</v>
      </c>
      <c r="D5307" t="s">
        <v>5980</v>
      </c>
    </row>
    <row r="5308" spans="1:4" x14ac:dyDescent="0.2">
      <c r="A5308">
        <v>18</v>
      </c>
      <c r="B5308">
        <v>-100.2</v>
      </c>
      <c r="C5308">
        <v>-100</v>
      </c>
      <c r="D5308" t="s">
        <v>5980</v>
      </c>
    </row>
    <row r="5309" spans="1:4" x14ac:dyDescent="0.2">
      <c r="A5309">
        <v>13</v>
      </c>
      <c r="B5309">
        <v>-49.8</v>
      </c>
      <c r="C5309">
        <v>-50</v>
      </c>
      <c r="D5309" t="s">
        <v>5980</v>
      </c>
    </row>
    <row r="5310" spans="1:4" x14ac:dyDescent="0.2">
      <c r="A5310">
        <v>14</v>
      </c>
      <c r="B5310">
        <v>-49.5</v>
      </c>
      <c r="C5310">
        <v>-50</v>
      </c>
      <c r="D5310" t="s">
        <v>5980</v>
      </c>
    </row>
    <row r="5311" spans="1:4" x14ac:dyDescent="0.2">
      <c r="A5311">
        <v>15</v>
      </c>
      <c r="B5311">
        <v>-50.1</v>
      </c>
      <c r="C5311">
        <v>-50</v>
      </c>
      <c r="D5311" t="s">
        <v>5980</v>
      </c>
    </row>
    <row r="5312" spans="1:4" x14ac:dyDescent="0.2">
      <c r="A5312">
        <v>16</v>
      </c>
      <c r="B5312">
        <v>-50.2</v>
      </c>
      <c r="C5312">
        <v>-50</v>
      </c>
      <c r="D5312" t="s">
        <v>5980</v>
      </c>
    </row>
    <row r="5313" spans="1:4" x14ac:dyDescent="0.2">
      <c r="A5313">
        <v>17</v>
      </c>
      <c r="B5313">
        <v>-50.1</v>
      </c>
      <c r="C5313">
        <v>-50</v>
      </c>
      <c r="D5313" t="s">
        <v>5980</v>
      </c>
    </row>
    <row r="5314" spans="1:4" x14ac:dyDescent="0.2">
      <c r="A5314">
        <v>18</v>
      </c>
      <c r="B5314">
        <v>-50.1</v>
      </c>
      <c r="C5314">
        <v>-50</v>
      </c>
      <c r="D5314" t="s">
        <v>5980</v>
      </c>
    </row>
    <row r="5315" spans="1:4" x14ac:dyDescent="0.2">
      <c r="A5315">
        <v>13</v>
      </c>
      <c r="B5315">
        <v>0.2</v>
      </c>
      <c r="C5315">
        <v>0</v>
      </c>
      <c r="D5315" t="s">
        <v>5980</v>
      </c>
    </row>
    <row r="5316" spans="1:4" x14ac:dyDescent="0.2">
      <c r="A5316">
        <v>14</v>
      </c>
      <c r="B5316">
        <v>0.5</v>
      </c>
      <c r="C5316">
        <v>0</v>
      </c>
      <c r="D5316" t="s">
        <v>5980</v>
      </c>
    </row>
    <row r="5317" spans="1:4" x14ac:dyDescent="0.2">
      <c r="A5317">
        <v>15</v>
      </c>
      <c r="B5317">
        <v>-0.1</v>
      </c>
      <c r="C5317">
        <v>0</v>
      </c>
      <c r="D5317" t="s">
        <v>5980</v>
      </c>
    </row>
    <row r="5318" spans="1:4" x14ac:dyDescent="0.2">
      <c r="A5318">
        <v>16</v>
      </c>
      <c r="B5318">
        <v>-0.1</v>
      </c>
      <c r="C5318">
        <v>0</v>
      </c>
      <c r="D5318" t="s">
        <v>5980</v>
      </c>
    </row>
    <row r="5319" spans="1:4" x14ac:dyDescent="0.2">
      <c r="A5319">
        <v>17</v>
      </c>
      <c r="B5319">
        <v>-0.1</v>
      </c>
      <c r="C5319">
        <v>0</v>
      </c>
      <c r="D5319" t="s">
        <v>5980</v>
      </c>
    </row>
    <row r="5320" spans="1:4" x14ac:dyDescent="0.2">
      <c r="A5320">
        <v>18</v>
      </c>
      <c r="B5320">
        <v>0</v>
      </c>
      <c r="C5320">
        <v>0</v>
      </c>
      <c r="D5320" t="s">
        <v>5980</v>
      </c>
    </row>
    <row r="5321" spans="1:4" x14ac:dyDescent="0.2">
      <c r="A5321">
        <v>13</v>
      </c>
      <c r="B5321">
        <v>250.4</v>
      </c>
      <c r="C5321">
        <v>250</v>
      </c>
      <c r="D5321" t="s">
        <v>5980</v>
      </c>
    </row>
    <row r="5322" spans="1:4" x14ac:dyDescent="0.2">
      <c r="A5322">
        <v>14</v>
      </c>
      <c r="B5322">
        <v>250.5</v>
      </c>
      <c r="C5322">
        <v>250</v>
      </c>
      <c r="D5322" t="s">
        <v>5980</v>
      </c>
    </row>
    <row r="5323" spans="1:4" x14ac:dyDescent="0.2">
      <c r="A5323">
        <v>15</v>
      </c>
      <c r="B5323">
        <v>249.9</v>
      </c>
      <c r="C5323">
        <v>250</v>
      </c>
      <c r="D5323" t="s">
        <v>5980</v>
      </c>
    </row>
    <row r="5324" spans="1:4" x14ac:dyDescent="0.2">
      <c r="A5324">
        <v>16</v>
      </c>
      <c r="B5324">
        <v>250</v>
      </c>
      <c r="C5324">
        <v>250</v>
      </c>
      <c r="D5324" t="s">
        <v>5980</v>
      </c>
    </row>
    <row r="5325" spans="1:4" x14ac:dyDescent="0.2">
      <c r="A5325">
        <v>17</v>
      </c>
      <c r="B5325">
        <v>250</v>
      </c>
      <c r="C5325">
        <v>250</v>
      </c>
      <c r="D5325" t="s">
        <v>5980</v>
      </c>
    </row>
    <row r="5326" spans="1:4" x14ac:dyDescent="0.2">
      <c r="A5326">
        <v>18</v>
      </c>
      <c r="B5326">
        <v>250</v>
      </c>
      <c r="C5326">
        <v>250</v>
      </c>
      <c r="D5326" t="s">
        <v>5980</v>
      </c>
    </row>
    <row r="5327" spans="1:4" x14ac:dyDescent="0.2">
      <c r="A5327">
        <v>13</v>
      </c>
      <c r="B5327">
        <v>500.4</v>
      </c>
      <c r="C5327">
        <v>500</v>
      </c>
      <c r="D5327" t="s">
        <v>5980</v>
      </c>
    </row>
    <row r="5328" spans="1:4" x14ac:dyDescent="0.2">
      <c r="A5328">
        <v>14</v>
      </c>
      <c r="B5328">
        <v>500.5</v>
      </c>
      <c r="C5328">
        <v>500</v>
      </c>
      <c r="D5328" t="s">
        <v>5980</v>
      </c>
    </row>
    <row r="5329" spans="1:4" x14ac:dyDescent="0.2">
      <c r="A5329">
        <v>15</v>
      </c>
      <c r="B5329">
        <v>500</v>
      </c>
      <c r="C5329">
        <v>500</v>
      </c>
      <c r="D5329" t="s">
        <v>5980</v>
      </c>
    </row>
    <row r="5330" spans="1:4" x14ac:dyDescent="0.2">
      <c r="A5330">
        <v>16</v>
      </c>
      <c r="B5330">
        <v>500.1</v>
      </c>
      <c r="C5330">
        <v>500</v>
      </c>
      <c r="D5330" t="s">
        <v>5980</v>
      </c>
    </row>
    <row r="5331" spans="1:4" x14ac:dyDescent="0.2">
      <c r="A5331">
        <v>17</v>
      </c>
      <c r="B5331">
        <v>500</v>
      </c>
      <c r="C5331">
        <v>500</v>
      </c>
      <c r="D5331" t="s">
        <v>5980</v>
      </c>
    </row>
    <row r="5332" spans="1:4" x14ac:dyDescent="0.2">
      <c r="A5332">
        <v>18</v>
      </c>
      <c r="B5332">
        <v>500.1</v>
      </c>
      <c r="C5332">
        <v>500</v>
      </c>
      <c r="D5332" t="s">
        <v>5980</v>
      </c>
    </row>
    <row r="5333" spans="1:4" x14ac:dyDescent="0.2">
      <c r="A5333">
        <v>13</v>
      </c>
      <c r="B5333">
        <v>1000.5</v>
      </c>
      <c r="C5333">
        <v>1000</v>
      </c>
      <c r="D5333" t="s">
        <v>5980</v>
      </c>
    </row>
    <row r="5334" spans="1:4" x14ac:dyDescent="0.2">
      <c r="A5334">
        <v>14</v>
      </c>
      <c r="B5334">
        <v>1000.5</v>
      </c>
      <c r="C5334">
        <v>1000</v>
      </c>
      <c r="D5334" t="s">
        <v>5980</v>
      </c>
    </row>
    <row r="5335" spans="1:4" x14ac:dyDescent="0.2">
      <c r="A5335">
        <v>15</v>
      </c>
      <c r="B5335">
        <v>1000.1</v>
      </c>
      <c r="C5335">
        <v>1000</v>
      </c>
      <c r="D5335" t="s">
        <v>5980</v>
      </c>
    </row>
    <row r="5336" spans="1:4" x14ac:dyDescent="0.2">
      <c r="A5336">
        <v>16</v>
      </c>
      <c r="B5336">
        <v>1000.2</v>
      </c>
      <c r="C5336">
        <v>1000</v>
      </c>
      <c r="D5336" t="s">
        <v>5980</v>
      </c>
    </row>
    <row r="5337" spans="1:4" x14ac:dyDescent="0.2">
      <c r="A5337">
        <v>17</v>
      </c>
      <c r="B5337">
        <v>1000</v>
      </c>
      <c r="C5337">
        <v>1000</v>
      </c>
      <c r="D5337" t="s">
        <v>5980</v>
      </c>
    </row>
    <row r="5338" spans="1:4" x14ac:dyDescent="0.2">
      <c r="A5338">
        <v>18</v>
      </c>
      <c r="B5338">
        <v>1000.1</v>
      </c>
      <c r="C5338">
        <v>1000</v>
      </c>
      <c r="D5338" t="s">
        <v>5980</v>
      </c>
    </row>
    <row r="5339" spans="1:4" x14ac:dyDescent="0.2">
      <c r="A5339">
        <v>19</v>
      </c>
      <c r="B5339">
        <v>-99.9</v>
      </c>
      <c r="C5339">
        <v>-100</v>
      </c>
      <c r="D5339" t="s">
        <v>5980</v>
      </c>
    </row>
    <row r="5340" spans="1:4" x14ac:dyDescent="0.2">
      <c r="A5340">
        <v>20</v>
      </c>
      <c r="B5340">
        <v>-100.2</v>
      </c>
      <c r="C5340">
        <v>-100</v>
      </c>
      <c r="D5340" t="s">
        <v>5980</v>
      </c>
    </row>
    <row r="5341" spans="1:4" x14ac:dyDescent="0.2">
      <c r="A5341">
        <v>21</v>
      </c>
      <c r="B5341">
        <v>-100.2</v>
      </c>
      <c r="C5341">
        <v>-100</v>
      </c>
      <c r="D5341" t="s">
        <v>5980</v>
      </c>
    </row>
    <row r="5342" spans="1:4" x14ac:dyDescent="0.2">
      <c r="A5342">
        <v>22</v>
      </c>
      <c r="B5342">
        <v>-100.3</v>
      </c>
      <c r="C5342">
        <v>-100</v>
      </c>
      <c r="D5342" t="s">
        <v>5980</v>
      </c>
    </row>
    <row r="5343" spans="1:4" x14ac:dyDescent="0.2">
      <c r="A5343">
        <v>23</v>
      </c>
      <c r="B5343">
        <v>-100.2</v>
      </c>
      <c r="C5343">
        <v>-100</v>
      </c>
      <c r="D5343" t="s">
        <v>5980</v>
      </c>
    </row>
    <row r="5344" spans="1:4" x14ac:dyDescent="0.2">
      <c r="A5344">
        <v>24</v>
      </c>
      <c r="B5344">
        <v>-100.1</v>
      </c>
      <c r="C5344">
        <v>-100</v>
      </c>
      <c r="D5344" t="s">
        <v>5980</v>
      </c>
    </row>
    <row r="5345" spans="1:4" x14ac:dyDescent="0.2">
      <c r="A5345">
        <v>19</v>
      </c>
      <c r="B5345">
        <v>-49.9</v>
      </c>
      <c r="C5345">
        <v>-50</v>
      </c>
      <c r="D5345" t="s">
        <v>5980</v>
      </c>
    </row>
    <row r="5346" spans="1:4" x14ac:dyDescent="0.2">
      <c r="A5346">
        <v>20</v>
      </c>
      <c r="B5346">
        <v>-50.1</v>
      </c>
      <c r="C5346">
        <v>-50</v>
      </c>
      <c r="D5346" t="s">
        <v>5980</v>
      </c>
    </row>
    <row r="5347" spans="1:4" x14ac:dyDescent="0.2">
      <c r="A5347">
        <v>21</v>
      </c>
      <c r="B5347">
        <v>-50.2</v>
      </c>
      <c r="C5347">
        <v>-50</v>
      </c>
      <c r="D5347" t="s">
        <v>5980</v>
      </c>
    </row>
    <row r="5348" spans="1:4" x14ac:dyDescent="0.2">
      <c r="A5348">
        <v>22</v>
      </c>
      <c r="B5348">
        <v>-50.3</v>
      </c>
      <c r="C5348">
        <v>-50</v>
      </c>
      <c r="D5348" t="s">
        <v>5980</v>
      </c>
    </row>
    <row r="5349" spans="1:4" x14ac:dyDescent="0.2">
      <c r="A5349">
        <v>23</v>
      </c>
      <c r="B5349">
        <v>-50.2</v>
      </c>
      <c r="C5349">
        <v>-50</v>
      </c>
      <c r="D5349" t="s">
        <v>5980</v>
      </c>
    </row>
    <row r="5350" spans="1:4" x14ac:dyDescent="0.2">
      <c r="A5350">
        <v>24</v>
      </c>
      <c r="B5350">
        <v>-50.1</v>
      </c>
      <c r="C5350">
        <v>-50</v>
      </c>
      <c r="D5350" t="s">
        <v>5980</v>
      </c>
    </row>
    <row r="5351" spans="1:4" x14ac:dyDescent="0.2">
      <c r="A5351">
        <v>19</v>
      </c>
      <c r="B5351">
        <v>0.1</v>
      </c>
      <c r="C5351">
        <v>0</v>
      </c>
      <c r="D5351" t="s">
        <v>5980</v>
      </c>
    </row>
    <row r="5352" spans="1:4" x14ac:dyDescent="0.2">
      <c r="A5352">
        <v>20</v>
      </c>
      <c r="B5352">
        <v>0</v>
      </c>
      <c r="C5352">
        <v>0</v>
      </c>
      <c r="D5352" t="s">
        <v>5980</v>
      </c>
    </row>
    <row r="5353" spans="1:4" x14ac:dyDescent="0.2">
      <c r="A5353">
        <v>21</v>
      </c>
      <c r="B5353">
        <v>0</v>
      </c>
      <c r="C5353">
        <v>0</v>
      </c>
      <c r="D5353" t="s">
        <v>5980</v>
      </c>
    </row>
    <row r="5354" spans="1:4" x14ac:dyDescent="0.2">
      <c r="A5354">
        <v>22</v>
      </c>
      <c r="B5354">
        <v>-0.1</v>
      </c>
      <c r="C5354">
        <v>0</v>
      </c>
      <c r="D5354" t="s">
        <v>5980</v>
      </c>
    </row>
    <row r="5355" spans="1:4" x14ac:dyDescent="0.2">
      <c r="A5355">
        <v>23</v>
      </c>
      <c r="B5355">
        <v>-0.2</v>
      </c>
      <c r="C5355">
        <v>0</v>
      </c>
      <c r="D5355" t="s">
        <v>5980</v>
      </c>
    </row>
    <row r="5356" spans="1:4" x14ac:dyDescent="0.2">
      <c r="A5356">
        <v>24</v>
      </c>
      <c r="B5356">
        <v>0.1</v>
      </c>
      <c r="C5356">
        <v>0</v>
      </c>
      <c r="D5356" t="s">
        <v>5980</v>
      </c>
    </row>
    <row r="5357" spans="1:4" x14ac:dyDescent="0.2">
      <c r="A5357">
        <v>19</v>
      </c>
      <c r="B5357">
        <v>250.1</v>
      </c>
      <c r="C5357">
        <v>250</v>
      </c>
      <c r="D5357" t="s">
        <v>5980</v>
      </c>
    </row>
    <row r="5358" spans="1:4" x14ac:dyDescent="0.2">
      <c r="A5358">
        <v>20</v>
      </c>
      <c r="B5358">
        <v>249.9</v>
      </c>
      <c r="C5358">
        <v>250</v>
      </c>
      <c r="D5358" t="s">
        <v>5980</v>
      </c>
    </row>
    <row r="5359" spans="1:4" x14ac:dyDescent="0.2">
      <c r="A5359">
        <v>21</v>
      </c>
      <c r="B5359">
        <v>249.9</v>
      </c>
      <c r="C5359">
        <v>250</v>
      </c>
      <c r="D5359" t="s">
        <v>5980</v>
      </c>
    </row>
    <row r="5360" spans="1:4" x14ac:dyDescent="0.2">
      <c r="A5360">
        <v>22</v>
      </c>
      <c r="B5360">
        <v>249.9</v>
      </c>
      <c r="C5360">
        <v>250</v>
      </c>
      <c r="D5360" t="s">
        <v>5980</v>
      </c>
    </row>
    <row r="5361" spans="1:4" x14ac:dyDescent="0.2">
      <c r="A5361">
        <v>23</v>
      </c>
      <c r="B5361">
        <v>250.1</v>
      </c>
      <c r="C5361">
        <v>250</v>
      </c>
      <c r="D5361" t="s">
        <v>5980</v>
      </c>
    </row>
    <row r="5362" spans="1:4" x14ac:dyDescent="0.2">
      <c r="A5362">
        <v>24</v>
      </c>
      <c r="B5362">
        <v>250.1</v>
      </c>
      <c r="C5362">
        <v>250</v>
      </c>
      <c r="D5362" t="s">
        <v>5980</v>
      </c>
    </row>
    <row r="5363" spans="1:4" x14ac:dyDescent="0.2">
      <c r="A5363">
        <v>19</v>
      </c>
      <c r="B5363">
        <v>500.2</v>
      </c>
      <c r="C5363">
        <v>500</v>
      </c>
      <c r="D5363" t="s">
        <v>5980</v>
      </c>
    </row>
    <row r="5364" spans="1:4" x14ac:dyDescent="0.2">
      <c r="A5364">
        <v>20</v>
      </c>
      <c r="B5364">
        <v>500</v>
      </c>
      <c r="C5364">
        <v>500</v>
      </c>
      <c r="D5364" t="s">
        <v>5980</v>
      </c>
    </row>
    <row r="5365" spans="1:4" x14ac:dyDescent="0.2">
      <c r="A5365">
        <v>21</v>
      </c>
      <c r="B5365">
        <v>499.9</v>
      </c>
      <c r="C5365">
        <v>500</v>
      </c>
      <c r="D5365" t="s">
        <v>5980</v>
      </c>
    </row>
    <row r="5366" spans="1:4" x14ac:dyDescent="0.2">
      <c r="A5366">
        <v>22</v>
      </c>
      <c r="B5366">
        <v>499.9</v>
      </c>
      <c r="C5366">
        <v>500</v>
      </c>
      <c r="D5366" t="s">
        <v>5980</v>
      </c>
    </row>
    <row r="5367" spans="1:4" x14ac:dyDescent="0.2">
      <c r="A5367">
        <v>23</v>
      </c>
      <c r="B5367">
        <v>500</v>
      </c>
      <c r="C5367">
        <v>500</v>
      </c>
      <c r="D5367" t="s">
        <v>5980</v>
      </c>
    </row>
    <row r="5368" spans="1:4" x14ac:dyDescent="0.2">
      <c r="A5368">
        <v>24</v>
      </c>
      <c r="B5368">
        <v>500.2</v>
      </c>
      <c r="C5368">
        <v>500</v>
      </c>
      <c r="D5368" t="s">
        <v>5980</v>
      </c>
    </row>
    <row r="5369" spans="1:4" x14ac:dyDescent="0.2">
      <c r="A5369">
        <v>19</v>
      </c>
      <c r="B5369">
        <v>1000.2</v>
      </c>
      <c r="C5369">
        <v>1000</v>
      </c>
      <c r="D5369" t="s">
        <v>5980</v>
      </c>
    </row>
    <row r="5370" spans="1:4" x14ac:dyDescent="0.2">
      <c r="A5370">
        <v>20</v>
      </c>
      <c r="B5370">
        <v>999.8</v>
      </c>
      <c r="C5370">
        <v>1000</v>
      </c>
      <c r="D5370" t="s">
        <v>5980</v>
      </c>
    </row>
    <row r="5371" spans="1:4" x14ac:dyDescent="0.2">
      <c r="A5371">
        <v>21</v>
      </c>
      <c r="B5371">
        <v>999.8</v>
      </c>
      <c r="C5371">
        <v>1000</v>
      </c>
      <c r="D5371" t="s">
        <v>5980</v>
      </c>
    </row>
    <row r="5372" spans="1:4" x14ac:dyDescent="0.2">
      <c r="A5372">
        <v>22</v>
      </c>
      <c r="B5372">
        <v>1000</v>
      </c>
      <c r="C5372">
        <v>1000</v>
      </c>
      <c r="D5372" t="s">
        <v>5980</v>
      </c>
    </row>
    <row r="5373" spans="1:4" x14ac:dyDescent="0.2">
      <c r="A5373">
        <v>23</v>
      </c>
      <c r="B5373">
        <v>1000</v>
      </c>
      <c r="C5373">
        <v>1000</v>
      </c>
      <c r="D5373" t="s">
        <v>5980</v>
      </c>
    </row>
    <row r="5374" spans="1:4" x14ac:dyDescent="0.2">
      <c r="A5374">
        <v>24</v>
      </c>
      <c r="B5374">
        <v>1000.2</v>
      </c>
      <c r="C5374">
        <v>1000</v>
      </c>
      <c r="D5374" t="s">
        <v>5980</v>
      </c>
    </row>
    <row r="5375" spans="1:4" x14ac:dyDescent="0.2">
      <c r="A5375">
        <v>25</v>
      </c>
      <c r="B5375">
        <v>-99.9</v>
      </c>
      <c r="C5375">
        <v>-100</v>
      </c>
      <c r="D5375" t="s">
        <v>5980</v>
      </c>
    </row>
    <row r="5376" spans="1:4" x14ac:dyDescent="0.2">
      <c r="A5376">
        <v>26</v>
      </c>
      <c r="B5376">
        <v>-100.2</v>
      </c>
      <c r="C5376">
        <v>-100</v>
      </c>
      <c r="D5376" t="s">
        <v>5980</v>
      </c>
    </row>
    <row r="5377" spans="1:4" x14ac:dyDescent="0.2">
      <c r="A5377">
        <v>27</v>
      </c>
      <c r="B5377">
        <v>-100.4</v>
      </c>
      <c r="C5377">
        <v>-100</v>
      </c>
      <c r="D5377" t="s">
        <v>5980</v>
      </c>
    </row>
    <row r="5378" spans="1:4" x14ac:dyDescent="0.2">
      <c r="A5378">
        <v>28</v>
      </c>
      <c r="B5378">
        <v>-100.1</v>
      </c>
      <c r="C5378">
        <v>-100</v>
      </c>
      <c r="D5378" t="s">
        <v>5980</v>
      </c>
    </row>
    <row r="5379" spans="1:4" x14ac:dyDescent="0.2">
      <c r="A5379">
        <v>29</v>
      </c>
      <c r="B5379">
        <v>-99.7</v>
      </c>
      <c r="C5379">
        <v>-100</v>
      </c>
      <c r="D5379" t="s">
        <v>5980</v>
      </c>
    </row>
    <row r="5380" spans="1:4" x14ac:dyDescent="0.2">
      <c r="A5380">
        <v>30</v>
      </c>
      <c r="B5380">
        <v>-100.3</v>
      </c>
      <c r="C5380">
        <v>-100</v>
      </c>
      <c r="D5380" t="s">
        <v>5980</v>
      </c>
    </row>
    <row r="5381" spans="1:4" x14ac:dyDescent="0.2">
      <c r="A5381">
        <v>25</v>
      </c>
      <c r="B5381">
        <v>-49.9</v>
      </c>
      <c r="C5381">
        <v>-50</v>
      </c>
      <c r="D5381" t="s">
        <v>5980</v>
      </c>
    </row>
    <row r="5382" spans="1:4" x14ac:dyDescent="0.2">
      <c r="A5382">
        <v>26</v>
      </c>
      <c r="B5382">
        <v>-50.2</v>
      </c>
      <c r="C5382">
        <v>-50</v>
      </c>
      <c r="D5382" t="s">
        <v>5980</v>
      </c>
    </row>
    <row r="5383" spans="1:4" x14ac:dyDescent="0.2">
      <c r="A5383">
        <v>27</v>
      </c>
      <c r="B5383">
        <v>-50.4</v>
      </c>
      <c r="C5383">
        <v>-50</v>
      </c>
      <c r="D5383" t="s">
        <v>5980</v>
      </c>
    </row>
    <row r="5384" spans="1:4" x14ac:dyDescent="0.2">
      <c r="A5384">
        <v>28</v>
      </c>
      <c r="B5384">
        <v>-49.8</v>
      </c>
      <c r="C5384">
        <v>-50</v>
      </c>
      <c r="D5384" t="s">
        <v>5980</v>
      </c>
    </row>
    <row r="5385" spans="1:4" x14ac:dyDescent="0.2">
      <c r="A5385">
        <v>29</v>
      </c>
      <c r="B5385">
        <v>-49.7</v>
      </c>
      <c r="C5385">
        <v>-50</v>
      </c>
      <c r="D5385" t="s">
        <v>5980</v>
      </c>
    </row>
    <row r="5386" spans="1:4" x14ac:dyDescent="0.2">
      <c r="A5386">
        <v>30</v>
      </c>
      <c r="B5386">
        <v>-50.3</v>
      </c>
      <c r="C5386">
        <v>-50</v>
      </c>
      <c r="D5386" t="s">
        <v>5980</v>
      </c>
    </row>
    <row r="5387" spans="1:4" x14ac:dyDescent="0.2">
      <c r="A5387">
        <v>25</v>
      </c>
      <c r="B5387">
        <v>0.1</v>
      </c>
      <c r="C5387">
        <v>0</v>
      </c>
      <c r="D5387" t="s">
        <v>5980</v>
      </c>
    </row>
    <row r="5388" spans="1:4" x14ac:dyDescent="0.2">
      <c r="A5388">
        <v>26</v>
      </c>
      <c r="B5388">
        <v>0</v>
      </c>
      <c r="C5388">
        <v>0</v>
      </c>
      <c r="D5388" t="s">
        <v>5980</v>
      </c>
    </row>
    <row r="5389" spans="1:4" x14ac:dyDescent="0.2">
      <c r="A5389">
        <v>27</v>
      </c>
      <c r="B5389">
        <v>-0.3</v>
      </c>
      <c r="C5389">
        <v>0</v>
      </c>
      <c r="D5389" t="s">
        <v>5980</v>
      </c>
    </row>
    <row r="5390" spans="1:4" x14ac:dyDescent="0.2">
      <c r="A5390">
        <v>28</v>
      </c>
      <c r="B5390">
        <v>0.3</v>
      </c>
      <c r="C5390">
        <v>0</v>
      </c>
      <c r="D5390" t="s">
        <v>5980</v>
      </c>
    </row>
    <row r="5391" spans="1:4" x14ac:dyDescent="0.2">
      <c r="A5391">
        <v>29</v>
      </c>
      <c r="B5391">
        <v>0.2</v>
      </c>
      <c r="C5391">
        <v>0</v>
      </c>
      <c r="D5391" t="s">
        <v>5980</v>
      </c>
    </row>
    <row r="5392" spans="1:4" x14ac:dyDescent="0.2">
      <c r="A5392">
        <v>30</v>
      </c>
      <c r="B5392">
        <v>-0.3</v>
      </c>
      <c r="C5392">
        <v>0</v>
      </c>
      <c r="D5392" t="s">
        <v>5980</v>
      </c>
    </row>
    <row r="5393" spans="1:4" x14ac:dyDescent="0.2">
      <c r="A5393">
        <v>25</v>
      </c>
      <c r="B5393">
        <v>250</v>
      </c>
      <c r="C5393">
        <v>250</v>
      </c>
      <c r="D5393" t="s">
        <v>5980</v>
      </c>
    </row>
    <row r="5394" spans="1:4" x14ac:dyDescent="0.2">
      <c r="A5394">
        <v>26</v>
      </c>
      <c r="B5394">
        <v>250</v>
      </c>
      <c r="C5394">
        <v>250</v>
      </c>
      <c r="D5394" t="s">
        <v>5980</v>
      </c>
    </row>
    <row r="5395" spans="1:4" x14ac:dyDescent="0.2">
      <c r="A5395">
        <v>27</v>
      </c>
      <c r="B5395">
        <v>249.8</v>
      </c>
      <c r="C5395">
        <v>250</v>
      </c>
      <c r="D5395" t="s">
        <v>5980</v>
      </c>
    </row>
    <row r="5396" spans="1:4" x14ac:dyDescent="0.2">
      <c r="A5396">
        <v>28</v>
      </c>
      <c r="B5396">
        <v>250.2</v>
      </c>
      <c r="C5396">
        <v>250</v>
      </c>
      <c r="D5396" t="s">
        <v>5980</v>
      </c>
    </row>
    <row r="5397" spans="1:4" x14ac:dyDescent="0.2">
      <c r="A5397">
        <v>29</v>
      </c>
      <c r="B5397">
        <v>250.2</v>
      </c>
      <c r="C5397">
        <v>250</v>
      </c>
      <c r="D5397" t="s">
        <v>5980</v>
      </c>
    </row>
    <row r="5398" spans="1:4" x14ac:dyDescent="0.2">
      <c r="A5398">
        <v>30</v>
      </c>
      <c r="B5398">
        <v>249.8</v>
      </c>
      <c r="C5398">
        <v>250</v>
      </c>
      <c r="D5398" t="s">
        <v>5980</v>
      </c>
    </row>
    <row r="5399" spans="1:4" x14ac:dyDescent="0.2">
      <c r="A5399">
        <v>25</v>
      </c>
      <c r="B5399">
        <v>500</v>
      </c>
      <c r="C5399">
        <v>500</v>
      </c>
      <c r="D5399" t="s">
        <v>5980</v>
      </c>
    </row>
    <row r="5400" spans="1:4" x14ac:dyDescent="0.2">
      <c r="A5400">
        <v>26</v>
      </c>
      <c r="B5400">
        <v>500.1</v>
      </c>
      <c r="C5400">
        <v>500</v>
      </c>
      <c r="D5400" t="s">
        <v>5980</v>
      </c>
    </row>
    <row r="5401" spans="1:4" x14ac:dyDescent="0.2">
      <c r="A5401">
        <v>27</v>
      </c>
      <c r="B5401">
        <v>500</v>
      </c>
      <c r="C5401">
        <v>500</v>
      </c>
      <c r="D5401" t="s">
        <v>5980</v>
      </c>
    </row>
    <row r="5402" spans="1:4" x14ac:dyDescent="0.2">
      <c r="A5402">
        <v>28</v>
      </c>
      <c r="B5402">
        <v>500.3</v>
      </c>
      <c r="C5402">
        <v>500</v>
      </c>
      <c r="D5402" t="s">
        <v>5980</v>
      </c>
    </row>
    <row r="5403" spans="1:4" x14ac:dyDescent="0.2">
      <c r="A5403">
        <v>29</v>
      </c>
      <c r="B5403">
        <v>500.3</v>
      </c>
      <c r="C5403">
        <v>500</v>
      </c>
      <c r="D5403" t="s">
        <v>5980</v>
      </c>
    </row>
    <row r="5404" spans="1:4" x14ac:dyDescent="0.2">
      <c r="A5404">
        <v>30</v>
      </c>
      <c r="B5404">
        <v>499.8</v>
      </c>
      <c r="C5404">
        <v>500</v>
      </c>
      <c r="D5404" t="s">
        <v>5980</v>
      </c>
    </row>
    <row r="5405" spans="1:4" x14ac:dyDescent="0.2">
      <c r="A5405">
        <v>25</v>
      </c>
      <c r="B5405">
        <v>999.9</v>
      </c>
      <c r="C5405">
        <v>1000</v>
      </c>
      <c r="D5405" t="s">
        <v>5980</v>
      </c>
    </row>
    <row r="5406" spans="1:4" x14ac:dyDescent="0.2">
      <c r="A5406">
        <v>26</v>
      </c>
      <c r="B5406">
        <v>1000.1</v>
      </c>
      <c r="C5406">
        <v>1000</v>
      </c>
      <c r="D5406" t="s">
        <v>5980</v>
      </c>
    </row>
    <row r="5407" spans="1:4" x14ac:dyDescent="0.2">
      <c r="A5407">
        <v>27</v>
      </c>
      <c r="B5407">
        <v>1000.2</v>
      </c>
      <c r="C5407">
        <v>1000</v>
      </c>
      <c r="D5407" t="s">
        <v>5980</v>
      </c>
    </row>
    <row r="5408" spans="1:4" x14ac:dyDescent="0.2">
      <c r="A5408">
        <v>28</v>
      </c>
      <c r="B5408">
        <v>1000.3</v>
      </c>
      <c r="C5408">
        <v>1000</v>
      </c>
      <c r="D5408" t="s">
        <v>5980</v>
      </c>
    </row>
    <row r="5409" spans="1:4" x14ac:dyDescent="0.2">
      <c r="A5409">
        <v>29</v>
      </c>
      <c r="B5409">
        <v>1000.3</v>
      </c>
      <c r="C5409">
        <v>1000</v>
      </c>
      <c r="D5409" t="s">
        <v>5980</v>
      </c>
    </row>
    <row r="5410" spans="1:4" x14ac:dyDescent="0.2">
      <c r="A5410">
        <v>30</v>
      </c>
      <c r="B5410">
        <v>999.8</v>
      </c>
      <c r="C5410">
        <v>1000</v>
      </c>
      <c r="D5410" t="s">
        <v>5980</v>
      </c>
    </row>
    <row r="5411" spans="1:4" x14ac:dyDescent="0.2">
      <c r="A5411">
        <v>31</v>
      </c>
      <c r="B5411">
        <v>-100.2</v>
      </c>
      <c r="C5411">
        <v>-100</v>
      </c>
      <c r="D5411" t="s">
        <v>5980</v>
      </c>
    </row>
    <row r="5412" spans="1:4" x14ac:dyDescent="0.2">
      <c r="A5412">
        <v>32</v>
      </c>
      <c r="B5412">
        <v>-99.9</v>
      </c>
      <c r="C5412">
        <v>-100</v>
      </c>
      <c r="D5412" t="s">
        <v>5980</v>
      </c>
    </row>
    <row r="5413" spans="1:4" x14ac:dyDescent="0.2">
      <c r="A5413">
        <v>33</v>
      </c>
      <c r="B5413">
        <v>-99.9</v>
      </c>
      <c r="C5413">
        <v>-100</v>
      </c>
      <c r="D5413" t="s">
        <v>5980</v>
      </c>
    </row>
    <row r="5414" spans="1:4" x14ac:dyDescent="0.2">
      <c r="A5414">
        <v>34</v>
      </c>
      <c r="B5414">
        <v>-99.8</v>
      </c>
      <c r="C5414">
        <v>-100</v>
      </c>
      <c r="D5414" t="s">
        <v>5980</v>
      </c>
    </row>
    <row r="5415" spans="1:4" x14ac:dyDescent="0.2">
      <c r="A5415">
        <v>35</v>
      </c>
      <c r="B5415">
        <v>-100.2</v>
      </c>
      <c r="C5415">
        <v>-100</v>
      </c>
      <c r="D5415" t="s">
        <v>5980</v>
      </c>
    </row>
    <row r="5416" spans="1:4" x14ac:dyDescent="0.2">
      <c r="A5416">
        <v>36</v>
      </c>
      <c r="B5416">
        <v>-100.1</v>
      </c>
      <c r="C5416">
        <v>-100</v>
      </c>
      <c r="D5416" t="s">
        <v>5980</v>
      </c>
    </row>
    <row r="5417" spans="1:4" x14ac:dyDescent="0.2">
      <c r="A5417">
        <v>31</v>
      </c>
      <c r="B5417">
        <v>-50.2</v>
      </c>
      <c r="C5417">
        <v>-50</v>
      </c>
      <c r="D5417" t="s">
        <v>5980</v>
      </c>
    </row>
    <row r="5418" spans="1:4" x14ac:dyDescent="0.2">
      <c r="A5418">
        <v>32</v>
      </c>
      <c r="B5418">
        <v>-49.9</v>
      </c>
      <c r="C5418">
        <v>-50</v>
      </c>
      <c r="D5418" t="s">
        <v>5980</v>
      </c>
    </row>
    <row r="5419" spans="1:4" x14ac:dyDescent="0.2">
      <c r="A5419">
        <v>33</v>
      </c>
      <c r="B5419">
        <v>-49.9</v>
      </c>
      <c r="C5419">
        <v>-50</v>
      </c>
      <c r="D5419" t="s">
        <v>5980</v>
      </c>
    </row>
    <row r="5420" spans="1:4" x14ac:dyDescent="0.2">
      <c r="A5420">
        <v>34</v>
      </c>
      <c r="B5420">
        <v>-49.8</v>
      </c>
      <c r="C5420">
        <v>-50</v>
      </c>
      <c r="D5420" t="s">
        <v>5980</v>
      </c>
    </row>
    <row r="5421" spans="1:4" x14ac:dyDescent="0.2">
      <c r="A5421">
        <v>35</v>
      </c>
      <c r="B5421">
        <v>-50.2</v>
      </c>
      <c r="C5421">
        <v>-50</v>
      </c>
      <c r="D5421" t="s">
        <v>5980</v>
      </c>
    </row>
    <row r="5422" spans="1:4" x14ac:dyDescent="0.2">
      <c r="A5422">
        <v>36</v>
      </c>
      <c r="B5422">
        <v>-50</v>
      </c>
      <c r="C5422">
        <v>-50</v>
      </c>
      <c r="D5422" t="s">
        <v>5980</v>
      </c>
    </row>
    <row r="5423" spans="1:4" x14ac:dyDescent="0.2">
      <c r="A5423">
        <v>31</v>
      </c>
      <c r="B5423">
        <v>-0.3</v>
      </c>
      <c r="C5423">
        <v>0</v>
      </c>
      <c r="D5423" t="s">
        <v>5980</v>
      </c>
    </row>
    <row r="5424" spans="1:4" x14ac:dyDescent="0.2">
      <c r="A5424">
        <v>32</v>
      </c>
      <c r="B5424">
        <v>0</v>
      </c>
      <c r="C5424">
        <v>0</v>
      </c>
      <c r="D5424" t="s">
        <v>5980</v>
      </c>
    </row>
    <row r="5425" spans="1:4" x14ac:dyDescent="0.2">
      <c r="A5425">
        <v>33</v>
      </c>
      <c r="B5425">
        <v>0.3</v>
      </c>
      <c r="C5425">
        <v>0</v>
      </c>
      <c r="D5425" t="s">
        <v>5980</v>
      </c>
    </row>
    <row r="5426" spans="1:4" x14ac:dyDescent="0.2">
      <c r="A5426">
        <v>34</v>
      </c>
      <c r="B5426">
        <v>0.2</v>
      </c>
      <c r="C5426">
        <v>0</v>
      </c>
      <c r="D5426" t="s">
        <v>5980</v>
      </c>
    </row>
    <row r="5427" spans="1:4" x14ac:dyDescent="0.2">
      <c r="A5427">
        <v>35</v>
      </c>
      <c r="B5427">
        <v>-0.3</v>
      </c>
      <c r="C5427">
        <v>0</v>
      </c>
      <c r="D5427" t="s">
        <v>5980</v>
      </c>
    </row>
    <row r="5428" spans="1:4" x14ac:dyDescent="0.2">
      <c r="A5428">
        <v>36</v>
      </c>
      <c r="B5428">
        <v>-0.1</v>
      </c>
      <c r="C5428">
        <v>0</v>
      </c>
      <c r="D5428" t="s">
        <v>5980</v>
      </c>
    </row>
    <row r="5429" spans="1:4" x14ac:dyDescent="0.2">
      <c r="A5429">
        <v>31</v>
      </c>
      <c r="B5429">
        <v>249.8</v>
      </c>
      <c r="C5429">
        <v>250</v>
      </c>
      <c r="D5429" t="s">
        <v>5980</v>
      </c>
    </row>
    <row r="5430" spans="1:4" x14ac:dyDescent="0.2">
      <c r="A5430">
        <v>32</v>
      </c>
      <c r="B5430">
        <v>250</v>
      </c>
      <c r="C5430">
        <v>250</v>
      </c>
      <c r="D5430" t="s">
        <v>5980</v>
      </c>
    </row>
    <row r="5431" spans="1:4" x14ac:dyDescent="0.2">
      <c r="A5431">
        <v>33</v>
      </c>
      <c r="B5431">
        <v>250.4</v>
      </c>
      <c r="C5431">
        <v>250</v>
      </c>
      <c r="D5431" t="s">
        <v>5980</v>
      </c>
    </row>
    <row r="5432" spans="1:4" x14ac:dyDescent="0.2">
      <c r="A5432">
        <v>34</v>
      </c>
      <c r="B5432">
        <v>250.5</v>
      </c>
      <c r="C5432">
        <v>250</v>
      </c>
      <c r="D5432" t="s">
        <v>5980</v>
      </c>
    </row>
    <row r="5433" spans="1:4" x14ac:dyDescent="0.2">
      <c r="A5433">
        <v>35</v>
      </c>
      <c r="B5433">
        <v>249.7</v>
      </c>
      <c r="C5433">
        <v>250</v>
      </c>
      <c r="D5433" t="s">
        <v>5980</v>
      </c>
    </row>
    <row r="5434" spans="1:4" x14ac:dyDescent="0.2">
      <c r="A5434">
        <v>36</v>
      </c>
      <c r="B5434">
        <v>249.9</v>
      </c>
      <c r="C5434">
        <v>250</v>
      </c>
      <c r="D5434" t="s">
        <v>5980</v>
      </c>
    </row>
    <row r="5435" spans="1:4" x14ac:dyDescent="0.2">
      <c r="A5435">
        <v>31</v>
      </c>
      <c r="B5435">
        <v>499.9</v>
      </c>
      <c r="C5435">
        <v>500</v>
      </c>
      <c r="D5435" t="s">
        <v>5980</v>
      </c>
    </row>
    <row r="5436" spans="1:4" x14ac:dyDescent="0.2">
      <c r="A5436">
        <v>32</v>
      </c>
      <c r="B5436">
        <v>500.2</v>
      </c>
      <c r="C5436">
        <v>500</v>
      </c>
      <c r="D5436" t="s">
        <v>5980</v>
      </c>
    </row>
    <row r="5437" spans="1:4" x14ac:dyDescent="0.2">
      <c r="A5437">
        <v>33</v>
      </c>
      <c r="B5437">
        <v>500.5</v>
      </c>
      <c r="C5437">
        <v>500</v>
      </c>
      <c r="D5437" t="s">
        <v>5980</v>
      </c>
    </row>
    <row r="5438" spans="1:4" x14ac:dyDescent="0.2">
      <c r="A5438">
        <v>34</v>
      </c>
      <c r="B5438">
        <v>500.5</v>
      </c>
      <c r="C5438">
        <v>500</v>
      </c>
      <c r="D5438" t="s">
        <v>5980</v>
      </c>
    </row>
    <row r="5439" spans="1:4" x14ac:dyDescent="0.2">
      <c r="A5439">
        <v>35</v>
      </c>
      <c r="B5439">
        <v>500</v>
      </c>
      <c r="C5439">
        <v>500</v>
      </c>
      <c r="D5439" t="s">
        <v>5980</v>
      </c>
    </row>
    <row r="5440" spans="1:4" x14ac:dyDescent="0.2">
      <c r="A5440">
        <v>36</v>
      </c>
      <c r="B5440">
        <v>500</v>
      </c>
      <c r="C5440">
        <v>500</v>
      </c>
      <c r="D5440" t="s">
        <v>5980</v>
      </c>
    </row>
    <row r="5441" spans="1:4" x14ac:dyDescent="0.2">
      <c r="A5441">
        <v>31</v>
      </c>
      <c r="B5441">
        <v>1000</v>
      </c>
      <c r="C5441">
        <v>1000</v>
      </c>
      <c r="D5441" t="s">
        <v>5980</v>
      </c>
    </row>
    <row r="5442" spans="1:4" x14ac:dyDescent="0.2">
      <c r="A5442">
        <v>32</v>
      </c>
      <c r="B5442">
        <v>1000.2</v>
      </c>
      <c r="C5442">
        <v>1000</v>
      </c>
      <c r="D5442" t="s">
        <v>5980</v>
      </c>
    </row>
    <row r="5443" spans="1:4" x14ac:dyDescent="0.2">
      <c r="A5443">
        <v>33</v>
      </c>
      <c r="B5443">
        <v>1000.4</v>
      </c>
      <c r="C5443">
        <v>1000</v>
      </c>
      <c r="D5443" t="s">
        <v>5980</v>
      </c>
    </row>
    <row r="5444" spans="1:4" x14ac:dyDescent="0.2">
      <c r="A5444">
        <v>34</v>
      </c>
      <c r="B5444">
        <v>1000.5</v>
      </c>
      <c r="C5444">
        <v>1000</v>
      </c>
      <c r="D5444" t="s">
        <v>5980</v>
      </c>
    </row>
    <row r="5445" spans="1:4" x14ac:dyDescent="0.2">
      <c r="A5445">
        <v>35</v>
      </c>
      <c r="B5445">
        <v>1000</v>
      </c>
      <c r="C5445">
        <v>1000</v>
      </c>
      <c r="D5445" t="s">
        <v>5980</v>
      </c>
    </row>
    <row r="5446" spans="1:4" x14ac:dyDescent="0.2">
      <c r="A5446">
        <v>36</v>
      </c>
      <c r="B5446">
        <v>1000.1</v>
      </c>
      <c r="C5446">
        <v>1000</v>
      </c>
      <c r="D5446" t="s">
        <v>5980</v>
      </c>
    </row>
    <row r="5447" spans="1:4" x14ac:dyDescent="0.2">
      <c r="A5447">
        <v>37</v>
      </c>
      <c r="B5447">
        <v>-99.9</v>
      </c>
      <c r="C5447">
        <v>-100</v>
      </c>
      <c r="D5447" t="s">
        <v>5980</v>
      </c>
    </row>
    <row r="5448" spans="1:4" x14ac:dyDescent="0.2">
      <c r="A5448">
        <v>38</v>
      </c>
      <c r="B5448">
        <v>-100</v>
      </c>
      <c r="C5448">
        <v>-100</v>
      </c>
      <c r="D5448" t="s">
        <v>5980</v>
      </c>
    </row>
    <row r="5449" spans="1:4" x14ac:dyDescent="0.2">
      <c r="A5449">
        <v>39</v>
      </c>
      <c r="B5449">
        <v>-100.2</v>
      </c>
      <c r="C5449">
        <v>-100</v>
      </c>
      <c r="D5449" t="s">
        <v>5980</v>
      </c>
    </row>
    <row r="5450" spans="1:4" x14ac:dyDescent="0.2">
      <c r="A5450">
        <v>40</v>
      </c>
      <c r="B5450">
        <v>-99.7</v>
      </c>
      <c r="C5450">
        <v>-100</v>
      </c>
      <c r="D5450" t="s">
        <v>5980</v>
      </c>
    </row>
    <row r="5451" spans="1:4" x14ac:dyDescent="0.2">
      <c r="A5451">
        <v>37</v>
      </c>
      <c r="B5451">
        <v>-49.9</v>
      </c>
      <c r="C5451">
        <v>-50</v>
      </c>
      <c r="D5451" t="s">
        <v>5980</v>
      </c>
    </row>
    <row r="5452" spans="1:4" x14ac:dyDescent="0.2">
      <c r="A5452">
        <v>38</v>
      </c>
      <c r="B5452">
        <v>-50</v>
      </c>
      <c r="C5452">
        <v>-50</v>
      </c>
      <c r="D5452" t="s">
        <v>5980</v>
      </c>
    </row>
    <row r="5453" spans="1:4" x14ac:dyDescent="0.2">
      <c r="A5453">
        <v>39</v>
      </c>
      <c r="B5453">
        <v>-50.2</v>
      </c>
      <c r="C5453">
        <v>-50</v>
      </c>
      <c r="D5453" t="s">
        <v>5980</v>
      </c>
    </row>
    <row r="5454" spans="1:4" x14ac:dyDescent="0.2">
      <c r="A5454">
        <v>40</v>
      </c>
      <c r="B5454">
        <v>-49.7</v>
      </c>
      <c r="C5454">
        <v>-50</v>
      </c>
      <c r="D5454" t="s">
        <v>5980</v>
      </c>
    </row>
    <row r="5455" spans="1:4" x14ac:dyDescent="0.2">
      <c r="A5455">
        <v>37</v>
      </c>
      <c r="B5455">
        <v>0.1</v>
      </c>
      <c r="C5455">
        <v>0</v>
      </c>
      <c r="D5455" t="s">
        <v>5980</v>
      </c>
    </row>
    <row r="5456" spans="1:4" x14ac:dyDescent="0.2">
      <c r="A5456">
        <v>38</v>
      </c>
      <c r="B5456">
        <v>0</v>
      </c>
      <c r="C5456">
        <v>0</v>
      </c>
      <c r="D5456" t="s">
        <v>5980</v>
      </c>
    </row>
    <row r="5457" spans="1:4" x14ac:dyDescent="0.2">
      <c r="A5457">
        <v>39</v>
      </c>
      <c r="B5457">
        <v>-0.2</v>
      </c>
      <c r="C5457">
        <v>0</v>
      </c>
      <c r="D5457" t="s">
        <v>5980</v>
      </c>
    </row>
    <row r="5458" spans="1:4" x14ac:dyDescent="0.2">
      <c r="A5458">
        <v>40</v>
      </c>
      <c r="B5458">
        <v>0.2</v>
      </c>
      <c r="C5458">
        <v>0</v>
      </c>
      <c r="D5458" t="s">
        <v>5980</v>
      </c>
    </row>
    <row r="5459" spans="1:4" x14ac:dyDescent="0.2">
      <c r="A5459">
        <v>37</v>
      </c>
      <c r="B5459">
        <v>250.1</v>
      </c>
      <c r="C5459">
        <v>250</v>
      </c>
      <c r="D5459" t="s">
        <v>5980</v>
      </c>
    </row>
    <row r="5460" spans="1:4" x14ac:dyDescent="0.2">
      <c r="A5460">
        <v>38</v>
      </c>
      <c r="B5460">
        <v>249.9</v>
      </c>
      <c r="C5460">
        <v>250</v>
      </c>
      <c r="D5460" t="s">
        <v>5980</v>
      </c>
    </row>
    <row r="5461" spans="1:4" x14ac:dyDescent="0.2">
      <c r="A5461">
        <v>39</v>
      </c>
      <c r="B5461">
        <v>249.8</v>
      </c>
      <c r="C5461">
        <v>250</v>
      </c>
      <c r="D5461" t="s">
        <v>5980</v>
      </c>
    </row>
    <row r="5462" spans="1:4" x14ac:dyDescent="0.2">
      <c r="A5462">
        <v>40</v>
      </c>
      <c r="B5462">
        <v>250.2</v>
      </c>
      <c r="C5462">
        <v>250</v>
      </c>
      <c r="D5462" t="s">
        <v>5980</v>
      </c>
    </row>
    <row r="5463" spans="1:4" x14ac:dyDescent="0.2">
      <c r="A5463">
        <v>37</v>
      </c>
      <c r="B5463">
        <v>500.1</v>
      </c>
      <c r="C5463">
        <v>500</v>
      </c>
      <c r="D5463" t="s">
        <v>5980</v>
      </c>
    </row>
    <row r="5464" spans="1:4" x14ac:dyDescent="0.2">
      <c r="A5464">
        <v>38</v>
      </c>
      <c r="B5464">
        <v>500</v>
      </c>
      <c r="C5464">
        <v>500</v>
      </c>
      <c r="D5464" t="s">
        <v>5980</v>
      </c>
    </row>
    <row r="5465" spans="1:4" x14ac:dyDescent="0.2">
      <c r="A5465">
        <v>39</v>
      </c>
      <c r="B5465">
        <v>499.9</v>
      </c>
      <c r="C5465">
        <v>500</v>
      </c>
      <c r="D5465" t="s">
        <v>5980</v>
      </c>
    </row>
    <row r="5466" spans="1:4" x14ac:dyDescent="0.2">
      <c r="A5466">
        <v>40</v>
      </c>
      <c r="B5466">
        <v>500.2</v>
      </c>
      <c r="C5466">
        <v>500</v>
      </c>
      <c r="D5466" t="s">
        <v>5980</v>
      </c>
    </row>
    <row r="5467" spans="1:4" x14ac:dyDescent="0.2">
      <c r="A5467">
        <v>37</v>
      </c>
      <c r="B5467">
        <v>1000.1</v>
      </c>
      <c r="C5467">
        <v>1000</v>
      </c>
      <c r="D5467" t="s">
        <v>5980</v>
      </c>
    </row>
    <row r="5468" spans="1:4" x14ac:dyDescent="0.2">
      <c r="A5468">
        <v>38</v>
      </c>
      <c r="B5468">
        <v>1000</v>
      </c>
      <c r="C5468">
        <v>1000</v>
      </c>
      <c r="D5468" t="s">
        <v>5980</v>
      </c>
    </row>
    <row r="5469" spans="1:4" x14ac:dyDescent="0.2">
      <c r="A5469">
        <v>39</v>
      </c>
      <c r="B5469">
        <v>999.9</v>
      </c>
      <c r="C5469">
        <v>1000</v>
      </c>
      <c r="D5469" t="s">
        <v>5980</v>
      </c>
    </row>
    <row r="5470" spans="1:4" x14ac:dyDescent="0.2">
      <c r="A5470">
        <v>40</v>
      </c>
      <c r="B5470">
        <v>1000.2</v>
      </c>
      <c r="C5470">
        <v>1000</v>
      </c>
      <c r="D5470" t="s">
        <v>5980</v>
      </c>
    </row>
    <row r="5471" spans="1:4" x14ac:dyDescent="0.2">
      <c r="A5471">
        <v>1</v>
      </c>
      <c r="B5471">
        <v>10.1</v>
      </c>
      <c r="C5471">
        <v>10</v>
      </c>
      <c r="D5471" t="s">
        <v>5981</v>
      </c>
    </row>
    <row r="5472" spans="1:4" x14ac:dyDescent="0.2">
      <c r="A5472">
        <v>2</v>
      </c>
      <c r="B5472">
        <v>9.9</v>
      </c>
      <c r="C5472">
        <v>10</v>
      </c>
      <c r="D5472" t="s">
        <v>5981</v>
      </c>
    </row>
    <row r="5473" spans="1:4" x14ac:dyDescent="0.2">
      <c r="A5473">
        <v>3</v>
      </c>
      <c r="B5473">
        <v>10</v>
      </c>
      <c r="C5473">
        <v>10</v>
      </c>
      <c r="D5473" t="s">
        <v>5981</v>
      </c>
    </row>
    <row r="5474" spans="1:4" x14ac:dyDescent="0.2">
      <c r="A5474">
        <v>4</v>
      </c>
      <c r="B5474">
        <v>10.1</v>
      </c>
      <c r="C5474">
        <v>10</v>
      </c>
      <c r="D5474" t="s">
        <v>5981</v>
      </c>
    </row>
    <row r="5475" spans="1:4" x14ac:dyDescent="0.2">
      <c r="A5475">
        <v>5</v>
      </c>
      <c r="B5475">
        <v>10</v>
      </c>
      <c r="C5475">
        <v>10</v>
      </c>
      <c r="D5475" t="s">
        <v>5981</v>
      </c>
    </row>
    <row r="5476" spans="1:4" x14ac:dyDescent="0.2">
      <c r="A5476">
        <v>6</v>
      </c>
      <c r="B5476">
        <v>10.1</v>
      </c>
      <c r="C5476">
        <v>10</v>
      </c>
      <c r="D5476" t="s">
        <v>5981</v>
      </c>
    </row>
    <row r="5477" spans="1:4" x14ac:dyDescent="0.2">
      <c r="A5477">
        <v>1</v>
      </c>
      <c r="B5477">
        <v>500</v>
      </c>
      <c r="C5477">
        <v>500</v>
      </c>
      <c r="D5477" t="s">
        <v>5981</v>
      </c>
    </row>
    <row r="5478" spans="1:4" x14ac:dyDescent="0.2">
      <c r="A5478">
        <v>2</v>
      </c>
      <c r="B5478">
        <v>499.8</v>
      </c>
      <c r="C5478">
        <v>500</v>
      </c>
      <c r="D5478" t="s">
        <v>5981</v>
      </c>
    </row>
    <row r="5479" spans="1:4" x14ac:dyDescent="0.2">
      <c r="A5479">
        <v>3</v>
      </c>
      <c r="B5479">
        <v>499.9</v>
      </c>
      <c r="C5479">
        <v>500</v>
      </c>
      <c r="D5479" t="s">
        <v>5981</v>
      </c>
    </row>
    <row r="5480" spans="1:4" x14ac:dyDescent="0.2">
      <c r="A5480">
        <v>4</v>
      </c>
      <c r="B5480">
        <v>500</v>
      </c>
      <c r="C5480">
        <v>500</v>
      </c>
      <c r="D5480" t="s">
        <v>5981</v>
      </c>
    </row>
    <row r="5481" spans="1:4" x14ac:dyDescent="0.2">
      <c r="A5481">
        <v>5</v>
      </c>
      <c r="B5481">
        <v>499.8</v>
      </c>
      <c r="C5481">
        <v>500</v>
      </c>
      <c r="D5481" t="s">
        <v>5981</v>
      </c>
    </row>
    <row r="5482" spans="1:4" x14ac:dyDescent="0.2">
      <c r="A5482">
        <v>6</v>
      </c>
      <c r="B5482">
        <v>499.9</v>
      </c>
      <c r="C5482">
        <v>500</v>
      </c>
      <c r="D5482" t="s">
        <v>5981</v>
      </c>
    </row>
    <row r="5483" spans="1:4" x14ac:dyDescent="0.2">
      <c r="A5483">
        <v>1</v>
      </c>
      <c r="B5483">
        <v>1000</v>
      </c>
      <c r="C5483">
        <v>1000</v>
      </c>
      <c r="D5483" t="s">
        <v>5981</v>
      </c>
    </row>
    <row r="5484" spans="1:4" x14ac:dyDescent="0.2">
      <c r="A5484">
        <v>2</v>
      </c>
      <c r="B5484">
        <v>999.8</v>
      </c>
      <c r="C5484">
        <v>1000</v>
      </c>
      <c r="D5484" t="s">
        <v>5981</v>
      </c>
    </row>
    <row r="5485" spans="1:4" x14ac:dyDescent="0.2">
      <c r="A5485">
        <v>3</v>
      </c>
      <c r="B5485">
        <v>999.9</v>
      </c>
      <c r="C5485">
        <v>1000</v>
      </c>
      <c r="D5485" t="s">
        <v>5981</v>
      </c>
    </row>
    <row r="5486" spans="1:4" x14ac:dyDescent="0.2">
      <c r="A5486">
        <v>4</v>
      </c>
      <c r="B5486">
        <v>999.9</v>
      </c>
      <c r="C5486">
        <v>1000</v>
      </c>
      <c r="D5486" t="s">
        <v>5981</v>
      </c>
    </row>
    <row r="5487" spans="1:4" x14ac:dyDescent="0.2">
      <c r="A5487">
        <v>5</v>
      </c>
      <c r="B5487">
        <v>999.8</v>
      </c>
      <c r="C5487">
        <v>1000</v>
      </c>
      <c r="D5487" t="s">
        <v>5981</v>
      </c>
    </row>
    <row r="5488" spans="1:4" x14ac:dyDescent="0.2">
      <c r="A5488">
        <v>6</v>
      </c>
      <c r="B5488">
        <v>999.9</v>
      </c>
      <c r="C5488">
        <v>1000</v>
      </c>
      <c r="D5488" t="s">
        <v>5981</v>
      </c>
    </row>
    <row r="5489" spans="1:4" x14ac:dyDescent="0.2">
      <c r="A5489">
        <v>1</v>
      </c>
      <c r="B5489">
        <v>1500</v>
      </c>
      <c r="C5489">
        <v>1500</v>
      </c>
      <c r="D5489" t="s">
        <v>5981</v>
      </c>
    </row>
    <row r="5490" spans="1:4" x14ac:dyDescent="0.2">
      <c r="A5490">
        <v>2</v>
      </c>
      <c r="B5490">
        <v>1499.9</v>
      </c>
      <c r="C5490">
        <v>1500</v>
      </c>
      <c r="D5490" t="s">
        <v>5981</v>
      </c>
    </row>
    <row r="5491" spans="1:4" x14ac:dyDescent="0.2">
      <c r="A5491">
        <v>3</v>
      </c>
      <c r="B5491">
        <v>1499.9</v>
      </c>
      <c r="C5491">
        <v>1500</v>
      </c>
      <c r="D5491" t="s">
        <v>5981</v>
      </c>
    </row>
    <row r="5492" spans="1:4" x14ac:dyDescent="0.2">
      <c r="A5492">
        <v>4</v>
      </c>
      <c r="B5492">
        <v>1500</v>
      </c>
      <c r="C5492">
        <v>1500</v>
      </c>
      <c r="D5492" t="s">
        <v>5981</v>
      </c>
    </row>
    <row r="5493" spans="1:4" x14ac:dyDescent="0.2">
      <c r="A5493">
        <v>5</v>
      </c>
      <c r="B5493">
        <v>1499.8</v>
      </c>
      <c r="C5493">
        <v>1500</v>
      </c>
      <c r="D5493" t="s">
        <v>5981</v>
      </c>
    </row>
    <row r="5494" spans="1:4" x14ac:dyDescent="0.2">
      <c r="A5494">
        <v>6</v>
      </c>
      <c r="B5494">
        <v>1500.1</v>
      </c>
      <c r="C5494">
        <v>1500</v>
      </c>
      <c r="D5494" t="s">
        <v>5981</v>
      </c>
    </row>
    <row r="5495" spans="1:4" x14ac:dyDescent="0.2">
      <c r="A5495">
        <v>1</v>
      </c>
      <c r="B5495">
        <v>2000.1</v>
      </c>
      <c r="C5495">
        <v>2000</v>
      </c>
      <c r="D5495" t="s">
        <v>5981</v>
      </c>
    </row>
    <row r="5496" spans="1:4" x14ac:dyDescent="0.2">
      <c r="A5496">
        <v>2</v>
      </c>
      <c r="B5496">
        <v>1999.9</v>
      </c>
      <c r="C5496">
        <v>2000</v>
      </c>
      <c r="D5496" t="s">
        <v>5981</v>
      </c>
    </row>
    <row r="5497" spans="1:4" x14ac:dyDescent="0.2">
      <c r="A5497">
        <v>3</v>
      </c>
      <c r="B5497">
        <v>2000</v>
      </c>
      <c r="C5497">
        <v>2000</v>
      </c>
      <c r="D5497" t="s">
        <v>5981</v>
      </c>
    </row>
    <row r="5498" spans="1:4" x14ac:dyDescent="0.2">
      <c r="A5498">
        <v>4</v>
      </c>
      <c r="B5498">
        <v>2000.2</v>
      </c>
      <c r="C5498">
        <v>2000</v>
      </c>
      <c r="D5498" t="s">
        <v>5981</v>
      </c>
    </row>
    <row r="5499" spans="1:4" x14ac:dyDescent="0.2">
      <c r="A5499">
        <v>5</v>
      </c>
      <c r="B5499">
        <v>1999.8</v>
      </c>
      <c r="C5499">
        <v>2000</v>
      </c>
      <c r="D5499" t="s">
        <v>5981</v>
      </c>
    </row>
    <row r="5500" spans="1:4" x14ac:dyDescent="0.2">
      <c r="A5500">
        <v>6</v>
      </c>
      <c r="B5500">
        <v>2000.2</v>
      </c>
      <c r="C5500">
        <v>2000</v>
      </c>
      <c r="D5500" t="s">
        <v>5981</v>
      </c>
    </row>
    <row r="5501" spans="1:4" x14ac:dyDescent="0.2">
      <c r="A5501">
        <v>1</v>
      </c>
      <c r="B5501">
        <v>2250.1999999999998</v>
      </c>
      <c r="C5501">
        <v>2250</v>
      </c>
      <c r="D5501" t="s">
        <v>5981</v>
      </c>
    </row>
    <row r="5502" spans="1:4" x14ac:dyDescent="0.2">
      <c r="A5502">
        <v>2</v>
      </c>
      <c r="B5502">
        <v>2250</v>
      </c>
      <c r="C5502">
        <v>2250</v>
      </c>
      <c r="D5502" t="s">
        <v>5981</v>
      </c>
    </row>
    <row r="5503" spans="1:4" x14ac:dyDescent="0.2">
      <c r="A5503">
        <v>3</v>
      </c>
      <c r="B5503">
        <v>2250.1999999999998</v>
      </c>
      <c r="C5503">
        <v>2250</v>
      </c>
      <c r="D5503" t="s">
        <v>5981</v>
      </c>
    </row>
    <row r="5504" spans="1:4" x14ac:dyDescent="0.2">
      <c r="A5504">
        <v>4</v>
      </c>
      <c r="B5504">
        <v>2250.3000000000002</v>
      </c>
      <c r="C5504">
        <v>2250</v>
      </c>
      <c r="D5504" t="s">
        <v>5981</v>
      </c>
    </row>
    <row r="5505" spans="1:4" x14ac:dyDescent="0.2">
      <c r="A5505">
        <v>5</v>
      </c>
      <c r="B5505">
        <v>2249.9</v>
      </c>
      <c r="C5505">
        <v>2250</v>
      </c>
      <c r="D5505" t="s">
        <v>5981</v>
      </c>
    </row>
    <row r="5506" spans="1:4" x14ac:dyDescent="0.2">
      <c r="A5506">
        <v>6</v>
      </c>
      <c r="B5506">
        <v>2250.3000000000002</v>
      </c>
      <c r="C5506">
        <v>2250</v>
      </c>
      <c r="D5506" t="s">
        <v>5981</v>
      </c>
    </row>
    <row r="5507" spans="1:4" x14ac:dyDescent="0.2">
      <c r="A5507">
        <v>7</v>
      </c>
      <c r="B5507">
        <v>9.9</v>
      </c>
      <c r="C5507">
        <v>10</v>
      </c>
      <c r="D5507" t="s">
        <v>5981</v>
      </c>
    </row>
    <row r="5508" spans="1:4" x14ac:dyDescent="0.2">
      <c r="A5508">
        <v>8</v>
      </c>
      <c r="B5508">
        <v>10.3</v>
      </c>
      <c r="C5508">
        <v>10</v>
      </c>
      <c r="D5508" t="s">
        <v>5981</v>
      </c>
    </row>
    <row r="5509" spans="1:4" x14ac:dyDescent="0.2">
      <c r="A5509">
        <v>9</v>
      </c>
      <c r="B5509">
        <v>10.1</v>
      </c>
      <c r="C5509">
        <v>10</v>
      </c>
      <c r="D5509" t="s">
        <v>5981</v>
      </c>
    </row>
    <row r="5510" spans="1:4" x14ac:dyDescent="0.2">
      <c r="A5510">
        <v>10</v>
      </c>
      <c r="B5510">
        <v>9.9</v>
      </c>
      <c r="C5510">
        <v>10</v>
      </c>
      <c r="D5510" t="s">
        <v>5981</v>
      </c>
    </row>
    <row r="5511" spans="1:4" x14ac:dyDescent="0.2">
      <c r="A5511">
        <v>11</v>
      </c>
      <c r="B5511">
        <v>10</v>
      </c>
      <c r="C5511">
        <v>10</v>
      </c>
      <c r="D5511" t="s">
        <v>5981</v>
      </c>
    </row>
    <row r="5512" spans="1:4" x14ac:dyDescent="0.2">
      <c r="A5512">
        <v>12</v>
      </c>
      <c r="B5512">
        <v>9.8000000000000007</v>
      </c>
      <c r="C5512">
        <v>10</v>
      </c>
      <c r="D5512" t="s">
        <v>5981</v>
      </c>
    </row>
    <row r="5513" spans="1:4" x14ac:dyDescent="0.2">
      <c r="A5513">
        <v>7</v>
      </c>
      <c r="B5513">
        <v>499.7</v>
      </c>
      <c r="C5513">
        <v>500</v>
      </c>
      <c r="D5513" t="s">
        <v>5981</v>
      </c>
    </row>
    <row r="5514" spans="1:4" x14ac:dyDescent="0.2">
      <c r="A5514">
        <v>8</v>
      </c>
      <c r="B5514">
        <v>499.9</v>
      </c>
      <c r="C5514">
        <v>500</v>
      </c>
      <c r="D5514" t="s">
        <v>5981</v>
      </c>
    </row>
    <row r="5515" spans="1:4" x14ac:dyDescent="0.2">
      <c r="A5515">
        <v>9</v>
      </c>
      <c r="B5515">
        <v>499.9</v>
      </c>
      <c r="C5515">
        <v>500</v>
      </c>
      <c r="D5515" t="s">
        <v>5981</v>
      </c>
    </row>
    <row r="5516" spans="1:4" x14ac:dyDescent="0.2">
      <c r="A5516">
        <v>10</v>
      </c>
      <c r="B5516">
        <v>499.8</v>
      </c>
      <c r="C5516">
        <v>500</v>
      </c>
      <c r="D5516" t="s">
        <v>5981</v>
      </c>
    </row>
    <row r="5517" spans="1:4" x14ac:dyDescent="0.2">
      <c r="A5517">
        <v>11</v>
      </c>
      <c r="B5517">
        <v>499.8</v>
      </c>
      <c r="C5517">
        <v>500</v>
      </c>
      <c r="D5517" t="s">
        <v>5981</v>
      </c>
    </row>
    <row r="5518" spans="1:4" x14ac:dyDescent="0.2">
      <c r="A5518">
        <v>12</v>
      </c>
      <c r="B5518">
        <v>499.7</v>
      </c>
      <c r="C5518">
        <v>500</v>
      </c>
      <c r="D5518" t="s">
        <v>5981</v>
      </c>
    </row>
    <row r="5519" spans="1:4" x14ac:dyDescent="0.2">
      <c r="A5519">
        <v>7</v>
      </c>
      <c r="B5519">
        <v>999.7</v>
      </c>
      <c r="C5519">
        <v>1000</v>
      </c>
      <c r="D5519" t="s">
        <v>5981</v>
      </c>
    </row>
    <row r="5520" spans="1:4" x14ac:dyDescent="0.2">
      <c r="A5520">
        <v>8</v>
      </c>
      <c r="B5520">
        <v>999.8</v>
      </c>
      <c r="C5520">
        <v>1000</v>
      </c>
      <c r="D5520" t="s">
        <v>5981</v>
      </c>
    </row>
    <row r="5521" spans="1:4" x14ac:dyDescent="0.2">
      <c r="A5521">
        <v>9</v>
      </c>
      <c r="B5521">
        <v>999.8</v>
      </c>
      <c r="C5521">
        <v>1000</v>
      </c>
      <c r="D5521" t="s">
        <v>5981</v>
      </c>
    </row>
    <row r="5522" spans="1:4" x14ac:dyDescent="0.2">
      <c r="A5522">
        <v>10</v>
      </c>
      <c r="B5522">
        <v>999.9</v>
      </c>
      <c r="C5522">
        <v>1000</v>
      </c>
      <c r="D5522" t="s">
        <v>5981</v>
      </c>
    </row>
    <row r="5523" spans="1:4" x14ac:dyDescent="0.2">
      <c r="A5523">
        <v>11</v>
      </c>
      <c r="B5523">
        <v>999.8</v>
      </c>
      <c r="C5523">
        <v>1000</v>
      </c>
      <c r="D5523" t="s">
        <v>5981</v>
      </c>
    </row>
    <row r="5524" spans="1:4" x14ac:dyDescent="0.2">
      <c r="A5524">
        <v>12</v>
      </c>
      <c r="B5524">
        <v>999.7</v>
      </c>
      <c r="C5524">
        <v>1000</v>
      </c>
      <c r="D5524" t="s">
        <v>5981</v>
      </c>
    </row>
    <row r="5525" spans="1:4" x14ac:dyDescent="0.2">
      <c r="A5525">
        <v>7</v>
      </c>
      <c r="B5525">
        <v>1499.7</v>
      </c>
      <c r="C5525">
        <v>1500</v>
      </c>
      <c r="D5525" t="s">
        <v>5981</v>
      </c>
    </row>
    <row r="5526" spans="1:4" x14ac:dyDescent="0.2">
      <c r="A5526">
        <v>8</v>
      </c>
      <c r="B5526">
        <v>1499.7</v>
      </c>
      <c r="C5526">
        <v>1500</v>
      </c>
      <c r="D5526" t="s">
        <v>5981</v>
      </c>
    </row>
    <row r="5527" spans="1:4" x14ac:dyDescent="0.2">
      <c r="A5527">
        <v>9</v>
      </c>
      <c r="B5527">
        <v>1499.6</v>
      </c>
      <c r="C5527">
        <v>1500</v>
      </c>
      <c r="D5527" t="s">
        <v>5981</v>
      </c>
    </row>
    <row r="5528" spans="1:4" x14ac:dyDescent="0.2">
      <c r="A5528">
        <v>10</v>
      </c>
      <c r="B5528">
        <v>1499.9</v>
      </c>
      <c r="C5528">
        <v>1500</v>
      </c>
      <c r="D5528" t="s">
        <v>5981</v>
      </c>
    </row>
    <row r="5529" spans="1:4" x14ac:dyDescent="0.2">
      <c r="A5529">
        <v>11</v>
      </c>
      <c r="B5529">
        <v>1500</v>
      </c>
      <c r="C5529">
        <v>1500</v>
      </c>
      <c r="D5529" t="s">
        <v>5981</v>
      </c>
    </row>
    <row r="5530" spans="1:4" x14ac:dyDescent="0.2">
      <c r="A5530">
        <v>12</v>
      </c>
      <c r="B5530">
        <v>1500.1</v>
      </c>
      <c r="C5530">
        <v>1500</v>
      </c>
      <c r="D5530" t="s">
        <v>5981</v>
      </c>
    </row>
    <row r="5531" spans="1:4" x14ac:dyDescent="0.2">
      <c r="A5531">
        <v>7</v>
      </c>
      <c r="B5531">
        <v>1999.6</v>
      </c>
      <c r="C5531">
        <v>2000</v>
      </c>
      <c r="D5531" t="s">
        <v>5981</v>
      </c>
    </row>
    <row r="5532" spans="1:4" x14ac:dyDescent="0.2">
      <c r="A5532">
        <v>8</v>
      </c>
      <c r="B5532">
        <v>1999.6</v>
      </c>
      <c r="C5532">
        <v>2000</v>
      </c>
      <c r="D5532" t="s">
        <v>5981</v>
      </c>
    </row>
    <row r="5533" spans="1:4" x14ac:dyDescent="0.2">
      <c r="A5533">
        <v>9</v>
      </c>
      <c r="B5533">
        <v>1999.9</v>
      </c>
      <c r="C5533">
        <v>2000</v>
      </c>
      <c r="D5533" t="s">
        <v>5981</v>
      </c>
    </row>
    <row r="5534" spans="1:4" x14ac:dyDescent="0.2">
      <c r="A5534">
        <v>10</v>
      </c>
      <c r="B5534">
        <v>2000.1</v>
      </c>
      <c r="C5534">
        <v>2000</v>
      </c>
      <c r="D5534" t="s">
        <v>5981</v>
      </c>
    </row>
    <row r="5535" spans="1:4" x14ac:dyDescent="0.2">
      <c r="A5535">
        <v>11</v>
      </c>
      <c r="B5535">
        <v>1999.9</v>
      </c>
      <c r="C5535">
        <v>2000</v>
      </c>
      <c r="D5535" t="s">
        <v>5981</v>
      </c>
    </row>
    <row r="5536" spans="1:4" x14ac:dyDescent="0.2">
      <c r="A5536">
        <v>12</v>
      </c>
      <c r="B5536">
        <v>1999.8</v>
      </c>
      <c r="C5536">
        <v>2000</v>
      </c>
      <c r="D5536" t="s">
        <v>5981</v>
      </c>
    </row>
    <row r="5537" spans="1:4" x14ac:dyDescent="0.2">
      <c r="A5537">
        <v>7</v>
      </c>
      <c r="B5537">
        <v>2249.6999999999998</v>
      </c>
      <c r="C5537">
        <v>2250</v>
      </c>
      <c r="D5537" t="s">
        <v>5981</v>
      </c>
    </row>
    <row r="5538" spans="1:4" x14ac:dyDescent="0.2">
      <c r="A5538">
        <v>8</v>
      </c>
      <c r="B5538">
        <v>2249.5</v>
      </c>
      <c r="C5538">
        <v>2250</v>
      </c>
      <c r="D5538" t="s">
        <v>5981</v>
      </c>
    </row>
    <row r="5539" spans="1:4" x14ac:dyDescent="0.2">
      <c r="A5539">
        <v>9</v>
      </c>
      <c r="B5539">
        <v>2250.1</v>
      </c>
      <c r="C5539">
        <v>2250</v>
      </c>
      <c r="D5539" t="s">
        <v>5981</v>
      </c>
    </row>
    <row r="5540" spans="1:4" x14ac:dyDescent="0.2">
      <c r="A5540">
        <v>10</v>
      </c>
      <c r="B5540">
        <v>2250.3000000000002</v>
      </c>
      <c r="C5540">
        <v>2250</v>
      </c>
      <c r="D5540" t="s">
        <v>5981</v>
      </c>
    </row>
    <row r="5541" spans="1:4" x14ac:dyDescent="0.2">
      <c r="A5541">
        <v>11</v>
      </c>
      <c r="B5541">
        <v>2250</v>
      </c>
      <c r="C5541">
        <v>2250</v>
      </c>
      <c r="D5541" t="s">
        <v>5981</v>
      </c>
    </row>
    <row r="5542" spans="1:4" x14ac:dyDescent="0.2">
      <c r="A5542">
        <v>12</v>
      </c>
      <c r="B5542">
        <v>2250</v>
      </c>
      <c r="C5542">
        <v>2250</v>
      </c>
      <c r="D5542" t="s">
        <v>5981</v>
      </c>
    </row>
    <row r="5543" spans="1:4" x14ac:dyDescent="0.2">
      <c r="A5543">
        <v>13</v>
      </c>
      <c r="B5543">
        <v>10</v>
      </c>
      <c r="C5543">
        <v>10</v>
      </c>
      <c r="D5543" t="s">
        <v>5981</v>
      </c>
    </row>
    <row r="5544" spans="1:4" x14ac:dyDescent="0.2">
      <c r="A5544">
        <v>14</v>
      </c>
      <c r="B5544">
        <v>10.1</v>
      </c>
      <c r="C5544">
        <v>10</v>
      </c>
      <c r="D5544" t="s">
        <v>5981</v>
      </c>
    </row>
    <row r="5545" spans="1:4" x14ac:dyDescent="0.2">
      <c r="A5545">
        <v>15</v>
      </c>
      <c r="B5545">
        <v>9.9</v>
      </c>
      <c r="C5545">
        <v>10</v>
      </c>
      <c r="D5545" t="s">
        <v>5981</v>
      </c>
    </row>
    <row r="5546" spans="1:4" x14ac:dyDescent="0.2">
      <c r="A5546">
        <v>16</v>
      </c>
      <c r="B5546">
        <v>9.8000000000000007</v>
      </c>
      <c r="C5546">
        <v>10</v>
      </c>
      <c r="D5546" t="s">
        <v>5981</v>
      </c>
    </row>
    <row r="5547" spans="1:4" x14ac:dyDescent="0.2">
      <c r="A5547">
        <v>17</v>
      </c>
      <c r="B5547">
        <v>9.9</v>
      </c>
      <c r="C5547">
        <v>10</v>
      </c>
      <c r="D5547" t="s">
        <v>5981</v>
      </c>
    </row>
    <row r="5548" spans="1:4" x14ac:dyDescent="0.2">
      <c r="A5548">
        <v>18</v>
      </c>
      <c r="B5548">
        <v>10</v>
      </c>
      <c r="C5548">
        <v>10</v>
      </c>
      <c r="D5548" t="s">
        <v>5981</v>
      </c>
    </row>
    <row r="5549" spans="1:4" x14ac:dyDescent="0.2">
      <c r="A5549">
        <v>13</v>
      </c>
      <c r="B5549">
        <v>499.9</v>
      </c>
      <c r="C5549">
        <v>500</v>
      </c>
      <c r="D5549" t="s">
        <v>5981</v>
      </c>
    </row>
    <row r="5550" spans="1:4" x14ac:dyDescent="0.2">
      <c r="A5550">
        <v>14</v>
      </c>
      <c r="B5550">
        <v>499.9</v>
      </c>
      <c r="C5550">
        <v>500</v>
      </c>
      <c r="D5550" t="s">
        <v>5981</v>
      </c>
    </row>
    <row r="5551" spans="1:4" x14ac:dyDescent="0.2">
      <c r="A5551">
        <v>15</v>
      </c>
      <c r="B5551">
        <v>499.7</v>
      </c>
      <c r="C5551">
        <v>500</v>
      </c>
      <c r="D5551" t="s">
        <v>5981</v>
      </c>
    </row>
    <row r="5552" spans="1:4" x14ac:dyDescent="0.2">
      <c r="A5552">
        <v>16</v>
      </c>
      <c r="B5552">
        <v>499.6</v>
      </c>
      <c r="C5552">
        <v>500</v>
      </c>
      <c r="D5552" t="s">
        <v>5981</v>
      </c>
    </row>
    <row r="5553" spans="1:4" x14ac:dyDescent="0.2">
      <c r="A5553">
        <v>17</v>
      </c>
      <c r="B5553">
        <v>499.8</v>
      </c>
      <c r="C5553">
        <v>500</v>
      </c>
      <c r="D5553" t="s">
        <v>5981</v>
      </c>
    </row>
    <row r="5554" spans="1:4" x14ac:dyDescent="0.2">
      <c r="A5554">
        <v>18</v>
      </c>
      <c r="B5554">
        <v>499.8</v>
      </c>
      <c r="C5554">
        <v>500</v>
      </c>
      <c r="D5554" t="s">
        <v>5981</v>
      </c>
    </row>
    <row r="5555" spans="1:4" x14ac:dyDescent="0.2">
      <c r="A5555">
        <v>13</v>
      </c>
      <c r="B5555">
        <v>999.8</v>
      </c>
      <c r="C5555">
        <v>1000</v>
      </c>
      <c r="D5555" t="s">
        <v>5981</v>
      </c>
    </row>
    <row r="5556" spans="1:4" x14ac:dyDescent="0.2">
      <c r="A5556">
        <v>14</v>
      </c>
      <c r="B5556">
        <v>999.8</v>
      </c>
      <c r="C5556">
        <v>1000</v>
      </c>
      <c r="D5556" t="s">
        <v>5981</v>
      </c>
    </row>
    <row r="5557" spans="1:4" x14ac:dyDescent="0.2">
      <c r="A5557">
        <v>15</v>
      </c>
      <c r="B5557">
        <v>999.8</v>
      </c>
      <c r="C5557">
        <v>1000</v>
      </c>
      <c r="D5557" t="s">
        <v>5981</v>
      </c>
    </row>
    <row r="5558" spans="1:4" x14ac:dyDescent="0.2">
      <c r="A5558">
        <v>16</v>
      </c>
      <c r="B5558">
        <v>999.8</v>
      </c>
      <c r="C5558">
        <v>1000</v>
      </c>
      <c r="D5558" t="s">
        <v>5981</v>
      </c>
    </row>
    <row r="5559" spans="1:4" x14ac:dyDescent="0.2">
      <c r="A5559">
        <v>17</v>
      </c>
      <c r="B5559">
        <v>999.9</v>
      </c>
      <c r="C5559">
        <v>1000</v>
      </c>
      <c r="D5559" t="s">
        <v>5981</v>
      </c>
    </row>
    <row r="5560" spans="1:4" x14ac:dyDescent="0.2">
      <c r="A5560">
        <v>18</v>
      </c>
      <c r="B5560">
        <v>999.8</v>
      </c>
      <c r="C5560">
        <v>1000</v>
      </c>
      <c r="D5560" t="s">
        <v>5981</v>
      </c>
    </row>
    <row r="5561" spans="1:4" x14ac:dyDescent="0.2">
      <c r="A5561">
        <v>13</v>
      </c>
      <c r="B5561">
        <v>1500</v>
      </c>
      <c r="C5561">
        <v>1500</v>
      </c>
      <c r="D5561" t="s">
        <v>5981</v>
      </c>
    </row>
    <row r="5562" spans="1:4" x14ac:dyDescent="0.2">
      <c r="A5562">
        <v>14</v>
      </c>
      <c r="B5562">
        <v>1499.9</v>
      </c>
      <c r="C5562">
        <v>1500</v>
      </c>
      <c r="D5562" t="s">
        <v>5981</v>
      </c>
    </row>
    <row r="5563" spans="1:4" x14ac:dyDescent="0.2">
      <c r="A5563">
        <v>15</v>
      </c>
      <c r="B5563">
        <v>1499.8</v>
      </c>
      <c r="C5563">
        <v>1500</v>
      </c>
      <c r="D5563" t="s">
        <v>5981</v>
      </c>
    </row>
    <row r="5564" spans="1:4" x14ac:dyDescent="0.2">
      <c r="A5564">
        <v>16</v>
      </c>
      <c r="B5564">
        <v>1499.7</v>
      </c>
      <c r="C5564">
        <v>1500</v>
      </c>
      <c r="D5564" t="s">
        <v>5981</v>
      </c>
    </row>
    <row r="5565" spans="1:4" x14ac:dyDescent="0.2">
      <c r="A5565">
        <v>17</v>
      </c>
      <c r="B5565">
        <v>1499.9</v>
      </c>
      <c r="C5565">
        <v>1500</v>
      </c>
      <c r="D5565" t="s">
        <v>5981</v>
      </c>
    </row>
    <row r="5566" spans="1:4" x14ac:dyDescent="0.2">
      <c r="A5566">
        <v>18</v>
      </c>
      <c r="B5566">
        <v>1499.9</v>
      </c>
      <c r="C5566">
        <v>1500</v>
      </c>
      <c r="D5566" t="s">
        <v>5981</v>
      </c>
    </row>
    <row r="5567" spans="1:4" x14ac:dyDescent="0.2">
      <c r="A5567">
        <v>13</v>
      </c>
      <c r="B5567">
        <v>2000</v>
      </c>
      <c r="C5567">
        <v>2000</v>
      </c>
      <c r="D5567" t="s">
        <v>5981</v>
      </c>
    </row>
    <row r="5568" spans="1:4" x14ac:dyDescent="0.2">
      <c r="A5568">
        <v>14</v>
      </c>
      <c r="B5568">
        <v>1999.9</v>
      </c>
      <c r="C5568">
        <v>2000</v>
      </c>
      <c r="D5568" t="s">
        <v>5981</v>
      </c>
    </row>
    <row r="5569" spans="1:4" x14ac:dyDescent="0.2">
      <c r="A5569">
        <v>15</v>
      </c>
      <c r="B5569">
        <v>1999.9</v>
      </c>
      <c r="C5569">
        <v>2000</v>
      </c>
      <c r="D5569" t="s">
        <v>5981</v>
      </c>
    </row>
    <row r="5570" spans="1:4" x14ac:dyDescent="0.2">
      <c r="A5570">
        <v>16</v>
      </c>
      <c r="B5570">
        <v>1999.8</v>
      </c>
      <c r="C5570">
        <v>2000</v>
      </c>
      <c r="D5570" t="s">
        <v>5981</v>
      </c>
    </row>
    <row r="5571" spans="1:4" x14ac:dyDescent="0.2">
      <c r="A5571">
        <v>17</v>
      </c>
      <c r="B5571">
        <v>1999.9</v>
      </c>
      <c r="C5571">
        <v>2000</v>
      </c>
      <c r="D5571" t="s">
        <v>5981</v>
      </c>
    </row>
    <row r="5572" spans="1:4" x14ac:dyDescent="0.2">
      <c r="A5572">
        <v>18</v>
      </c>
      <c r="B5572">
        <v>1999.9</v>
      </c>
      <c r="C5572">
        <v>2000</v>
      </c>
      <c r="D5572" t="s">
        <v>5981</v>
      </c>
    </row>
    <row r="5573" spans="1:4" x14ac:dyDescent="0.2">
      <c r="A5573">
        <v>13</v>
      </c>
      <c r="B5573">
        <v>2250.1999999999998</v>
      </c>
      <c r="C5573">
        <v>2250</v>
      </c>
      <c r="D5573" t="s">
        <v>5981</v>
      </c>
    </row>
    <row r="5574" spans="1:4" x14ac:dyDescent="0.2">
      <c r="A5574">
        <v>14</v>
      </c>
      <c r="B5574">
        <v>2250</v>
      </c>
      <c r="C5574">
        <v>2250</v>
      </c>
      <c r="D5574" t="s">
        <v>5981</v>
      </c>
    </row>
    <row r="5575" spans="1:4" x14ac:dyDescent="0.2">
      <c r="A5575">
        <v>15</v>
      </c>
      <c r="B5575">
        <v>2250</v>
      </c>
      <c r="C5575">
        <v>2250</v>
      </c>
      <c r="D5575" t="s">
        <v>5981</v>
      </c>
    </row>
    <row r="5576" spans="1:4" x14ac:dyDescent="0.2">
      <c r="A5576">
        <v>16</v>
      </c>
      <c r="B5576">
        <v>2249.9</v>
      </c>
      <c r="C5576">
        <v>2250</v>
      </c>
      <c r="D5576" t="s">
        <v>5981</v>
      </c>
    </row>
    <row r="5577" spans="1:4" x14ac:dyDescent="0.2">
      <c r="A5577">
        <v>17</v>
      </c>
      <c r="B5577">
        <v>2250.1</v>
      </c>
      <c r="C5577">
        <v>2250</v>
      </c>
      <c r="D5577" t="s">
        <v>5981</v>
      </c>
    </row>
    <row r="5578" spans="1:4" x14ac:dyDescent="0.2">
      <c r="A5578">
        <v>18</v>
      </c>
      <c r="B5578">
        <v>2250</v>
      </c>
      <c r="C5578">
        <v>2250</v>
      </c>
      <c r="D5578" t="s">
        <v>5981</v>
      </c>
    </row>
    <row r="5579" spans="1:4" x14ac:dyDescent="0.2">
      <c r="A5579">
        <v>19</v>
      </c>
      <c r="B5579">
        <v>9.9</v>
      </c>
      <c r="C5579">
        <v>10</v>
      </c>
      <c r="D5579" t="s">
        <v>5981</v>
      </c>
    </row>
    <row r="5580" spans="1:4" x14ac:dyDescent="0.2">
      <c r="A5580">
        <v>20</v>
      </c>
      <c r="B5580">
        <v>9.9</v>
      </c>
      <c r="C5580">
        <v>10</v>
      </c>
      <c r="D5580" t="s">
        <v>5981</v>
      </c>
    </row>
    <row r="5581" spans="1:4" x14ac:dyDescent="0.2">
      <c r="A5581">
        <v>21</v>
      </c>
      <c r="B5581">
        <v>9.9</v>
      </c>
      <c r="C5581">
        <v>10</v>
      </c>
      <c r="D5581" t="s">
        <v>5981</v>
      </c>
    </row>
    <row r="5582" spans="1:4" x14ac:dyDescent="0.2">
      <c r="A5582">
        <v>22</v>
      </c>
      <c r="B5582">
        <v>9.6999999999999993</v>
      </c>
      <c r="C5582">
        <v>10</v>
      </c>
      <c r="D5582" t="s">
        <v>5981</v>
      </c>
    </row>
    <row r="5583" spans="1:4" x14ac:dyDescent="0.2">
      <c r="A5583">
        <v>23</v>
      </c>
      <c r="B5583">
        <v>9.6999999999999993</v>
      </c>
      <c r="C5583">
        <v>10</v>
      </c>
      <c r="D5583" t="s">
        <v>5981</v>
      </c>
    </row>
    <row r="5584" spans="1:4" x14ac:dyDescent="0.2">
      <c r="A5584">
        <v>24</v>
      </c>
      <c r="B5584">
        <v>9.9</v>
      </c>
      <c r="C5584">
        <v>10</v>
      </c>
      <c r="D5584" t="s">
        <v>5981</v>
      </c>
    </row>
    <row r="5585" spans="1:4" x14ac:dyDescent="0.2">
      <c r="A5585">
        <v>19</v>
      </c>
      <c r="B5585">
        <v>499.8</v>
      </c>
      <c r="C5585">
        <v>500</v>
      </c>
      <c r="D5585" t="s">
        <v>5981</v>
      </c>
    </row>
    <row r="5586" spans="1:4" x14ac:dyDescent="0.2">
      <c r="A5586">
        <v>20</v>
      </c>
      <c r="B5586">
        <v>499.7</v>
      </c>
      <c r="C5586">
        <v>500</v>
      </c>
      <c r="D5586" t="s">
        <v>5981</v>
      </c>
    </row>
    <row r="5587" spans="1:4" x14ac:dyDescent="0.2">
      <c r="A5587">
        <v>21</v>
      </c>
      <c r="B5587">
        <v>499.7</v>
      </c>
      <c r="C5587">
        <v>500</v>
      </c>
      <c r="D5587" t="s">
        <v>5981</v>
      </c>
    </row>
    <row r="5588" spans="1:4" x14ac:dyDescent="0.2">
      <c r="A5588">
        <v>22</v>
      </c>
      <c r="B5588">
        <v>499.6</v>
      </c>
      <c r="C5588">
        <v>500</v>
      </c>
      <c r="D5588" t="s">
        <v>5981</v>
      </c>
    </row>
    <row r="5589" spans="1:4" x14ac:dyDescent="0.2">
      <c r="A5589">
        <v>23</v>
      </c>
      <c r="B5589">
        <v>499.5</v>
      </c>
      <c r="C5589">
        <v>500</v>
      </c>
      <c r="D5589" t="s">
        <v>5981</v>
      </c>
    </row>
    <row r="5590" spans="1:4" x14ac:dyDescent="0.2">
      <c r="A5590">
        <v>24</v>
      </c>
      <c r="B5590">
        <v>499.7</v>
      </c>
      <c r="C5590">
        <v>500</v>
      </c>
      <c r="D5590" t="s">
        <v>5981</v>
      </c>
    </row>
    <row r="5591" spans="1:4" x14ac:dyDescent="0.2">
      <c r="A5591">
        <v>19</v>
      </c>
      <c r="B5591">
        <v>999.9</v>
      </c>
      <c r="C5591">
        <v>1000</v>
      </c>
      <c r="D5591" t="s">
        <v>5981</v>
      </c>
    </row>
    <row r="5592" spans="1:4" x14ac:dyDescent="0.2">
      <c r="A5592">
        <v>20</v>
      </c>
      <c r="B5592">
        <v>999.7</v>
      </c>
      <c r="C5592">
        <v>1000</v>
      </c>
      <c r="D5592" t="s">
        <v>5981</v>
      </c>
    </row>
    <row r="5593" spans="1:4" x14ac:dyDescent="0.2">
      <c r="A5593">
        <v>21</v>
      </c>
      <c r="B5593">
        <v>999.8</v>
      </c>
      <c r="C5593">
        <v>1000</v>
      </c>
      <c r="D5593" t="s">
        <v>5981</v>
      </c>
    </row>
    <row r="5594" spans="1:4" x14ac:dyDescent="0.2">
      <c r="A5594">
        <v>22</v>
      </c>
      <c r="B5594">
        <v>999.7</v>
      </c>
      <c r="C5594">
        <v>1000</v>
      </c>
      <c r="D5594" t="s">
        <v>5981</v>
      </c>
    </row>
    <row r="5595" spans="1:4" x14ac:dyDescent="0.2">
      <c r="A5595">
        <v>23</v>
      </c>
      <c r="B5595">
        <v>999.7</v>
      </c>
      <c r="C5595">
        <v>1000</v>
      </c>
      <c r="D5595" t="s">
        <v>5981</v>
      </c>
    </row>
    <row r="5596" spans="1:4" x14ac:dyDescent="0.2">
      <c r="A5596">
        <v>24</v>
      </c>
      <c r="B5596">
        <v>999.8</v>
      </c>
      <c r="C5596">
        <v>1000</v>
      </c>
      <c r="D5596" t="s">
        <v>5981</v>
      </c>
    </row>
    <row r="5597" spans="1:4" x14ac:dyDescent="0.2">
      <c r="A5597">
        <v>19</v>
      </c>
      <c r="B5597">
        <v>1499.9</v>
      </c>
      <c r="C5597">
        <v>1500</v>
      </c>
      <c r="D5597" t="s">
        <v>5981</v>
      </c>
    </row>
    <row r="5598" spans="1:4" x14ac:dyDescent="0.2">
      <c r="A5598">
        <v>20</v>
      </c>
      <c r="B5598">
        <v>1499.7</v>
      </c>
      <c r="C5598">
        <v>1500</v>
      </c>
      <c r="D5598" t="s">
        <v>5981</v>
      </c>
    </row>
    <row r="5599" spans="1:4" x14ac:dyDescent="0.2">
      <c r="A5599">
        <v>21</v>
      </c>
      <c r="B5599">
        <v>1499.8</v>
      </c>
      <c r="C5599">
        <v>1500</v>
      </c>
      <c r="D5599" t="s">
        <v>5981</v>
      </c>
    </row>
    <row r="5600" spans="1:4" x14ac:dyDescent="0.2">
      <c r="A5600">
        <v>22</v>
      </c>
      <c r="B5600">
        <v>1499.7</v>
      </c>
      <c r="C5600">
        <v>1500</v>
      </c>
      <c r="D5600" t="s">
        <v>5981</v>
      </c>
    </row>
    <row r="5601" spans="1:4" x14ac:dyDescent="0.2">
      <c r="A5601">
        <v>23</v>
      </c>
      <c r="B5601">
        <v>1499.7</v>
      </c>
      <c r="C5601">
        <v>1500</v>
      </c>
      <c r="D5601" t="s">
        <v>5981</v>
      </c>
    </row>
    <row r="5602" spans="1:4" x14ac:dyDescent="0.2">
      <c r="A5602">
        <v>24</v>
      </c>
      <c r="B5602">
        <v>1499.6</v>
      </c>
      <c r="C5602">
        <v>1500</v>
      </c>
      <c r="D5602" t="s">
        <v>5981</v>
      </c>
    </row>
    <row r="5603" spans="1:4" x14ac:dyDescent="0.2">
      <c r="A5603">
        <v>19</v>
      </c>
      <c r="B5603">
        <v>1999.9</v>
      </c>
      <c r="C5603">
        <v>2000</v>
      </c>
      <c r="D5603" t="s">
        <v>5981</v>
      </c>
    </row>
    <row r="5604" spans="1:4" x14ac:dyDescent="0.2">
      <c r="A5604">
        <v>20</v>
      </c>
      <c r="B5604">
        <v>1999.7</v>
      </c>
      <c r="C5604">
        <v>2000</v>
      </c>
      <c r="D5604" t="s">
        <v>5981</v>
      </c>
    </row>
    <row r="5605" spans="1:4" x14ac:dyDescent="0.2">
      <c r="A5605">
        <v>21</v>
      </c>
      <c r="B5605">
        <v>1999.8</v>
      </c>
      <c r="C5605">
        <v>2000</v>
      </c>
      <c r="D5605" t="s">
        <v>5981</v>
      </c>
    </row>
    <row r="5606" spans="1:4" x14ac:dyDescent="0.2">
      <c r="A5606">
        <v>22</v>
      </c>
      <c r="B5606">
        <v>1999.7</v>
      </c>
      <c r="C5606">
        <v>2000</v>
      </c>
      <c r="D5606" t="s">
        <v>5981</v>
      </c>
    </row>
    <row r="5607" spans="1:4" x14ac:dyDescent="0.2">
      <c r="A5607">
        <v>23</v>
      </c>
      <c r="B5607">
        <v>1999.7</v>
      </c>
      <c r="C5607">
        <v>2000</v>
      </c>
      <c r="D5607" t="s">
        <v>5981</v>
      </c>
    </row>
    <row r="5608" spans="1:4" x14ac:dyDescent="0.2">
      <c r="A5608">
        <v>24</v>
      </c>
      <c r="B5608">
        <v>1999.8</v>
      </c>
      <c r="C5608">
        <v>2000</v>
      </c>
      <c r="D5608" t="s">
        <v>5981</v>
      </c>
    </row>
    <row r="5609" spans="1:4" x14ac:dyDescent="0.2">
      <c r="A5609">
        <v>19</v>
      </c>
      <c r="B5609">
        <v>2250.1</v>
      </c>
      <c r="C5609">
        <v>2250</v>
      </c>
      <c r="D5609" t="s">
        <v>5981</v>
      </c>
    </row>
    <row r="5610" spans="1:4" x14ac:dyDescent="0.2">
      <c r="A5610">
        <v>20</v>
      </c>
      <c r="B5610">
        <v>2249.9</v>
      </c>
      <c r="C5610">
        <v>2250</v>
      </c>
      <c r="D5610" t="s">
        <v>5981</v>
      </c>
    </row>
    <row r="5611" spans="1:4" x14ac:dyDescent="0.2">
      <c r="A5611">
        <v>21</v>
      </c>
      <c r="B5611">
        <v>2249.9</v>
      </c>
      <c r="C5611">
        <v>2250</v>
      </c>
      <c r="D5611" t="s">
        <v>5981</v>
      </c>
    </row>
    <row r="5612" spans="1:4" x14ac:dyDescent="0.2">
      <c r="A5612">
        <v>22</v>
      </c>
      <c r="B5612">
        <v>2249.8000000000002</v>
      </c>
      <c r="C5612">
        <v>2250</v>
      </c>
      <c r="D5612" t="s">
        <v>5981</v>
      </c>
    </row>
    <row r="5613" spans="1:4" x14ac:dyDescent="0.2">
      <c r="A5613">
        <v>23</v>
      </c>
      <c r="B5613">
        <v>2249.8000000000002</v>
      </c>
      <c r="C5613">
        <v>2250</v>
      </c>
      <c r="D5613" t="s">
        <v>5981</v>
      </c>
    </row>
    <row r="5614" spans="1:4" x14ac:dyDescent="0.2">
      <c r="A5614">
        <v>24</v>
      </c>
      <c r="B5614">
        <v>2250</v>
      </c>
      <c r="C5614">
        <v>2250</v>
      </c>
      <c r="D5614" t="s">
        <v>5981</v>
      </c>
    </row>
    <row r="5615" spans="1:4" x14ac:dyDescent="0.2">
      <c r="A5615">
        <v>25</v>
      </c>
      <c r="B5615">
        <v>9.6</v>
      </c>
      <c r="C5615">
        <v>10</v>
      </c>
      <c r="D5615" t="s">
        <v>5981</v>
      </c>
    </row>
    <row r="5616" spans="1:4" x14ac:dyDescent="0.2">
      <c r="A5616">
        <v>26</v>
      </c>
      <c r="B5616">
        <v>9.8000000000000007</v>
      </c>
      <c r="C5616">
        <v>10</v>
      </c>
      <c r="D5616" t="s">
        <v>5981</v>
      </c>
    </row>
    <row r="5617" spans="1:4" x14ac:dyDescent="0.2">
      <c r="A5617">
        <v>27</v>
      </c>
      <c r="B5617">
        <v>9.9</v>
      </c>
      <c r="C5617">
        <v>10</v>
      </c>
      <c r="D5617" t="s">
        <v>5981</v>
      </c>
    </row>
    <row r="5618" spans="1:4" x14ac:dyDescent="0.2">
      <c r="A5618">
        <v>28</v>
      </c>
      <c r="B5618">
        <v>10.1</v>
      </c>
      <c r="C5618">
        <v>10</v>
      </c>
      <c r="D5618" t="s">
        <v>5981</v>
      </c>
    </row>
    <row r="5619" spans="1:4" x14ac:dyDescent="0.2">
      <c r="A5619">
        <v>29</v>
      </c>
      <c r="B5619">
        <v>10</v>
      </c>
      <c r="C5619">
        <v>10</v>
      </c>
      <c r="D5619" t="s">
        <v>5981</v>
      </c>
    </row>
    <row r="5620" spans="1:4" x14ac:dyDescent="0.2">
      <c r="A5620">
        <v>30</v>
      </c>
      <c r="B5620">
        <v>10.199999999999999</v>
      </c>
      <c r="C5620">
        <v>10</v>
      </c>
      <c r="D5620" t="s">
        <v>5981</v>
      </c>
    </row>
    <row r="5621" spans="1:4" x14ac:dyDescent="0.2">
      <c r="A5621">
        <v>25</v>
      </c>
      <c r="B5621">
        <v>499.5</v>
      </c>
      <c r="C5621">
        <v>500</v>
      </c>
      <c r="D5621" t="s">
        <v>5981</v>
      </c>
    </row>
    <row r="5622" spans="1:4" x14ac:dyDescent="0.2">
      <c r="A5622">
        <v>26</v>
      </c>
      <c r="B5622">
        <v>499.7</v>
      </c>
      <c r="C5622">
        <v>500</v>
      </c>
      <c r="D5622" t="s">
        <v>5981</v>
      </c>
    </row>
    <row r="5623" spans="1:4" x14ac:dyDescent="0.2">
      <c r="A5623">
        <v>27</v>
      </c>
      <c r="B5623">
        <v>499.8</v>
      </c>
      <c r="C5623">
        <v>500</v>
      </c>
      <c r="D5623" t="s">
        <v>5981</v>
      </c>
    </row>
    <row r="5624" spans="1:4" x14ac:dyDescent="0.2">
      <c r="A5624">
        <v>28</v>
      </c>
      <c r="B5624">
        <v>499.9</v>
      </c>
      <c r="C5624">
        <v>500</v>
      </c>
      <c r="D5624" t="s">
        <v>5981</v>
      </c>
    </row>
    <row r="5625" spans="1:4" x14ac:dyDescent="0.2">
      <c r="A5625">
        <v>29</v>
      </c>
      <c r="B5625">
        <v>499.6</v>
      </c>
      <c r="C5625">
        <v>500</v>
      </c>
      <c r="D5625" t="s">
        <v>5981</v>
      </c>
    </row>
    <row r="5626" spans="1:4" x14ac:dyDescent="0.2">
      <c r="A5626">
        <v>30</v>
      </c>
      <c r="B5626">
        <v>499.8</v>
      </c>
      <c r="C5626">
        <v>500</v>
      </c>
      <c r="D5626" t="s">
        <v>5981</v>
      </c>
    </row>
    <row r="5627" spans="1:4" x14ac:dyDescent="0.2">
      <c r="A5627">
        <v>25</v>
      </c>
      <c r="B5627">
        <v>999.7</v>
      </c>
      <c r="C5627">
        <v>1000</v>
      </c>
      <c r="D5627" t="s">
        <v>5981</v>
      </c>
    </row>
    <row r="5628" spans="1:4" x14ac:dyDescent="0.2">
      <c r="A5628">
        <v>26</v>
      </c>
      <c r="B5628">
        <v>999.8</v>
      </c>
      <c r="C5628">
        <v>1000</v>
      </c>
      <c r="D5628" t="s">
        <v>5981</v>
      </c>
    </row>
    <row r="5629" spans="1:4" x14ac:dyDescent="0.2">
      <c r="A5629">
        <v>27</v>
      </c>
      <c r="B5629">
        <v>999.9</v>
      </c>
      <c r="C5629">
        <v>1000</v>
      </c>
      <c r="D5629" t="s">
        <v>5981</v>
      </c>
    </row>
    <row r="5630" spans="1:4" x14ac:dyDescent="0.2">
      <c r="A5630">
        <v>28</v>
      </c>
      <c r="B5630">
        <v>1000</v>
      </c>
      <c r="C5630">
        <v>1000</v>
      </c>
      <c r="D5630" t="s">
        <v>5981</v>
      </c>
    </row>
    <row r="5631" spans="1:4" x14ac:dyDescent="0.2">
      <c r="A5631">
        <v>29</v>
      </c>
      <c r="B5631">
        <v>999.6</v>
      </c>
      <c r="C5631">
        <v>1000</v>
      </c>
      <c r="D5631" t="s">
        <v>5981</v>
      </c>
    </row>
    <row r="5632" spans="1:4" x14ac:dyDescent="0.2">
      <c r="A5632">
        <v>30</v>
      </c>
      <c r="B5632">
        <v>999.7</v>
      </c>
      <c r="C5632">
        <v>1000</v>
      </c>
      <c r="D5632" t="s">
        <v>5981</v>
      </c>
    </row>
    <row r="5633" spans="1:4" x14ac:dyDescent="0.2">
      <c r="A5633">
        <v>25</v>
      </c>
      <c r="B5633">
        <v>1499.8</v>
      </c>
      <c r="C5633">
        <v>1500</v>
      </c>
      <c r="D5633" t="s">
        <v>5981</v>
      </c>
    </row>
    <row r="5634" spans="1:4" x14ac:dyDescent="0.2">
      <c r="A5634">
        <v>26</v>
      </c>
      <c r="B5634">
        <v>1499.8</v>
      </c>
      <c r="C5634">
        <v>1500</v>
      </c>
      <c r="D5634" t="s">
        <v>5981</v>
      </c>
    </row>
    <row r="5635" spans="1:4" x14ac:dyDescent="0.2">
      <c r="A5635">
        <v>27</v>
      </c>
      <c r="B5635">
        <v>1499.9</v>
      </c>
      <c r="C5635">
        <v>1500</v>
      </c>
      <c r="D5635" t="s">
        <v>5981</v>
      </c>
    </row>
    <row r="5636" spans="1:4" x14ac:dyDescent="0.2">
      <c r="A5636">
        <v>28</v>
      </c>
      <c r="B5636">
        <v>1500</v>
      </c>
      <c r="C5636">
        <v>1500</v>
      </c>
      <c r="D5636" t="s">
        <v>5981</v>
      </c>
    </row>
    <row r="5637" spans="1:4" x14ac:dyDescent="0.2">
      <c r="A5637">
        <v>29</v>
      </c>
      <c r="B5637">
        <v>1499.5</v>
      </c>
      <c r="C5637">
        <v>1500</v>
      </c>
      <c r="D5637" t="s">
        <v>5981</v>
      </c>
    </row>
    <row r="5638" spans="1:4" x14ac:dyDescent="0.2">
      <c r="A5638">
        <v>30</v>
      </c>
      <c r="B5638">
        <v>1499.6</v>
      </c>
      <c r="C5638">
        <v>1500</v>
      </c>
      <c r="D5638" t="s">
        <v>5981</v>
      </c>
    </row>
    <row r="5639" spans="1:4" x14ac:dyDescent="0.2">
      <c r="A5639">
        <v>25</v>
      </c>
      <c r="B5639">
        <v>1999.8</v>
      </c>
      <c r="C5639">
        <v>2000</v>
      </c>
      <c r="D5639" t="s">
        <v>5981</v>
      </c>
    </row>
    <row r="5640" spans="1:4" x14ac:dyDescent="0.2">
      <c r="A5640">
        <v>26</v>
      </c>
      <c r="B5640">
        <v>1999.7</v>
      </c>
      <c r="C5640">
        <v>2000</v>
      </c>
      <c r="D5640" t="s">
        <v>5981</v>
      </c>
    </row>
    <row r="5641" spans="1:4" x14ac:dyDescent="0.2">
      <c r="A5641">
        <v>27</v>
      </c>
      <c r="B5641">
        <v>2000</v>
      </c>
      <c r="C5641">
        <v>2000</v>
      </c>
      <c r="D5641" t="s">
        <v>5981</v>
      </c>
    </row>
    <row r="5642" spans="1:4" x14ac:dyDescent="0.2">
      <c r="A5642">
        <v>28</v>
      </c>
      <c r="B5642">
        <v>2000</v>
      </c>
      <c r="C5642">
        <v>2000</v>
      </c>
      <c r="D5642" t="s">
        <v>5981</v>
      </c>
    </row>
    <row r="5643" spans="1:4" x14ac:dyDescent="0.2">
      <c r="A5643">
        <v>29</v>
      </c>
      <c r="B5643">
        <v>1999.5</v>
      </c>
      <c r="C5643">
        <v>2000</v>
      </c>
      <c r="D5643" t="s">
        <v>5981</v>
      </c>
    </row>
    <row r="5644" spans="1:4" x14ac:dyDescent="0.2">
      <c r="A5644">
        <v>30</v>
      </c>
      <c r="B5644">
        <v>1999.6</v>
      </c>
      <c r="C5644">
        <v>2000</v>
      </c>
      <c r="D5644" t="s">
        <v>5981</v>
      </c>
    </row>
    <row r="5645" spans="1:4" x14ac:dyDescent="0.2">
      <c r="A5645">
        <v>25</v>
      </c>
      <c r="B5645">
        <v>2249.9</v>
      </c>
      <c r="C5645">
        <v>2250</v>
      </c>
      <c r="D5645" t="s">
        <v>5981</v>
      </c>
    </row>
    <row r="5646" spans="1:4" x14ac:dyDescent="0.2">
      <c r="A5646">
        <v>26</v>
      </c>
      <c r="B5646">
        <v>2249.9</v>
      </c>
      <c r="C5646">
        <v>2250</v>
      </c>
      <c r="D5646" t="s">
        <v>5981</v>
      </c>
    </row>
    <row r="5647" spans="1:4" x14ac:dyDescent="0.2">
      <c r="A5647">
        <v>27</v>
      </c>
      <c r="B5647">
        <v>2250.1</v>
      </c>
      <c r="C5647">
        <v>2250</v>
      </c>
      <c r="D5647" t="s">
        <v>5981</v>
      </c>
    </row>
    <row r="5648" spans="1:4" x14ac:dyDescent="0.2">
      <c r="A5648">
        <v>28</v>
      </c>
      <c r="B5648">
        <v>2250.1999999999998</v>
      </c>
      <c r="C5648">
        <v>2250</v>
      </c>
      <c r="D5648" t="s">
        <v>5981</v>
      </c>
    </row>
    <row r="5649" spans="1:4" x14ac:dyDescent="0.2">
      <c r="A5649">
        <v>29</v>
      </c>
      <c r="B5649">
        <v>2249.5</v>
      </c>
      <c r="C5649">
        <v>2250</v>
      </c>
      <c r="D5649" t="s">
        <v>5981</v>
      </c>
    </row>
    <row r="5650" spans="1:4" x14ac:dyDescent="0.2">
      <c r="A5650">
        <v>30</v>
      </c>
      <c r="B5650">
        <v>2249.6</v>
      </c>
      <c r="C5650">
        <v>2250</v>
      </c>
      <c r="D5650" t="s">
        <v>5981</v>
      </c>
    </row>
    <row r="5651" spans="1:4" x14ac:dyDescent="0.2">
      <c r="A5651">
        <v>31</v>
      </c>
      <c r="B5651">
        <v>9.9</v>
      </c>
      <c r="C5651">
        <v>10</v>
      </c>
      <c r="D5651" t="s">
        <v>5981</v>
      </c>
    </row>
    <row r="5652" spans="1:4" x14ac:dyDescent="0.2">
      <c r="A5652">
        <v>32</v>
      </c>
      <c r="B5652">
        <v>9.9</v>
      </c>
      <c r="C5652">
        <v>10</v>
      </c>
      <c r="D5652" t="s">
        <v>5981</v>
      </c>
    </row>
    <row r="5653" spans="1:4" x14ac:dyDescent="0.2">
      <c r="A5653">
        <v>33</v>
      </c>
      <c r="B5653">
        <v>9.9</v>
      </c>
      <c r="C5653">
        <v>10</v>
      </c>
      <c r="D5653" t="s">
        <v>5981</v>
      </c>
    </row>
    <row r="5654" spans="1:4" x14ac:dyDescent="0.2">
      <c r="A5654">
        <v>34</v>
      </c>
      <c r="B5654">
        <v>9.8000000000000007</v>
      </c>
      <c r="C5654">
        <v>10</v>
      </c>
      <c r="D5654" t="s">
        <v>5981</v>
      </c>
    </row>
    <row r="5655" spans="1:4" x14ac:dyDescent="0.2">
      <c r="A5655">
        <v>35</v>
      </c>
      <c r="B5655">
        <v>10</v>
      </c>
      <c r="C5655">
        <v>10</v>
      </c>
      <c r="D5655" t="s">
        <v>5981</v>
      </c>
    </row>
    <row r="5656" spans="1:4" x14ac:dyDescent="0.2">
      <c r="A5656">
        <v>36</v>
      </c>
      <c r="B5656">
        <v>9.8000000000000007</v>
      </c>
      <c r="C5656">
        <v>10</v>
      </c>
      <c r="D5656" t="s">
        <v>5981</v>
      </c>
    </row>
    <row r="5657" spans="1:4" x14ac:dyDescent="0.2">
      <c r="A5657">
        <v>31</v>
      </c>
      <c r="B5657">
        <v>499.5</v>
      </c>
      <c r="C5657">
        <v>500</v>
      </c>
      <c r="D5657" t="s">
        <v>5981</v>
      </c>
    </row>
    <row r="5658" spans="1:4" x14ac:dyDescent="0.2">
      <c r="A5658">
        <v>32</v>
      </c>
      <c r="B5658">
        <v>499.6</v>
      </c>
      <c r="C5658">
        <v>500</v>
      </c>
      <c r="D5658" t="s">
        <v>5981</v>
      </c>
    </row>
    <row r="5659" spans="1:4" x14ac:dyDescent="0.2">
      <c r="A5659">
        <v>33</v>
      </c>
      <c r="B5659">
        <v>499.6</v>
      </c>
      <c r="C5659">
        <v>500</v>
      </c>
      <c r="D5659" t="s">
        <v>5981</v>
      </c>
    </row>
    <row r="5660" spans="1:4" x14ac:dyDescent="0.2">
      <c r="A5660">
        <v>34</v>
      </c>
      <c r="B5660">
        <v>499.5</v>
      </c>
      <c r="C5660">
        <v>500</v>
      </c>
      <c r="D5660" t="s">
        <v>5981</v>
      </c>
    </row>
    <row r="5661" spans="1:4" x14ac:dyDescent="0.2">
      <c r="A5661">
        <v>35</v>
      </c>
      <c r="B5661">
        <v>499.7</v>
      </c>
      <c r="C5661">
        <v>500</v>
      </c>
      <c r="D5661" t="s">
        <v>5981</v>
      </c>
    </row>
    <row r="5662" spans="1:4" x14ac:dyDescent="0.2">
      <c r="A5662">
        <v>36</v>
      </c>
      <c r="B5662">
        <v>499.7</v>
      </c>
      <c r="C5662">
        <v>500</v>
      </c>
      <c r="D5662" t="s">
        <v>5981</v>
      </c>
    </row>
    <row r="5663" spans="1:4" x14ac:dyDescent="0.2">
      <c r="A5663">
        <v>31</v>
      </c>
      <c r="B5663">
        <v>999.6</v>
      </c>
      <c r="C5663">
        <v>1000</v>
      </c>
      <c r="D5663" t="s">
        <v>5981</v>
      </c>
    </row>
    <row r="5664" spans="1:4" x14ac:dyDescent="0.2">
      <c r="A5664">
        <v>32</v>
      </c>
      <c r="B5664">
        <v>999.6</v>
      </c>
      <c r="C5664">
        <v>1000</v>
      </c>
      <c r="D5664" t="s">
        <v>5981</v>
      </c>
    </row>
    <row r="5665" spans="1:4" x14ac:dyDescent="0.2">
      <c r="A5665">
        <v>33</v>
      </c>
      <c r="B5665">
        <v>999.7</v>
      </c>
      <c r="C5665">
        <v>1000</v>
      </c>
      <c r="D5665" t="s">
        <v>5981</v>
      </c>
    </row>
    <row r="5666" spans="1:4" x14ac:dyDescent="0.2">
      <c r="A5666">
        <v>34</v>
      </c>
      <c r="B5666">
        <v>999.6</v>
      </c>
      <c r="C5666">
        <v>1000</v>
      </c>
      <c r="D5666" t="s">
        <v>5981</v>
      </c>
    </row>
    <row r="5667" spans="1:4" x14ac:dyDescent="0.2">
      <c r="A5667">
        <v>35</v>
      </c>
      <c r="B5667">
        <v>999.7</v>
      </c>
      <c r="C5667">
        <v>1000</v>
      </c>
      <c r="D5667" t="s">
        <v>5981</v>
      </c>
    </row>
    <row r="5668" spans="1:4" x14ac:dyDescent="0.2">
      <c r="A5668">
        <v>36</v>
      </c>
      <c r="B5668">
        <v>999.6</v>
      </c>
      <c r="C5668">
        <v>1000</v>
      </c>
      <c r="D5668" t="s">
        <v>5981</v>
      </c>
    </row>
    <row r="5669" spans="1:4" x14ac:dyDescent="0.2">
      <c r="A5669">
        <v>31</v>
      </c>
      <c r="B5669">
        <v>1499.5</v>
      </c>
      <c r="C5669">
        <v>1500</v>
      </c>
      <c r="D5669" t="s">
        <v>5981</v>
      </c>
    </row>
    <row r="5670" spans="1:4" x14ac:dyDescent="0.2">
      <c r="A5670">
        <v>32</v>
      </c>
      <c r="B5670">
        <v>1499.6</v>
      </c>
      <c r="C5670">
        <v>1500</v>
      </c>
      <c r="D5670" t="s">
        <v>5981</v>
      </c>
    </row>
    <row r="5671" spans="1:4" x14ac:dyDescent="0.2">
      <c r="A5671">
        <v>33</v>
      </c>
      <c r="B5671">
        <v>1499.7</v>
      </c>
      <c r="C5671">
        <v>1500</v>
      </c>
      <c r="D5671" t="s">
        <v>5981</v>
      </c>
    </row>
    <row r="5672" spans="1:4" x14ac:dyDescent="0.2">
      <c r="A5672">
        <v>34</v>
      </c>
      <c r="B5672">
        <v>1499.6</v>
      </c>
      <c r="C5672">
        <v>1500</v>
      </c>
      <c r="D5672" t="s">
        <v>5981</v>
      </c>
    </row>
    <row r="5673" spans="1:4" x14ac:dyDescent="0.2">
      <c r="A5673">
        <v>35</v>
      </c>
      <c r="B5673">
        <v>1499.6</v>
      </c>
      <c r="C5673">
        <v>1500</v>
      </c>
      <c r="D5673" t="s">
        <v>5981</v>
      </c>
    </row>
    <row r="5674" spans="1:4" x14ac:dyDescent="0.2">
      <c r="A5674">
        <v>36</v>
      </c>
      <c r="B5674">
        <v>1499.5</v>
      </c>
      <c r="C5674">
        <v>1500</v>
      </c>
      <c r="D5674" t="s">
        <v>5981</v>
      </c>
    </row>
    <row r="5675" spans="1:4" x14ac:dyDescent="0.2">
      <c r="A5675">
        <v>31</v>
      </c>
      <c r="B5675">
        <v>1999.5</v>
      </c>
      <c r="C5675">
        <v>2000</v>
      </c>
      <c r="D5675" t="s">
        <v>5981</v>
      </c>
    </row>
    <row r="5676" spans="1:4" x14ac:dyDescent="0.2">
      <c r="A5676">
        <v>32</v>
      </c>
      <c r="B5676">
        <v>1999.6</v>
      </c>
      <c r="C5676">
        <v>2000</v>
      </c>
      <c r="D5676" t="s">
        <v>5981</v>
      </c>
    </row>
    <row r="5677" spans="1:4" x14ac:dyDescent="0.2">
      <c r="A5677">
        <v>33</v>
      </c>
      <c r="B5677">
        <v>1999.8</v>
      </c>
      <c r="C5677">
        <v>2000</v>
      </c>
      <c r="D5677" t="s">
        <v>5981</v>
      </c>
    </row>
    <row r="5678" spans="1:4" x14ac:dyDescent="0.2">
      <c r="A5678">
        <v>34</v>
      </c>
      <c r="B5678">
        <v>1999.7</v>
      </c>
      <c r="C5678">
        <v>2000</v>
      </c>
      <c r="D5678" t="s">
        <v>5981</v>
      </c>
    </row>
    <row r="5679" spans="1:4" x14ac:dyDescent="0.2">
      <c r="A5679">
        <v>35</v>
      </c>
      <c r="B5679">
        <v>1999.7</v>
      </c>
      <c r="C5679">
        <v>2000</v>
      </c>
      <c r="D5679" t="s">
        <v>5981</v>
      </c>
    </row>
    <row r="5680" spans="1:4" x14ac:dyDescent="0.2">
      <c r="A5680">
        <v>36</v>
      </c>
      <c r="B5680">
        <v>1999.5</v>
      </c>
      <c r="C5680">
        <v>2000</v>
      </c>
      <c r="D5680" t="s">
        <v>5981</v>
      </c>
    </row>
    <row r="5681" spans="1:4" x14ac:dyDescent="0.2">
      <c r="A5681">
        <v>31</v>
      </c>
      <c r="B5681">
        <v>2249.5</v>
      </c>
      <c r="C5681">
        <v>2250</v>
      </c>
      <c r="D5681" t="s">
        <v>5981</v>
      </c>
    </row>
    <row r="5682" spans="1:4" x14ac:dyDescent="0.2">
      <c r="A5682">
        <v>32</v>
      </c>
      <c r="B5682">
        <v>2249.6999999999998</v>
      </c>
      <c r="C5682">
        <v>2250</v>
      </c>
      <c r="D5682" t="s">
        <v>5981</v>
      </c>
    </row>
    <row r="5683" spans="1:4" x14ac:dyDescent="0.2">
      <c r="A5683">
        <v>33</v>
      </c>
      <c r="B5683">
        <v>2250.1</v>
      </c>
      <c r="C5683">
        <v>2250</v>
      </c>
      <c r="D5683" t="s">
        <v>5981</v>
      </c>
    </row>
    <row r="5684" spans="1:4" x14ac:dyDescent="0.2">
      <c r="A5684">
        <v>34</v>
      </c>
      <c r="B5684">
        <v>2249.8000000000002</v>
      </c>
      <c r="C5684">
        <v>2250</v>
      </c>
      <c r="D5684" t="s">
        <v>5981</v>
      </c>
    </row>
    <row r="5685" spans="1:4" x14ac:dyDescent="0.2">
      <c r="A5685">
        <v>35</v>
      </c>
      <c r="B5685">
        <v>2249.6999999999998</v>
      </c>
      <c r="C5685">
        <v>2250</v>
      </c>
      <c r="D5685" t="s">
        <v>5981</v>
      </c>
    </row>
    <row r="5686" spans="1:4" x14ac:dyDescent="0.2">
      <c r="A5686">
        <v>36</v>
      </c>
      <c r="B5686">
        <v>2249.5</v>
      </c>
      <c r="C5686">
        <v>2250</v>
      </c>
      <c r="D5686" t="s">
        <v>5981</v>
      </c>
    </row>
    <row r="5687" spans="1:4" x14ac:dyDescent="0.2">
      <c r="A5687">
        <v>37</v>
      </c>
      <c r="B5687">
        <v>10.3</v>
      </c>
      <c r="C5687">
        <v>10</v>
      </c>
      <c r="D5687" t="s">
        <v>5981</v>
      </c>
    </row>
    <row r="5688" spans="1:4" x14ac:dyDescent="0.2">
      <c r="A5688">
        <v>38</v>
      </c>
      <c r="B5688">
        <v>9.8000000000000007</v>
      </c>
      <c r="C5688">
        <v>10</v>
      </c>
      <c r="D5688" t="s">
        <v>5981</v>
      </c>
    </row>
    <row r="5689" spans="1:4" x14ac:dyDescent="0.2">
      <c r="A5689">
        <v>39</v>
      </c>
      <c r="B5689">
        <v>10.1</v>
      </c>
      <c r="C5689">
        <v>10</v>
      </c>
      <c r="D5689" t="s">
        <v>5981</v>
      </c>
    </row>
    <row r="5690" spans="1:4" x14ac:dyDescent="0.2">
      <c r="A5690">
        <v>40</v>
      </c>
      <c r="B5690">
        <v>9.9</v>
      </c>
      <c r="C5690">
        <v>10</v>
      </c>
      <c r="D5690" t="s">
        <v>5981</v>
      </c>
    </row>
    <row r="5691" spans="1:4" x14ac:dyDescent="0.2">
      <c r="A5691">
        <v>37</v>
      </c>
      <c r="B5691">
        <v>499.8</v>
      </c>
      <c r="C5691">
        <v>500</v>
      </c>
      <c r="D5691" t="s">
        <v>5981</v>
      </c>
    </row>
    <row r="5692" spans="1:4" x14ac:dyDescent="0.2">
      <c r="A5692">
        <v>38</v>
      </c>
      <c r="B5692">
        <v>499.5</v>
      </c>
      <c r="C5692">
        <v>500</v>
      </c>
      <c r="D5692" t="s">
        <v>5981</v>
      </c>
    </row>
    <row r="5693" spans="1:4" x14ac:dyDescent="0.2">
      <c r="A5693">
        <v>39</v>
      </c>
      <c r="B5693">
        <v>499.7</v>
      </c>
      <c r="C5693">
        <v>500</v>
      </c>
      <c r="D5693" t="s">
        <v>5981</v>
      </c>
    </row>
    <row r="5694" spans="1:4" x14ac:dyDescent="0.2">
      <c r="A5694">
        <v>40</v>
      </c>
      <c r="B5694">
        <v>499.6</v>
      </c>
      <c r="C5694">
        <v>500</v>
      </c>
      <c r="D5694" t="s">
        <v>5981</v>
      </c>
    </row>
    <row r="5695" spans="1:4" x14ac:dyDescent="0.2">
      <c r="A5695">
        <v>37</v>
      </c>
      <c r="B5695">
        <v>999.8</v>
      </c>
      <c r="C5695">
        <v>1000</v>
      </c>
      <c r="D5695" t="s">
        <v>5981</v>
      </c>
    </row>
    <row r="5696" spans="1:4" x14ac:dyDescent="0.2">
      <c r="A5696">
        <v>38</v>
      </c>
      <c r="B5696">
        <v>999.6</v>
      </c>
      <c r="C5696">
        <v>1000</v>
      </c>
      <c r="D5696" t="s">
        <v>5981</v>
      </c>
    </row>
    <row r="5697" spans="1:4" x14ac:dyDescent="0.2">
      <c r="A5697">
        <v>39</v>
      </c>
      <c r="B5697">
        <v>999.7</v>
      </c>
      <c r="C5697">
        <v>1000</v>
      </c>
      <c r="D5697" t="s">
        <v>5981</v>
      </c>
    </row>
    <row r="5698" spans="1:4" x14ac:dyDescent="0.2">
      <c r="A5698">
        <v>40</v>
      </c>
      <c r="B5698">
        <v>999.6</v>
      </c>
      <c r="C5698">
        <v>1000</v>
      </c>
      <c r="D5698" t="s">
        <v>5981</v>
      </c>
    </row>
    <row r="5699" spans="1:4" x14ac:dyDescent="0.2">
      <c r="A5699">
        <v>37</v>
      </c>
      <c r="B5699">
        <v>1499.6</v>
      </c>
      <c r="C5699">
        <v>1500</v>
      </c>
      <c r="D5699" t="s">
        <v>5981</v>
      </c>
    </row>
    <row r="5700" spans="1:4" x14ac:dyDescent="0.2">
      <c r="A5700">
        <v>38</v>
      </c>
      <c r="B5700">
        <v>1499.6</v>
      </c>
      <c r="C5700">
        <v>1500</v>
      </c>
      <c r="D5700" t="s">
        <v>5981</v>
      </c>
    </row>
    <row r="5701" spans="1:4" x14ac:dyDescent="0.2">
      <c r="A5701">
        <v>39</v>
      </c>
      <c r="B5701">
        <v>1499.6</v>
      </c>
      <c r="C5701">
        <v>1500</v>
      </c>
      <c r="D5701" t="s">
        <v>5981</v>
      </c>
    </row>
    <row r="5702" spans="1:4" x14ac:dyDescent="0.2">
      <c r="A5702">
        <v>40</v>
      </c>
      <c r="B5702">
        <v>1499.5</v>
      </c>
      <c r="C5702">
        <v>1500</v>
      </c>
      <c r="D5702" t="s">
        <v>5981</v>
      </c>
    </row>
    <row r="5703" spans="1:4" x14ac:dyDescent="0.2">
      <c r="A5703">
        <v>37</v>
      </c>
      <c r="B5703">
        <v>1999.5</v>
      </c>
      <c r="C5703">
        <v>2000</v>
      </c>
      <c r="D5703" t="s">
        <v>5981</v>
      </c>
    </row>
    <row r="5704" spans="1:4" x14ac:dyDescent="0.2">
      <c r="A5704">
        <v>38</v>
      </c>
      <c r="B5704">
        <v>1999.7</v>
      </c>
      <c r="C5704">
        <v>2000</v>
      </c>
      <c r="D5704" t="s">
        <v>5981</v>
      </c>
    </row>
    <row r="5705" spans="1:4" x14ac:dyDescent="0.2">
      <c r="A5705">
        <v>39</v>
      </c>
      <c r="B5705">
        <v>1999.6</v>
      </c>
      <c r="C5705">
        <v>2000</v>
      </c>
      <c r="D5705" t="s">
        <v>5981</v>
      </c>
    </row>
    <row r="5706" spans="1:4" x14ac:dyDescent="0.2">
      <c r="A5706">
        <v>40</v>
      </c>
      <c r="B5706">
        <v>1999.5</v>
      </c>
      <c r="C5706">
        <v>2000</v>
      </c>
      <c r="D5706" t="s">
        <v>5981</v>
      </c>
    </row>
    <row r="5707" spans="1:4" x14ac:dyDescent="0.2">
      <c r="A5707">
        <v>37</v>
      </c>
      <c r="B5707">
        <v>2249.5</v>
      </c>
      <c r="C5707">
        <v>2250</v>
      </c>
      <c r="D5707" t="s">
        <v>5981</v>
      </c>
    </row>
    <row r="5708" spans="1:4" x14ac:dyDescent="0.2">
      <c r="A5708">
        <v>38</v>
      </c>
      <c r="B5708">
        <v>2249.9</v>
      </c>
      <c r="C5708">
        <v>2250</v>
      </c>
      <c r="D5708" t="s">
        <v>5981</v>
      </c>
    </row>
    <row r="5709" spans="1:4" x14ac:dyDescent="0.2">
      <c r="A5709">
        <v>39</v>
      </c>
      <c r="B5709">
        <v>2249.6</v>
      </c>
      <c r="C5709">
        <v>2250</v>
      </c>
      <c r="D5709" t="s">
        <v>5981</v>
      </c>
    </row>
    <row r="5710" spans="1:4" x14ac:dyDescent="0.2">
      <c r="A5710">
        <v>40</v>
      </c>
      <c r="B5710">
        <v>2249.5</v>
      </c>
      <c r="C5710">
        <v>2250</v>
      </c>
      <c r="D5710" t="s">
        <v>5981</v>
      </c>
    </row>
    <row r="5711" spans="1:4" x14ac:dyDescent="0.2">
      <c r="A5711">
        <v>1</v>
      </c>
      <c r="B5711">
        <v>-99.8</v>
      </c>
      <c r="C5711">
        <v>-100</v>
      </c>
      <c r="D5711" t="s">
        <v>5982</v>
      </c>
    </row>
    <row r="5712" spans="1:4" x14ac:dyDescent="0.2">
      <c r="A5712">
        <v>2</v>
      </c>
      <c r="B5712">
        <v>-100.1</v>
      </c>
      <c r="C5712">
        <v>-100</v>
      </c>
      <c r="D5712" t="s">
        <v>5982</v>
      </c>
    </row>
    <row r="5713" spans="1:4" x14ac:dyDescent="0.2">
      <c r="A5713">
        <v>3</v>
      </c>
      <c r="B5713">
        <v>-99.9</v>
      </c>
      <c r="C5713">
        <v>-100</v>
      </c>
      <c r="D5713" t="s">
        <v>5982</v>
      </c>
    </row>
    <row r="5714" spans="1:4" x14ac:dyDescent="0.2">
      <c r="A5714">
        <v>4</v>
      </c>
      <c r="B5714">
        <v>-99.8</v>
      </c>
      <c r="C5714">
        <v>-100</v>
      </c>
      <c r="D5714" t="s">
        <v>5982</v>
      </c>
    </row>
    <row r="5715" spans="1:4" x14ac:dyDescent="0.2">
      <c r="A5715">
        <v>5</v>
      </c>
      <c r="B5715">
        <v>-100</v>
      </c>
      <c r="C5715">
        <v>-100</v>
      </c>
      <c r="D5715" t="s">
        <v>5982</v>
      </c>
    </row>
    <row r="5716" spans="1:4" x14ac:dyDescent="0.2">
      <c r="A5716">
        <v>6</v>
      </c>
      <c r="B5716">
        <v>-99.9</v>
      </c>
      <c r="C5716">
        <v>-100</v>
      </c>
      <c r="D5716" t="s">
        <v>5982</v>
      </c>
    </row>
    <row r="5717" spans="1:4" x14ac:dyDescent="0.2">
      <c r="A5717">
        <v>1</v>
      </c>
      <c r="B5717">
        <v>-49.8</v>
      </c>
      <c r="C5717">
        <v>-50</v>
      </c>
      <c r="D5717" t="s">
        <v>5982</v>
      </c>
    </row>
    <row r="5718" spans="1:4" x14ac:dyDescent="0.2">
      <c r="A5718">
        <v>2</v>
      </c>
      <c r="B5718">
        <v>-50.1</v>
      </c>
      <c r="C5718">
        <v>-50</v>
      </c>
      <c r="D5718" t="s">
        <v>5982</v>
      </c>
    </row>
    <row r="5719" spans="1:4" x14ac:dyDescent="0.2">
      <c r="A5719">
        <v>3</v>
      </c>
      <c r="B5719">
        <v>-49.9</v>
      </c>
      <c r="C5719">
        <v>-50</v>
      </c>
      <c r="D5719" t="s">
        <v>5982</v>
      </c>
    </row>
    <row r="5720" spans="1:4" x14ac:dyDescent="0.2">
      <c r="A5720">
        <v>4</v>
      </c>
      <c r="B5720">
        <v>-49.8</v>
      </c>
      <c r="C5720">
        <v>-50</v>
      </c>
      <c r="D5720" t="s">
        <v>5982</v>
      </c>
    </row>
    <row r="5721" spans="1:4" x14ac:dyDescent="0.2">
      <c r="A5721">
        <v>5</v>
      </c>
      <c r="B5721">
        <v>-50</v>
      </c>
      <c r="C5721">
        <v>-50</v>
      </c>
      <c r="D5721" t="s">
        <v>5982</v>
      </c>
    </row>
    <row r="5722" spans="1:4" x14ac:dyDescent="0.2">
      <c r="A5722">
        <v>6</v>
      </c>
      <c r="B5722">
        <v>-49.9</v>
      </c>
      <c r="C5722">
        <v>-50</v>
      </c>
      <c r="D5722" t="s">
        <v>5982</v>
      </c>
    </row>
    <row r="5723" spans="1:4" x14ac:dyDescent="0.2">
      <c r="A5723">
        <v>1</v>
      </c>
      <c r="B5723">
        <v>0.2</v>
      </c>
      <c r="C5723">
        <v>0</v>
      </c>
      <c r="D5723" t="s">
        <v>5982</v>
      </c>
    </row>
    <row r="5724" spans="1:4" x14ac:dyDescent="0.2">
      <c r="A5724">
        <v>2</v>
      </c>
      <c r="B5724">
        <v>-0.1</v>
      </c>
      <c r="C5724">
        <v>0</v>
      </c>
      <c r="D5724" t="s">
        <v>5982</v>
      </c>
    </row>
    <row r="5725" spans="1:4" x14ac:dyDescent="0.2">
      <c r="A5725">
        <v>3</v>
      </c>
      <c r="B5725">
        <v>0.1</v>
      </c>
      <c r="C5725">
        <v>0</v>
      </c>
      <c r="D5725" t="s">
        <v>5982</v>
      </c>
    </row>
    <row r="5726" spans="1:4" x14ac:dyDescent="0.2">
      <c r="A5726">
        <v>4</v>
      </c>
      <c r="B5726">
        <v>0.3</v>
      </c>
      <c r="C5726">
        <v>0</v>
      </c>
      <c r="D5726" t="s">
        <v>5982</v>
      </c>
    </row>
    <row r="5727" spans="1:4" x14ac:dyDescent="0.2">
      <c r="A5727">
        <v>5</v>
      </c>
      <c r="B5727">
        <v>0.1</v>
      </c>
      <c r="C5727">
        <v>0</v>
      </c>
      <c r="D5727" t="s">
        <v>5982</v>
      </c>
    </row>
    <row r="5728" spans="1:4" x14ac:dyDescent="0.2">
      <c r="A5728">
        <v>6</v>
      </c>
      <c r="B5728">
        <v>0.1</v>
      </c>
      <c r="C5728">
        <v>0</v>
      </c>
      <c r="D5728" t="s">
        <v>5982</v>
      </c>
    </row>
    <row r="5729" spans="1:4" x14ac:dyDescent="0.2">
      <c r="A5729">
        <v>1</v>
      </c>
      <c r="B5729">
        <v>250.2</v>
      </c>
      <c r="C5729">
        <v>250</v>
      </c>
      <c r="D5729" t="s">
        <v>5982</v>
      </c>
    </row>
    <row r="5730" spans="1:4" x14ac:dyDescent="0.2">
      <c r="A5730">
        <v>2</v>
      </c>
      <c r="B5730">
        <v>250</v>
      </c>
      <c r="C5730">
        <v>250</v>
      </c>
      <c r="D5730" t="s">
        <v>5982</v>
      </c>
    </row>
    <row r="5731" spans="1:4" x14ac:dyDescent="0.2">
      <c r="A5731">
        <v>3</v>
      </c>
      <c r="B5731">
        <v>250.1</v>
      </c>
      <c r="C5731">
        <v>250</v>
      </c>
      <c r="D5731" t="s">
        <v>5982</v>
      </c>
    </row>
    <row r="5732" spans="1:4" x14ac:dyDescent="0.2">
      <c r="A5732">
        <v>4</v>
      </c>
      <c r="B5732">
        <v>250.3</v>
      </c>
      <c r="C5732">
        <v>250</v>
      </c>
      <c r="D5732" t="s">
        <v>5982</v>
      </c>
    </row>
    <row r="5733" spans="1:4" x14ac:dyDescent="0.2">
      <c r="A5733">
        <v>5</v>
      </c>
      <c r="B5733">
        <v>250.1</v>
      </c>
      <c r="C5733">
        <v>250</v>
      </c>
      <c r="D5733" t="s">
        <v>5982</v>
      </c>
    </row>
    <row r="5734" spans="1:4" x14ac:dyDescent="0.2">
      <c r="A5734">
        <v>6</v>
      </c>
      <c r="B5734">
        <v>250.2</v>
      </c>
      <c r="C5734">
        <v>250</v>
      </c>
      <c r="D5734" t="s">
        <v>5982</v>
      </c>
    </row>
    <row r="5735" spans="1:4" x14ac:dyDescent="0.2">
      <c r="A5735">
        <v>1</v>
      </c>
      <c r="B5735">
        <v>500.3</v>
      </c>
      <c r="C5735">
        <v>500</v>
      </c>
      <c r="D5735" t="s">
        <v>5982</v>
      </c>
    </row>
    <row r="5736" spans="1:4" x14ac:dyDescent="0.2">
      <c r="A5736">
        <v>2</v>
      </c>
      <c r="B5736">
        <v>500</v>
      </c>
      <c r="C5736">
        <v>500</v>
      </c>
      <c r="D5736" t="s">
        <v>5982</v>
      </c>
    </row>
    <row r="5737" spans="1:4" x14ac:dyDescent="0.2">
      <c r="A5737">
        <v>3</v>
      </c>
      <c r="B5737">
        <v>500.2</v>
      </c>
      <c r="C5737">
        <v>500</v>
      </c>
      <c r="D5737" t="s">
        <v>5982</v>
      </c>
    </row>
    <row r="5738" spans="1:4" x14ac:dyDescent="0.2">
      <c r="A5738">
        <v>4</v>
      </c>
      <c r="B5738">
        <v>500.3</v>
      </c>
      <c r="C5738">
        <v>500</v>
      </c>
      <c r="D5738" t="s">
        <v>5982</v>
      </c>
    </row>
    <row r="5739" spans="1:4" x14ac:dyDescent="0.2">
      <c r="A5739">
        <v>5</v>
      </c>
      <c r="B5739">
        <v>500.1</v>
      </c>
      <c r="C5739">
        <v>500</v>
      </c>
      <c r="D5739" t="s">
        <v>5982</v>
      </c>
    </row>
    <row r="5740" spans="1:4" x14ac:dyDescent="0.2">
      <c r="A5740">
        <v>6</v>
      </c>
      <c r="B5740">
        <v>500.2</v>
      </c>
      <c r="C5740">
        <v>500</v>
      </c>
      <c r="D5740" t="s">
        <v>5982</v>
      </c>
    </row>
    <row r="5741" spans="1:4" x14ac:dyDescent="0.2">
      <c r="A5741">
        <v>1</v>
      </c>
      <c r="B5741">
        <v>1000.3</v>
      </c>
      <c r="C5741">
        <v>1000</v>
      </c>
      <c r="D5741" t="s">
        <v>5982</v>
      </c>
    </row>
    <row r="5742" spans="1:4" x14ac:dyDescent="0.2">
      <c r="A5742">
        <v>2</v>
      </c>
      <c r="B5742">
        <v>1000.1</v>
      </c>
      <c r="C5742">
        <v>1000</v>
      </c>
      <c r="D5742" t="s">
        <v>5982</v>
      </c>
    </row>
    <row r="5743" spans="1:4" x14ac:dyDescent="0.2">
      <c r="A5743">
        <v>3</v>
      </c>
      <c r="B5743">
        <v>1000.3</v>
      </c>
      <c r="C5743">
        <v>1000</v>
      </c>
      <c r="D5743" t="s">
        <v>5982</v>
      </c>
    </row>
    <row r="5744" spans="1:4" x14ac:dyDescent="0.2">
      <c r="A5744">
        <v>4</v>
      </c>
      <c r="B5744">
        <v>1000.3</v>
      </c>
      <c r="C5744">
        <v>1000</v>
      </c>
      <c r="D5744" t="s">
        <v>5982</v>
      </c>
    </row>
    <row r="5745" spans="1:4" x14ac:dyDescent="0.2">
      <c r="A5745">
        <v>5</v>
      </c>
      <c r="B5745">
        <v>1000.2</v>
      </c>
      <c r="C5745">
        <v>1000</v>
      </c>
      <c r="D5745" t="s">
        <v>5982</v>
      </c>
    </row>
    <row r="5746" spans="1:4" x14ac:dyDescent="0.2">
      <c r="A5746">
        <v>6</v>
      </c>
      <c r="B5746">
        <v>1000.2</v>
      </c>
      <c r="C5746">
        <v>1000</v>
      </c>
      <c r="D5746" t="s">
        <v>5982</v>
      </c>
    </row>
    <row r="5747" spans="1:4" x14ac:dyDescent="0.2">
      <c r="A5747">
        <v>7</v>
      </c>
      <c r="B5747">
        <v>-100</v>
      </c>
      <c r="C5747">
        <v>-100</v>
      </c>
      <c r="D5747" t="s">
        <v>5982</v>
      </c>
    </row>
    <row r="5748" spans="1:4" x14ac:dyDescent="0.2">
      <c r="A5748">
        <v>8</v>
      </c>
      <c r="B5748">
        <v>-100.2</v>
      </c>
      <c r="C5748">
        <v>-100</v>
      </c>
      <c r="D5748" t="s">
        <v>5982</v>
      </c>
    </row>
    <row r="5749" spans="1:4" x14ac:dyDescent="0.2">
      <c r="A5749">
        <v>9</v>
      </c>
      <c r="B5749">
        <v>-99.8</v>
      </c>
      <c r="C5749">
        <v>-100</v>
      </c>
      <c r="D5749" t="s">
        <v>5982</v>
      </c>
    </row>
    <row r="5750" spans="1:4" x14ac:dyDescent="0.2">
      <c r="A5750">
        <v>10</v>
      </c>
      <c r="B5750">
        <v>-100.1</v>
      </c>
      <c r="C5750">
        <v>-100</v>
      </c>
      <c r="D5750" t="s">
        <v>5982</v>
      </c>
    </row>
    <row r="5751" spans="1:4" x14ac:dyDescent="0.2">
      <c r="A5751">
        <v>11</v>
      </c>
      <c r="B5751">
        <v>-99.8</v>
      </c>
      <c r="C5751">
        <v>-100</v>
      </c>
      <c r="D5751" t="s">
        <v>5982</v>
      </c>
    </row>
    <row r="5752" spans="1:4" x14ac:dyDescent="0.2">
      <c r="A5752">
        <v>12</v>
      </c>
      <c r="B5752">
        <v>-100.2</v>
      </c>
      <c r="C5752">
        <v>-100</v>
      </c>
      <c r="D5752" t="s">
        <v>5982</v>
      </c>
    </row>
    <row r="5753" spans="1:4" x14ac:dyDescent="0.2">
      <c r="A5753">
        <v>7</v>
      </c>
      <c r="B5753">
        <v>-49.9</v>
      </c>
      <c r="C5753">
        <v>-50</v>
      </c>
      <c r="D5753" t="s">
        <v>5982</v>
      </c>
    </row>
    <row r="5754" spans="1:4" x14ac:dyDescent="0.2">
      <c r="A5754">
        <v>8</v>
      </c>
      <c r="B5754">
        <v>-50.2</v>
      </c>
      <c r="C5754">
        <v>-50</v>
      </c>
      <c r="D5754" t="s">
        <v>5982</v>
      </c>
    </row>
    <row r="5755" spans="1:4" x14ac:dyDescent="0.2">
      <c r="A5755">
        <v>9</v>
      </c>
      <c r="B5755">
        <v>-49.8</v>
      </c>
      <c r="C5755">
        <v>-50</v>
      </c>
      <c r="D5755" t="s">
        <v>5982</v>
      </c>
    </row>
    <row r="5756" spans="1:4" x14ac:dyDescent="0.2">
      <c r="A5756">
        <v>10</v>
      </c>
      <c r="B5756">
        <v>-50.1</v>
      </c>
      <c r="C5756">
        <v>-50</v>
      </c>
      <c r="D5756" t="s">
        <v>5982</v>
      </c>
    </row>
    <row r="5757" spans="1:4" x14ac:dyDescent="0.2">
      <c r="A5757">
        <v>11</v>
      </c>
      <c r="B5757">
        <v>-49.8</v>
      </c>
      <c r="C5757">
        <v>-50</v>
      </c>
      <c r="D5757" t="s">
        <v>5982</v>
      </c>
    </row>
    <row r="5758" spans="1:4" x14ac:dyDescent="0.2">
      <c r="A5758">
        <v>12</v>
      </c>
      <c r="B5758">
        <v>-50.2</v>
      </c>
      <c r="C5758">
        <v>-50</v>
      </c>
      <c r="D5758" t="s">
        <v>5982</v>
      </c>
    </row>
    <row r="5759" spans="1:4" x14ac:dyDescent="0.2">
      <c r="A5759">
        <v>7</v>
      </c>
      <c r="B5759">
        <v>0.1</v>
      </c>
      <c r="C5759">
        <v>0</v>
      </c>
      <c r="D5759" t="s">
        <v>5982</v>
      </c>
    </row>
    <row r="5760" spans="1:4" x14ac:dyDescent="0.2">
      <c r="A5760">
        <v>8</v>
      </c>
      <c r="B5760">
        <v>-0.1</v>
      </c>
      <c r="C5760">
        <v>0</v>
      </c>
      <c r="D5760" t="s">
        <v>5982</v>
      </c>
    </row>
    <row r="5761" spans="1:4" x14ac:dyDescent="0.2">
      <c r="A5761">
        <v>9</v>
      </c>
      <c r="B5761">
        <v>0.3</v>
      </c>
      <c r="C5761">
        <v>0</v>
      </c>
      <c r="D5761" t="s">
        <v>5982</v>
      </c>
    </row>
    <row r="5762" spans="1:4" x14ac:dyDescent="0.2">
      <c r="A5762">
        <v>10</v>
      </c>
      <c r="B5762">
        <v>0</v>
      </c>
      <c r="C5762">
        <v>0</v>
      </c>
      <c r="D5762" t="s">
        <v>5982</v>
      </c>
    </row>
    <row r="5763" spans="1:4" x14ac:dyDescent="0.2">
      <c r="A5763">
        <v>11</v>
      </c>
      <c r="B5763">
        <v>0.2</v>
      </c>
      <c r="C5763">
        <v>0</v>
      </c>
      <c r="D5763" t="s">
        <v>5982</v>
      </c>
    </row>
    <row r="5764" spans="1:4" x14ac:dyDescent="0.2">
      <c r="A5764">
        <v>12</v>
      </c>
      <c r="B5764">
        <v>-0.1</v>
      </c>
      <c r="C5764">
        <v>0</v>
      </c>
      <c r="D5764" t="s">
        <v>5982</v>
      </c>
    </row>
    <row r="5765" spans="1:4" x14ac:dyDescent="0.2">
      <c r="A5765">
        <v>7</v>
      </c>
      <c r="B5765">
        <v>250.1</v>
      </c>
      <c r="C5765">
        <v>250</v>
      </c>
      <c r="D5765" t="s">
        <v>5982</v>
      </c>
    </row>
    <row r="5766" spans="1:4" x14ac:dyDescent="0.2">
      <c r="A5766">
        <v>8</v>
      </c>
      <c r="B5766">
        <v>249.8</v>
      </c>
      <c r="C5766">
        <v>250</v>
      </c>
      <c r="D5766" t="s">
        <v>5982</v>
      </c>
    </row>
    <row r="5767" spans="1:4" x14ac:dyDescent="0.2">
      <c r="A5767">
        <v>9</v>
      </c>
      <c r="B5767">
        <v>250.3</v>
      </c>
      <c r="C5767">
        <v>250</v>
      </c>
      <c r="D5767" t="s">
        <v>5982</v>
      </c>
    </row>
    <row r="5768" spans="1:4" x14ac:dyDescent="0.2">
      <c r="A5768">
        <v>10</v>
      </c>
      <c r="B5768">
        <v>250</v>
      </c>
      <c r="C5768">
        <v>250</v>
      </c>
      <c r="D5768" t="s">
        <v>5982</v>
      </c>
    </row>
    <row r="5769" spans="1:4" x14ac:dyDescent="0.2">
      <c r="A5769">
        <v>11</v>
      </c>
      <c r="B5769">
        <v>250.2</v>
      </c>
      <c r="C5769">
        <v>250</v>
      </c>
      <c r="D5769" t="s">
        <v>5982</v>
      </c>
    </row>
    <row r="5770" spans="1:4" x14ac:dyDescent="0.2">
      <c r="A5770">
        <v>12</v>
      </c>
      <c r="B5770">
        <v>250</v>
      </c>
      <c r="C5770">
        <v>250</v>
      </c>
      <c r="D5770" t="s">
        <v>5982</v>
      </c>
    </row>
    <row r="5771" spans="1:4" x14ac:dyDescent="0.2">
      <c r="A5771">
        <v>7</v>
      </c>
      <c r="B5771">
        <v>500.2</v>
      </c>
      <c r="C5771">
        <v>500</v>
      </c>
      <c r="D5771" t="s">
        <v>5982</v>
      </c>
    </row>
    <row r="5772" spans="1:4" x14ac:dyDescent="0.2">
      <c r="A5772">
        <v>8</v>
      </c>
      <c r="B5772">
        <v>499.8</v>
      </c>
      <c r="C5772">
        <v>500</v>
      </c>
      <c r="D5772" t="s">
        <v>5982</v>
      </c>
    </row>
    <row r="5773" spans="1:4" x14ac:dyDescent="0.2">
      <c r="A5773">
        <v>9</v>
      </c>
      <c r="B5773">
        <v>500.3</v>
      </c>
      <c r="C5773">
        <v>500</v>
      </c>
      <c r="D5773" t="s">
        <v>5982</v>
      </c>
    </row>
    <row r="5774" spans="1:4" x14ac:dyDescent="0.2">
      <c r="A5774">
        <v>10</v>
      </c>
      <c r="B5774">
        <v>500</v>
      </c>
      <c r="C5774">
        <v>500</v>
      </c>
      <c r="D5774" t="s">
        <v>5982</v>
      </c>
    </row>
    <row r="5775" spans="1:4" x14ac:dyDescent="0.2">
      <c r="A5775">
        <v>11</v>
      </c>
      <c r="B5775">
        <v>500.2</v>
      </c>
      <c r="C5775">
        <v>500</v>
      </c>
      <c r="D5775" t="s">
        <v>5982</v>
      </c>
    </row>
    <row r="5776" spans="1:4" x14ac:dyDescent="0.2">
      <c r="A5776">
        <v>12</v>
      </c>
      <c r="B5776">
        <v>500</v>
      </c>
      <c r="C5776">
        <v>500</v>
      </c>
      <c r="D5776" t="s">
        <v>5982</v>
      </c>
    </row>
    <row r="5777" spans="1:4" x14ac:dyDescent="0.2">
      <c r="A5777">
        <v>7</v>
      </c>
      <c r="B5777">
        <v>1000.2</v>
      </c>
      <c r="C5777">
        <v>1000</v>
      </c>
      <c r="D5777" t="s">
        <v>5982</v>
      </c>
    </row>
    <row r="5778" spans="1:4" x14ac:dyDescent="0.2">
      <c r="A5778">
        <v>8</v>
      </c>
      <c r="B5778">
        <v>999.8</v>
      </c>
      <c r="C5778">
        <v>1000</v>
      </c>
      <c r="D5778" t="s">
        <v>5982</v>
      </c>
    </row>
    <row r="5779" spans="1:4" x14ac:dyDescent="0.2">
      <c r="A5779">
        <v>9</v>
      </c>
      <c r="B5779">
        <v>1000.3</v>
      </c>
      <c r="C5779">
        <v>1000</v>
      </c>
      <c r="D5779" t="s">
        <v>5982</v>
      </c>
    </row>
    <row r="5780" spans="1:4" x14ac:dyDescent="0.2">
      <c r="A5780">
        <v>10</v>
      </c>
      <c r="B5780">
        <v>1000</v>
      </c>
      <c r="C5780">
        <v>1000</v>
      </c>
      <c r="D5780" t="s">
        <v>5982</v>
      </c>
    </row>
    <row r="5781" spans="1:4" x14ac:dyDescent="0.2">
      <c r="A5781">
        <v>11</v>
      </c>
      <c r="B5781">
        <v>1000.2</v>
      </c>
      <c r="C5781">
        <v>1000</v>
      </c>
      <c r="D5781" t="s">
        <v>5982</v>
      </c>
    </row>
    <row r="5782" spans="1:4" x14ac:dyDescent="0.2">
      <c r="A5782">
        <v>12</v>
      </c>
      <c r="B5782">
        <v>1000.1</v>
      </c>
      <c r="C5782">
        <v>1000</v>
      </c>
      <c r="D5782" t="s">
        <v>5982</v>
      </c>
    </row>
    <row r="5783" spans="1:4" x14ac:dyDescent="0.2">
      <c r="A5783">
        <v>13</v>
      </c>
      <c r="B5783">
        <v>-99.8</v>
      </c>
      <c r="C5783">
        <v>-100</v>
      </c>
      <c r="D5783" t="s">
        <v>5982</v>
      </c>
    </row>
    <row r="5784" spans="1:4" x14ac:dyDescent="0.2">
      <c r="A5784">
        <v>14</v>
      </c>
      <c r="B5784">
        <v>-99.5</v>
      </c>
      <c r="C5784">
        <v>-100</v>
      </c>
      <c r="D5784" t="s">
        <v>5982</v>
      </c>
    </row>
    <row r="5785" spans="1:4" x14ac:dyDescent="0.2">
      <c r="A5785">
        <v>15</v>
      </c>
      <c r="B5785">
        <v>-100.1</v>
      </c>
      <c r="C5785">
        <v>-100</v>
      </c>
      <c r="D5785" t="s">
        <v>5982</v>
      </c>
    </row>
    <row r="5786" spans="1:4" x14ac:dyDescent="0.2">
      <c r="A5786">
        <v>16</v>
      </c>
      <c r="B5786">
        <v>-100.2</v>
      </c>
      <c r="C5786">
        <v>-100</v>
      </c>
      <c r="D5786" t="s">
        <v>5982</v>
      </c>
    </row>
    <row r="5787" spans="1:4" x14ac:dyDescent="0.2">
      <c r="A5787">
        <v>17</v>
      </c>
      <c r="B5787">
        <v>-100.2</v>
      </c>
      <c r="C5787">
        <v>-100</v>
      </c>
      <c r="D5787" t="s">
        <v>5982</v>
      </c>
    </row>
    <row r="5788" spans="1:4" x14ac:dyDescent="0.2">
      <c r="A5788">
        <v>18</v>
      </c>
      <c r="B5788">
        <v>-100.2</v>
      </c>
      <c r="C5788">
        <v>-100</v>
      </c>
      <c r="D5788" t="s">
        <v>5982</v>
      </c>
    </row>
    <row r="5789" spans="1:4" x14ac:dyDescent="0.2">
      <c r="A5789">
        <v>13</v>
      </c>
      <c r="B5789">
        <v>-49.8</v>
      </c>
      <c r="C5789">
        <v>-50</v>
      </c>
      <c r="D5789" t="s">
        <v>5982</v>
      </c>
    </row>
    <row r="5790" spans="1:4" x14ac:dyDescent="0.2">
      <c r="A5790">
        <v>14</v>
      </c>
      <c r="B5790">
        <v>-49.5</v>
      </c>
      <c r="C5790">
        <v>-50</v>
      </c>
      <c r="D5790" t="s">
        <v>5982</v>
      </c>
    </row>
    <row r="5791" spans="1:4" x14ac:dyDescent="0.2">
      <c r="A5791">
        <v>15</v>
      </c>
      <c r="B5791">
        <v>-50.1</v>
      </c>
      <c r="C5791">
        <v>-50</v>
      </c>
      <c r="D5791" t="s">
        <v>5982</v>
      </c>
    </row>
    <row r="5792" spans="1:4" x14ac:dyDescent="0.2">
      <c r="A5792">
        <v>16</v>
      </c>
      <c r="B5792">
        <v>-50.2</v>
      </c>
      <c r="C5792">
        <v>-50</v>
      </c>
      <c r="D5792" t="s">
        <v>5982</v>
      </c>
    </row>
    <row r="5793" spans="1:4" x14ac:dyDescent="0.2">
      <c r="A5793">
        <v>17</v>
      </c>
      <c r="B5793">
        <v>-50.1</v>
      </c>
      <c r="C5793">
        <v>-50</v>
      </c>
      <c r="D5793" t="s">
        <v>5982</v>
      </c>
    </row>
    <row r="5794" spans="1:4" x14ac:dyDescent="0.2">
      <c r="A5794">
        <v>18</v>
      </c>
      <c r="B5794">
        <v>-50.1</v>
      </c>
      <c r="C5794">
        <v>-50</v>
      </c>
      <c r="D5794" t="s">
        <v>5982</v>
      </c>
    </row>
    <row r="5795" spans="1:4" x14ac:dyDescent="0.2">
      <c r="A5795">
        <v>13</v>
      </c>
      <c r="B5795">
        <v>0.2</v>
      </c>
      <c r="C5795">
        <v>0</v>
      </c>
      <c r="D5795" t="s">
        <v>5982</v>
      </c>
    </row>
    <row r="5796" spans="1:4" x14ac:dyDescent="0.2">
      <c r="A5796">
        <v>14</v>
      </c>
      <c r="B5796">
        <v>0.5</v>
      </c>
      <c r="C5796">
        <v>0</v>
      </c>
      <c r="D5796" t="s">
        <v>5982</v>
      </c>
    </row>
    <row r="5797" spans="1:4" x14ac:dyDescent="0.2">
      <c r="A5797">
        <v>15</v>
      </c>
      <c r="B5797">
        <v>-0.1</v>
      </c>
      <c r="C5797">
        <v>0</v>
      </c>
      <c r="D5797" t="s">
        <v>5982</v>
      </c>
    </row>
    <row r="5798" spans="1:4" x14ac:dyDescent="0.2">
      <c r="A5798">
        <v>16</v>
      </c>
      <c r="B5798">
        <v>-0.1</v>
      </c>
      <c r="C5798">
        <v>0</v>
      </c>
      <c r="D5798" t="s">
        <v>5982</v>
      </c>
    </row>
    <row r="5799" spans="1:4" x14ac:dyDescent="0.2">
      <c r="A5799">
        <v>17</v>
      </c>
      <c r="B5799">
        <v>-0.1</v>
      </c>
      <c r="C5799">
        <v>0</v>
      </c>
      <c r="D5799" t="s">
        <v>5982</v>
      </c>
    </row>
    <row r="5800" spans="1:4" x14ac:dyDescent="0.2">
      <c r="A5800">
        <v>18</v>
      </c>
      <c r="B5800">
        <v>0</v>
      </c>
      <c r="C5800">
        <v>0</v>
      </c>
      <c r="D5800" t="s">
        <v>5982</v>
      </c>
    </row>
    <row r="5801" spans="1:4" x14ac:dyDescent="0.2">
      <c r="A5801">
        <v>13</v>
      </c>
      <c r="B5801">
        <v>250.4</v>
      </c>
      <c r="C5801">
        <v>250</v>
      </c>
      <c r="D5801" t="s">
        <v>5982</v>
      </c>
    </row>
    <row r="5802" spans="1:4" x14ac:dyDescent="0.2">
      <c r="A5802">
        <v>14</v>
      </c>
      <c r="B5802">
        <v>250.5</v>
      </c>
      <c r="C5802">
        <v>250</v>
      </c>
      <c r="D5802" t="s">
        <v>5982</v>
      </c>
    </row>
    <row r="5803" spans="1:4" x14ac:dyDescent="0.2">
      <c r="A5803">
        <v>15</v>
      </c>
      <c r="B5803">
        <v>249.9</v>
      </c>
      <c r="C5803">
        <v>250</v>
      </c>
      <c r="D5803" t="s">
        <v>5982</v>
      </c>
    </row>
    <row r="5804" spans="1:4" x14ac:dyDescent="0.2">
      <c r="A5804">
        <v>16</v>
      </c>
      <c r="B5804">
        <v>250</v>
      </c>
      <c r="C5804">
        <v>250</v>
      </c>
      <c r="D5804" t="s">
        <v>5982</v>
      </c>
    </row>
    <row r="5805" spans="1:4" x14ac:dyDescent="0.2">
      <c r="A5805">
        <v>17</v>
      </c>
      <c r="B5805">
        <v>250</v>
      </c>
      <c r="C5805">
        <v>250</v>
      </c>
      <c r="D5805" t="s">
        <v>5982</v>
      </c>
    </row>
    <row r="5806" spans="1:4" x14ac:dyDescent="0.2">
      <c r="A5806">
        <v>18</v>
      </c>
      <c r="B5806">
        <v>250</v>
      </c>
      <c r="C5806">
        <v>250</v>
      </c>
      <c r="D5806" t="s">
        <v>5982</v>
      </c>
    </row>
    <row r="5807" spans="1:4" x14ac:dyDescent="0.2">
      <c r="A5807">
        <v>13</v>
      </c>
      <c r="B5807">
        <v>500.4</v>
      </c>
      <c r="C5807">
        <v>500</v>
      </c>
      <c r="D5807" t="s">
        <v>5982</v>
      </c>
    </row>
    <row r="5808" spans="1:4" x14ac:dyDescent="0.2">
      <c r="A5808">
        <v>14</v>
      </c>
      <c r="B5808">
        <v>500.5</v>
      </c>
      <c r="C5808">
        <v>500</v>
      </c>
      <c r="D5808" t="s">
        <v>5982</v>
      </c>
    </row>
    <row r="5809" spans="1:4" x14ac:dyDescent="0.2">
      <c r="A5809">
        <v>15</v>
      </c>
      <c r="B5809">
        <v>500</v>
      </c>
      <c r="C5809">
        <v>500</v>
      </c>
      <c r="D5809" t="s">
        <v>5982</v>
      </c>
    </row>
    <row r="5810" spans="1:4" x14ac:dyDescent="0.2">
      <c r="A5810">
        <v>16</v>
      </c>
      <c r="B5810">
        <v>500.1</v>
      </c>
      <c r="C5810">
        <v>500</v>
      </c>
      <c r="D5810" t="s">
        <v>5982</v>
      </c>
    </row>
    <row r="5811" spans="1:4" x14ac:dyDescent="0.2">
      <c r="A5811">
        <v>17</v>
      </c>
      <c r="B5811">
        <v>500</v>
      </c>
      <c r="C5811">
        <v>500</v>
      </c>
      <c r="D5811" t="s">
        <v>5982</v>
      </c>
    </row>
    <row r="5812" spans="1:4" x14ac:dyDescent="0.2">
      <c r="A5812">
        <v>18</v>
      </c>
      <c r="B5812">
        <v>500.1</v>
      </c>
      <c r="C5812">
        <v>500</v>
      </c>
      <c r="D5812" t="s">
        <v>5982</v>
      </c>
    </row>
    <row r="5813" spans="1:4" x14ac:dyDescent="0.2">
      <c r="A5813">
        <v>13</v>
      </c>
      <c r="B5813">
        <v>1000.5</v>
      </c>
      <c r="C5813">
        <v>1000</v>
      </c>
      <c r="D5813" t="s">
        <v>5982</v>
      </c>
    </row>
    <row r="5814" spans="1:4" x14ac:dyDescent="0.2">
      <c r="A5814">
        <v>14</v>
      </c>
      <c r="B5814">
        <v>1000.5</v>
      </c>
      <c r="C5814">
        <v>1000</v>
      </c>
      <c r="D5814" t="s">
        <v>5982</v>
      </c>
    </row>
    <row r="5815" spans="1:4" x14ac:dyDescent="0.2">
      <c r="A5815">
        <v>15</v>
      </c>
      <c r="B5815">
        <v>1000.1</v>
      </c>
      <c r="C5815">
        <v>1000</v>
      </c>
      <c r="D5815" t="s">
        <v>5982</v>
      </c>
    </row>
    <row r="5816" spans="1:4" x14ac:dyDescent="0.2">
      <c r="A5816">
        <v>16</v>
      </c>
      <c r="B5816">
        <v>1000.2</v>
      </c>
      <c r="C5816">
        <v>1000</v>
      </c>
      <c r="D5816" t="s">
        <v>5982</v>
      </c>
    </row>
    <row r="5817" spans="1:4" x14ac:dyDescent="0.2">
      <c r="A5817">
        <v>17</v>
      </c>
      <c r="B5817">
        <v>1000</v>
      </c>
      <c r="C5817">
        <v>1000</v>
      </c>
      <c r="D5817" t="s">
        <v>5982</v>
      </c>
    </row>
    <row r="5818" spans="1:4" x14ac:dyDescent="0.2">
      <c r="A5818">
        <v>18</v>
      </c>
      <c r="B5818">
        <v>1000.1</v>
      </c>
      <c r="C5818">
        <v>1000</v>
      </c>
      <c r="D5818" t="s">
        <v>5982</v>
      </c>
    </row>
    <row r="5819" spans="1:4" x14ac:dyDescent="0.2">
      <c r="A5819">
        <v>19</v>
      </c>
      <c r="B5819">
        <v>-99.9</v>
      </c>
      <c r="C5819">
        <v>-100</v>
      </c>
      <c r="D5819" t="s">
        <v>5982</v>
      </c>
    </row>
    <row r="5820" spans="1:4" x14ac:dyDescent="0.2">
      <c r="A5820">
        <v>20</v>
      </c>
      <c r="B5820">
        <v>-100.2</v>
      </c>
      <c r="C5820">
        <v>-100</v>
      </c>
      <c r="D5820" t="s">
        <v>5982</v>
      </c>
    </row>
    <row r="5821" spans="1:4" x14ac:dyDescent="0.2">
      <c r="A5821">
        <v>21</v>
      </c>
      <c r="B5821">
        <v>-100.2</v>
      </c>
      <c r="C5821">
        <v>-100</v>
      </c>
      <c r="D5821" t="s">
        <v>5982</v>
      </c>
    </row>
    <row r="5822" spans="1:4" x14ac:dyDescent="0.2">
      <c r="A5822">
        <v>22</v>
      </c>
      <c r="B5822">
        <v>-100.3</v>
      </c>
      <c r="C5822">
        <v>-100</v>
      </c>
      <c r="D5822" t="s">
        <v>5982</v>
      </c>
    </row>
    <row r="5823" spans="1:4" x14ac:dyDescent="0.2">
      <c r="A5823">
        <v>23</v>
      </c>
      <c r="B5823">
        <v>-100.2</v>
      </c>
      <c r="C5823">
        <v>-100</v>
      </c>
      <c r="D5823" t="s">
        <v>5982</v>
      </c>
    </row>
    <row r="5824" spans="1:4" x14ac:dyDescent="0.2">
      <c r="A5824">
        <v>24</v>
      </c>
      <c r="B5824">
        <v>-100.1</v>
      </c>
      <c r="C5824">
        <v>-100</v>
      </c>
      <c r="D5824" t="s">
        <v>5982</v>
      </c>
    </row>
    <row r="5825" spans="1:4" x14ac:dyDescent="0.2">
      <c r="A5825">
        <v>19</v>
      </c>
      <c r="B5825">
        <v>-49.9</v>
      </c>
      <c r="C5825">
        <v>-50</v>
      </c>
      <c r="D5825" t="s">
        <v>5982</v>
      </c>
    </row>
    <row r="5826" spans="1:4" x14ac:dyDescent="0.2">
      <c r="A5826">
        <v>20</v>
      </c>
      <c r="B5826">
        <v>-50.1</v>
      </c>
      <c r="C5826">
        <v>-50</v>
      </c>
      <c r="D5826" t="s">
        <v>5982</v>
      </c>
    </row>
    <row r="5827" spans="1:4" x14ac:dyDescent="0.2">
      <c r="A5827">
        <v>21</v>
      </c>
      <c r="B5827">
        <v>-50.2</v>
      </c>
      <c r="C5827">
        <v>-50</v>
      </c>
      <c r="D5827" t="s">
        <v>5982</v>
      </c>
    </row>
    <row r="5828" spans="1:4" x14ac:dyDescent="0.2">
      <c r="A5828">
        <v>22</v>
      </c>
      <c r="B5828">
        <v>-50.3</v>
      </c>
      <c r="C5828">
        <v>-50</v>
      </c>
      <c r="D5828" t="s">
        <v>5982</v>
      </c>
    </row>
    <row r="5829" spans="1:4" x14ac:dyDescent="0.2">
      <c r="A5829">
        <v>23</v>
      </c>
      <c r="B5829">
        <v>-50.2</v>
      </c>
      <c r="C5829">
        <v>-50</v>
      </c>
      <c r="D5829" t="s">
        <v>5982</v>
      </c>
    </row>
    <row r="5830" spans="1:4" x14ac:dyDescent="0.2">
      <c r="A5830">
        <v>24</v>
      </c>
      <c r="B5830">
        <v>-50.1</v>
      </c>
      <c r="C5830">
        <v>-50</v>
      </c>
      <c r="D5830" t="s">
        <v>5982</v>
      </c>
    </row>
    <row r="5831" spans="1:4" x14ac:dyDescent="0.2">
      <c r="A5831">
        <v>19</v>
      </c>
      <c r="B5831">
        <v>0.1</v>
      </c>
      <c r="C5831">
        <v>0</v>
      </c>
      <c r="D5831" t="s">
        <v>5982</v>
      </c>
    </row>
    <row r="5832" spans="1:4" x14ac:dyDescent="0.2">
      <c r="A5832">
        <v>20</v>
      </c>
      <c r="B5832">
        <v>0</v>
      </c>
      <c r="C5832">
        <v>0</v>
      </c>
      <c r="D5832" t="s">
        <v>5982</v>
      </c>
    </row>
    <row r="5833" spans="1:4" x14ac:dyDescent="0.2">
      <c r="A5833">
        <v>21</v>
      </c>
      <c r="B5833">
        <v>0</v>
      </c>
      <c r="C5833">
        <v>0</v>
      </c>
      <c r="D5833" t="s">
        <v>5982</v>
      </c>
    </row>
    <row r="5834" spans="1:4" x14ac:dyDescent="0.2">
      <c r="A5834">
        <v>22</v>
      </c>
      <c r="B5834">
        <v>-0.1</v>
      </c>
      <c r="C5834">
        <v>0</v>
      </c>
      <c r="D5834" t="s">
        <v>5982</v>
      </c>
    </row>
    <row r="5835" spans="1:4" x14ac:dyDescent="0.2">
      <c r="A5835">
        <v>23</v>
      </c>
      <c r="B5835">
        <v>-0.2</v>
      </c>
      <c r="C5835">
        <v>0</v>
      </c>
      <c r="D5835" t="s">
        <v>5982</v>
      </c>
    </row>
    <row r="5836" spans="1:4" x14ac:dyDescent="0.2">
      <c r="A5836">
        <v>24</v>
      </c>
      <c r="B5836">
        <v>0.1</v>
      </c>
      <c r="C5836">
        <v>0</v>
      </c>
      <c r="D5836" t="s">
        <v>5982</v>
      </c>
    </row>
    <row r="5837" spans="1:4" x14ac:dyDescent="0.2">
      <c r="A5837">
        <v>19</v>
      </c>
      <c r="B5837">
        <v>250.1</v>
      </c>
      <c r="C5837">
        <v>250</v>
      </c>
      <c r="D5837" t="s">
        <v>5982</v>
      </c>
    </row>
    <row r="5838" spans="1:4" x14ac:dyDescent="0.2">
      <c r="A5838">
        <v>20</v>
      </c>
      <c r="B5838">
        <v>249.9</v>
      </c>
      <c r="C5838">
        <v>250</v>
      </c>
      <c r="D5838" t="s">
        <v>5982</v>
      </c>
    </row>
    <row r="5839" spans="1:4" x14ac:dyDescent="0.2">
      <c r="A5839">
        <v>21</v>
      </c>
      <c r="B5839">
        <v>249.9</v>
      </c>
      <c r="C5839">
        <v>250</v>
      </c>
      <c r="D5839" t="s">
        <v>5982</v>
      </c>
    </row>
    <row r="5840" spans="1:4" x14ac:dyDescent="0.2">
      <c r="A5840">
        <v>22</v>
      </c>
      <c r="B5840">
        <v>249.9</v>
      </c>
      <c r="C5840">
        <v>250</v>
      </c>
      <c r="D5840" t="s">
        <v>5982</v>
      </c>
    </row>
    <row r="5841" spans="1:4" x14ac:dyDescent="0.2">
      <c r="A5841">
        <v>23</v>
      </c>
      <c r="B5841">
        <v>250.1</v>
      </c>
      <c r="C5841">
        <v>250</v>
      </c>
      <c r="D5841" t="s">
        <v>5982</v>
      </c>
    </row>
    <row r="5842" spans="1:4" x14ac:dyDescent="0.2">
      <c r="A5842">
        <v>24</v>
      </c>
      <c r="B5842">
        <v>250.2</v>
      </c>
      <c r="C5842">
        <v>250</v>
      </c>
      <c r="D5842" t="s">
        <v>5982</v>
      </c>
    </row>
    <row r="5843" spans="1:4" x14ac:dyDescent="0.2">
      <c r="A5843">
        <v>19</v>
      </c>
      <c r="B5843">
        <v>500.2</v>
      </c>
      <c r="C5843">
        <v>500</v>
      </c>
      <c r="D5843" t="s">
        <v>5982</v>
      </c>
    </row>
    <row r="5844" spans="1:4" x14ac:dyDescent="0.2">
      <c r="A5844">
        <v>20</v>
      </c>
      <c r="B5844">
        <v>500</v>
      </c>
      <c r="C5844">
        <v>500</v>
      </c>
      <c r="D5844" t="s">
        <v>5982</v>
      </c>
    </row>
    <row r="5845" spans="1:4" x14ac:dyDescent="0.2">
      <c r="A5845">
        <v>21</v>
      </c>
      <c r="B5845">
        <v>499.9</v>
      </c>
      <c r="C5845">
        <v>500</v>
      </c>
      <c r="D5845" t="s">
        <v>5982</v>
      </c>
    </row>
    <row r="5846" spans="1:4" x14ac:dyDescent="0.2">
      <c r="A5846">
        <v>22</v>
      </c>
      <c r="B5846">
        <v>499.9</v>
      </c>
      <c r="C5846">
        <v>500</v>
      </c>
      <c r="D5846" t="s">
        <v>5982</v>
      </c>
    </row>
    <row r="5847" spans="1:4" x14ac:dyDescent="0.2">
      <c r="A5847">
        <v>23</v>
      </c>
      <c r="B5847">
        <v>500</v>
      </c>
      <c r="C5847">
        <v>500</v>
      </c>
      <c r="D5847" t="s">
        <v>5982</v>
      </c>
    </row>
    <row r="5848" spans="1:4" x14ac:dyDescent="0.2">
      <c r="A5848">
        <v>24</v>
      </c>
      <c r="B5848">
        <v>500.2</v>
      </c>
      <c r="C5848">
        <v>500</v>
      </c>
      <c r="D5848" t="s">
        <v>5982</v>
      </c>
    </row>
    <row r="5849" spans="1:4" x14ac:dyDescent="0.2">
      <c r="A5849">
        <v>19</v>
      </c>
      <c r="B5849">
        <v>1000.2</v>
      </c>
      <c r="C5849">
        <v>1000</v>
      </c>
      <c r="D5849" t="s">
        <v>5982</v>
      </c>
    </row>
    <row r="5850" spans="1:4" x14ac:dyDescent="0.2">
      <c r="A5850">
        <v>20</v>
      </c>
      <c r="B5850">
        <v>999.8</v>
      </c>
      <c r="C5850">
        <v>1000</v>
      </c>
      <c r="D5850" t="s">
        <v>5982</v>
      </c>
    </row>
    <row r="5851" spans="1:4" x14ac:dyDescent="0.2">
      <c r="A5851">
        <v>21</v>
      </c>
      <c r="B5851">
        <v>999.8</v>
      </c>
      <c r="C5851">
        <v>1000</v>
      </c>
      <c r="D5851" t="s">
        <v>5982</v>
      </c>
    </row>
    <row r="5852" spans="1:4" x14ac:dyDescent="0.2">
      <c r="A5852">
        <v>22</v>
      </c>
      <c r="B5852">
        <v>1000</v>
      </c>
      <c r="C5852">
        <v>1000</v>
      </c>
      <c r="D5852" t="s">
        <v>5982</v>
      </c>
    </row>
    <row r="5853" spans="1:4" x14ac:dyDescent="0.2">
      <c r="A5853">
        <v>23</v>
      </c>
      <c r="B5853">
        <v>1000</v>
      </c>
      <c r="C5853">
        <v>1000</v>
      </c>
      <c r="D5853" t="s">
        <v>5982</v>
      </c>
    </row>
    <row r="5854" spans="1:4" x14ac:dyDescent="0.2">
      <c r="A5854">
        <v>24</v>
      </c>
      <c r="B5854">
        <v>1000.2</v>
      </c>
      <c r="C5854">
        <v>1000</v>
      </c>
      <c r="D5854" t="s">
        <v>5982</v>
      </c>
    </row>
    <row r="5855" spans="1:4" x14ac:dyDescent="0.2">
      <c r="A5855">
        <v>25</v>
      </c>
      <c r="B5855">
        <v>-99.9</v>
      </c>
      <c r="C5855">
        <v>-100</v>
      </c>
      <c r="D5855" t="s">
        <v>5982</v>
      </c>
    </row>
    <row r="5856" spans="1:4" x14ac:dyDescent="0.2">
      <c r="A5856">
        <v>26</v>
      </c>
      <c r="B5856">
        <v>-100.2</v>
      </c>
      <c r="C5856">
        <v>-100</v>
      </c>
      <c r="D5856" t="s">
        <v>5982</v>
      </c>
    </row>
    <row r="5857" spans="1:4" x14ac:dyDescent="0.2">
      <c r="A5857">
        <v>27</v>
      </c>
      <c r="B5857">
        <v>-100.4</v>
      </c>
      <c r="C5857">
        <v>-100</v>
      </c>
      <c r="D5857" t="s">
        <v>5982</v>
      </c>
    </row>
    <row r="5858" spans="1:4" x14ac:dyDescent="0.2">
      <c r="A5858">
        <v>28</v>
      </c>
      <c r="B5858">
        <v>-100.1</v>
      </c>
      <c r="C5858">
        <v>-100</v>
      </c>
      <c r="D5858" t="s">
        <v>5982</v>
      </c>
    </row>
    <row r="5859" spans="1:4" x14ac:dyDescent="0.2">
      <c r="A5859">
        <v>29</v>
      </c>
      <c r="B5859">
        <v>-99.7</v>
      </c>
      <c r="C5859">
        <v>-100</v>
      </c>
      <c r="D5859" t="s">
        <v>5982</v>
      </c>
    </row>
    <row r="5860" spans="1:4" x14ac:dyDescent="0.2">
      <c r="A5860">
        <v>30</v>
      </c>
      <c r="B5860">
        <v>-100.3</v>
      </c>
      <c r="C5860">
        <v>-100</v>
      </c>
      <c r="D5860" t="s">
        <v>5982</v>
      </c>
    </row>
    <row r="5861" spans="1:4" x14ac:dyDescent="0.2">
      <c r="A5861">
        <v>25</v>
      </c>
      <c r="B5861">
        <v>-49.9</v>
      </c>
      <c r="C5861">
        <v>-50</v>
      </c>
      <c r="D5861" t="s">
        <v>5982</v>
      </c>
    </row>
    <row r="5862" spans="1:4" x14ac:dyDescent="0.2">
      <c r="A5862">
        <v>26</v>
      </c>
      <c r="B5862">
        <v>-50.2</v>
      </c>
      <c r="C5862">
        <v>-50</v>
      </c>
      <c r="D5862" t="s">
        <v>5982</v>
      </c>
    </row>
    <row r="5863" spans="1:4" x14ac:dyDescent="0.2">
      <c r="A5863">
        <v>27</v>
      </c>
      <c r="B5863">
        <v>-50.4</v>
      </c>
      <c r="C5863">
        <v>-50</v>
      </c>
      <c r="D5863" t="s">
        <v>5982</v>
      </c>
    </row>
    <row r="5864" spans="1:4" x14ac:dyDescent="0.2">
      <c r="A5864">
        <v>28</v>
      </c>
      <c r="B5864">
        <v>-49.8</v>
      </c>
      <c r="C5864">
        <v>-50</v>
      </c>
      <c r="D5864" t="s">
        <v>5982</v>
      </c>
    </row>
    <row r="5865" spans="1:4" x14ac:dyDescent="0.2">
      <c r="A5865">
        <v>29</v>
      </c>
      <c r="B5865">
        <v>-49.7</v>
      </c>
      <c r="C5865">
        <v>-50</v>
      </c>
      <c r="D5865" t="s">
        <v>5982</v>
      </c>
    </row>
    <row r="5866" spans="1:4" x14ac:dyDescent="0.2">
      <c r="A5866">
        <v>30</v>
      </c>
      <c r="B5866">
        <v>-50.3</v>
      </c>
      <c r="C5866">
        <v>-50</v>
      </c>
      <c r="D5866" t="s">
        <v>5982</v>
      </c>
    </row>
    <row r="5867" spans="1:4" x14ac:dyDescent="0.2">
      <c r="A5867">
        <v>25</v>
      </c>
      <c r="B5867">
        <v>0.1</v>
      </c>
      <c r="C5867">
        <v>0</v>
      </c>
      <c r="D5867" t="s">
        <v>5982</v>
      </c>
    </row>
    <row r="5868" spans="1:4" x14ac:dyDescent="0.2">
      <c r="A5868">
        <v>26</v>
      </c>
      <c r="B5868">
        <v>0</v>
      </c>
      <c r="C5868">
        <v>0</v>
      </c>
      <c r="D5868" t="s">
        <v>5982</v>
      </c>
    </row>
    <row r="5869" spans="1:4" x14ac:dyDescent="0.2">
      <c r="A5869">
        <v>27</v>
      </c>
      <c r="B5869">
        <v>-0.3</v>
      </c>
      <c r="C5869">
        <v>0</v>
      </c>
      <c r="D5869" t="s">
        <v>5982</v>
      </c>
    </row>
    <row r="5870" spans="1:4" x14ac:dyDescent="0.2">
      <c r="A5870">
        <v>28</v>
      </c>
      <c r="B5870">
        <v>0.3</v>
      </c>
      <c r="C5870">
        <v>0</v>
      </c>
      <c r="D5870" t="s">
        <v>5982</v>
      </c>
    </row>
    <row r="5871" spans="1:4" x14ac:dyDescent="0.2">
      <c r="A5871">
        <v>29</v>
      </c>
      <c r="B5871">
        <v>0.2</v>
      </c>
      <c r="C5871">
        <v>0</v>
      </c>
      <c r="D5871" t="s">
        <v>5982</v>
      </c>
    </row>
    <row r="5872" spans="1:4" x14ac:dyDescent="0.2">
      <c r="A5872">
        <v>30</v>
      </c>
      <c r="B5872">
        <v>-0.3</v>
      </c>
      <c r="C5872">
        <v>0</v>
      </c>
      <c r="D5872" t="s">
        <v>5982</v>
      </c>
    </row>
    <row r="5873" spans="1:4" x14ac:dyDescent="0.2">
      <c r="A5873">
        <v>25</v>
      </c>
      <c r="B5873">
        <v>250</v>
      </c>
      <c r="C5873">
        <v>250</v>
      </c>
      <c r="D5873" t="s">
        <v>5982</v>
      </c>
    </row>
    <row r="5874" spans="1:4" x14ac:dyDescent="0.2">
      <c r="A5874">
        <v>26</v>
      </c>
      <c r="B5874">
        <v>250</v>
      </c>
      <c r="C5874">
        <v>250</v>
      </c>
      <c r="D5874" t="s">
        <v>5982</v>
      </c>
    </row>
    <row r="5875" spans="1:4" x14ac:dyDescent="0.2">
      <c r="A5875">
        <v>27</v>
      </c>
      <c r="B5875">
        <v>250</v>
      </c>
      <c r="C5875">
        <v>250</v>
      </c>
      <c r="D5875" t="s">
        <v>5982</v>
      </c>
    </row>
    <row r="5876" spans="1:4" x14ac:dyDescent="0.2">
      <c r="A5876">
        <v>28</v>
      </c>
      <c r="B5876">
        <v>250.2</v>
      </c>
      <c r="C5876">
        <v>250</v>
      </c>
      <c r="D5876" t="s">
        <v>5982</v>
      </c>
    </row>
    <row r="5877" spans="1:4" x14ac:dyDescent="0.2">
      <c r="A5877">
        <v>29</v>
      </c>
      <c r="B5877">
        <v>250.2</v>
      </c>
      <c r="C5877">
        <v>250</v>
      </c>
      <c r="D5877" t="s">
        <v>5982</v>
      </c>
    </row>
    <row r="5878" spans="1:4" x14ac:dyDescent="0.2">
      <c r="A5878">
        <v>30</v>
      </c>
      <c r="B5878">
        <v>249.8</v>
      </c>
      <c r="C5878">
        <v>250</v>
      </c>
      <c r="D5878" t="s">
        <v>5982</v>
      </c>
    </row>
    <row r="5879" spans="1:4" x14ac:dyDescent="0.2">
      <c r="A5879">
        <v>25</v>
      </c>
      <c r="B5879">
        <v>500</v>
      </c>
      <c r="C5879">
        <v>500</v>
      </c>
      <c r="D5879" t="s">
        <v>5982</v>
      </c>
    </row>
    <row r="5880" spans="1:4" x14ac:dyDescent="0.2">
      <c r="A5880">
        <v>26</v>
      </c>
      <c r="B5880">
        <v>500.1</v>
      </c>
      <c r="C5880">
        <v>500</v>
      </c>
      <c r="D5880" t="s">
        <v>5982</v>
      </c>
    </row>
    <row r="5881" spans="1:4" x14ac:dyDescent="0.2">
      <c r="A5881">
        <v>27</v>
      </c>
      <c r="B5881">
        <v>500</v>
      </c>
      <c r="C5881">
        <v>500</v>
      </c>
      <c r="D5881" t="s">
        <v>5982</v>
      </c>
    </row>
    <row r="5882" spans="1:4" x14ac:dyDescent="0.2">
      <c r="A5882">
        <v>28</v>
      </c>
      <c r="B5882">
        <v>500.3</v>
      </c>
      <c r="C5882">
        <v>500</v>
      </c>
      <c r="D5882" t="s">
        <v>5982</v>
      </c>
    </row>
    <row r="5883" spans="1:4" x14ac:dyDescent="0.2">
      <c r="A5883">
        <v>29</v>
      </c>
      <c r="B5883">
        <v>500.3</v>
      </c>
      <c r="C5883">
        <v>500</v>
      </c>
      <c r="D5883" t="s">
        <v>5982</v>
      </c>
    </row>
    <row r="5884" spans="1:4" x14ac:dyDescent="0.2">
      <c r="A5884">
        <v>30</v>
      </c>
      <c r="B5884">
        <v>499.8</v>
      </c>
      <c r="C5884">
        <v>500</v>
      </c>
      <c r="D5884" t="s">
        <v>5982</v>
      </c>
    </row>
    <row r="5885" spans="1:4" x14ac:dyDescent="0.2">
      <c r="A5885">
        <v>25</v>
      </c>
      <c r="B5885">
        <v>999.9</v>
      </c>
      <c r="C5885">
        <v>1000</v>
      </c>
      <c r="D5885" t="s">
        <v>5982</v>
      </c>
    </row>
    <row r="5886" spans="1:4" x14ac:dyDescent="0.2">
      <c r="A5886">
        <v>26</v>
      </c>
      <c r="B5886">
        <v>1000.1</v>
      </c>
      <c r="C5886">
        <v>1000</v>
      </c>
      <c r="D5886" t="s">
        <v>5982</v>
      </c>
    </row>
    <row r="5887" spans="1:4" x14ac:dyDescent="0.2">
      <c r="A5887">
        <v>27</v>
      </c>
      <c r="B5887">
        <v>1000.2</v>
      </c>
      <c r="C5887">
        <v>1000</v>
      </c>
      <c r="D5887" t="s">
        <v>5982</v>
      </c>
    </row>
    <row r="5888" spans="1:4" x14ac:dyDescent="0.2">
      <c r="A5888">
        <v>28</v>
      </c>
      <c r="B5888">
        <v>1000.3</v>
      </c>
      <c r="C5888">
        <v>1000</v>
      </c>
      <c r="D5888" t="s">
        <v>5982</v>
      </c>
    </row>
    <row r="5889" spans="1:4" x14ac:dyDescent="0.2">
      <c r="A5889">
        <v>29</v>
      </c>
      <c r="B5889">
        <v>1000.3</v>
      </c>
      <c r="C5889">
        <v>1000</v>
      </c>
      <c r="D5889" t="s">
        <v>5982</v>
      </c>
    </row>
    <row r="5890" spans="1:4" x14ac:dyDescent="0.2">
      <c r="A5890">
        <v>30</v>
      </c>
      <c r="B5890">
        <v>999.8</v>
      </c>
      <c r="C5890">
        <v>1000</v>
      </c>
      <c r="D5890" t="s">
        <v>5982</v>
      </c>
    </row>
    <row r="5891" spans="1:4" x14ac:dyDescent="0.2">
      <c r="A5891">
        <v>31</v>
      </c>
      <c r="B5891">
        <v>-100.2</v>
      </c>
      <c r="C5891">
        <v>-100</v>
      </c>
      <c r="D5891" t="s">
        <v>5982</v>
      </c>
    </row>
    <row r="5892" spans="1:4" x14ac:dyDescent="0.2">
      <c r="A5892">
        <v>32</v>
      </c>
      <c r="B5892">
        <v>-99.9</v>
      </c>
      <c r="C5892">
        <v>-100</v>
      </c>
      <c r="D5892" t="s">
        <v>5982</v>
      </c>
    </row>
    <row r="5893" spans="1:4" x14ac:dyDescent="0.2">
      <c r="A5893">
        <v>33</v>
      </c>
      <c r="B5893">
        <v>-99.9</v>
      </c>
      <c r="C5893">
        <v>-100</v>
      </c>
      <c r="D5893" t="s">
        <v>5982</v>
      </c>
    </row>
    <row r="5894" spans="1:4" x14ac:dyDescent="0.2">
      <c r="A5894">
        <v>34</v>
      </c>
      <c r="B5894">
        <v>-99.8</v>
      </c>
      <c r="C5894">
        <v>-100</v>
      </c>
      <c r="D5894" t="s">
        <v>5982</v>
      </c>
    </row>
    <row r="5895" spans="1:4" x14ac:dyDescent="0.2">
      <c r="A5895">
        <v>35</v>
      </c>
      <c r="B5895">
        <v>-100.2</v>
      </c>
      <c r="C5895">
        <v>-100</v>
      </c>
      <c r="D5895" t="s">
        <v>5982</v>
      </c>
    </row>
    <row r="5896" spans="1:4" x14ac:dyDescent="0.2">
      <c r="A5896">
        <v>36</v>
      </c>
      <c r="B5896">
        <v>-100.1</v>
      </c>
      <c r="C5896">
        <v>-100</v>
      </c>
      <c r="D5896" t="s">
        <v>5982</v>
      </c>
    </row>
    <row r="5897" spans="1:4" x14ac:dyDescent="0.2">
      <c r="A5897">
        <v>31</v>
      </c>
      <c r="B5897">
        <v>-50.2</v>
      </c>
      <c r="C5897">
        <v>-50</v>
      </c>
      <c r="D5897" t="s">
        <v>5982</v>
      </c>
    </row>
    <row r="5898" spans="1:4" x14ac:dyDescent="0.2">
      <c r="A5898">
        <v>32</v>
      </c>
      <c r="B5898">
        <v>-49.9</v>
      </c>
      <c r="C5898">
        <v>-50</v>
      </c>
      <c r="D5898" t="s">
        <v>5982</v>
      </c>
    </row>
    <row r="5899" spans="1:4" x14ac:dyDescent="0.2">
      <c r="A5899">
        <v>33</v>
      </c>
      <c r="B5899">
        <v>-49.9</v>
      </c>
      <c r="C5899">
        <v>-50</v>
      </c>
      <c r="D5899" t="s">
        <v>5982</v>
      </c>
    </row>
    <row r="5900" spans="1:4" x14ac:dyDescent="0.2">
      <c r="A5900">
        <v>34</v>
      </c>
      <c r="B5900">
        <v>-49.8</v>
      </c>
      <c r="C5900">
        <v>-50</v>
      </c>
      <c r="D5900" t="s">
        <v>5982</v>
      </c>
    </row>
    <row r="5901" spans="1:4" x14ac:dyDescent="0.2">
      <c r="A5901">
        <v>35</v>
      </c>
      <c r="B5901">
        <v>-50.2</v>
      </c>
      <c r="C5901">
        <v>-50</v>
      </c>
      <c r="D5901" t="s">
        <v>5982</v>
      </c>
    </row>
    <row r="5902" spans="1:4" x14ac:dyDescent="0.2">
      <c r="A5902">
        <v>36</v>
      </c>
      <c r="B5902">
        <v>-50</v>
      </c>
      <c r="C5902">
        <v>-50</v>
      </c>
      <c r="D5902" t="s">
        <v>5982</v>
      </c>
    </row>
    <row r="5903" spans="1:4" x14ac:dyDescent="0.2">
      <c r="A5903">
        <v>31</v>
      </c>
      <c r="B5903">
        <v>-0.3</v>
      </c>
      <c r="C5903">
        <v>0</v>
      </c>
      <c r="D5903" t="s">
        <v>5982</v>
      </c>
    </row>
    <row r="5904" spans="1:4" x14ac:dyDescent="0.2">
      <c r="A5904">
        <v>32</v>
      </c>
      <c r="B5904">
        <v>0</v>
      </c>
      <c r="C5904">
        <v>0</v>
      </c>
      <c r="D5904" t="s">
        <v>5982</v>
      </c>
    </row>
    <row r="5905" spans="1:4" x14ac:dyDescent="0.2">
      <c r="A5905">
        <v>33</v>
      </c>
      <c r="B5905">
        <v>0.3</v>
      </c>
      <c r="C5905">
        <v>0</v>
      </c>
      <c r="D5905" t="s">
        <v>5982</v>
      </c>
    </row>
    <row r="5906" spans="1:4" x14ac:dyDescent="0.2">
      <c r="A5906">
        <v>34</v>
      </c>
      <c r="B5906">
        <v>0.2</v>
      </c>
      <c r="C5906">
        <v>0</v>
      </c>
      <c r="D5906" t="s">
        <v>5982</v>
      </c>
    </row>
    <row r="5907" spans="1:4" x14ac:dyDescent="0.2">
      <c r="A5907">
        <v>35</v>
      </c>
      <c r="B5907">
        <v>-0.3</v>
      </c>
      <c r="C5907">
        <v>0</v>
      </c>
      <c r="D5907" t="s">
        <v>5982</v>
      </c>
    </row>
    <row r="5908" spans="1:4" x14ac:dyDescent="0.2">
      <c r="A5908">
        <v>36</v>
      </c>
      <c r="B5908">
        <v>-0.1</v>
      </c>
      <c r="C5908">
        <v>0</v>
      </c>
      <c r="D5908" t="s">
        <v>5982</v>
      </c>
    </row>
    <row r="5909" spans="1:4" x14ac:dyDescent="0.2">
      <c r="A5909">
        <v>31</v>
      </c>
      <c r="B5909">
        <v>249.8</v>
      </c>
      <c r="C5909">
        <v>250</v>
      </c>
      <c r="D5909" t="s">
        <v>5982</v>
      </c>
    </row>
    <row r="5910" spans="1:4" x14ac:dyDescent="0.2">
      <c r="A5910">
        <v>32</v>
      </c>
      <c r="B5910">
        <v>250</v>
      </c>
      <c r="C5910">
        <v>250</v>
      </c>
      <c r="D5910" t="s">
        <v>5982</v>
      </c>
    </row>
    <row r="5911" spans="1:4" x14ac:dyDescent="0.2">
      <c r="A5911">
        <v>33</v>
      </c>
      <c r="B5911">
        <v>250.4</v>
      </c>
      <c r="C5911">
        <v>250</v>
      </c>
      <c r="D5911" t="s">
        <v>5982</v>
      </c>
    </row>
    <row r="5912" spans="1:4" x14ac:dyDescent="0.2">
      <c r="A5912">
        <v>34</v>
      </c>
      <c r="B5912">
        <v>250.5</v>
      </c>
      <c r="C5912">
        <v>250</v>
      </c>
      <c r="D5912" t="s">
        <v>5982</v>
      </c>
    </row>
    <row r="5913" spans="1:4" x14ac:dyDescent="0.2">
      <c r="A5913">
        <v>35</v>
      </c>
      <c r="B5913">
        <v>249.7</v>
      </c>
      <c r="C5913">
        <v>250</v>
      </c>
      <c r="D5913" t="s">
        <v>5982</v>
      </c>
    </row>
    <row r="5914" spans="1:4" x14ac:dyDescent="0.2">
      <c r="A5914">
        <v>36</v>
      </c>
      <c r="B5914">
        <v>249.9</v>
      </c>
      <c r="C5914">
        <v>250</v>
      </c>
      <c r="D5914" t="s">
        <v>5982</v>
      </c>
    </row>
    <row r="5915" spans="1:4" x14ac:dyDescent="0.2">
      <c r="A5915">
        <v>31</v>
      </c>
      <c r="B5915">
        <v>499.9</v>
      </c>
      <c r="C5915">
        <v>500</v>
      </c>
      <c r="D5915" t="s">
        <v>5982</v>
      </c>
    </row>
    <row r="5916" spans="1:4" x14ac:dyDescent="0.2">
      <c r="A5916">
        <v>32</v>
      </c>
      <c r="B5916">
        <v>500.2</v>
      </c>
      <c r="C5916">
        <v>500</v>
      </c>
      <c r="D5916" t="s">
        <v>5982</v>
      </c>
    </row>
    <row r="5917" spans="1:4" x14ac:dyDescent="0.2">
      <c r="A5917">
        <v>33</v>
      </c>
      <c r="B5917">
        <v>500.5</v>
      </c>
      <c r="C5917">
        <v>500</v>
      </c>
      <c r="D5917" t="s">
        <v>5982</v>
      </c>
    </row>
    <row r="5918" spans="1:4" x14ac:dyDescent="0.2">
      <c r="A5918">
        <v>34</v>
      </c>
      <c r="B5918">
        <v>500.5</v>
      </c>
      <c r="C5918">
        <v>500</v>
      </c>
      <c r="D5918" t="s">
        <v>5982</v>
      </c>
    </row>
    <row r="5919" spans="1:4" x14ac:dyDescent="0.2">
      <c r="A5919">
        <v>35</v>
      </c>
      <c r="B5919">
        <v>500</v>
      </c>
      <c r="C5919">
        <v>500</v>
      </c>
      <c r="D5919" t="s">
        <v>5982</v>
      </c>
    </row>
    <row r="5920" spans="1:4" x14ac:dyDescent="0.2">
      <c r="A5920">
        <v>36</v>
      </c>
      <c r="B5920">
        <v>500</v>
      </c>
      <c r="C5920">
        <v>500</v>
      </c>
      <c r="D5920" t="s">
        <v>5982</v>
      </c>
    </row>
    <row r="5921" spans="1:4" x14ac:dyDescent="0.2">
      <c r="A5921">
        <v>31</v>
      </c>
      <c r="B5921">
        <v>1000</v>
      </c>
      <c r="C5921">
        <v>1000</v>
      </c>
      <c r="D5921" t="s">
        <v>5982</v>
      </c>
    </row>
    <row r="5922" spans="1:4" x14ac:dyDescent="0.2">
      <c r="A5922">
        <v>32</v>
      </c>
      <c r="B5922">
        <v>1000.2</v>
      </c>
      <c r="C5922">
        <v>1000</v>
      </c>
      <c r="D5922" t="s">
        <v>5982</v>
      </c>
    </row>
    <row r="5923" spans="1:4" x14ac:dyDescent="0.2">
      <c r="A5923">
        <v>33</v>
      </c>
      <c r="B5923">
        <v>1000.4</v>
      </c>
      <c r="C5923">
        <v>1000</v>
      </c>
      <c r="D5923" t="s">
        <v>5982</v>
      </c>
    </row>
    <row r="5924" spans="1:4" x14ac:dyDescent="0.2">
      <c r="A5924">
        <v>34</v>
      </c>
      <c r="B5924">
        <v>1000.5</v>
      </c>
      <c r="C5924">
        <v>1000</v>
      </c>
      <c r="D5924" t="s">
        <v>5982</v>
      </c>
    </row>
    <row r="5925" spans="1:4" x14ac:dyDescent="0.2">
      <c r="A5925">
        <v>35</v>
      </c>
      <c r="B5925">
        <v>1000</v>
      </c>
      <c r="C5925">
        <v>1000</v>
      </c>
      <c r="D5925" t="s">
        <v>5982</v>
      </c>
    </row>
    <row r="5926" spans="1:4" x14ac:dyDescent="0.2">
      <c r="A5926">
        <v>36</v>
      </c>
      <c r="B5926">
        <v>1000.1</v>
      </c>
      <c r="C5926">
        <v>1000</v>
      </c>
      <c r="D5926" t="s">
        <v>5982</v>
      </c>
    </row>
    <row r="5927" spans="1:4" x14ac:dyDescent="0.2">
      <c r="A5927">
        <v>37</v>
      </c>
      <c r="B5927">
        <v>-99.9</v>
      </c>
      <c r="C5927">
        <v>-100</v>
      </c>
      <c r="D5927" t="s">
        <v>5982</v>
      </c>
    </row>
    <row r="5928" spans="1:4" x14ac:dyDescent="0.2">
      <c r="A5928">
        <v>38</v>
      </c>
      <c r="B5928">
        <v>-100</v>
      </c>
      <c r="C5928">
        <v>-100</v>
      </c>
      <c r="D5928" t="s">
        <v>5982</v>
      </c>
    </row>
    <row r="5929" spans="1:4" x14ac:dyDescent="0.2">
      <c r="A5929">
        <v>39</v>
      </c>
      <c r="B5929">
        <v>-100.2</v>
      </c>
      <c r="C5929">
        <v>-100</v>
      </c>
      <c r="D5929" t="s">
        <v>5982</v>
      </c>
    </row>
    <row r="5930" spans="1:4" x14ac:dyDescent="0.2">
      <c r="A5930">
        <v>40</v>
      </c>
      <c r="B5930">
        <v>-99.7</v>
      </c>
      <c r="C5930">
        <v>-100</v>
      </c>
      <c r="D5930" t="s">
        <v>5982</v>
      </c>
    </row>
    <row r="5931" spans="1:4" x14ac:dyDescent="0.2">
      <c r="A5931">
        <v>37</v>
      </c>
      <c r="B5931">
        <v>-49.9</v>
      </c>
      <c r="C5931">
        <v>-50</v>
      </c>
      <c r="D5931" t="s">
        <v>5982</v>
      </c>
    </row>
    <row r="5932" spans="1:4" x14ac:dyDescent="0.2">
      <c r="A5932">
        <v>38</v>
      </c>
      <c r="B5932">
        <v>-50</v>
      </c>
      <c r="C5932">
        <v>-50</v>
      </c>
      <c r="D5932" t="s">
        <v>5982</v>
      </c>
    </row>
    <row r="5933" spans="1:4" x14ac:dyDescent="0.2">
      <c r="A5933">
        <v>39</v>
      </c>
      <c r="B5933">
        <v>-50.2</v>
      </c>
      <c r="C5933">
        <v>-50</v>
      </c>
      <c r="D5933" t="s">
        <v>5982</v>
      </c>
    </row>
    <row r="5934" spans="1:4" x14ac:dyDescent="0.2">
      <c r="A5934">
        <v>40</v>
      </c>
      <c r="B5934">
        <v>-49.7</v>
      </c>
      <c r="C5934">
        <v>-50</v>
      </c>
      <c r="D5934" t="s">
        <v>5982</v>
      </c>
    </row>
    <row r="5935" spans="1:4" x14ac:dyDescent="0.2">
      <c r="A5935">
        <v>37</v>
      </c>
      <c r="B5935">
        <v>0.1</v>
      </c>
      <c r="C5935">
        <v>0</v>
      </c>
      <c r="D5935" t="s">
        <v>5982</v>
      </c>
    </row>
    <row r="5936" spans="1:4" x14ac:dyDescent="0.2">
      <c r="A5936">
        <v>38</v>
      </c>
      <c r="B5936">
        <v>0</v>
      </c>
      <c r="C5936">
        <v>0</v>
      </c>
      <c r="D5936" t="s">
        <v>5982</v>
      </c>
    </row>
    <row r="5937" spans="1:4" x14ac:dyDescent="0.2">
      <c r="A5937">
        <v>39</v>
      </c>
      <c r="B5937">
        <v>-0.2</v>
      </c>
      <c r="C5937">
        <v>0</v>
      </c>
      <c r="D5937" t="s">
        <v>5982</v>
      </c>
    </row>
    <row r="5938" spans="1:4" x14ac:dyDescent="0.2">
      <c r="A5938">
        <v>40</v>
      </c>
      <c r="B5938">
        <v>0.2</v>
      </c>
      <c r="C5938">
        <v>0</v>
      </c>
      <c r="D5938" t="s">
        <v>5982</v>
      </c>
    </row>
    <row r="5939" spans="1:4" x14ac:dyDescent="0.2">
      <c r="A5939">
        <v>37</v>
      </c>
      <c r="B5939">
        <v>250.1</v>
      </c>
      <c r="C5939">
        <v>250</v>
      </c>
      <c r="D5939" t="s">
        <v>5982</v>
      </c>
    </row>
    <row r="5940" spans="1:4" x14ac:dyDescent="0.2">
      <c r="A5940">
        <v>38</v>
      </c>
      <c r="B5940">
        <v>250</v>
      </c>
      <c r="C5940">
        <v>250</v>
      </c>
      <c r="D5940" t="s">
        <v>5982</v>
      </c>
    </row>
    <row r="5941" spans="1:4" x14ac:dyDescent="0.2">
      <c r="A5941">
        <v>39</v>
      </c>
      <c r="B5941">
        <v>249.8</v>
      </c>
      <c r="C5941">
        <v>250</v>
      </c>
      <c r="D5941" t="s">
        <v>5982</v>
      </c>
    </row>
    <row r="5942" spans="1:4" x14ac:dyDescent="0.2">
      <c r="A5942">
        <v>40</v>
      </c>
      <c r="B5942">
        <v>250.2</v>
      </c>
      <c r="C5942">
        <v>250</v>
      </c>
      <c r="D5942" t="s">
        <v>5982</v>
      </c>
    </row>
    <row r="5943" spans="1:4" x14ac:dyDescent="0.2">
      <c r="A5943">
        <v>37</v>
      </c>
      <c r="B5943">
        <v>500.1</v>
      </c>
      <c r="C5943">
        <v>500</v>
      </c>
      <c r="D5943" t="s">
        <v>5982</v>
      </c>
    </row>
    <row r="5944" spans="1:4" x14ac:dyDescent="0.2">
      <c r="A5944">
        <v>38</v>
      </c>
      <c r="B5944">
        <v>500</v>
      </c>
      <c r="C5944">
        <v>500</v>
      </c>
      <c r="D5944" t="s">
        <v>5982</v>
      </c>
    </row>
    <row r="5945" spans="1:4" x14ac:dyDescent="0.2">
      <c r="A5945">
        <v>39</v>
      </c>
      <c r="B5945">
        <v>499.9</v>
      </c>
      <c r="C5945">
        <v>500</v>
      </c>
      <c r="D5945" t="s">
        <v>5982</v>
      </c>
    </row>
    <row r="5946" spans="1:4" x14ac:dyDescent="0.2">
      <c r="A5946">
        <v>40</v>
      </c>
      <c r="B5946">
        <v>500.2</v>
      </c>
      <c r="C5946">
        <v>500</v>
      </c>
      <c r="D5946" t="s">
        <v>5982</v>
      </c>
    </row>
    <row r="5947" spans="1:4" x14ac:dyDescent="0.2">
      <c r="A5947">
        <v>37</v>
      </c>
      <c r="B5947">
        <v>1000.1</v>
      </c>
      <c r="C5947">
        <v>1000</v>
      </c>
      <c r="D5947" t="s">
        <v>5982</v>
      </c>
    </row>
    <row r="5948" spans="1:4" x14ac:dyDescent="0.2">
      <c r="A5948">
        <v>38</v>
      </c>
      <c r="B5948">
        <v>1000</v>
      </c>
      <c r="C5948">
        <v>1000</v>
      </c>
      <c r="D5948" t="s">
        <v>5982</v>
      </c>
    </row>
    <row r="5949" spans="1:4" x14ac:dyDescent="0.2">
      <c r="A5949">
        <v>39</v>
      </c>
      <c r="B5949">
        <v>999.9</v>
      </c>
      <c r="C5949">
        <v>1000</v>
      </c>
      <c r="D5949" t="s">
        <v>5982</v>
      </c>
    </row>
    <row r="5950" spans="1:4" x14ac:dyDescent="0.2">
      <c r="A5950">
        <v>40</v>
      </c>
      <c r="B5950">
        <v>1000.2</v>
      </c>
      <c r="C5950">
        <v>1000</v>
      </c>
      <c r="D5950" t="s">
        <v>5982</v>
      </c>
    </row>
    <row r="5951" spans="1:4" x14ac:dyDescent="0.2">
      <c r="A5951">
        <v>1</v>
      </c>
      <c r="B5951">
        <v>-99.8</v>
      </c>
      <c r="C5951">
        <v>-100</v>
      </c>
      <c r="D5951" t="s">
        <v>5983</v>
      </c>
    </row>
    <row r="5952" spans="1:4" x14ac:dyDescent="0.2">
      <c r="A5952">
        <v>2</v>
      </c>
      <c r="B5952">
        <v>-100.1</v>
      </c>
      <c r="C5952">
        <v>-100</v>
      </c>
      <c r="D5952" t="s">
        <v>5983</v>
      </c>
    </row>
    <row r="5953" spans="1:4" x14ac:dyDescent="0.2">
      <c r="A5953">
        <v>3</v>
      </c>
      <c r="B5953">
        <v>-99.9</v>
      </c>
      <c r="C5953">
        <v>-100</v>
      </c>
      <c r="D5953" t="s">
        <v>5983</v>
      </c>
    </row>
    <row r="5954" spans="1:4" x14ac:dyDescent="0.2">
      <c r="A5954">
        <v>4</v>
      </c>
      <c r="B5954">
        <v>-99.8</v>
      </c>
      <c r="C5954">
        <v>-100</v>
      </c>
      <c r="D5954" t="s">
        <v>5983</v>
      </c>
    </row>
    <row r="5955" spans="1:4" x14ac:dyDescent="0.2">
      <c r="A5955">
        <v>5</v>
      </c>
      <c r="B5955">
        <v>-100</v>
      </c>
      <c r="C5955">
        <v>-100</v>
      </c>
      <c r="D5955" t="s">
        <v>5983</v>
      </c>
    </row>
    <row r="5956" spans="1:4" x14ac:dyDescent="0.2">
      <c r="A5956">
        <v>6</v>
      </c>
      <c r="B5956">
        <v>-99.9</v>
      </c>
      <c r="C5956">
        <v>-100</v>
      </c>
      <c r="D5956" t="s">
        <v>5983</v>
      </c>
    </row>
    <row r="5957" spans="1:4" x14ac:dyDescent="0.2">
      <c r="A5957">
        <v>1</v>
      </c>
      <c r="B5957">
        <v>-49.8</v>
      </c>
      <c r="C5957">
        <v>-50</v>
      </c>
      <c r="D5957" t="s">
        <v>5983</v>
      </c>
    </row>
    <row r="5958" spans="1:4" x14ac:dyDescent="0.2">
      <c r="A5958">
        <v>2</v>
      </c>
      <c r="B5958">
        <v>-50.1</v>
      </c>
      <c r="C5958">
        <v>-50</v>
      </c>
      <c r="D5958" t="s">
        <v>5983</v>
      </c>
    </row>
    <row r="5959" spans="1:4" x14ac:dyDescent="0.2">
      <c r="A5959">
        <v>3</v>
      </c>
      <c r="B5959">
        <v>-49.9</v>
      </c>
      <c r="C5959">
        <v>-50</v>
      </c>
      <c r="D5959" t="s">
        <v>5983</v>
      </c>
    </row>
    <row r="5960" spans="1:4" x14ac:dyDescent="0.2">
      <c r="A5960">
        <v>4</v>
      </c>
      <c r="B5960">
        <v>-49.8</v>
      </c>
      <c r="C5960">
        <v>-50</v>
      </c>
      <c r="D5960" t="s">
        <v>5983</v>
      </c>
    </row>
    <row r="5961" spans="1:4" x14ac:dyDescent="0.2">
      <c r="A5961">
        <v>5</v>
      </c>
      <c r="B5961">
        <v>-50</v>
      </c>
      <c r="C5961">
        <v>-50</v>
      </c>
      <c r="D5961" t="s">
        <v>5983</v>
      </c>
    </row>
    <row r="5962" spans="1:4" x14ac:dyDescent="0.2">
      <c r="A5962">
        <v>6</v>
      </c>
      <c r="B5962">
        <v>-49.9</v>
      </c>
      <c r="C5962">
        <v>-50</v>
      </c>
      <c r="D5962" t="s">
        <v>5983</v>
      </c>
    </row>
    <row r="5963" spans="1:4" x14ac:dyDescent="0.2">
      <c r="A5963">
        <v>1</v>
      </c>
      <c r="B5963">
        <v>0.2</v>
      </c>
      <c r="C5963">
        <v>0</v>
      </c>
      <c r="D5963" t="s">
        <v>5983</v>
      </c>
    </row>
    <row r="5964" spans="1:4" x14ac:dyDescent="0.2">
      <c r="A5964">
        <v>2</v>
      </c>
      <c r="B5964">
        <v>-0.1</v>
      </c>
      <c r="C5964">
        <v>0</v>
      </c>
      <c r="D5964" t="s">
        <v>5983</v>
      </c>
    </row>
    <row r="5965" spans="1:4" x14ac:dyDescent="0.2">
      <c r="A5965">
        <v>3</v>
      </c>
      <c r="B5965">
        <v>0.1</v>
      </c>
      <c r="C5965">
        <v>0</v>
      </c>
      <c r="D5965" t="s">
        <v>5983</v>
      </c>
    </row>
    <row r="5966" spans="1:4" x14ac:dyDescent="0.2">
      <c r="A5966">
        <v>4</v>
      </c>
      <c r="B5966">
        <v>0.3</v>
      </c>
      <c r="C5966">
        <v>0</v>
      </c>
      <c r="D5966" t="s">
        <v>5983</v>
      </c>
    </row>
    <row r="5967" spans="1:4" x14ac:dyDescent="0.2">
      <c r="A5967">
        <v>5</v>
      </c>
      <c r="B5967">
        <v>0.1</v>
      </c>
      <c r="C5967">
        <v>0</v>
      </c>
      <c r="D5967" t="s">
        <v>5983</v>
      </c>
    </row>
    <row r="5968" spans="1:4" x14ac:dyDescent="0.2">
      <c r="A5968">
        <v>6</v>
      </c>
      <c r="B5968">
        <v>0.1</v>
      </c>
      <c r="C5968">
        <v>0</v>
      </c>
      <c r="D5968" t="s">
        <v>5983</v>
      </c>
    </row>
    <row r="5969" spans="1:4" x14ac:dyDescent="0.2">
      <c r="A5969">
        <v>1</v>
      </c>
      <c r="B5969">
        <v>250.3</v>
      </c>
      <c r="C5969">
        <v>250</v>
      </c>
      <c r="D5969" t="s">
        <v>5983</v>
      </c>
    </row>
    <row r="5970" spans="1:4" x14ac:dyDescent="0.2">
      <c r="A5970">
        <v>2</v>
      </c>
      <c r="B5970">
        <v>250</v>
      </c>
      <c r="C5970">
        <v>250</v>
      </c>
      <c r="D5970" t="s">
        <v>5983</v>
      </c>
    </row>
    <row r="5971" spans="1:4" x14ac:dyDescent="0.2">
      <c r="A5971">
        <v>3</v>
      </c>
      <c r="B5971">
        <v>250.1</v>
      </c>
      <c r="C5971">
        <v>250</v>
      </c>
      <c r="D5971" t="s">
        <v>5983</v>
      </c>
    </row>
    <row r="5972" spans="1:4" x14ac:dyDescent="0.2">
      <c r="A5972">
        <v>4</v>
      </c>
      <c r="B5972">
        <v>250.3</v>
      </c>
      <c r="C5972">
        <v>250</v>
      </c>
      <c r="D5972" t="s">
        <v>5983</v>
      </c>
    </row>
    <row r="5973" spans="1:4" x14ac:dyDescent="0.2">
      <c r="A5973">
        <v>5</v>
      </c>
      <c r="B5973">
        <v>250.1</v>
      </c>
      <c r="C5973">
        <v>250</v>
      </c>
      <c r="D5973" t="s">
        <v>5983</v>
      </c>
    </row>
    <row r="5974" spans="1:4" x14ac:dyDescent="0.2">
      <c r="A5974">
        <v>6</v>
      </c>
      <c r="B5974">
        <v>250.2</v>
      </c>
      <c r="C5974">
        <v>250</v>
      </c>
      <c r="D5974" t="s">
        <v>5983</v>
      </c>
    </row>
    <row r="5975" spans="1:4" x14ac:dyDescent="0.2">
      <c r="A5975">
        <v>1</v>
      </c>
      <c r="B5975">
        <v>500.3</v>
      </c>
      <c r="C5975">
        <v>500</v>
      </c>
      <c r="D5975" t="s">
        <v>5983</v>
      </c>
    </row>
    <row r="5976" spans="1:4" x14ac:dyDescent="0.2">
      <c r="A5976">
        <v>2</v>
      </c>
      <c r="B5976">
        <v>500</v>
      </c>
      <c r="C5976">
        <v>500</v>
      </c>
      <c r="D5976" t="s">
        <v>5983</v>
      </c>
    </row>
    <row r="5977" spans="1:4" x14ac:dyDescent="0.2">
      <c r="A5977">
        <v>3</v>
      </c>
      <c r="B5977">
        <v>500.2</v>
      </c>
      <c r="C5977">
        <v>500</v>
      </c>
      <c r="D5977" t="s">
        <v>5983</v>
      </c>
    </row>
    <row r="5978" spans="1:4" x14ac:dyDescent="0.2">
      <c r="A5978">
        <v>4</v>
      </c>
      <c r="B5978">
        <v>500.3</v>
      </c>
      <c r="C5978">
        <v>500</v>
      </c>
      <c r="D5978" t="s">
        <v>5983</v>
      </c>
    </row>
    <row r="5979" spans="1:4" x14ac:dyDescent="0.2">
      <c r="A5979">
        <v>5</v>
      </c>
      <c r="B5979">
        <v>500.1</v>
      </c>
      <c r="C5979">
        <v>500</v>
      </c>
      <c r="D5979" t="s">
        <v>5983</v>
      </c>
    </row>
    <row r="5980" spans="1:4" x14ac:dyDescent="0.2">
      <c r="A5980">
        <v>6</v>
      </c>
      <c r="B5980">
        <v>500.2</v>
      </c>
      <c r="C5980">
        <v>500</v>
      </c>
      <c r="D5980" t="s">
        <v>5983</v>
      </c>
    </row>
    <row r="5981" spans="1:4" x14ac:dyDescent="0.2">
      <c r="A5981">
        <v>1</v>
      </c>
      <c r="B5981">
        <v>1000.3</v>
      </c>
      <c r="C5981">
        <v>1000</v>
      </c>
      <c r="D5981" t="s">
        <v>5983</v>
      </c>
    </row>
    <row r="5982" spans="1:4" x14ac:dyDescent="0.2">
      <c r="A5982">
        <v>2</v>
      </c>
      <c r="B5982">
        <v>1000.1</v>
      </c>
      <c r="C5982">
        <v>1000</v>
      </c>
      <c r="D5982" t="s">
        <v>5983</v>
      </c>
    </row>
    <row r="5983" spans="1:4" x14ac:dyDescent="0.2">
      <c r="A5983">
        <v>3</v>
      </c>
      <c r="B5983">
        <v>1000.3</v>
      </c>
      <c r="C5983">
        <v>1000</v>
      </c>
      <c r="D5983" t="s">
        <v>5983</v>
      </c>
    </row>
    <row r="5984" spans="1:4" x14ac:dyDescent="0.2">
      <c r="A5984">
        <v>4</v>
      </c>
      <c r="B5984">
        <v>1000.3</v>
      </c>
      <c r="C5984">
        <v>1000</v>
      </c>
      <c r="D5984" t="s">
        <v>5983</v>
      </c>
    </row>
    <row r="5985" spans="1:4" x14ac:dyDescent="0.2">
      <c r="A5985">
        <v>5</v>
      </c>
      <c r="B5985">
        <v>1000.2</v>
      </c>
      <c r="C5985">
        <v>1000</v>
      </c>
      <c r="D5985" t="s">
        <v>5983</v>
      </c>
    </row>
    <row r="5986" spans="1:4" x14ac:dyDescent="0.2">
      <c r="A5986">
        <v>6</v>
      </c>
      <c r="B5986">
        <v>1000.2</v>
      </c>
      <c r="C5986">
        <v>1000</v>
      </c>
      <c r="D5986" t="s">
        <v>5983</v>
      </c>
    </row>
    <row r="5987" spans="1:4" x14ac:dyDescent="0.2">
      <c r="A5987">
        <v>7</v>
      </c>
      <c r="B5987">
        <v>-100</v>
      </c>
      <c r="C5987">
        <v>-100</v>
      </c>
      <c r="D5987" t="s">
        <v>5983</v>
      </c>
    </row>
    <row r="5988" spans="1:4" x14ac:dyDescent="0.2">
      <c r="A5988">
        <v>8</v>
      </c>
      <c r="B5988">
        <v>-100.2</v>
      </c>
      <c r="C5988">
        <v>-100</v>
      </c>
      <c r="D5988" t="s">
        <v>5983</v>
      </c>
    </row>
    <row r="5989" spans="1:4" x14ac:dyDescent="0.2">
      <c r="A5989">
        <v>9</v>
      </c>
      <c r="B5989">
        <v>-99.8</v>
      </c>
      <c r="C5989">
        <v>-100</v>
      </c>
      <c r="D5989" t="s">
        <v>5983</v>
      </c>
    </row>
    <row r="5990" spans="1:4" x14ac:dyDescent="0.2">
      <c r="A5990">
        <v>10</v>
      </c>
      <c r="B5990">
        <v>-100.1</v>
      </c>
      <c r="C5990">
        <v>-100</v>
      </c>
      <c r="D5990" t="s">
        <v>5983</v>
      </c>
    </row>
    <row r="5991" spans="1:4" x14ac:dyDescent="0.2">
      <c r="A5991">
        <v>11</v>
      </c>
      <c r="B5991">
        <v>-99.8</v>
      </c>
      <c r="C5991">
        <v>-100</v>
      </c>
      <c r="D5991" t="s">
        <v>5983</v>
      </c>
    </row>
    <row r="5992" spans="1:4" x14ac:dyDescent="0.2">
      <c r="A5992">
        <v>12</v>
      </c>
      <c r="B5992">
        <v>-100.2</v>
      </c>
      <c r="C5992">
        <v>-100</v>
      </c>
      <c r="D5992" t="s">
        <v>5983</v>
      </c>
    </row>
    <row r="5993" spans="1:4" x14ac:dyDescent="0.2">
      <c r="A5993">
        <v>7</v>
      </c>
      <c r="B5993">
        <v>-49.9</v>
      </c>
      <c r="C5993">
        <v>-50</v>
      </c>
      <c r="D5993" t="s">
        <v>5983</v>
      </c>
    </row>
    <row r="5994" spans="1:4" x14ac:dyDescent="0.2">
      <c r="A5994">
        <v>8</v>
      </c>
      <c r="B5994">
        <v>-50.2</v>
      </c>
      <c r="C5994">
        <v>-50</v>
      </c>
      <c r="D5994" t="s">
        <v>5983</v>
      </c>
    </row>
    <row r="5995" spans="1:4" x14ac:dyDescent="0.2">
      <c r="A5995">
        <v>9</v>
      </c>
      <c r="B5995">
        <v>-49.8</v>
      </c>
      <c r="C5995">
        <v>-50</v>
      </c>
      <c r="D5995" t="s">
        <v>5983</v>
      </c>
    </row>
    <row r="5996" spans="1:4" x14ac:dyDescent="0.2">
      <c r="A5996">
        <v>10</v>
      </c>
      <c r="B5996">
        <v>-50.1</v>
      </c>
      <c r="C5996">
        <v>-50</v>
      </c>
      <c r="D5996" t="s">
        <v>5983</v>
      </c>
    </row>
    <row r="5997" spans="1:4" x14ac:dyDescent="0.2">
      <c r="A5997">
        <v>11</v>
      </c>
      <c r="B5997">
        <v>-49.8</v>
      </c>
      <c r="C5997">
        <v>-50</v>
      </c>
      <c r="D5997" t="s">
        <v>5983</v>
      </c>
    </row>
    <row r="5998" spans="1:4" x14ac:dyDescent="0.2">
      <c r="A5998">
        <v>12</v>
      </c>
      <c r="B5998">
        <v>-50.2</v>
      </c>
      <c r="C5998">
        <v>-50</v>
      </c>
      <c r="D5998" t="s">
        <v>5983</v>
      </c>
    </row>
    <row r="5999" spans="1:4" x14ac:dyDescent="0.2">
      <c r="A5999">
        <v>7</v>
      </c>
      <c r="B5999">
        <v>0.1</v>
      </c>
      <c r="C5999">
        <v>0</v>
      </c>
      <c r="D5999" t="s">
        <v>5983</v>
      </c>
    </row>
    <row r="6000" spans="1:4" x14ac:dyDescent="0.2">
      <c r="A6000">
        <v>8</v>
      </c>
      <c r="B6000">
        <v>-0.1</v>
      </c>
      <c r="C6000">
        <v>0</v>
      </c>
      <c r="D6000" t="s">
        <v>5983</v>
      </c>
    </row>
    <row r="6001" spans="1:4" x14ac:dyDescent="0.2">
      <c r="A6001">
        <v>9</v>
      </c>
      <c r="B6001">
        <v>0.2</v>
      </c>
      <c r="C6001">
        <v>0</v>
      </c>
      <c r="D6001" t="s">
        <v>5983</v>
      </c>
    </row>
    <row r="6002" spans="1:4" x14ac:dyDescent="0.2">
      <c r="A6002">
        <v>10</v>
      </c>
      <c r="B6002">
        <v>0</v>
      </c>
      <c r="C6002">
        <v>0</v>
      </c>
      <c r="D6002" t="s">
        <v>5983</v>
      </c>
    </row>
    <row r="6003" spans="1:4" x14ac:dyDescent="0.2">
      <c r="A6003">
        <v>11</v>
      </c>
      <c r="B6003">
        <v>0.2</v>
      </c>
      <c r="C6003">
        <v>0</v>
      </c>
      <c r="D6003" t="s">
        <v>5983</v>
      </c>
    </row>
    <row r="6004" spans="1:4" x14ac:dyDescent="0.2">
      <c r="A6004">
        <v>12</v>
      </c>
      <c r="B6004">
        <v>-0.1</v>
      </c>
      <c r="C6004">
        <v>0</v>
      </c>
      <c r="D6004" t="s">
        <v>5983</v>
      </c>
    </row>
    <row r="6005" spans="1:4" x14ac:dyDescent="0.2">
      <c r="A6005">
        <v>7</v>
      </c>
      <c r="B6005">
        <v>250.1</v>
      </c>
      <c r="C6005">
        <v>250</v>
      </c>
      <c r="D6005" t="s">
        <v>5983</v>
      </c>
    </row>
    <row r="6006" spans="1:4" x14ac:dyDescent="0.2">
      <c r="A6006">
        <v>8</v>
      </c>
      <c r="B6006">
        <v>249.8</v>
      </c>
      <c r="C6006">
        <v>250</v>
      </c>
      <c r="D6006" t="s">
        <v>5983</v>
      </c>
    </row>
    <row r="6007" spans="1:4" x14ac:dyDescent="0.2">
      <c r="A6007">
        <v>9</v>
      </c>
      <c r="B6007">
        <v>250.3</v>
      </c>
      <c r="C6007">
        <v>250</v>
      </c>
      <c r="D6007" t="s">
        <v>5983</v>
      </c>
    </row>
    <row r="6008" spans="1:4" x14ac:dyDescent="0.2">
      <c r="A6008">
        <v>10</v>
      </c>
      <c r="B6008">
        <v>250</v>
      </c>
      <c r="C6008">
        <v>250</v>
      </c>
      <c r="D6008" t="s">
        <v>5983</v>
      </c>
    </row>
    <row r="6009" spans="1:4" x14ac:dyDescent="0.2">
      <c r="A6009">
        <v>11</v>
      </c>
      <c r="B6009">
        <v>250.3</v>
      </c>
      <c r="C6009">
        <v>250</v>
      </c>
      <c r="D6009" t="s">
        <v>5983</v>
      </c>
    </row>
    <row r="6010" spans="1:4" x14ac:dyDescent="0.2">
      <c r="A6010">
        <v>12</v>
      </c>
      <c r="B6010">
        <v>250</v>
      </c>
      <c r="C6010">
        <v>250</v>
      </c>
      <c r="D6010" t="s">
        <v>5983</v>
      </c>
    </row>
    <row r="6011" spans="1:4" x14ac:dyDescent="0.2">
      <c r="A6011">
        <v>7</v>
      </c>
      <c r="B6011">
        <v>500.2</v>
      </c>
      <c r="C6011">
        <v>500</v>
      </c>
      <c r="D6011" t="s">
        <v>5983</v>
      </c>
    </row>
    <row r="6012" spans="1:4" x14ac:dyDescent="0.2">
      <c r="A6012">
        <v>8</v>
      </c>
      <c r="B6012">
        <v>499.8</v>
      </c>
      <c r="C6012">
        <v>500</v>
      </c>
      <c r="D6012" t="s">
        <v>5983</v>
      </c>
    </row>
    <row r="6013" spans="1:4" x14ac:dyDescent="0.2">
      <c r="A6013">
        <v>9</v>
      </c>
      <c r="B6013">
        <v>500.3</v>
      </c>
      <c r="C6013">
        <v>500</v>
      </c>
      <c r="D6013" t="s">
        <v>5983</v>
      </c>
    </row>
    <row r="6014" spans="1:4" x14ac:dyDescent="0.2">
      <c r="A6014">
        <v>10</v>
      </c>
      <c r="B6014">
        <v>500</v>
      </c>
      <c r="C6014">
        <v>500</v>
      </c>
      <c r="D6014" t="s">
        <v>5983</v>
      </c>
    </row>
    <row r="6015" spans="1:4" x14ac:dyDescent="0.2">
      <c r="A6015">
        <v>11</v>
      </c>
      <c r="B6015">
        <v>500.3</v>
      </c>
      <c r="C6015">
        <v>500</v>
      </c>
      <c r="D6015" t="s">
        <v>5983</v>
      </c>
    </row>
    <row r="6016" spans="1:4" x14ac:dyDescent="0.2">
      <c r="A6016">
        <v>12</v>
      </c>
      <c r="B6016">
        <v>500</v>
      </c>
      <c r="C6016">
        <v>500</v>
      </c>
      <c r="D6016" t="s">
        <v>5983</v>
      </c>
    </row>
    <row r="6017" spans="1:4" x14ac:dyDescent="0.2">
      <c r="A6017">
        <v>7</v>
      </c>
      <c r="B6017">
        <v>1000.2</v>
      </c>
      <c r="C6017">
        <v>1000</v>
      </c>
      <c r="D6017" t="s">
        <v>5983</v>
      </c>
    </row>
    <row r="6018" spans="1:4" x14ac:dyDescent="0.2">
      <c r="A6018">
        <v>8</v>
      </c>
      <c r="B6018">
        <v>999.8</v>
      </c>
      <c r="C6018">
        <v>1000</v>
      </c>
      <c r="D6018" t="s">
        <v>5983</v>
      </c>
    </row>
    <row r="6019" spans="1:4" x14ac:dyDescent="0.2">
      <c r="A6019">
        <v>9</v>
      </c>
      <c r="B6019">
        <v>1000.3</v>
      </c>
      <c r="C6019">
        <v>1000</v>
      </c>
      <c r="D6019" t="s">
        <v>5983</v>
      </c>
    </row>
    <row r="6020" spans="1:4" x14ac:dyDescent="0.2">
      <c r="A6020">
        <v>10</v>
      </c>
      <c r="B6020">
        <v>1000</v>
      </c>
      <c r="C6020">
        <v>1000</v>
      </c>
      <c r="D6020" t="s">
        <v>5983</v>
      </c>
    </row>
    <row r="6021" spans="1:4" x14ac:dyDescent="0.2">
      <c r="A6021">
        <v>11</v>
      </c>
      <c r="B6021">
        <v>1000.3</v>
      </c>
      <c r="C6021">
        <v>1000</v>
      </c>
      <c r="D6021" t="s">
        <v>5983</v>
      </c>
    </row>
    <row r="6022" spans="1:4" x14ac:dyDescent="0.2">
      <c r="A6022">
        <v>12</v>
      </c>
      <c r="B6022">
        <v>1000.1</v>
      </c>
      <c r="C6022">
        <v>1000</v>
      </c>
      <c r="D6022" t="s">
        <v>5983</v>
      </c>
    </row>
    <row r="6023" spans="1:4" x14ac:dyDescent="0.2">
      <c r="A6023">
        <v>13</v>
      </c>
      <c r="B6023">
        <v>-99.8</v>
      </c>
      <c r="C6023">
        <v>-100</v>
      </c>
      <c r="D6023" t="s">
        <v>5983</v>
      </c>
    </row>
    <row r="6024" spans="1:4" x14ac:dyDescent="0.2">
      <c r="A6024">
        <v>14</v>
      </c>
      <c r="B6024">
        <v>-99.5</v>
      </c>
      <c r="C6024">
        <v>-100</v>
      </c>
      <c r="D6024" t="s">
        <v>5983</v>
      </c>
    </row>
    <row r="6025" spans="1:4" x14ac:dyDescent="0.2">
      <c r="A6025">
        <v>15</v>
      </c>
      <c r="B6025">
        <v>-100.1</v>
      </c>
      <c r="C6025">
        <v>-100</v>
      </c>
      <c r="D6025" t="s">
        <v>5983</v>
      </c>
    </row>
    <row r="6026" spans="1:4" x14ac:dyDescent="0.2">
      <c r="A6026">
        <v>16</v>
      </c>
      <c r="B6026">
        <v>-100.2</v>
      </c>
      <c r="C6026">
        <v>-100</v>
      </c>
      <c r="D6026" t="s">
        <v>5983</v>
      </c>
    </row>
    <row r="6027" spans="1:4" x14ac:dyDescent="0.2">
      <c r="A6027">
        <v>17</v>
      </c>
      <c r="B6027">
        <v>-100.2</v>
      </c>
      <c r="C6027">
        <v>-100</v>
      </c>
      <c r="D6027" t="s">
        <v>5983</v>
      </c>
    </row>
    <row r="6028" spans="1:4" x14ac:dyDescent="0.2">
      <c r="A6028">
        <v>18</v>
      </c>
      <c r="B6028">
        <v>-100.2</v>
      </c>
      <c r="C6028">
        <v>-100</v>
      </c>
      <c r="D6028" t="s">
        <v>5983</v>
      </c>
    </row>
    <row r="6029" spans="1:4" x14ac:dyDescent="0.2">
      <c r="A6029">
        <v>13</v>
      </c>
      <c r="B6029">
        <v>-49.8</v>
      </c>
      <c r="C6029">
        <v>-50</v>
      </c>
      <c r="D6029" t="s">
        <v>5983</v>
      </c>
    </row>
    <row r="6030" spans="1:4" x14ac:dyDescent="0.2">
      <c r="A6030">
        <v>14</v>
      </c>
      <c r="B6030">
        <v>-49.5</v>
      </c>
      <c r="C6030">
        <v>-50</v>
      </c>
      <c r="D6030" t="s">
        <v>5983</v>
      </c>
    </row>
    <row r="6031" spans="1:4" x14ac:dyDescent="0.2">
      <c r="A6031">
        <v>15</v>
      </c>
      <c r="B6031">
        <v>-50.1</v>
      </c>
      <c r="C6031">
        <v>-50</v>
      </c>
      <c r="D6031" t="s">
        <v>5983</v>
      </c>
    </row>
    <row r="6032" spans="1:4" x14ac:dyDescent="0.2">
      <c r="A6032">
        <v>16</v>
      </c>
      <c r="B6032">
        <v>-50.2</v>
      </c>
      <c r="C6032">
        <v>-50</v>
      </c>
      <c r="D6032" t="s">
        <v>5983</v>
      </c>
    </row>
    <row r="6033" spans="1:4" x14ac:dyDescent="0.2">
      <c r="A6033">
        <v>17</v>
      </c>
      <c r="B6033">
        <v>-50.1</v>
      </c>
      <c r="C6033">
        <v>-50</v>
      </c>
      <c r="D6033" t="s">
        <v>5983</v>
      </c>
    </row>
    <row r="6034" spans="1:4" x14ac:dyDescent="0.2">
      <c r="A6034">
        <v>18</v>
      </c>
      <c r="B6034">
        <v>-50.1</v>
      </c>
      <c r="C6034">
        <v>-50</v>
      </c>
      <c r="D6034" t="s">
        <v>5983</v>
      </c>
    </row>
    <row r="6035" spans="1:4" x14ac:dyDescent="0.2">
      <c r="A6035">
        <v>13</v>
      </c>
      <c r="B6035">
        <v>0.2</v>
      </c>
      <c r="C6035">
        <v>0</v>
      </c>
      <c r="D6035" t="s">
        <v>5983</v>
      </c>
    </row>
    <row r="6036" spans="1:4" x14ac:dyDescent="0.2">
      <c r="A6036">
        <v>14</v>
      </c>
      <c r="B6036">
        <v>0.5</v>
      </c>
      <c r="C6036">
        <v>0</v>
      </c>
      <c r="D6036" t="s">
        <v>5983</v>
      </c>
    </row>
    <row r="6037" spans="1:4" x14ac:dyDescent="0.2">
      <c r="A6037">
        <v>15</v>
      </c>
      <c r="B6037">
        <v>-0.1</v>
      </c>
      <c r="C6037">
        <v>0</v>
      </c>
      <c r="D6037" t="s">
        <v>5983</v>
      </c>
    </row>
    <row r="6038" spans="1:4" x14ac:dyDescent="0.2">
      <c r="A6038">
        <v>16</v>
      </c>
      <c r="B6038">
        <v>-0.1</v>
      </c>
      <c r="C6038">
        <v>0</v>
      </c>
      <c r="D6038" t="s">
        <v>5983</v>
      </c>
    </row>
    <row r="6039" spans="1:4" x14ac:dyDescent="0.2">
      <c r="A6039">
        <v>17</v>
      </c>
      <c r="B6039">
        <v>0</v>
      </c>
      <c r="C6039">
        <v>0</v>
      </c>
      <c r="D6039" t="s">
        <v>5983</v>
      </c>
    </row>
    <row r="6040" spans="1:4" x14ac:dyDescent="0.2">
      <c r="A6040">
        <v>18</v>
      </c>
      <c r="B6040">
        <v>0</v>
      </c>
      <c r="C6040">
        <v>0</v>
      </c>
      <c r="D6040" t="s">
        <v>5983</v>
      </c>
    </row>
    <row r="6041" spans="1:4" x14ac:dyDescent="0.2">
      <c r="A6041">
        <v>13</v>
      </c>
      <c r="B6041">
        <v>250.4</v>
      </c>
      <c r="C6041">
        <v>250</v>
      </c>
      <c r="D6041" t="s">
        <v>5983</v>
      </c>
    </row>
    <row r="6042" spans="1:4" x14ac:dyDescent="0.2">
      <c r="A6042">
        <v>14</v>
      </c>
      <c r="B6042">
        <v>250.5</v>
      </c>
      <c r="C6042">
        <v>250</v>
      </c>
      <c r="D6042" t="s">
        <v>5983</v>
      </c>
    </row>
    <row r="6043" spans="1:4" x14ac:dyDescent="0.2">
      <c r="A6043">
        <v>15</v>
      </c>
      <c r="B6043">
        <v>249.9</v>
      </c>
      <c r="C6043">
        <v>250</v>
      </c>
      <c r="D6043" t="s">
        <v>5983</v>
      </c>
    </row>
    <row r="6044" spans="1:4" x14ac:dyDescent="0.2">
      <c r="A6044">
        <v>16</v>
      </c>
      <c r="B6044">
        <v>250</v>
      </c>
      <c r="C6044">
        <v>250</v>
      </c>
      <c r="D6044" t="s">
        <v>5983</v>
      </c>
    </row>
    <row r="6045" spans="1:4" x14ac:dyDescent="0.2">
      <c r="A6045">
        <v>17</v>
      </c>
      <c r="B6045">
        <v>250</v>
      </c>
      <c r="C6045">
        <v>250</v>
      </c>
      <c r="D6045" t="s">
        <v>5983</v>
      </c>
    </row>
    <row r="6046" spans="1:4" x14ac:dyDescent="0.2">
      <c r="A6046">
        <v>18</v>
      </c>
      <c r="B6046">
        <v>250</v>
      </c>
      <c r="C6046">
        <v>250</v>
      </c>
      <c r="D6046" t="s">
        <v>5983</v>
      </c>
    </row>
    <row r="6047" spans="1:4" x14ac:dyDescent="0.2">
      <c r="A6047">
        <v>13</v>
      </c>
      <c r="B6047">
        <v>500.4</v>
      </c>
      <c r="C6047">
        <v>500</v>
      </c>
      <c r="D6047" t="s">
        <v>5983</v>
      </c>
    </row>
    <row r="6048" spans="1:4" x14ac:dyDescent="0.2">
      <c r="A6048">
        <v>14</v>
      </c>
      <c r="B6048">
        <v>500.5</v>
      </c>
      <c r="C6048">
        <v>500</v>
      </c>
      <c r="D6048" t="s">
        <v>5983</v>
      </c>
    </row>
    <row r="6049" spans="1:4" x14ac:dyDescent="0.2">
      <c r="A6049">
        <v>15</v>
      </c>
      <c r="B6049">
        <v>500</v>
      </c>
      <c r="C6049">
        <v>500</v>
      </c>
      <c r="D6049" t="s">
        <v>5983</v>
      </c>
    </row>
    <row r="6050" spans="1:4" x14ac:dyDescent="0.2">
      <c r="A6050">
        <v>16</v>
      </c>
      <c r="B6050">
        <v>500.1</v>
      </c>
      <c r="C6050">
        <v>500</v>
      </c>
      <c r="D6050" t="s">
        <v>5983</v>
      </c>
    </row>
    <row r="6051" spans="1:4" x14ac:dyDescent="0.2">
      <c r="A6051">
        <v>17</v>
      </c>
      <c r="B6051">
        <v>500</v>
      </c>
      <c r="C6051">
        <v>500</v>
      </c>
      <c r="D6051" t="s">
        <v>5983</v>
      </c>
    </row>
    <row r="6052" spans="1:4" x14ac:dyDescent="0.2">
      <c r="A6052">
        <v>18</v>
      </c>
      <c r="B6052">
        <v>500.1</v>
      </c>
      <c r="C6052">
        <v>500</v>
      </c>
      <c r="D6052" t="s">
        <v>5983</v>
      </c>
    </row>
    <row r="6053" spans="1:4" x14ac:dyDescent="0.2">
      <c r="A6053">
        <v>13</v>
      </c>
      <c r="B6053">
        <v>1000.5</v>
      </c>
      <c r="C6053">
        <v>1000</v>
      </c>
      <c r="D6053" t="s">
        <v>5983</v>
      </c>
    </row>
    <row r="6054" spans="1:4" x14ac:dyDescent="0.2">
      <c r="A6054">
        <v>14</v>
      </c>
      <c r="B6054">
        <v>1000.5</v>
      </c>
      <c r="C6054">
        <v>1000</v>
      </c>
      <c r="D6054" t="s">
        <v>5983</v>
      </c>
    </row>
    <row r="6055" spans="1:4" x14ac:dyDescent="0.2">
      <c r="A6055">
        <v>15</v>
      </c>
      <c r="B6055">
        <v>1000.1</v>
      </c>
      <c r="C6055">
        <v>1000</v>
      </c>
      <c r="D6055" t="s">
        <v>5983</v>
      </c>
    </row>
    <row r="6056" spans="1:4" x14ac:dyDescent="0.2">
      <c r="A6056">
        <v>16</v>
      </c>
      <c r="B6056">
        <v>1000.2</v>
      </c>
      <c r="C6056">
        <v>1000</v>
      </c>
      <c r="D6056" t="s">
        <v>5983</v>
      </c>
    </row>
    <row r="6057" spans="1:4" x14ac:dyDescent="0.2">
      <c r="A6057">
        <v>17</v>
      </c>
      <c r="B6057">
        <v>1000</v>
      </c>
      <c r="C6057">
        <v>1000</v>
      </c>
      <c r="D6057" t="s">
        <v>5983</v>
      </c>
    </row>
    <row r="6058" spans="1:4" x14ac:dyDescent="0.2">
      <c r="A6058">
        <v>18</v>
      </c>
      <c r="B6058">
        <v>1000.1</v>
      </c>
      <c r="C6058">
        <v>1000</v>
      </c>
      <c r="D6058" t="s">
        <v>5983</v>
      </c>
    </row>
    <row r="6059" spans="1:4" x14ac:dyDescent="0.2">
      <c r="A6059">
        <v>19</v>
      </c>
      <c r="B6059">
        <v>-99.9</v>
      </c>
      <c r="C6059">
        <v>-100</v>
      </c>
      <c r="D6059" t="s">
        <v>5983</v>
      </c>
    </row>
    <row r="6060" spans="1:4" x14ac:dyDescent="0.2">
      <c r="A6060">
        <v>20</v>
      </c>
      <c r="B6060">
        <v>-100.2</v>
      </c>
      <c r="C6060">
        <v>-100</v>
      </c>
      <c r="D6060" t="s">
        <v>5983</v>
      </c>
    </row>
    <row r="6061" spans="1:4" x14ac:dyDescent="0.2">
      <c r="A6061">
        <v>21</v>
      </c>
      <c r="B6061">
        <v>-100.2</v>
      </c>
      <c r="C6061">
        <v>-100</v>
      </c>
      <c r="D6061" t="s">
        <v>5983</v>
      </c>
    </row>
    <row r="6062" spans="1:4" x14ac:dyDescent="0.2">
      <c r="A6062">
        <v>22</v>
      </c>
      <c r="B6062">
        <v>-100.3</v>
      </c>
      <c r="C6062">
        <v>-100</v>
      </c>
      <c r="D6062" t="s">
        <v>5983</v>
      </c>
    </row>
    <row r="6063" spans="1:4" x14ac:dyDescent="0.2">
      <c r="A6063">
        <v>23</v>
      </c>
      <c r="B6063">
        <v>-100.2</v>
      </c>
      <c r="C6063">
        <v>-100</v>
      </c>
      <c r="D6063" t="s">
        <v>5983</v>
      </c>
    </row>
    <row r="6064" spans="1:4" x14ac:dyDescent="0.2">
      <c r="A6064">
        <v>24</v>
      </c>
      <c r="B6064">
        <v>-100.1</v>
      </c>
      <c r="C6064">
        <v>-100</v>
      </c>
      <c r="D6064" t="s">
        <v>5983</v>
      </c>
    </row>
    <row r="6065" spans="1:4" x14ac:dyDescent="0.2">
      <c r="A6065">
        <v>19</v>
      </c>
      <c r="B6065">
        <v>-49.9</v>
      </c>
      <c r="C6065">
        <v>-50</v>
      </c>
      <c r="D6065" t="s">
        <v>5983</v>
      </c>
    </row>
    <row r="6066" spans="1:4" x14ac:dyDescent="0.2">
      <c r="A6066">
        <v>20</v>
      </c>
      <c r="B6066">
        <v>-50.1</v>
      </c>
      <c r="C6066">
        <v>-50</v>
      </c>
      <c r="D6066" t="s">
        <v>5983</v>
      </c>
    </row>
    <row r="6067" spans="1:4" x14ac:dyDescent="0.2">
      <c r="A6067">
        <v>21</v>
      </c>
      <c r="B6067">
        <v>-50.2</v>
      </c>
      <c r="C6067">
        <v>-50</v>
      </c>
      <c r="D6067" t="s">
        <v>5983</v>
      </c>
    </row>
    <row r="6068" spans="1:4" x14ac:dyDescent="0.2">
      <c r="A6068">
        <v>22</v>
      </c>
      <c r="B6068">
        <v>-50.3</v>
      </c>
      <c r="C6068">
        <v>-50</v>
      </c>
      <c r="D6068" t="s">
        <v>5983</v>
      </c>
    </row>
    <row r="6069" spans="1:4" x14ac:dyDescent="0.2">
      <c r="A6069">
        <v>23</v>
      </c>
      <c r="B6069">
        <v>-50.2</v>
      </c>
      <c r="C6069">
        <v>-50</v>
      </c>
      <c r="D6069" t="s">
        <v>5983</v>
      </c>
    </row>
    <row r="6070" spans="1:4" x14ac:dyDescent="0.2">
      <c r="A6070">
        <v>24</v>
      </c>
      <c r="B6070">
        <v>-50.1</v>
      </c>
      <c r="C6070">
        <v>-50</v>
      </c>
      <c r="D6070" t="s">
        <v>5983</v>
      </c>
    </row>
    <row r="6071" spans="1:4" x14ac:dyDescent="0.2">
      <c r="A6071">
        <v>19</v>
      </c>
      <c r="B6071">
        <v>0.1</v>
      </c>
      <c r="C6071">
        <v>0</v>
      </c>
      <c r="D6071" t="s">
        <v>5983</v>
      </c>
    </row>
    <row r="6072" spans="1:4" x14ac:dyDescent="0.2">
      <c r="A6072">
        <v>20</v>
      </c>
      <c r="B6072">
        <v>0</v>
      </c>
      <c r="C6072">
        <v>0</v>
      </c>
      <c r="D6072" t="s">
        <v>5983</v>
      </c>
    </row>
    <row r="6073" spans="1:4" x14ac:dyDescent="0.2">
      <c r="A6073">
        <v>21</v>
      </c>
      <c r="B6073">
        <v>0</v>
      </c>
      <c r="C6073">
        <v>0</v>
      </c>
      <c r="D6073" t="s">
        <v>5983</v>
      </c>
    </row>
    <row r="6074" spans="1:4" x14ac:dyDescent="0.2">
      <c r="A6074">
        <v>22</v>
      </c>
      <c r="B6074">
        <v>-0.1</v>
      </c>
      <c r="C6074">
        <v>0</v>
      </c>
      <c r="D6074" t="s">
        <v>5983</v>
      </c>
    </row>
    <row r="6075" spans="1:4" x14ac:dyDescent="0.2">
      <c r="A6075">
        <v>23</v>
      </c>
      <c r="B6075">
        <v>-0.2</v>
      </c>
      <c r="C6075">
        <v>0</v>
      </c>
      <c r="D6075" t="s">
        <v>5983</v>
      </c>
    </row>
    <row r="6076" spans="1:4" x14ac:dyDescent="0.2">
      <c r="A6076">
        <v>24</v>
      </c>
      <c r="B6076">
        <v>0.1</v>
      </c>
      <c r="C6076">
        <v>0</v>
      </c>
      <c r="D6076" t="s">
        <v>5983</v>
      </c>
    </row>
    <row r="6077" spans="1:4" x14ac:dyDescent="0.2">
      <c r="A6077">
        <v>19</v>
      </c>
      <c r="B6077">
        <v>250.1</v>
      </c>
      <c r="C6077">
        <v>250</v>
      </c>
      <c r="D6077" t="s">
        <v>5983</v>
      </c>
    </row>
    <row r="6078" spans="1:4" x14ac:dyDescent="0.2">
      <c r="A6078">
        <v>20</v>
      </c>
      <c r="B6078">
        <v>249.9</v>
      </c>
      <c r="C6078">
        <v>250</v>
      </c>
      <c r="D6078" t="s">
        <v>5983</v>
      </c>
    </row>
    <row r="6079" spans="1:4" x14ac:dyDescent="0.2">
      <c r="A6079">
        <v>21</v>
      </c>
      <c r="B6079">
        <v>249.9</v>
      </c>
      <c r="C6079">
        <v>250</v>
      </c>
      <c r="D6079" t="s">
        <v>5983</v>
      </c>
    </row>
    <row r="6080" spans="1:4" x14ac:dyDescent="0.2">
      <c r="A6080">
        <v>22</v>
      </c>
      <c r="B6080">
        <v>249.9</v>
      </c>
      <c r="C6080">
        <v>250</v>
      </c>
      <c r="D6080" t="s">
        <v>5983</v>
      </c>
    </row>
    <row r="6081" spans="1:4" x14ac:dyDescent="0.2">
      <c r="A6081">
        <v>23</v>
      </c>
      <c r="B6081">
        <v>250.1</v>
      </c>
      <c r="C6081">
        <v>250</v>
      </c>
      <c r="D6081" t="s">
        <v>5983</v>
      </c>
    </row>
    <row r="6082" spans="1:4" x14ac:dyDescent="0.2">
      <c r="A6082">
        <v>24</v>
      </c>
      <c r="B6082">
        <v>250.1</v>
      </c>
      <c r="C6082">
        <v>250</v>
      </c>
      <c r="D6082" t="s">
        <v>5983</v>
      </c>
    </row>
    <row r="6083" spans="1:4" x14ac:dyDescent="0.2">
      <c r="A6083">
        <v>19</v>
      </c>
      <c r="B6083">
        <v>500.2</v>
      </c>
      <c r="C6083">
        <v>500</v>
      </c>
      <c r="D6083" t="s">
        <v>5983</v>
      </c>
    </row>
    <row r="6084" spans="1:4" x14ac:dyDescent="0.2">
      <c r="A6084">
        <v>20</v>
      </c>
      <c r="B6084">
        <v>500</v>
      </c>
      <c r="C6084">
        <v>500</v>
      </c>
      <c r="D6084" t="s">
        <v>5983</v>
      </c>
    </row>
    <row r="6085" spans="1:4" x14ac:dyDescent="0.2">
      <c r="A6085">
        <v>21</v>
      </c>
      <c r="B6085">
        <v>499.9</v>
      </c>
      <c r="C6085">
        <v>500</v>
      </c>
      <c r="D6085" t="s">
        <v>5983</v>
      </c>
    </row>
    <row r="6086" spans="1:4" x14ac:dyDescent="0.2">
      <c r="A6086">
        <v>22</v>
      </c>
      <c r="B6086">
        <v>499.9</v>
      </c>
      <c r="C6086">
        <v>500</v>
      </c>
      <c r="D6086" t="s">
        <v>5983</v>
      </c>
    </row>
    <row r="6087" spans="1:4" x14ac:dyDescent="0.2">
      <c r="A6087">
        <v>23</v>
      </c>
      <c r="B6087">
        <v>500</v>
      </c>
      <c r="C6087">
        <v>500</v>
      </c>
      <c r="D6087" t="s">
        <v>5983</v>
      </c>
    </row>
    <row r="6088" spans="1:4" x14ac:dyDescent="0.2">
      <c r="A6088">
        <v>24</v>
      </c>
      <c r="B6088">
        <v>500.2</v>
      </c>
      <c r="C6088">
        <v>500</v>
      </c>
      <c r="D6088" t="s">
        <v>5983</v>
      </c>
    </row>
    <row r="6089" spans="1:4" x14ac:dyDescent="0.2">
      <c r="A6089">
        <v>19</v>
      </c>
      <c r="B6089">
        <v>1000.2</v>
      </c>
      <c r="C6089">
        <v>1000</v>
      </c>
      <c r="D6089" t="s">
        <v>5983</v>
      </c>
    </row>
    <row r="6090" spans="1:4" x14ac:dyDescent="0.2">
      <c r="A6090">
        <v>20</v>
      </c>
      <c r="B6090">
        <v>999.8</v>
      </c>
      <c r="C6090">
        <v>1000</v>
      </c>
      <c r="D6090" t="s">
        <v>5983</v>
      </c>
    </row>
    <row r="6091" spans="1:4" x14ac:dyDescent="0.2">
      <c r="A6091">
        <v>21</v>
      </c>
      <c r="B6091">
        <v>999.8</v>
      </c>
      <c r="C6091">
        <v>1000</v>
      </c>
      <c r="D6091" t="s">
        <v>5983</v>
      </c>
    </row>
    <row r="6092" spans="1:4" x14ac:dyDescent="0.2">
      <c r="A6092">
        <v>22</v>
      </c>
      <c r="B6092">
        <v>1000</v>
      </c>
      <c r="C6092">
        <v>1000</v>
      </c>
      <c r="D6092" t="s">
        <v>5983</v>
      </c>
    </row>
    <row r="6093" spans="1:4" x14ac:dyDescent="0.2">
      <c r="A6093">
        <v>23</v>
      </c>
      <c r="B6093">
        <v>1000</v>
      </c>
      <c r="C6093">
        <v>1000</v>
      </c>
      <c r="D6093" t="s">
        <v>5983</v>
      </c>
    </row>
    <row r="6094" spans="1:4" x14ac:dyDescent="0.2">
      <c r="A6094">
        <v>24</v>
      </c>
      <c r="B6094">
        <v>1000.2</v>
      </c>
      <c r="C6094">
        <v>1000</v>
      </c>
      <c r="D6094" t="s">
        <v>5983</v>
      </c>
    </row>
    <row r="6095" spans="1:4" x14ac:dyDescent="0.2">
      <c r="A6095">
        <v>25</v>
      </c>
      <c r="B6095">
        <v>-99.9</v>
      </c>
      <c r="C6095">
        <v>-100</v>
      </c>
      <c r="D6095" t="s">
        <v>5983</v>
      </c>
    </row>
    <row r="6096" spans="1:4" x14ac:dyDescent="0.2">
      <c r="A6096">
        <v>26</v>
      </c>
      <c r="B6096">
        <v>-100.2</v>
      </c>
      <c r="C6096">
        <v>-100</v>
      </c>
      <c r="D6096" t="s">
        <v>5983</v>
      </c>
    </row>
    <row r="6097" spans="1:4" x14ac:dyDescent="0.2">
      <c r="A6097">
        <v>27</v>
      </c>
      <c r="B6097">
        <v>-100.4</v>
      </c>
      <c r="C6097">
        <v>-100</v>
      </c>
      <c r="D6097" t="s">
        <v>5983</v>
      </c>
    </row>
    <row r="6098" spans="1:4" x14ac:dyDescent="0.2">
      <c r="A6098">
        <v>28</v>
      </c>
      <c r="B6098">
        <v>-100.1</v>
      </c>
      <c r="C6098">
        <v>-100</v>
      </c>
      <c r="D6098" t="s">
        <v>5983</v>
      </c>
    </row>
    <row r="6099" spans="1:4" x14ac:dyDescent="0.2">
      <c r="A6099">
        <v>29</v>
      </c>
      <c r="B6099">
        <v>-99.7</v>
      </c>
      <c r="C6099">
        <v>-100</v>
      </c>
      <c r="D6099" t="s">
        <v>5983</v>
      </c>
    </row>
    <row r="6100" spans="1:4" x14ac:dyDescent="0.2">
      <c r="A6100">
        <v>30</v>
      </c>
      <c r="B6100">
        <v>-100.3</v>
      </c>
      <c r="C6100">
        <v>-100</v>
      </c>
      <c r="D6100" t="s">
        <v>5983</v>
      </c>
    </row>
    <row r="6101" spans="1:4" x14ac:dyDescent="0.2">
      <c r="A6101">
        <v>25</v>
      </c>
      <c r="B6101">
        <v>-49.9</v>
      </c>
      <c r="C6101">
        <v>-50</v>
      </c>
      <c r="D6101" t="s">
        <v>5983</v>
      </c>
    </row>
    <row r="6102" spans="1:4" x14ac:dyDescent="0.2">
      <c r="A6102">
        <v>26</v>
      </c>
      <c r="B6102">
        <v>-50.2</v>
      </c>
      <c r="C6102">
        <v>-50</v>
      </c>
      <c r="D6102" t="s">
        <v>5983</v>
      </c>
    </row>
    <row r="6103" spans="1:4" x14ac:dyDescent="0.2">
      <c r="A6103">
        <v>27</v>
      </c>
      <c r="B6103">
        <v>-50.4</v>
      </c>
      <c r="C6103">
        <v>-50</v>
      </c>
      <c r="D6103" t="s">
        <v>5983</v>
      </c>
    </row>
    <row r="6104" spans="1:4" x14ac:dyDescent="0.2">
      <c r="A6104">
        <v>28</v>
      </c>
      <c r="B6104">
        <v>-49.8</v>
      </c>
      <c r="C6104">
        <v>-50</v>
      </c>
      <c r="D6104" t="s">
        <v>5983</v>
      </c>
    </row>
    <row r="6105" spans="1:4" x14ac:dyDescent="0.2">
      <c r="A6105">
        <v>29</v>
      </c>
      <c r="B6105">
        <v>-49.7</v>
      </c>
      <c r="C6105">
        <v>-50</v>
      </c>
      <c r="D6105" t="s">
        <v>5983</v>
      </c>
    </row>
    <row r="6106" spans="1:4" x14ac:dyDescent="0.2">
      <c r="A6106">
        <v>30</v>
      </c>
      <c r="B6106">
        <v>-50.3</v>
      </c>
      <c r="C6106">
        <v>-50</v>
      </c>
      <c r="D6106" t="s">
        <v>5983</v>
      </c>
    </row>
    <row r="6107" spans="1:4" x14ac:dyDescent="0.2">
      <c r="A6107">
        <v>25</v>
      </c>
      <c r="B6107">
        <v>0.1</v>
      </c>
      <c r="C6107">
        <v>0</v>
      </c>
      <c r="D6107" t="s">
        <v>5983</v>
      </c>
    </row>
    <row r="6108" spans="1:4" x14ac:dyDescent="0.2">
      <c r="A6108">
        <v>26</v>
      </c>
      <c r="B6108">
        <v>0</v>
      </c>
      <c r="C6108">
        <v>0</v>
      </c>
      <c r="D6108" t="s">
        <v>5983</v>
      </c>
    </row>
    <row r="6109" spans="1:4" x14ac:dyDescent="0.2">
      <c r="A6109">
        <v>27</v>
      </c>
      <c r="B6109">
        <v>-0.3</v>
      </c>
      <c r="C6109">
        <v>0</v>
      </c>
      <c r="D6109" t="s">
        <v>5983</v>
      </c>
    </row>
    <row r="6110" spans="1:4" x14ac:dyDescent="0.2">
      <c r="A6110">
        <v>28</v>
      </c>
      <c r="B6110">
        <v>0.3</v>
      </c>
      <c r="C6110">
        <v>0</v>
      </c>
      <c r="D6110" t="s">
        <v>5983</v>
      </c>
    </row>
    <row r="6111" spans="1:4" x14ac:dyDescent="0.2">
      <c r="A6111">
        <v>29</v>
      </c>
      <c r="B6111">
        <v>0.2</v>
      </c>
      <c r="C6111">
        <v>0</v>
      </c>
      <c r="D6111" t="s">
        <v>5983</v>
      </c>
    </row>
    <row r="6112" spans="1:4" x14ac:dyDescent="0.2">
      <c r="A6112">
        <v>30</v>
      </c>
      <c r="B6112">
        <v>-0.3</v>
      </c>
      <c r="C6112">
        <v>0</v>
      </c>
      <c r="D6112" t="s">
        <v>5983</v>
      </c>
    </row>
    <row r="6113" spans="1:4" x14ac:dyDescent="0.2">
      <c r="A6113">
        <v>25</v>
      </c>
      <c r="B6113">
        <v>250</v>
      </c>
      <c r="C6113">
        <v>250</v>
      </c>
      <c r="D6113" t="s">
        <v>5983</v>
      </c>
    </row>
    <row r="6114" spans="1:4" x14ac:dyDescent="0.2">
      <c r="A6114">
        <v>26</v>
      </c>
      <c r="B6114">
        <v>250</v>
      </c>
      <c r="C6114">
        <v>250</v>
      </c>
      <c r="D6114" t="s">
        <v>5983</v>
      </c>
    </row>
    <row r="6115" spans="1:4" x14ac:dyDescent="0.2">
      <c r="A6115">
        <v>27</v>
      </c>
      <c r="B6115">
        <v>249.8</v>
      </c>
      <c r="C6115">
        <v>250</v>
      </c>
      <c r="D6115" t="s">
        <v>5983</v>
      </c>
    </row>
    <row r="6116" spans="1:4" x14ac:dyDescent="0.2">
      <c r="A6116">
        <v>28</v>
      </c>
      <c r="B6116">
        <v>250.2</v>
      </c>
      <c r="C6116">
        <v>250</v>
      </c>
      <c r="D6116" t="s">
        <v>5983</v>
      </c>
    </row>
    <row r="6117" spans="1:4" x14ac:dyDescent="0.2">
      <c r="A6117">
        <v>29</v>
      </c>
      <c r="B6117">
        <v>250.2</v>
      </c>
      <c r="C6117">
        <v>250</v>
      </c>
      <c r="D6117" t="s">
        <v>5983</v>
      </c>
    </row>
    <row r="6118" spans="1:4" x14ac:dyDescent="0.2">
      <c r="A6118">
        <v>30</v>
      </c>
      <c r="B6118">
        <v>249.8</v>
      </c>
      <c r="C6118">
        <v>250</v>
      </c>
      <c r="D6118" t="s">
        <v>5983</v>
      </c>
    </row>
    <row r="6119" spans="1:4" x14ac:dyDescent="0.2">
      <c r="A6119">
        <v>25</v>
      </c>
      <c r="B6119">
        <v>500</v>
      </c>
      <c r="C6119">
        <v>500</v>
      </c>
      <c r="D6119" t="s">
        <v>5983</v>
      </c>
    </row>
    <row r="6120" spans="1:4" x14ac:dyDescent="0.2">
      <c r="A6120">
        <v>26</v>
      </c>
      <c r="B6120">
        <v>500.1</v>
      </c>
      <c r="C6120">
        <v>500</v>
      </c>
      <c r="D6120" t="s">
        <v>5983</v>
      </c>
    </row>
    <row r="6121" spans="1:4" x14ac:dyDescent="0.2">
      <c r="A6121">
        <v>27</v>
      </c>
      <c r="B6121">
        <v>500</v>
      </c>
      <c r="C6121">
        <v>500</v>
      </c>
      <c r="D6121" t="s">
        <v>5983</v>
      </c>
    </row>
    <row r="6122" spans="1:4" x14ac:dyDescent="0.2">
      <c r="A6122">
        <v>28</v>
      </c>
      <c r="B6122">
        <v>500.3</v>
      </c>
      <c r="C6122">
        <v>500</v>
      </c>
      <c r="D6122" t="s">
        <v>5983</v>
      </c>
    </row>
    <row r="6123" spans="1:4" x14ac:dyDescent="0.2">
      <c r="A6123">
        <v>29</v>
      </c>
      <c r="B6123">
        <v>500.3</v>
      </c>
      <c r="C6123">
        <v>500</v>
      </c>
      <c r="D6123" t="s">
        <v>5983</v>
      </c>
    </row>
    <row r="6124" spans="1:4" x14ac:dyDescent="0.2">
      <c r="A6124">
        <v>30</v>
      </c>
      <c r="B6124">
        <v>499.8</v>
      </c>
      <c r="C6124">
        <v>500</v>
      </c>
      <c r="D6124" t="s">
        <v>5983</v>
      </c>
    </row>
    <row r="6125" spans="1:4" x14ac:dyDescent="0.2">
      <c r="A6125">
        <v>25</v>
      </c>
      <c r="B6125">
        <v>999.9</v>
      </c>
      <c r="C6125">
        <v>1000</v>
      </c>
      <c r="D6125" t="s">
        <v>5983</v>
      </c>
    </row>
    <row r="6126" spans="1:4" x14ac:dyDescent="0.2">
      <c r="A6126">
        <v>26</v>
      </c>
      <c r="B6126">
        <v>1000.1</v>
      </c>
      <c r="C6126">
        <v>1000</v>
      </c>
      <c r="D6126" t="s">
        <v>5983</v>
      </c>
    </row>
    <row r="6127" spans="1:4" x14ac:dyDescent="0.2">
      <c r="A6127">
        <v>27</v>
      </c>
      <c r="B6127">
        <v>1000.2</v>
      </c>
      <c r="C6127">
        <v>1000</v>
      </c>
      <c r="D6127" t="s">
        <v>5983</v>
      </c>
    </row>
    <row r="6128" spans="1:4" x14ac:dyDescent="0.2">
      <c r="A6128">
        <v>28</v>
      </c>
      <c r="B6128">
        <v>1000.3</v>
      </c>
      <c r="C6128">
        <v>1000</v>
      </c>
      <c r="D6128" t="s">
        <v>5983</v>
      </c>
    </row>
    <row r="6129" spans="1:4" x14ac:dyDescent="0.2">
      <c r="A6129">
        <v>29</v>
      </c>
      <c r="B6129">
        <v>1000.3</v>
      </c>
      <c r="C6129">
        <v>1000</v>
      </c>
      <c r="D6129" t="s">
        <v>5983</v>
      </c>
    </row>
    <row r="6130" spans="1:4" x14ac:dyDescent="0.2">
      <c r="A6130">
        <v>30</v>
      </c>
      <c r="B6130">
        <v>999.8</v>
      </c>
      <c r="C6130">
        <v>1000</v>
      </c>
      <c r="D6130" t="s">
        <v>5983</v>
      </c>
    </row>
    <row r="6131" spans="1:4" x14ac:dyDescent="0.2">
      <c r="A6131">
        <v>31</v>
      </c>
      <c r="B6131">
        <v>-100.2</v>
      </c>
      <c r="C6131">
        <v>-100</v>
      </c>
      <c r="D6131" t="s">
        <v>5983</v>
      </c>
    </row>
    <row r="6132" spans="1:4" x14ac:dyDescent="0.2">
      <c r="A6132">
        <v>32</v>
      </c>
      <c r="B6132">
        <v>-99.9</v>
      </c>
      <c r="C6132">
        <v>-100</v>
      </c>
      <c r="D6132" t="s">
        <v>5983</v>
      </c>
    </row>
    <row r="6133" spans="1:4" x14ac:dyDescent="0.2">
      <c r="A6133">
        <v>33</v>
      </c>
      <c r="B6133">
        <v>-99.9</v>
      </c>
      <c r="C6133">
        <v>-100</v>
      </c>
      <c r="D6133" t="s">
        <v>5983</v>
      </c>
    </row>
    <row r="6134" spans="1:4" x14ac:dyDescent="0.2">
      <c r="A6134">
        <v>34</v>
      </c>
      <c r="B6134">
        <v>-99.8</v>
      </c>
      <c r="C6134">
        <v>-100</v>
      </c>
      <c r="D6134" t="s">
        <v>5983</v>
      </c>
    </row>
    <row r="6135" spans="1:4" x14ac:dyDescent="0.2">
      <c r="A6135">
        <v>35</v>
      </c>
      <c r="B6135">
        <v>-100.2</v>
      </c>
      <c r="C6135">
        <v>-100</v>
      </c>
      <c r="D6135" t="s">
        <v>5983</v>
      </c>
    </row>
    <row r="6136" spans="1:4" x14ac:dyDescent="0.2">
      <c r="A6136">
        <v>36</v>
      </c>
      <c r="B6136">
        <v>-100.1</v>
      </c>
      <c r="C6136">
        <v>-100</v>
      </c>
      <c r="D6136" t="s">
        <v>5983</v>
      </c>
    </row>
    <row r="6137" spans="1:4" x14ac:dyDescent="0.2">
      <c r="A6137">
        <v>31</v>
      </c>
      <c r="B6137">
        <v>-50.2</v>
      </c>
      <c r="C6137">
        <v>-50</v>
      </c>
      <c r="D6137" t="s">
        <v>5983</v>
      </c>
    </row>
    <row r="6138" spans="1:4" x14ac:dyDescent="0.2">
      <c r="A6138">
        <v>32</v>
      </c>
      <c r="B6138">
        <v>-49.9</v>
      </c>
      <c r="C6138">
        <v>-50</v>
      </c>
      <c r="D6138" t="s">
        <v>5983</v>
      </c>
    </row>
    <row r="6139" spans="1:4" x14ac:dyDescent="0.2">
      <c r="A6139">
        <v>33</v>
      </c>
      <c r="B6139">
        <v>-49.9</v>
      </c>
      <c r="C6139">
        <v>-50</v>
      </c>
      <c r="D6139" t="s">
        <v>5983</v>
      </c>
    </row>
    <row r="6140" spans="1:4" x14ac:dyDescent="0.2">
      <c r="A6140">
        <v>34</v>
      </c>
      <c r="B6140">
        <v>-49.8</v>
      </c>
      <c r="C6140">
        <v>-50</v>
      </c>
      <c r="D6140" t="s">
        <v>5983</v>
      </c>
    </row>
    <row r="6141" spans="1:4" x14ac:dyDescent="0.2">
      <c r="A6141">
        <v>35</v>
      </c>
      <c r="B6141">
        <v>-50.2</v>
      </c>
      <c r="C6141">
        <v>-50</v>
      </c>
      <c r="D6141" t="s">
        <v>5983</v>
      </c>
    </row>
    <row r="6142" spans="1:4" x14ac:dyDescent="0.2">
      <c r="A6142">
        <v>36</v>
      </c>
      <c r="B6142">
        <v>-50</v>
      </c>
      <c r="C6142">
        <v>-50</v>
      </c>
      <c r="D6142" t="s">
        <v>5983</v>
      </c>
    </row>
    <row r="6143" spans="1:4" x14ac:dyDescent="0.2">
      <c r="A6143">
        <v>31</v>
      </c>
      <c r="B6143">
        <v>-0.3</v>
      </c>
      <c r="C6143">
        <v>0</v>
      </c>
      <c r="D6143" t="s">
        <v>5983</v>
      </c>
    </row>
    <row r="6144" spans="1:4" x14ac:dyDescent="0.2">
      <c r="A6144">
        <v>32</v>
      </c>
      <c r="B6144">
        <v>0</v>
      </c>
      <c r="C6144">
        <v>0</v>
      </c>
      <c r="D6144" t="s">
        <v>5983</v>
      </c>
    </row>
    <row r="6145" spans="1:4" x14ac:dyDescent="0.2">
      <c r="A6145">
        <v>33</v>
      </c>
      <c r="B6145">
        <v>0.3</v>
      </c>
      <c r="C6145">
        <v>0</v>
      </c>
      <c r="D6145" t="s">
        <v>5983</v>
      </c>
    </row>
    <row r="6146" spans="1:4" x14ac:dyDescent="0.2">
      <c r="A6146">
        <v>34</v>
      </c>
      <c r="B6146">
        <v>0.2</v>
      </c>
      <c r="C6146">
        <v>0</v>
      </c>
      <c r="D6146" t="s">
        <v>5983</v>
      </c>
    </row>
    <row r="6147" spans="1:4" x14ac:dyDescent="0.2">
      <c r="A6147">
        <v>35</v>
      </c>
      <c r="B6147">
        <v>-0.3</v>
      </c>
      <c r="C6147">
        <v>0</v>
      </c>
      <c r="D6147" t="s">
        <v>5983</v>
      </c>
    </row>
    <row r="6148" spans="1:4" x14ac:dyDescent="0.2">
      <c r="A6148">
        <v>36</v>
      </c>
      <c r="B6148">
        <v>-0.1</v>
      </c>
      <c r="C6148">
        <v>0</v>
      </c>
      <c r="D6148" t="s">
        <v>5983</v>
      </c>
    </row>
    <row r="6149" spans="1:4" x14ac:dyDescent="0.2">
      <c r="A6149">
        <v>31</v>
      </c>
      <c r="B6149">
        <v>249.8</v>
      </c>
      <c r="C6149">
        <v>250</v>
      </c>
      <c r="D6149" t="s">
        <v>5983</v>
      </c>
    </row>
    <row r="6150" spans="1:4" x14ac:dyDescent="0.2">
      <c r="A6150">
        <v>32</v>
      </c>
      <c r="B6150">
        <v>250</v>
      </c>
      <c r="C6150">
        <v>250</v>
      </c>
      <c r="D6150" t="s">
        <v>5983</v>
      </c>
    </row>
    <row r="6151" spans="1:4" x14ac:dyDescent="0.2">
      <c r="A6151">
        <v>33</v>
      </c>
      <c r="B6151">
        <v>250.4</v>
      </c>
      <c r="C6151">
        <v>250</v>
      </c>
      <c r="D6151" t="s">
        <v>5983</v>
      </c>
    </row>
    <row r="6152" spans="1:4" x14ac:dyDescent="0.2">
      <c r="A6152">
        <v>34</v>
      </c>
      <c r="B6152">
        <v>250.5</v>
      </c>
      <c r="C6152">
        <v>250</v>
      </c>
      <c r="D6152" t="s">
        <v>5983</v>
      </c>
    </row>
    <row r="6153" spans="1:4" x14ac:dyDescent="0.2">
      <c r="A6153">
        <v>35</v>
      </c>
      <c r="B6153">
        <v>249.7</v>
      </c>
      <c r="C6153">
        <v>250</v>
      </c>
      <c r="D6153" t="s">
        <v>5983</v>
      </c>
    </row>
    <row r="6154" spans="1:4" x14ac:dyDescent="0.2">
      <c r="A6154">
        <v>36</v>
      </c>
      <c r="B6154">
        <v>249.9</v>
      </c>
      <c r="C6154">
        <v>250</v>
      </c>
      <c r="D6154" t="s">
        <v>5983</v>
      </c>
    </row>
    <row r="6155" spans="1:4" x14ac:dyDescent="0.2">
      <c r="A6155">
        <v>31</v>
      </c>
      <c r="B6155">
        <v>499.9</v>
      </c>
      <c r="C6155">
        <v>500</v>
      </c>
      <c r="D6155" t="s">
        <v>5983</v>
      </c>
    </row>
    <row r="6156" spans="1:4" x14ac:dyDescent="0.2">
      <c r="A6156">
        <v>32</v>
      </c>
      <c r="B6156">
        <v>500.2</v>
      </c>
      <c r="C6156">
        <v>500</v>
      </c>
      <c r="D6156" t="s">
        <v>5983</v>
      </c>
    </row>
    <row r="6157" spans="1:4" x14ac:dyDescent="0.2">
      <c r="A6157">
        <v>33</v>
      </c>
      <c r="B6157">
        <v>500.5</v>
      </c>
      <c r="C6157">
        <v>500</v>
      </c>
      <c r="D6157" t="s">
        <v>5983</v>
      </c>
    </row>
    <row r="6158" spans="1:4" x14ac:dyDescent="0.2">
      <c r="A6158">
        <v>34</v>
      </c>
      <c r="B6158">
        <v>500.5</v>
      </c>
      <c r="C6158">
        <v>500</v>
      </c>
      <c r="D6158" t="s">
        <v>5983</v>
      </c>
    </row>
    <row r="6159" spans="1:4" x14ac:dyDescent="0.2">
      <c r="A6159">
        <v>35</v>
      </c>
      <c r="B6159">
        <v>500</v>
      </c>
      <c r="C6159">
        <v>500</v>
      </c>
      <c r="D6159" t="s">
        <v>5983</v>
      </c>
    </row>
    <row r="6160" spans="1:4" x14ac:dyDescent="0.2">
      <c r="A6160">
        <v>36</v>
      </c>
      <c r="B6160">
        <v>500</v>
      </c>
      <c r="C6160">
        <v>500</v>
      </c>
      <c r="D6160" t="s">
        <v>5983</v>
      </c>
    </row>
    <row r="6161" spans="1:4" x14ac:dyDescent="0.2">
      <c r="A6161">
        <v>31</v>
      </c>
      <c r="B6161">
        <v>1000</v>
      </c>
      <c r="C6161">
        <v>1000</v>
      </c>
      <c r="D6161" t="s">
        <v>5983</v>
      </c>
    </row>
    <row r="6162" spans="1:4" x14ac:dyDescent="0.2">
      <c r="A6162">
        <v>32</v>
      </c>
      <c r="B6162">
        <v>1000.2</v>
      </c>
      <c r="C6162">
        <v>1000</v>
      </c>
      <c r="D6162" t="s">
        <v>5983</v>
      </c>
    </row>
    <row r="6163" spans="1:4" x14ac:dyDescent="0.2">
      <c r="A6163">
        <v>33</v>
      </c>
      <c r="B6163">
        <v>1000.4</v>
      </c>
      <c r="C6163">
        <v>1000</v>
      </c>
      <c r="D6163" t="s">
        <v>5983</v>
      </c>
    </row>
    <row r="6164" spans="1:4" x14ac:dyDescent="0.2">
      <c r="A6164">
        <v>34</v>
      </c>
      <c r="B6164">
        <v>1000.5</v>
      </c>
      <c r="C6164">
        <v>1000</v>
      </c>
      <c r="D6164" t="s">
        <v>5983</v>
      </c>
    </row>
    <row r="6165" spans="1:4" x14ac:dyDescent="0.2">
      <c r="A6165">
        <v>35</v>
      </c>
      <c r="B6165">
        <v>1000</v>
      </c>
      <c r="C6165">
        <v>1000</v>
      </c>
      <c r="D6165" t="s">
        <v>5983</v>
      </c>
    </row>
    <row r="6166" spans="1:4" x14ac:dyDescent="0.2">
      <c r="A6166">
        <v>36</v>
      </c>
      <c r="B6166">
        <v>1000.1</v>
      </c>
      <c r="C6166">
        <v>1000</v>
      </c>
      <c r="D6166" t="s">
        <v>5983</v>
      </c>
    </row>
    <row r="6167" spans="1:4" x14ac:dyDescent="0.2">
      <c r="A6167">
        <v>37</v>
      </c>
      <c r="B6167">
        <v>-99.9</v>
      </c>
      <c r="C6167">
        <v>-100</v>
      </c>
      <c r="D6167" t="s">
        <v>5983</v>
      </c>
    </row>
    <row r="6168" spans="1:4" x14ac:dyDescent="0.2">
      <c r="A6168">
        <v>38</v>
      </c>
      <c r="B6168">
        <v>-100</v>
      </c>
      <c r="C6168">
        <v>-100</v>
      </c>
      <c r="D6168" t="s">
        <v>5983</v>
      </c>
    </row>
    <row r="6169" spans="1:4" x14ac:dyDescent="0.2">
      <c r="A6169">
        <v>39</v>
      </c>
      <c r="B6169">
        <v>-100.2</v>
      </c>
      <c r="C6169">
        <v>-100</v>
      </c>
      <c r="D6169" t="s">
        <v>5983</v>
      </c>
    </row>
    <row r="6170" spans="1:4" x14ac:dyDescent="0.2">
      <c r="A6170">
        <v>40</v>
      </c>
      <c r="B6170">
        <v>-99.7</v>
      </c>
      <c r="C6170">
        <v>-100</v>
      </c>
      <c r="D6170" t="s">
        <v>5983</v>
      </c>
    </row>
    <row r="6171" spans="1:4" x14ac:dyDescent="0.2">
      <c r="A6171">
        <v>37</v>
      </c>
      <c r="B6171">
        <v>-49.9</v>
      </c>
      <c r="C6171">
        <v>-50</v>
      </c>
      <c r="D6171" t="s">
        <v>5983</v>
      </c>
    </row>
    <row r="6172" spans="1:4" x14ac:dyDescent="0.2">
      <c r="A6172">
        <v>38</v>
      </c>
      <c r="B6172">
        <v>-50</v>
      </c>
      <c r="C6172">
        <v>-50</v>
      </c>
      <c r="D6172" t="s">
        <v>5983</v>
      </c>
    </row>
    <row r="6173" spans="1:4" x14ac:dyDescent="0.2">
      <c r="A6173">
        <v>39</v>
      </c>
      <c r="B6173">
        <v>-50.2</v>
      </c>
      <c r="C6173">
        <v>-50</v>
      </c>
      <c r="D6173" t="s">
        <v>5983</v>
      </c>
    </row>
    <row r="6174" spans="1:4" x14ac:dyDescent="0.2">
      <c r="A6174">
        <v>40</v>
      </c>
      <c r="B6174">
        <v>-49.7</v>
      </c>
      <c r="C6174">
        <v>-50</v>
      </c>
      <c r="D6174" t="s">
        <v>5983</v>
      </c>
    </row>
    <row r="6175" spans="1:4" x14ac:dyDescent="0.2">
      <c r="A6175">
        <v>37</v>
      </c>
      <c r="B6175">
        <v>0.1</v>
      </c>
      <c r="C6175">
        <v>0</v>
      </c>
      <c r="D6175" t="s">
        <v>5983</v>
      </c>
    </row>
    <row r="6176" spans="1:4" x14ac:dyDescent="0.2">
      <c r="A6176">
        <v>38</v>
      </c>
      <c r="B6176">
        <v>-0.1</v>
      </c>
      <c r="C6176">
        <v>0</v>
      </c>
      <c r="D6176" t="s">
        <v>5983</v>
      </c>
    </row>
    <row r="6177" spans="1:4" x14ac:dyDescent="0.2">
      <c r="A6177">
        <v>39</v>
      </c>
      <c r="B6177">
        <v>-0.2</v>
      </c>
      <c r="C6177">
        <v>0</v>
      </c>
      <c r="D6177" t="s">
        <v>5983</v>
      </c>
    </row>
    <row r="6178" spans="1:4" x14ac:dyDescent="0.2">
      <c r="A6178">
        <v>40</v>
      </c>
      <c r="B6178">
        <v>0.2</v>
      </c>
      <c r="C6178">
        <v>0</v>
      </c>
      <c r="D6178" t="s">
        <v>5983</v>
      </c>
    </row>
    <row r="6179" spans="1:4" x14ac:dyDescent="0.2">
      <c r="A6179">
        <v>37</v>
      </c>
      <c r="B6179">
        <v>250.1</v>
      </c>
      <c r="C6179">
        <v>250</v>
      </c>
      <c r="D6179" t="s">
        <v>5983</v>
      </c>
    </row>
    <row r="6180" spans="1:4" x14ac:dyDescent="0.2">
      <c r="A6180">
        <v>38</v>
      </c>
      <c r="B6180">
        <v>249.9</v>
      </c>
      <c r="C6180">
        <v>250</v>
      </c>
      <c r="D6180" t="s">
        <v>5983</v>
      </c>
    </row>
    <row r="6181" spans="1:4" x14ac:dyDescent="0.2">
      <c r="A6181">
        <v>39</v>
      </c>
      <c r="B6181">
        <v>249.8</v>
      </c>
      <c r="C6181">
        <v>250</v>
      </c>
      <c r="D6181" t="s">
        <v>5983</v>
      </c>
    </row>
    <row r="6182" spans="1:4" x14ac:dyDescent="0.2">
      <c r="A6182">
        <v>40</v>
      </c>
      <c r="B6182">
        <v>250.2</v>
      </c>
      <c r="C6182">
        <v>250</v>
      </c>
      <c r="D6182" t="s">
        <v>5983</v>
      </c>
    </row>
    <row r="6183" spans="1:4" x14ac:dyDescent="0.2">
      <c r="A6183">
        <v>37</v>
      </c>
      <c r="B6183">
        <v>500.1</v>
      </c>
      <c r="C6183">
        <v>500</v>
      </c>
      <c r="D6183" t="s">
        <v>5983</v>
      </c>
    </row>
    <row r="6184" spans="1:4" x14ac:dyDescent="0.2">
      <c r="A6184">
        <v>38</v>
      </c>
      <c r="B6184">
        <v>500</v>
      </c>
      <c r="C6184">
        <v>500</v>
      </c>
      <c r="D6184" t="s">
        <v>5983</v>
      </c>
    </row>
    <row r="6185" spans="1:4" x14ac:dyDescent="0.2">
      <c r="A6185">
        <v>39</v>
      </c>
      <c r="B6185">
        <v>499.9</v>
      </c>
      <c r="C6185">
        <v>500</v>
      </c>
      <c r="D6185" t="s">
        <v>5983</v>
      </c>
    </row>
    <row r="6186" spans="1:4" x14ac:dyDescent="0.2">
      <c r="A6186">
        <v>40</v>
      </c>
      <c r="B6186">
        <v>500.2</v>
      </c>
      <c r="C6186">
        <v>500</v>
      </c>
      <c r="D6186" t="s">
        <v>5983</v>
      </c>
    </row>
    <row r="6187" spans="1:4" x14ac:dyDescent="0.2">
      <c r="A6187">
        <v>37</v>
      </c>
      <c r="B6187">
        <v>1000.1</v>
      </c>
      <c r="C6187">
        <v>1000</v>
      </c>
      <c r="D6187" t="s">
        <v>5983</v>
      </c>
    </row>
    <row r="6188" spans="1:4" x14ac:dyDescent="0.2">
      <c r="A6188">
        <v>38</v>
      </c>
      <c r="B6188">
        <v>1000</v>
      </c>
      <c r="C6188">
        <v>1000</v>
      </c>
      <c r="D6188" t="s">
        <v>5983</v>
      </c>
    </row>
    <row r="6189" spans="1:4" x14ac:dyDescent="0.2">
      <c r="A6189">
        <v>39</v>
      </c>
      <c r="B6189">
        <v>999.9</v>
      </c>
      <c r="C6189">
        <v>1000</v>
      </c>
      <c r="D6189" t="s">
        <v>5983</v>
      </c>
    </row>
    <row r="6190" spans="1:4" x14ac:dyDescent="0.2">
      <c r="A6190">
        <v>40</v>
      </c>
      <c r="B6190">
        <v>1000.2</v>
      </c>
      <c r="C6190">
        <v>1000</v>
      </c>
      <c r="D6190" t="s">
        <v>5983</v>
      </c>
    </row>
    <row r="6191" spans="1:4" x14ac:dyDescent="0.2">
      <c r="A6191">
        <v>1</v>
      </c>
      <c r="B6191">
        <v>-100.2</v>
      </c>
      <c r="C6191">
        <v>-100</v>
      </c>
      <c r="D6191" t="s">
        <v>5984</v>
      </c>
    </row>
    <row r="6192" spans="1:4" x14ac:dyDescent="0.2">
      <c r="A6192">
        <v>2</v>
      </c>
      <c r="B6192">
        <v>-99.8</v>
      </c>
      <c r="C6192">
        <v>-100</v>
      </c>
      <c r="D6192" t="s">
        <v>5984</v>
      </c>
    </row>
    <row r="6193" spans="1:4" x14ac:dyDescent="0.2">
      <c r="A6193">
        <v>3</v>
      </c>
      <c r="B6193">
        <v>-100.1</v>
      </c>
      <c r="C6193">
        <v>-100</v>
      </c>
      <c r="D6193" t="s">
        <v>5984</v>
      </c>
    </row>
    <row r="6194" spans="1:4" x14ac:dyDescent="0.2">
      <c r="A6194">
        <v>4</v>
      </c>
      <c r="B6194">
        <v>-99.9</v>
      </c>
      <c r="C6194">
        <v>-100</v>
      </c>
      <c r="D6194" t="s">
        <v>5984</v>
      </c>
    </row>
    <row r="6195" spans="1:4" x14ac:dyDescent="0.2">
      <c r="A6195">
        <v>5</v>
      </c>
      <c r="B6195">
        <v>-100.2</v>
      </c>
      <c r="C6195">
        <v>-100</v>
      </c>
      <c r="D6195" t="s">
        <v>5984</v>
      </c>
    </row>
    <row r="6196" spans="1:4" x14ac:dyDescent="0.2">
      <c r="A6196">
        <v>6</v>
      </c>
      <c r="B6196">
        <v>-99.9</v>
      </c>
      <c r="C6196">
        <v>-100</v>
      </c>
      <c r="D6196" t="s">
        <v>5984</v>
      </c>
    </row>
    <row r="6197" spans="1:4" x14ac:dyDescent="0.2">
      <c r="A6197">
        <v>1</v>
      </c>
      <c r="B6197">
        <v>499.8</v>
      </c>
      <c r="C6197">
        <v>500</v>
      </c>
      <c r="D6197" t="s">
        <v>5984</v>
      </c>
    </row>
    <row r="6198" spans="1:4" x14ac:dyDescent="0.2">
      <c r="A6198">
        <v>2</v>
      </c>
      <c r="B6198">
        <v>500.1</v>
      </c>
      <c r="C6198">
        <v>500</v>
      </c>
      <c r="D6198" t="s">
        <v>5984</v>
      </c>
    </row>
    <row r="6199" spans="1:4" x14ac:dyDescent="0.2">
      <c r="A6199">
        <v>3</v>
      </c>
      <c r="B6199">
        <v>500</v>
      </c>
      <c r="C6199">
        <v>500</v>
      </c>
      <c r="D6199" t="s">
        <v>5984</v>
      </c>
    </row>
    <row r="6200" spans="1:4" x14ac:dyDescent="0.2">
      <c r="A6200">
        <v>4</v>
      </c>
      <c r="B6200">
        <v>500.1</v>
      </c>
      <c r="C6200">
        <v>500</v>
      </c>
      <c r="D6200" t="s">
        <v>5984</v>
      </c>
    </row>
    <row r="6201" spans="1:4" x14ac:dyDescent="0.2">
      <c r="A6201">
        <v>5</v>
      </c>
      <c r="B6201">
        <v>499.8</v>
      </c>
      <c r="C6201">
        <v>500</v>
      </c>
      <c r="D6201" t="s">
        <v>5984</v>
      </c>
    </row>
    <row r="6202" spans="1:4" x14ac:dyDescent="0.2">
      <c r="A6202">
        <v>6</v>
      </c>
      <c r="B6202">
        <v>500.1</v>
      </c>
      <c r="C6202">
        <v>500</v>
      </c>
      <c r="D6202" t="s">
        <v>5984</v>
      </c>
    </row>
    <row r="6203" spans="1:4" x14ac:dyDescent="0.2">
      <c r="A6203">
        <v>1</v>
      </c>
      <c r="B6203">
        <v>999.8</v>
      </c>
      <c r="C6203">
        <v>1000</v>
      </c>
      <c r="D6203" t="s">
        <v>5984</v>
      </c>
    </row>
    <row r="6204" spans="1:4" x14ac:dyDescent="0.2">
      <c r="A6204">
        <v>2</v>
      </c>
      <c r="B6204">
        <v>1000.1</v>
      </c>
      <c r="C6204">
        <v>1000</v>
      </c>
      <c r="D6204" t="s">
        <v>5984</v>
      </c>
    </row>
    <row r="6205" spans="1:4" x14ac:dyDescent="0.2">
      <c r="A6205">
        <v>3</v>
      </c>
      <c r="B6205">
        <v>1000</v>
      </c>
      <c r="C6205">
        <v>1000</v>
      </c>
      <c r="D6205" t="s">
        <v>5984</v>
      </c>
    </row>
    <row r="6206" spans="1:4" x14ac:dyDescent="0.2">
      <c r="A6206">
        <v>4</v>
      </c>
      <c r="B6206">
        <v>1000.1</v>
      </c>
      <c r="C6206">
        <v>1000</v>
      </c>
      <c r="D6206" t="s">
        <v>5984</v>
      </c>
    </row>
    <row r="6207" spans="1:4" x14ac:dyDescent="0.2">
      <c r="A6207">
        <v>5</v>
      </c>
      <c r="B6207">
        <v>999.8</v>
      </c>
      <c r="C6207">
        <v>1000</v>
      </c>
      <c r="D6207" t="s">
        <v>5984</v>
      </c>
    </row>
    <row r="6208" spans="1:4" x14ac:dyDescent="0.2">
      <c r="A6208">
        <v>6</v>
      </c>
      <c r="B6208">
        <v>1000.1</v>
      </c>
      <c r="C6208">
        <v>1000</v>
      </c>
      <c r="D6208" t="s">
        <v>5984</v>
      </c>
    </row>
    <row r="6209" spans="1:4" x14ac:dyDescent="0.2">
      <c r="A6209">
        <v>1</v>
      </c>
      <c r="B6209">
        <v>1499.5</v>
      </c>
      <c r="C6209">
        <v>1500</v>
      </c>
      <c r="D6209" t="s">
        <v>5984</v>
      </c>
    </row>
    <row r="6210" spans="1:4" x14ac:dyDescent="0.2">
      <c r="A6210">
        <v>2</v>
      </c>
      <c r="B6210">
        <v>1500.1</v>
      </c>
      <c r="C6210">
        <v>1500</v>
      </c>
      <c r="D6210" t="s">
        <v>5984</v>
      </c>
    </row>
    <row r="6211" spans="1:4" x14ac:dyDescent="0.2">
      <c r="A6211">
        <v>3</v>
      </c>
      <c r="B6211">
        <v>1499.9</v>
      </c>
      <c r="C6211">
        <v>1500</v>
      </c>
      <c r="D6211" t="s">
        <v>5984</v>
      </c>
    </row>
    <row r="6212" spans="1:4" x14ac:dyDescent="0.2">
      <c r="A6212">
        <v>4</v>
      </c>
      <c r="B6212">
        <v>1500.1</v>
      </c>
      <c r="C6212">
        <v>1500</v>
      </c>
      <c r="D6212" t="s">
        <v>5984</v>
      </c>
    </row>
    <row r="6213" spans="1:4" x14ac:dyDescent="0.2">
      <c r="A6213">
        <v>5</v>
      </c>
      <c r="B6213">
        <v>1499.8</v>
      </c>
      <c r="C6213">
        <v>1500</v>
      </c>
      <c r="D6213" t="s">
        <v>5984</v>
      </c>
    </row>
    <row r="6214" spans="1:4" x14ac:dyDescent="0.2">
      <c r="A6214">
        <v>6</v>
      </c>
      <c r="B6214">
        <v>1500</v>
      </c>
      <c r="C6214">
        <v>1500</v>
      </c>
      <c r="D6214" t="s">
        <v>5984</v>
      </c>
    </row>
    <row r="6215" spans="1:4" x14ac:dyDescent="0.2">
      <c r="A6215">
        <v>1</v>
      </c>
      <c r="B6215">
        <v>1999.5</v>
      </c>
      <c r="C6215">
        <v>2000</v>
      </c>
      <c r="D6215" t="s">
        <v>5984</v>
      </c>
    </row>
    <row r="6216" spans="1:4" x14ac:dyDescent="0.2">
      <c r="A6216">
        <v>2</v>
      </c>
      <c r="B6216">
        <v>2000.1</v>
      </c>
      <c r="C6216">
        <v>2000</v>
      </c>
      <c r="D6216" t="s">
        <v>5984</v>
      </c>
    </row>
    <row r="6217" spans="1:4" x14ac:dyDescent="0.2">
      <c r="A6217">
        <v>3</v>
      </c>
      <c r="B6217">
        <v>1999.9</v>
      </c>
      <c r="C6217">
        <v>2000</v>
      </c>
      <c r="D6217" t="s">
        <v>5984</v>
      </c>
    </row>
    <row r="6218" spans="1:4" x14ac:dyDescent="0.2">
      <c r="A6218">
        <v>4</v>
      </c>
      <c r="B6218">
        <v>2000.1</v>
      </c>
      <c r="C6218">
        <v>2000</v>
      </c>
      <c r="D6218" t="s">
        <v>5984</v>
      </c>
    </row>
    <row r="6219" spans="1:4" x14ac:dyDescent="0.2">
      <c r="A6219">
        <v>5</v>
      </c>
      <c r="B6219">
        <v>1999.9</v>
      </c>
      <c r="C6219">
        <v>2000</v>
      </c>
      <c r="D6219" t="s">
        <v>5984</v>
      </c>
    </row>
    <row r="6220" spans="1:4" x14ac:dyDescent="0.2">
      <c r="A6220">
        <v>6</v>
      </c>
      <c r="B6220">
        <v>2000.1</v>
      </c>
      <c r="C6220">
        <v>2000</v>
      </c>
      <c r="D6220" t="s">
        <v>5984</v>
      </c>
    </row>
    <row r="6221" spans="1:4" x14ac:dyDescent="0.2">
      <c r="A6221">
        <v>1</v>
      </c>
      <c r="B6221">
        <v>2279.6</v>
      </c>
      <c r="C6221">
        <v>2280</v>
      </c>
      <c r="D6221" t="s">
        <v>5984</v>
      </c>
    </row>
    <row r="6222" spans="1:4" x14ac:dyDescent="0.2">
      <c r="A6222">
        <v>2</v>
      </c>
      <c r="B6222">
        <v>2280.1</v>
      </c>
      <c r="C6222">
        <v>2280</v>
      </c>
      <c r="D6222" t="s">
        <v>5984</v>
      </c>
    </row>
    <row r="6223" spans="1:4" x14ac:dyDescent="0.2">
      <c r="A6223">
        <v>3</v>
      </c>
      <c r="B6223">
        <v>2280.1</v>
      </c>
      <c r="C6223">
        <v>2280</v>
      </c>
      <c r="D6223" t="s">
        <v>5984</v>
      </c>
    </row>
    <row r="6224" spans="1:4" x14ac:dyDescent="0.2">
      <c r="A6224">
        <v>4</v>
      </c>
      <c r="B6224">
        <v>2280.1999999999998</v>
      </c>
      <c r="C6224">
        <v>2280</v>
      </c>
      <c r="D6224" t="s">
        <v>5984</v>
      </c>
    </row>
    <row r="6225" spans="1:4" x14ac:dyDescent="0.2">
      <c r="A6225">
        <v>5</v>
      </c>
      <c r="B6225">
        <v>2280.1</v>
      </c>
      <c r="C6225">
        <v>2280</v>
      </c>
      <c r="D6225" t="s">
        <v>5984</v>
      </c>
    </row>
    <row r="6226" spans="1:4" x14ac:dyDescent="0.2">
      <c r="A6226">
        <v>6</v>
      </c>
      <c r="B6226">
        <v>2280.1999999999998</v>
      </c>
      <c r="C6226">
        <v>2280</v>
      </c>
      <c r="D6226" t="s">
        <v>5984</v>
      </c>
    </row>
    <row r="6227" spans="1:4" x14ac:dyDescent="0.2">
      <c r="A6227">
        <v>7</v>
      </c>
      <c r="B6227">
        <v>-99.8</v>
      </c>
      <c r="C6227">
        <v>-100</v>
      </c>
      <c r="D6227" t="s">
        <v>5984</v>
      </c>
    </row>
    <row r="6228" spans="1:4" x14ac:dyDescent="0.2">
      <c r="A6228">
        <v>8</v>
      </c>
      <c r="B6228">
        <v>-99.7</v>
      </c>
      <c r="C6228">
        <v>-100</v>
      </c>
      <c r="D6228" t="s">
        <v>5984</v>
      </c>
    </row>
    <row r="6229" spans="1:4" x14ac:dyDescent="0.2">
      <c r="A6229">
        <v>9</v>
      </c>
      <c r="B6229">
        <v>-99.8</v>
      </c>
      <c r="C6229">
        <v>-100</v>
      </c>
      <c r="D6229" t="s">
        <v>5984</v>
      </c>
    </row>
    <row r="6230" spans="1:4" x14ac:dyDescent="0.2">
      <c r="A6230">
        <v>10</v>
      </c>
      <c r="B6230">
        <v>-100.1</v>
      </c>
      <c r="C6230">
        <v>-100</v>
      </c>
      <c r="D6230" t="s">
        <v>5984</v>
      </c>
    </row>
    <row r="6231" spans="1:4" x14ac:dyDescent="0.2">
      <c r="A6231">
        <v>11</v>
      </c>
      <c r="B6231">
        <v>-99.9</v>
      </c>
      <c r="C6231">
        <v>-100</v>
      </c>
      <c r="D6231" t="s">
        <v>5984</v>
      </c>
    </row>
    <row r="6232" spans="1:4" x14ac:dyDescent="0.2">
      <c r="A6232">
        <v>12</v>
      </c>
      <c r="B6232">
        <v>-99.9</v>
      </c>
      <c r="C6232">
        <v>-100</v>
      </c>
      <c r="D6232" t="s">
        <v>5984</v>
      </c>
    </row>
    <row r="6233" spans="1:4" x14ac:dyDescent="0.2">
      <c r="A6233">
        <v>7</v>
      </c>
      <c r="B6233">
        <v>500.2</v>
      </c>
      <c r="C6233">
        <v>500</v>
      </c>
      <c r="D6233" t="s">
        <v>5984</v>
      </c>
    </row>
    <row r="6234" spans="1:4" x14ac:dyDescent="0.2">
      <c r="A6234">
        <v>8</v>
      </c>
      <c r="B6234">
        <v>500.3</v>
      </c>
      <c r="C6234">
        <v>500</v>
      </c>
      <c r="D6234" t="s">
        <v>5984</v>
      </c>
    </row>
    <row r="6235" spans="1:4" x14ac:dyDescent="0.2">
      <c r="A6235">
        <v>9</v>
      </c>
      <c r="B6235">
        <v>500</v>
      </c>
      <c r="C6235">
        <v>500</v>
      </c>
      <c r="D6235" t="s">
        <v>5984</v>
      </c>
    </row>
    <row r="6236" spans="1:4" x14ac:dyDescent="0.2">
      <c r="A6236">
        <v>10</v>
      </c>
      <c r="B6236">
        <v>499.8</v>
      </c>
      <c r="C6236">
        <v>500</v>
      </c>
      <c r="D6236" t="s">
        <v>5984</v>
      </c>
    </row>
    <row r="6237" spans="1:4" x14ac:dyDescent="0.2">
      <c r="A6237">
        <v>11</v>
      </c>
      <c r="B6237">
        <v>500.2</v>
      </c>
      <c r="C6237">
        <v>500</v>
      </c>
      <c r="D6237" t="s">
        <v>5984</v>
      </c>
    </row>
    <row r="6238" spans="1:4" x14ac:dyDescent="0.2">
      <c r="A6238">
        <v>12</v>
      </c>
      <c r="B6238">
        <v>500.1</v>
      </c>
      <c r="C6238">
        <v>500</v>
      </c>
      <c r="D6238" t="s">
        <v>5984</v>
      </c>
    </row>
    <row r="6239" spans="1:4" x14ac:dyDescent="0.2">
      <c r="A6239">
        <v>7</v>
      </c>
      <c r="B6239">
        <v>1000.1</v>
      </c>
      <c r="C6239">
        <v>1000</v>
      </c>
      <c r="D6239" t="s">
        <v>5984</v>
      </c>
    </row>
    <row r="6240" spans="1:4" x14ac:dyDescent="0.2">
      <c r="A6240">
        <v>8</v>
      </c>
      <c r="B6240">
        <v>1000.2</v>
      </c>
      <c r="C6240">
        <v>1000</v>
      </c>
      <c r="D6240" t="s">
        <v>5984</v>
      </c>
    </row>
    <row r="6241" spans="1:4" x14ac:dyDescent="0.2">
      <c r="A6241">
        <v>9</v>
      </c>
      <c r="B6241">
        <v>1000</v>
      </c>
      <c r="C6241">
        <v>1000</v>
      </c>
      <c r="D6241" t="s">
        <v>5984</v>
      </c>
    </row>
    <row r="6242" spans="1:4" x14ac:dyDescent="0.2">
      <c r="A6242">
        <v>10</v>
      </c>
      <c r="B6242">
        <v>999.8</v>
      </c>
      <c r="C6242">
        <v>1000</v>
      </c>
      <c r="D6242" t="s">
        <v>5984</v>
      </c>
    </row>
    <row r="6243" spans="1:4" x14ac:dyDescent="0.2">
      <c r="A6243">
        <v>11</v>
      </c>
      <c r="B6243">
        <v>1000.2</v>
      </c>
      <c r="C6243">
        <v>1000</v>
      </c>
      <c r="D6243" t="s">
        <v>5984</v>
      </c>
    </row>
    <row r="6244" spans="1:4" x14ac:dyDescent="0.2">
      <c r="A6244">
        <v>12</v>
      </c>
      <c r="B6244">
        <v>1000.1</v>
      </c>
      <c r="C6244">
        <v>1000</v>
      </c>
      <c r="D6244" t="s">
        <v>5984</v>
      </c>
    </row>
    <row r="6245" spans="1:4" x14ac:dyDescent="0.2">
      <c r="A6245">
        <v>7</v>
      </c>
      <c r="B6245">
        <v>1500</v>
      </c>
      <c r="C6245">
        <v>1500</v>
      </c>
      <c r="D6245" t="s">
        <v>5984</v>
      </c>
    </row>
    <row r="6246" spans="1:4" x14ac:dyDescent="0.2">
      <c r="A6246">
        <v>8</v>
      </c>
      <c r="B6246">
        <v>1500</v>
      </c>
      <c r="C6246">
        <v>1500</v>
      </c>
      <c r="D6246" t="s">
        <v>5984</v>
      </c>
    </row>
    <row r="6247" spans="1:4" x14ac:dyDescent="0.2">
      <c r="A6247">
        <v>9</v>
      </c>
      <c r="B6247">
        <v>1500</v>
      </c>
      <c r="C6247">
        <v>1500</v>
      </c>
      <c r="D6247" t="s">
        <v>5984</v>
      </c>
    </row>
    <row r="6248" spans="1:4" x14ac:dyDescent="0.2">
      <c r="A6248">
        <v>10</v>
      </c>
      <c r="B6248">
        <v>1499.7</v>
      </c>
      <c r="C6248">
        <v>1500</v>
      </c>
      <c r="D6248" t="s">
        <v>5984</v>
      </c>
    </row>
    <row r="6249" spans="1:4" x14ac:dyDescent="0.2">
      <c r="A6249">
        <v>11</v>
      </c>
      <c r="B6249">
        <v>1500.2</v>
      </c>
      <c r="C6249">
        <v>1500</v>
      </c>
      <c r="D6249" t="s">
        <v>5984</v>
      </c>
    </row>
    <row r="6250" spans="1:4" x14ac:dyDescent="0.2">
      <c r="A6250">
        <v>12</v>
      </c>
      <c r="B6250">
        <v>1500</v>
      </c>
      <c r="C6250">
        <v>1500</v>
      </c>
      <c r="D6250" t="s">
        <v>5984</v>
      </c>
    </row>
    <row r="6251" spans="1:4" x14ac:dyDescent="0.2">
      <c r="A6251">
        <v>7</v>
      </c>
      <c r="B6251">
        <v>2000</v>
      </c>
      <c r="C6251">
        <v>2000</v>
      </c>
      <c r="D6251" t="s">
        <v>5984</v>
      </c>
    </row>
    <row r="6252" spans="1:4" x14ac:dyDescent="0.2">
      <c r="A6252">
        <v>8</v>
      </c>
      <c r="B6252">
        <v>2000</v>
      </c>
      <c r="C6252">
        <v>2000</v>
      </c>
      <c r="D6252" t="s">
        <v>5984</v>
      </c>
    </row>
    <row r="6253" spans="1:4" x14ac:dyDescent="0.2">
      <c r="A6253">
        <v>9</v>
      </c>
      <c r="B6253">
        <v>2000</v>
      </c>
      <c r="C6253">
        <v>2000</v>
      </c>
      <c r="D6253" t="s">
        <v>5984</v>
      </c>
    </row>
    <row r="6254" spans="1:4" x14ac:dyDescent="0.2">
      <c r="A6254">
        <v>10</v>
      </c>
      <c r="B6254">
        <v>1999.7</v>
      </c>
      <c r="C6254">
        <v>2000</v>
      </c>
      <c r="D6254" t="s">
        <v>5984</v>
      </c>
    </row>
    <row r="6255" spans="1:4" x14ac:dyDescent="0.2">
      <c r="A6255">
        <v>11</v>
      </c>
      <c r="B6255">
        <v>2000.1</v>
      </c>
      <c r="C6255">
        <v>2000</v>
      </c>
      <c r="D6255" t="s">
        <v>5984</v>
      </c>
    </row>
    <row r="6256" spans="1:4" x14ac:dyDescent="0.2">
      <c r="A6256">
        <v>12</v>
      </c>
      <c r="B6256">
        <v>1999.9</v>
      </c>
      <c r="C6256">
        <v>2000</v>
      </c>
      <c r="D6256" t="s">
        <v>5984</v>
      </c>
    </row>
    <row r="6257" spans="1:4" x14ac:dyDescent="0.2">
      <c r="A6257">
        <v>7</v>
      </c>
      <c r="B6257">
        <v>2280.1</v>
      </c>
      <c r="C6257">
        <v>2280</v>
      </c>
      <c r="D6257" t="s">
        <v>5984</v>
      </c>
    </row>
    <row r="6258" spans="1:4" x14ac:dyDescent="0.2">
      <c r="A6258">
        <v>8</v>
      </c>
      <c r="B6258">
        <v>2280</v>
      </c>
      <c r="C6258">
        <v>2280</v>
      </c>
      <c r="D6258" t="s">
        <v>5984</v>
      </c>
    </row>
    <row r="6259" spans="1:4" x14ac:dyDescent="0.2">
      <c r="A6259">
        <v>9</v>
      </c>
      <c r="B6259">
        <v>2280.1</v>
      </c>
      <c r="C6259">
        <v>2280</v>
      </c>
      <c r="D6259" t="s">
        <v>5984</v>
      </c>
    </row>
    <row r="6260" spans="1:4" x14ac:dyDescent="0.2">
      <c r="A6260">
        <v>10</v>
      </c>
      <c r="B6260">
        <v>2279.8000000000002</v>
      </c>
      <c r="C6260">
        <v>2280</v>
      </c>
      <c r="D6260" t="s">
        <v>5984</v>
      </c>
    </row>
    <row r="6261" spans="1:4" x14ac:dyDescent="0.2">
      <c r="A6261">
        <v>11</v>
      </c>
      <c r="B6261">
        <v>2280.1</v>
      </c>
      <c r="C6261">
        <v>2280</v>
      </c>
      <c r="D6261" t="s">
        <v>5984</v>
      </c>
    </row>
    <row r="6262" spans="1:4" x14ac:dyDescent="0.2">
      <c r="A6262">
        <v>12</v>
      </c>
      <c r="B6262">
        <v>2280.1</v>
      </c>
      <c r="C6262">
        <v>2280</v>
      </c>
      <c r="D6262" t="s">
        <v>5984</v>
      </c>
    </row>
    <row r="6263" spans="1:4" x14ac:dyDescent="0.2">
      <c r="A6263">
        <v>13</v>
      </c>
      <c r="B6263">
        <v>-100.2</v>
      </c>
      <c r="C6263">
        <v>-100</v>
      </c>
      <c r="D6263" t="s">
        <v>5984</v>
      </c>
    </row>
    <row r="6264" spans="1:4" x14ac:dyDescent="0.2">
      <c r="A6264">
        <v>14</v>
      </c>
      <c r="B6264">
        <v>-100.2</v>
      </c>
      <c r="C6264">
        <v>-100</v>
      </c>
      <c r="D6264" t="s">
        <v>5984</v>
      </c>
    </row>
    <row r="6265" spans="1:4" x14ac:dyDescent="0.2">
      <c r="A6265">
        <v>15</v>
      </c>
      <c r="B6265">
        <v>-99.8</v>
      </c>
      <c r="C6265">
        <v>-100</v>
      </c>
      <c r="D6265" t="s">
        <v>5984</v>
      </c>
    </row>
    <row r="6266" spans="1:4" x14ac:dyDescent="0.2">
      <c r="A6266">
        <v>16</v>
      </c>
      <c r="B6266">
        <v>-99.6</v>
      </c>
      <c r="C6266">
        <v>-100</v>
      </c>
      <c r="D6266" t="s">
        <v>5984</v>
      </c>
    </row>
    <row r="6267" spans="1:4" x14ac:dyDescent="0.2">
      <c r="A6267">
        <v>17</v>
      </c>
      <c r="B6267">
        <v>-99.5</v>
      </c>
      <c r="C6267">
        <v>-100</v>
      </c>
      <c r="D6267" t="s">
        <v>5984</v>
      </c>
    </row>
    <row r="6268" spans="1:4" x14ac:dyDescent="0.2">
      <c r="A6268">
        <v>18</v>
      </c>
      <c r="B6268">
        <v>-99.8</v>
      </c>
      <c r="C6268">
        <v>-100</v>
      </c>
      <c r="D6268" t="s">
        <v>5984</v>
      </c>
    </row>
    <row r="6269" spans="1:4" x14ac:dyDescent="0.2">
      <c r="A6269">
        <v>13</v>
      </c>
      <c r="B6269">
        <v>499.8</v>
      </c>
      <c r="C6269">
        <v>500</v>
      </c>
      <c r="D6269" t="s">
        <v>5984</v>
      </c>
    </row>
    <row r="6270" spans="1:4" x14ac:dyDescent="0.2">
      <c r="A6270">
        <v>14</v>
      </c>
      <c r="B6270">
        <v>499.7</v>
      </c>
      <c r="C6270">
        <v>500</v>
      </c>
      <c r="D6270" t="s">
        <v>5984</v>
      </c>
    </row>
    <row r="6271" spans="1:4" x14ac:dyDescent="0.2">
      <c r="A6271">
        <v>15</v>
      </c>
      <c r="B6271">
        <v>500.2</v>
      </c>
      <c r="C6271">
        <v>500</v>
      </c>
      <c r="D6271" t="s">
        <v>5984</v>
      </c>
    </row>
    <row r="6272" spans="1:4" x14ac:dyDescent="0.2">
      <c r="A6272">
        <v>16</v>
      </c>
      <c r="B6272">
        <v>500.3</v>
      </c>
      <c r="C6272">
        <v>500</v>
      </c>
      <c r="D6272" t="s">
        <v>5984</v>
      </c>
    </row>
    <row r="6273" spans="1:4" x14ac:dyDescent="0.2">
      <c r="A6273">
        <v>17</v>
      </c>
      <c r="B6273">
        <v>500.2</v>
      </c>
      <c r="C6273">
        <v>500</v>
      </c>
      <c r="D6273" t="s">
        <v>5984</v>
      </c>
    </row>
    <row r="6274" spans="1:4" x14ac:dyDescent="0.2">
      <c r="A6274">
        <v>18</v>
      </c>
      <c r="B6274">
        <v>500</v>
      </c>
      <c r="C6274">
        <v>500</v>
      </c>
      <c r="D6274" t="s">
        <v>5984</v>
      </c>
    </row>
    <row r="6275" spans="1:4" x14ac:dyDescent="0.2">
      <c r="A6275">
        <v>13</v>
      </c>
      <c r="B6275">
        <v>999.9</v>
      </c>
      <c r="C6275">
        <v>1000</v>
      </c>
      <c r="D6275" t="s">
        <v>5984</v>
      </c>
    </row>
    <row r="6276" spans="1:4" x14ac:dyDescent="0.2">
      <c r="A6276">
        <v>14</v>
      </c>
      <c r="B6276">
        <v>999.7</v>
      </c>
      <c r="C6276">
        <v>1000</v>
      </c>
      <c r="D6276" t="s">
        <v>5984</v>
      </c>
    </row>
    <row r="6277" spans="1:4" x14ac:dyDescent="0.2">
      <c r="A6277">
        <v>15</v>
      </c>
      <c r="B6277">
        <v>1000.2</v>
      </c>
      <c r="C6277">
        <v>1000</v>
      </c>
      <c r="D6277" t="s">
        <v>5984</v>
      </c>
    </row>
    <row r="6278" spans="1:4" x14ac:dyDescent="0.2">
      <c r="A6278">
        <v>16</v>
      </c>
      <c r="B6278">
        <v>1000.3</v>
      </c>
      <c r="C6278">
        <v>1000</v>
      </c>
      <c r="D6278" t="s">
        <v>5984</v>
      </c>
    </row>
    <row r="6279" spans="1:4" x14ac:dyDescent="0.2">
      <c r="A6279">
        <v>17</v>
      </c>
      <c r="B6279">
        <v>1000.2</v>
      </c>
      <c r="C6279">
        <v>1000</v>
      </c>
      <c r="D6279" t="s">
        <v>5984</v>
      </c>
    </row>
    <row r="6280" spans="1:4" x14ac:dyDescent="0.2">
      <c r="A6280">
        <v>18</v>
      </c>
      <c r="B6280">
        <v>1000</v>
      </c>
      <c r="C6280">
        <v>1000</v>
      </c>
      <c r="D6280" t="s">
        <v>5984</v>
      </c>
    </row>
    <row r="6281" spans="1:4" x14ac:dyDescent="0.2">
      <c r="A6281">
        <v>13</v>
      </c>
      <c r="B6281">
        <v>1499.8</v>
      </c>
      <c r="C6281">
        <v>1500</v>
      </c>
      <c r="D6281" t="s">
        <v>5984</v>
      </c>
    </row>
    <row r="6282" spans="1:4" x14ac:dyDescent="0.2">
      <c r="A6282">
        <v>14</v>
      </c>
      <c r="B6282">
        <v>1499.7</v>
      </c>
      <c r="C6282">
        <v>1500</v>
      </c>
      <c r="D6282" t="s">
        <v>5984</v>
      </c>
    </row>
    <row r="6283" spans="1:4" x14ac:dyDescent="0.2">
      <c r="A6283">
        <v>15</v>
      </c>
      <c r="B6283">
        <v>1500.1</v>
      </c>
      <c r="C6283">
        <v>1500</v>
      </c>
      <c r="D6283" t="s">
        <v>5984</v>
      </c>
    </row>
    <row r="6284" spans="1:4" x14ac:dyDescent="0.2">
      <c r="A6284">
        <v>16</v>
      </c>
      <c r="B6284">
        <v>1500.1</v>
      </c>
      <c r="C6284">
        <v>1500</v>
      </c>
      <c r="D6284" t="s">
        <v>5984</v>
      </c>
    </row>
    <row r="6285" spans="1:4" x14ac:dyDescent="0.2">
      <c r="A6285">
        <v>17</v>
      </c>
      <c r="B6285">
        <v>1500</v>
      </c>
      <c r="C6285">
        <v>1500</v>
      </c>
      <c r="D6285" t="s">
        <v>5984</v>
      </c>
    </row>
    <row r="6286" spans="1:4" x14ac:dyDescent="0.2">
      <c r="A6286">
        <v>18</v>
      </c>
      <c r="B6286">
        <v>1500</v>
      </c>
      <c r="C6286">
        <v>1500</v>
      </c>
      <c r="D6286" t="s">
        <v>5984</v>
      </c>
    </row>
    <row r="6287" spans="1:4" x14ac:dyDescent="0.2">
      <c r="A6287">
        <v>13</v>
      </c>
      <c r="B6287">
        <v>1999.7</v>
      </c>
      <c r="C6287">
        <v>2000</v>
      </c>
      <c r="D6287" t="s">
        <v>5984</v>
      </c>
    </row>
    <row r="6288" spans="1:4" x14ac:dyDescent="0.2">
      <c r="A6288">
        <v>14</v>
      </c>
      <c r="B6288">
        <v>1999.8</v>
      </c>
      <c r="C6288">
        <v>2000</v>
      </c>
      <c r="D6288" t="s">
        <v>5984</v>
      </c>
    </row>
    <row r="6289" spans="1:4" x14ac:dyDescent="0.2">
      <c r="A6289">
        <v>15</v>
      </c>
      <c r="B6289">
        <v>2000.1</v>
      </c>
      <c r="C6289">
        <v>2000</v>
      </c>
      <c r="D6289" t="s">
        <v>5984</v>
      </c>
    </row>
    <row r="6290" spans="1:4" x14ac:dyDescent="0.2">
      <c r="A6290">
        <v>16</v>
      </c>
      <c r="B6290">
        <v>2000.1</v>
      </c>
      <c r="C6290">
        <v>2000</v>
      </c>
      <c r="D6290" t="s">
        <v>5984</v>
      </c>
    </row>
    <row r="6291" spans="1:4" x14ac:dyDescent="0.2">
      <c r="A6291">
        <v>17</v>
      </c>
      <c r="B6291">
        <v>2000.1</v>
      </c>
      <c r="C6291">
        <v>2000</v>
      </c>
      <c r="D6291" t="s">
        <v>5984</v>
      </c>
    </row>
    <row r="6292" spans="1:4" x14ac:dyDescent="0.2">
      <c r="A6292">
        <v>18</v>
      </c>
      <c r="B6292">
        <v>2000</v>
      </c>
      <c r="C6292">
        <v>2000</v>
      </c>
      <c r="D6292" t="s">
        <v>5984</v>
      </c>
    </row>
    <row r="6293" spans="1:4" x14ac:dyDescent="0.2">
      <c r="A6293">
        <v>13</v>
      </c>
      <c r="B6293">
        <v>2280</v>
      </c>
      <c r="C6293">
        <v>2280</v>
      </c>
      <c r="D6293" t="s">
        <v>5984</v>
      </c>
    </row>
    <row r="6294" spans="1:4" x14ac:dyDescent="0.2">
      <c r="A6294">
        <v>14</v>
      </c>
      <c r="B6294">
        <v>2279.9</v>
      </c>
      <c r="C6294">
        <v>2280</v>
      </c>
      <c r="D6294" t="s">
        <v>5984</v>
      </c>
    </row>
    <row r="6295" spans="1:4" x14ac:dyDescent="0.2">
      <c r="A6295">
        <v>15</v>
      </c>
      <c r="B6295">
        <v>2280.1999999999998</v>
      </c>
      <c r="C6295">
        <v>2280</v>
      </c>
      <c r="D6295" t="s">
        <v>5984</v>
      </c>
    </row>
    <row r="6296" spans="1:4" x14ac:dyDescent="0.2">
      <c r="A6296">
        <v>16</v>
      </c>
      <c r="B6296">
        <v>2280.1</v>
      </c>
      <c r="C6296">
        <v>2280</v>
      </c>
      <c r="D6296" t="s">
        <v>5984</v>
      </c>
    </row>
    <row r="6297" spans="1:4" x14ac:dyDescent="0.2">
      <c r="A6297">
        <v>17</v>
      </c>
      <c r="B6297">
        <v>2280.1</v>
      </c>
      <c r="C6297">
        <v>2280</v>
      </c>
      <c r="D6297" t="s">
        <v>5984</v>
      </c>
    </row>
    <row r="6298" spans="1:4" x14ac:dyDescent="0.2">
      <c r="A6298">
        <v>18</v>
      </c>
      <c r="B6298">
        <v>2280.1</v>
      </c>
      <c r="C6298">
        <v>2280</v>
      </c>
      <c r="D6298" t="s">
        <v>5984</v>
      </c>
    </row>
    <row r="6299" spans="1:4" x14ac:dyDescent="0.2">
      <c r="A6299">
        <v>19</v>
      </c>
      <c r="B6299">
        <v>-99.7</v>
      </c>
      <c r="C6299">
        <v>-100</v>
      </c>
      <c r="D6299" t="s">
        <v>5984</v>
      </c>
    </row>
    <row r="6300" spans="1:4" x14ac:dyDescent="0.2">
      <c r="A6300">
        <v>20</v>
      </c>
      <c r="B6300">
        <v>-99.7</v>
      </c>
      <c r="C6300">
        <v>-100</v>
      </c>
      <c r="D6300" t="s">
        <v>5984</v>
      </c>
    </row>
    <row r="6301" spans="1:4" x14ac:dyDescent="0.2">
      <c r="A6301">
        <v>21</v>
      </c>
      <c r="B6301">
        <v>-100.2</v>
      </c>
      <c r="C6301">
        <v>-100</v>
      </c>
      <c r="D6301" t="s">
        <v>5984</v>
      </c>
    </row>
    <row r="6302" spans="1:4" x14ac:dyDescent="0.2">
      <c r="A6302">
        <v>22</v>
      </c>
      <c r="B6302">
        <v>-99.7</v>
      </c>
      <c r="C6302">
        <v>-100</v>
      </c>
      <c r="D6302" t="s">
        <v>5984</v>
      </c>
    </row>
    <row r="6303" spans="1:4" x14ac:dyDescent="0.2">
      <c r="A6303">
        <v>23</v>
      </c>
      <c r="B6303">
        <v>-99.8</v>
      </c>
      <c r="C6303">
        <v>-100</v>
      </c>
      <c r="D6303" t="s">
        <v>5984</v>
      </c>
    </row>
    <row r="6304" spans="1:4" x14ac:dyDescent="0.2">
      <c r="A6304">
        <v>24</v>
      </c>
      <c r="B6304">
        <v>-99.7</v>
      </c>
      <c r="C6304">
        <v>-100</v>
      </c>
      <c r="D6304" t="s">
        <v>5984</v>
      </c>
    </row>
    <row r="6305" spans="1:4" x14ac:dyDescent="0.2">
      <c r="A6305">
        <v>19</v>
      </c>
      <c r="B6305">
        <v>500</v>
      </c>
      <c r="C6305">
        <v>500</v>
      </c>
      <c r="D6305" t="s">
        <v>5984</v>
      </c>
    </row>
    <row r="6306" spans="1:4" x14ac:dyDescent="0.2">
      <c r="A6306">
        <v>20</v>
      </c>
      <c r="B6306">
        <v>500</v>
      </c>
      <c r="C6306">
        <v>500</v>
      </c>
      <c r="D6306" t="s">
        <v>5984</v>
      </c>
    </row>
    <row r="6307" spans="1:4" x14ac:dyDescent="0.2">
      <c r="A6307">
        <v>21</v>
      </c>
      <c r="B6307">
        <v>499.7</v>
      </c>
      <c r="C6307">
        <v>500</v>
      </c>
      <c r="D6307" t="s">
        <v>5984</v>
      </c>
    </row>
    <row r="6308" spans="1:4" x14ac:dyDescent="0.2">
      <c r="A6308">
        <v>22</v>
      </c>
      <c r="B6308">
        <v>500</v>
      </c>
      <c r="C6308">
        <v>500</v>
      </c>
      <c r="D6308" t="s">
        <v>5984</v>
      </c>
    </row>
    <row r="6309" spans="1:4" x14ac:dyDescent="0.2">
      <c r="A6309">
        <v>23</v>
      </c>
      <c r="B6309">
        <v>500.1</v>
      </c>
      <c r="C6309">
        <v>500</v>
      </c>
      <c r="D6309" t="s">
        <v>5984</v>
      </c>
    </row>
    <row r="6310" spans="1:4" x14ac:dyDescent="0.2">
      <c r="A6310">
        <v>24</v>
      </c>
      <c r="B6310">
        <v>500</v>
      </c>
      <c r="C6310">
        <v>500</v>
      </c>
      <c r="D6310" t="s">
        <v>5984</v>
      </c>
    </row>
    <row r="6311" spans="1:4" x14ac:dyDescent="0.2">
      <c r="A6311">
        <v>19</v>
      </c>
      <c r="B6311">
        <v>1000</v>
      </c>
      <c r="C6311">
        <v>1000</v>
      </c>
      <c r="D6311" t="s">
        <v>5984</v>
      </c>
    </row>
    <row r="6312" spans="1:4" x14ac:dyDescent="0.2">
      <c r="A6312">
        <v>20</v>
      </c>
      <c r="B6312">
        <v>999.9</v>
      </c>
      <c r="C6312">
        <v>1000</v>
      </c>
      <c r="D6312" t="s">
        <v>5984</v>
      </c>
    </row>
    <row r="6313" spans="1:4" x14ac:dyDescent="0.2">
      <c r="A6313">
        <v>21</v>
      </c>
      <c r="B6313">
        <v>999.7</v>
      </c>
      <c r="C6313">
        <v>1000</v>
      </c>
      <c r="D6313" t="s">
        <v>5984</v>
      </c>
    </row>
    <row r="6314" spans="1:4" x14ac:dyDescent="0.2">
      <c r="A6314">
        <v>22</v>
      </c>
      <c r="B6314">
        <v>1000</v>
      </c>
      <c r="C6314">
        <v>1000</v>
      </c>
      <c r="D6314" t="s">
        <v>5984</v>
      </c>
    </row>
    <row r="6315" spans="1:4" x14ac:dyDescent="0.2">
      <c r="A6315">
        <v>23</v>
      </c>
      <c r="B6315">
        <v>1000.1</v>
      </c>
      <c r="C6315">
        <v>1000</v>
      </c>
      <c r="D6315" t="s">
        <v>5984</v>
      </c>
    </row>
    <row r="6316" spans="1:4" x14ac:dyDescent="0.2">
      <c r="A6316">
        <v>24</v>
      </c>
      <c r="B6316">
        <v>999.9</v>
      </c>
      <c r="C6316">
        <v>1000</v>
      </c>
      <c r="D6316" t="s">
        <v>5984</v>
      </c>
    </row>
    <row r="6317" spans="1:4" x14ac:dyDescent="0.2">
      <c r="A6317">
        <v>19</v>
      </c>
      <c r="B6317">
        <v>1499.8</v>
      </c>
      <c r="C6317">
        <v>1500</v>
      </c>
      <c r="D6317" t="s">
        <v>5984</v>
      </c>
    </row>
    <row r="6318" spans="1:4" x14ac:dyDescent="0.2">
      <c r="A6318">
        <v>20</v>
      </c>
      <c r="B6318">
        <v>1499.8</v>
      </c>
      <c r="C6318">
        <v>1500</v>
      </c>
      <c r="D6318" t="s">
        <v>5984</v>
      </c>
    </row>
    <row r="6319" spans="1:4" x14ac:dyDescent="0.2">
      <c r="A6319">
        <v>21</v>
      </c>
      <c r="B6319">
        <v>1499.6</v>
      </c>
      <c r="C6319">
        <v>1500</v>
      </c>
      <c r="D6319" t="s">
        <v>5984</v>
      </c>
    </row>
    <row r="6320" spans="1:4" x14ac:dyDescent="0.2">
      <c r="A6320">
        <v>22</v>
      </c>
      <c r="B6320">
        <v>1500</v>
      </c>
      <c r="C6320">
        <v>1500</v>
      </c>
      <c r="D6320" t="s">
        <v>5984</v>
      </c>
    </row>
    <row r="6321" spans="1:4" x14ac:dyDescent="0.2">
      <c r="A6321">
        <v>23</v>
      </c>
      <c r="B6321">
        <v>1499.9</v>
      </c>
      <c r="C6321">
        <v>1500</v>
      </c>
      <c r="D6321" t="s">
        <v>5984</v>
      </c>
    </row>
    <row r="6322" spans="1:4" x14ac:dyDescent="0.2">
      <c r="A6322">
        <v>24</v>
      </c>
      <c r="B6322">
        <v>1499.7</v>
      </c>
      <c r="C6322">
        <v>1500</v>
      </c>
      <c r="D6322" t="s">
        <v>5984</v>
      </c>
    </row>
    <row r="6323" spans="1:4" x14ac:dyDescent="0.2">
      <c r="A6323">
        <v>19</v>
      </c>
      <c r="B6323">
        <v>1999.8</v>
      </c>
      <c r="C6323">
        <v>2000</v>
      </c>
      <c r="D6323" t="s">
        <v>5984</v>
      </c>
    </row>
    <row r="6324" spans="1:4" x14ac:dyDescent="0.2">
      <c r="A6324">
        <v>20</v>
      </c>
      <c r="B6324">
        <v>1999.8</v>
      </c>
      <c r="C6324">
        <v>2000</v>
      </c>
      <c r="D6324" t="s">
        <v>5984</v>
      </c>
    </row>
    <row r="6325" spans="1:4" x14ac:dyDescent="0.2">
      <c r="A6325">
        <v>21</v>
      </c>
      <c r="B6325">
        <v>1999.6</v>
      </c>
      <c r="C6325">
        <v>2000</v>
      </c>
      <c r="D6325" t="s">
        <v>5984</v>
      </c>
    </row>
    <row r="6326" spans="1:4" x14ac:dyDescent="0.2">
      <c r="A6326">
        <v>22</v>
      </c>
      <c r="B6326">
        <v>2000.1</v>
      </c>
      <c r="C6326">
        <v>2000</v>
      </c>
      <c r="D6326" t="s">
        <v>5984</v>
      </c>
    </row>
    <row r="6327" spans="1:4" x14ac:dyDescent="0.2">
      <c r="A6327">
        <v>23</v>
      </c>
      <c r="B6327">
        <v>2000</v>
      </c>
      <c r="C6327">
        <v>2000</v>
      </c>
      <c r="D6327" t="s">
        <v>5984</v>
      </c>
    </row>
    <row r="6328" spans="1:4" x14ac:dyDescent="0.2">
      <c r="A6328">
        <v>24</v>
      </c>
      <c r="B6328">
        <v>1999.7</v>
      </c>
      <c r="C6328">
        <v>2000</v>
      </c>
      <c r="D6328" t="s">
        <v>5984</v>
      </c>
    </row>
    <row r="6329" spans="1:4" x14ac:dyDescent="0.2">
      <c r="A6329">
        <v>19</v>
      </c>
      <c r="B6329">
        <v>2279.8000000000002</v>
      </c>
      <c r="C6329">
        <v>2280</v>
      </c>
      <c r="D6329" t="s">
        <v>5984</v>
      </c>
    </row>
    <row r="6330" spans="1:4" x14ac:dyDescent="0.2">
      <c r="A6330">
        <v>20</v>
      </c>
      <c r="B6330">
        <v>2279.8000000000002</v>
      </c>
      <c r="C6330">
        <v>2280</v>
      </c>
      <c r="D6330" t="s">
        <v>5984</v>
      </c>
    </row>
    <row r="6331" spans="1:4" x14ac:dyDescent="0.2">
      <c r="A6331">
        <v>21</v>
      </c>
      <c r="B6331">
        <v>2279.6</v>
      </c>
      <c r="C6331">
        <v>2280</v>
      </c>
      <c r="D6331" t="s">
        <v>5984</v>
      </c>
    </row>
    <row r="6332" spans="1:4" x14ac:dyDescent="0.2">
      <c r="A6332">
        <v>22</v>
      </c>
      <c r="B6332">
        <v>2280.3000000000002</v>
      </c>
      <c r="C6332">
        <v>2280</v>
      </c>
      <c r="D6332" t="s">
        <v>5984</v>
      </c>
    </row>
    <row r="6333" spans="1:4" x14ac:dyDescent="0.2">
      <c r="A6333">
        <v>23</v>
      </c>
      <c r="B6333">
        <v>2280.1</v>
      </c>
      <c r="C6333">
        <v>2280</v>
      </c>
      <c r="D6333" t="s">
        <v>5984</v>
      </c>
    </row>
    <row r="6334" spans="1:4" x14ac:dyDescent="0.2">
      <c r="A6334">
        <v>24</v>
      </c>
      <c r="B6334">
        <v>2279.6999999999998</v>
      </c>
      <c r="C6334">
        <v>2280</v>
      </c>
      <c r="D6334" t="s">
        <v>5984</v>
      </c>
    </row>
    <row r="6335" spans="1:4" x14ac:dyDescent="0.2">
      <c r="A6335">
        <v>25</v>
      </c>
      <c r="B6335">
        <v>-99.8</v>
      </c>
      <c r="C6335">
        <v>-100</v>
      </c>
      <c r="D6335" t="s">
        <v>5984</v>
      </c>
    </row>
    <row r="6336" spans="1:4" x14ac:dyDescent="0.2">
      <c r="A6336">
        <v>26</v>
      </c>
      <c r="B6336">
        <v>-99.9</v>
      </c>
      <c r="C6336">
        <v>-100</v>
      </c>
      <c r="D6336" t="s">
        <v>5984</v>
      </c>
    </row>
    <row r="6337" spans="1:4" x14ac:dyDescent="0.2">
      <c r="A6337">
        <v>27</v>
      </c>
      <c r="B6337">
        <v>-99.8</v>
      </c>
      <c r="C6337">
        <v>-100</v>
      </c>
      <c r="D6337" t="s">
        <v>5984</v>
      </c>
    </row>
    <row r="6338" spans="1:4" x14ac:dyDescent="0.2">
      <c r="A6338">
        <v>28</v>
      </c>
      <c r="B6338">
        <v>-100</v>
      </c>
      <c r="C6338">
        <v>-100</v>
      </c>
      <c r="D6338" t="s">
        <v>5984</v>
      </c>
    </row>
    <row r="6339" spans="1:4" x14ac:dyDescent="0.2">
      <c r="A6339">
        <v>29</v>
      </c>
      <c r="B6339">
        <v>0</v>
      </c>
      <c r="C6339">
        <v>-100</v>
      </c>
      <c r="D6339" t="s">
        <v>5984</v>
      </c>
    </row>
    <row r="6340" spans="1:4" x14ac:dyDescent="0.2">
      <c r="A6340">
        <v>30</v>
      </c>
      <c r="B6340">
        <v>0</v>
      </c>
      <c r="C6340">
        <v>-100</v>
      </c>
      <c r="D6340" t="s">
        <v>5984</v>
      </c>
    </row>
    <row r="6341" spans="1:4" x14ac:dyDescent="0.2">
      <c r="A6341">
        <v>25</v>
      </c>
      <c r="B6341">
        <v>500</v>
      </c>
      <c r="C6341">
        <v>500</v>
      </c>
      <c r="D6341" t="s">
        <v>5984</v>
      </c>
    </row>
    <row r="6342" spans="1:4" x14ac:dyDescent="0.2">
      <c r="A6342">
        <v>26</v>
      </c>
      <c r="B6342">
        <v>499.7</v>
      </c>
      <c r="C6342">
        <v>500</v>
      </c>
      <c r="D6342" t="s">
        <v>5984</v>
      </c>
    </row>
    <row r="6343" spans="1:4" x14ac:dyDescent="0.2">
      <c r="A6343">
        <v>27</v>
      </c>
      <c r="B6343">
        <v>500</v>
      </c>
      <c r="C6343">
        <v>500</v>
      </c>
      <c r="D6343" t="s">
        <v>5984</v>
      </c>
    </row>
    <row r="6344" spans="1:4" x14ac:dyDescent="0.2">
      <c r="A6344">
        <v>28</v>
      </c>
      <c r="B6344">
        <v>499.7</v>
      </c>
      <c r="C6344">
        <v>500</v>
      </c>
      <c r="D6344" t="s">
        <v>5984</v>
      </c>
    </row>
    <row r="6345" spans="1:4" x14ac:dyDescent="0.2">
      <c r="A6345">
        <v>29</v>
      </c>
      <c r="B6345">
        <v>0</v>
      </c>
      <c r="C6345">
        <v>500</v>
      </c>
      <c r="D6345" t="s">
        <v>5984</v>
      </c>
    </row>
    <row r="6346" spans="1:4" x14ac:dyDescent="0.2">
      <c r="A6346">
        <v>30</v>
      </c>
      <c r="B6346">
        <v>0</v>
      </c>
      <c r="C6346">
        <v>500</v>
      </c>
      <c r="D6346" t="s">
        <v>5984</v>
      </c>
    </row>
    <row r="6347" spans="1:4" x14ac:dyDescent="0.2">
      <c r="A6347">
        <v>25</v>
      </c>
      <c r="B6347">
        <v>1000</v>
      </c>
      <c r="C6347">
        <v>1000</v>
      </c>
      <c r="D6347" t="s">
        <v>5984</v>
      </c>
    </row>
    <row r="6348" spans="1:4" x14ac:dyDescent="0.2">
      <c r="A6348">
        <v>26</v>
      </c>
      <c r="B6348">
        <v>999.7</v>
      </c>
      <c r="C6348">
        <v>1000</v>
      </c>
      <c r="D6348" t="s">
        <v>5984</v>
      </c>
    </row>
    <row r="6349" spans="1:4" x14ac:dyDescent="0.2">
      <c r="A6349">
        <v>27</v>
      </c>
      <c r="B6349">
        <v>1000</v>
      </c>
      <c r="C6349">
        <v>1000</v>
      </c>
      <c r="D6349" t="s">
        <v>5984</v>
      </c>
    </row>
    <row r="6350" spans="1:4" x14ac:dyDescent="0.2">
      <c r="A6350">
        <v>28</v>
      </c>
      <c r="B6350">
        <v>999.7</v>
      </c>
      <c r="C6350">
        <v>1000</v>
      </c>
      <c r="D6350" t="s">
        <v>5984</v>
      </c>
    </row>
    <row r="6351" spans="1:4" x14ac:dyDescent="0.2">
      <c r="A6351">
        <v>29</v>
      </c>
      <c r="B6351">
        <v>0</v>
      </c>
      <c r="C6351">
        <v>1000</v>
      </c>
      <c r="D6351" t="s">
        <v>5984</v>
      </c>
    </row>
    <row r="6352" spans="1:4" x14ac:dyDescent="0.2">
      <c r="A6352">
        <v>30</v>
      </c>
      <c r="B6352">
        <v>0</v>
      </c>
      <c r="C6352">
        <v>1000</v>
      </c>
      <c r="D6352" t="s">
        <v>5984</v>
      </c>
    </row>
    <row r="6353" spans="1:4" x14ac:dyDescent="0.2">
      <c r="A6353">
        <v>25</v>
      </c>
      <c r="B6353">
        <v>1499.9</v>
      </c>
      <c r="C6353">
        <v>1500</v>
      </c>
      <c r="D6353" t="s">
        <v>5984</v>
      </c>
    </row>
    <row r="6354" spans="1:4" x14ac:dyDescent="0.2">
      <c r="A6354">
        <v>26</v>
      </c>
      <c r="B6354">
        <v>1499.6</v>
      </c>
      <c r="C6354">
        <v>1500</v>
      </c>
      <c r="D6354" t="s">
        <v>5984</v>
      </c>
    </row>
    <row r="6355" spans="1:4" x14ac:dyDescent="0.2">
      <c r="A6355">
        <v>27</v>
      </c>
      <c r="B6355">
        <v>1500</v>
      </c>
      <c r="C6355">
        <v>1500</v>
      </c>
      <c r="D6355" t="s">
        <v>5984</v>
      </c>
    </row>
    <row r="6356" spans="1:4" x14ac:dyDescent="0.2">
      <c r="A6356">
        <v>28</v>
      </c>
      <c r="B6356">
        <v>1499.5</v>
      </c>
      <c r="C6356">
        <v>1500</v>
      </c>
      <c r="D6356" t="s">
        <v>5984</v>
      </c>
    </row>
    <row r="6357" spans="1:4" x14ac:dyDescent="0.2">
      <c r="A6357">
        <v>29</v>
      </c>
      <c r="B6357">
        <v>0</v>
      </c>
      <c r="C6357">
        <v>1500</v>
      </c>
      <c r="D6357" t="s">
        <v>5984</v>
      </c>
    </row>
    <row r="6358" spans="1:4" x14ac:dyDescent="0.2">
      <c r="A6358">
        <v>30</v>
      </c>
      <c r="B6358">
        <v>0</v>
      </c>
      <c r="C6358">
        <v>1500</v>
      </c>
      <c r="D6358" t="s">
        <v>5984</v>
      </c>
    </row>
    <row r="6359" spans="1:4" x14ac:dyDescent="0.2">
      <c r="A6359">
        <v>25</v>
      </c>
      <c r="B6359">
        <v>2000</v>
      </c>
      <c r="C6359">
        <v>2000</v>
      </c>
      <c r="D6359" t="s">
        <v>5984</v>
      </c>
    </row>
    <row r="6360" spans="1:4" x14ac:dyDescent="0.2">
      <c r="A6360">
        <v>26</v>
      </c>
      <c r="B6360">
        <v>1999.8</v>
      </c>
      <c r="C6360">
        <v>2000</v>
      </c>
      <c r="D6360" t="s">
        <v>5984</v>
      </c>
    </row>
    <row r="6361" spans="1:4" x14ac:dyDescent="0.2">
      <c r="A6361">
        <v>27</v>
      </c>
      <c r="B6361">
        <v>2000</v>
      </c>
      <c r="C6361">
        <v>2000</v>
      </c>
      <c r="D6361" t="s">
        <v>5984</v>
      </c>
    </row>
    <row r="6362" spans="1:4" x14ac:dyDescent="0.2">
      <c r="A6362">
        <v>28</v>
      </c>
      <c r="B6362">
        <v>1999.7</v>
      </c>
      <c r="C6362">
        <v>2000</v>
      </c>
      <c r="D6362" t="s">
        <v>5984</v>
      </c>
    </row>
    <row r="6363" spans="1:4" x14ac:dyDescent="0.2">
      <c r="A6363">
        <v>29</v>
      </c>
      <c r="B6363">
        <v>0</v>
      </c>
      <c r="C6363">
        <v>2000</v>
      </c>
      <c r="D6363" t="s">
        <v>5984</v>
      </c>
    </row>
    <row r="6364" spans="1:4" x14ac:dyDescent="0.2">
      <c r="A6364">
        <v>30</v>
      </c>
      <c r="B6364">
        <v>0</v>
      </c>
      <c r="C6364">
        <v>2000</v>
      </c>
      <c r="D6364" t="s">
        <v>5984</v>
      </c>
    </row>
    <row r="6365" spans="1:4" x14ac:dyDescent="0.2">
      <c r="A6365">
        <v>25</v>
      </c>
      <c r="B6365">
        <v>2280.1</v>
      </c>
      <c r="C6365">
        <v>2280</v>
      </c>
      <c r="D6365" t="s">
        <v>5984</v>
      </c>
    </row>
    <row r="6366" spans="1:4" x14ac:dyDescent="0.2">
      <c r="A6366">
        <v>26</v>
      </c>
      <c r="B6366">
        <v>2279.9</v>
      </c>
      <c r="C6366">
        <v>2280</v>
      </c>
      <c r="D6366" t="s">
        <v>5984</v>
      </c>
    </row>
    <row r="6367" spans="1:4" x14ac:dyDescent="0.2">
      <c r="A6367">
        <v>27</v>
      </c>
      <c r="B6367">
        <v>2280.1</v>
      </c>
      <c r="C6367">
        <v>2280</v>
      </c>
      <c r="D6367" t="s">
        <v>5984</v>
      </c>
    </row>
    <row r="6368" spans="1:4" x14ac:dyDescent="0.2">
      <c r="A6368">
        <v>28</v>
      </c>
      <c r="B6368">
        <v>2279.6999999999998</v>
      </c>
      <c r="C6368">
        <v>2280</v>
      </c>
      <c r="D6368" t="s">
        <v>5984</v>
      </c>
    </row>
    <row r="6369" spans="1:4" x14ac:dyDescent="0.2">
      <c r="A6369">
        <v>29</v>
      </c>
      <c r="B6369">
        <v>0</v>
      </c>
      <c r="C6369">
        <v>2280</v>
      </c>
      <c r="D6369" t="s">
        <v>5984</v>
      </c>
    </row>
    <row r="6370" spans="1:4" x14ac:dyDescent="0.2">
      <c r="A6370">
        <v>30</v>
      </c>
      <c r="B6370">
        <v>0</v>
      </c>
      <c r="C6370">
        <v>2280</v>
      </c>
      <c r="D6370" t="s">
        <v>5984</v>
      </c>
    </row>
    <row r="6371" spans="1:4" x14ac:dyDescent="0.2">
      <c r="A6371">
        <v>31</v>
      </c>
      <c r="B6371">
        <v>0</v>
      </c>
      <c r="C6371">
        <v>-100</v>
      </c>
      <c r="D6371" t="s">
        <v>5984</v>
      </c>
    </row>
    <row r="6372" spans="1:4" x14ac:dyDescent="0.2">
      <c r="A6372">
        <v>32</v>
      </c>
      <c r="B6372">
        <v>0</v>
      </c>
      <c r="C6372">
        <v>-100</v>
      </c>
      <c r="D6372" t="s">
        <v>5984</v>
      </c>
    </row>
    <row r="6373" spans="1:4" x14ac:dyDescent="0.2">
      <c r="A6373">
        <v>33</v>
      </c>
      <c r="B6373">
        <v>0</v>
      </c>
      <c r="C6373">
        <v>-100</v>
      </c>
      <c r="D6373" t="s">
        <v>5984</v>
      </c>
    </row>
    <row r="6374" spans="1:4" x14ac:dyDescent="0.2">
      <c r="A6374">
        <v>34</v>
      </c>
      <c r="B6374">
        <v>0</v>
      </c>
      <c r="C6374">
        <v>-100</v>
      </c>
      <c r="D6374" t="s">
        <v>5984</v>
      </c>
    </row>
    <row r="6375" spans="1:4" x14ac:dyDescent="0.2">
      <c r="A6375">
        <v>35</v>
      </c>
      <c r="B6375">
        <v>0</v>
      </c>
      <c r="C6375">
        <v>-100</v>
      </c>
      <c r="D6375" t="s">
        <v>5984</v>
      </c>
    </row>
    <row r="6376" spans="1:4" x14ac:dyDescent="0.2">
      <c r="A6376">
        <v>36</v>
      </c>
      <c r="B6376">
        <v>0</v>
      </c>
      <c r="C6376">
        <v>-100</v>
      </c>
      <c r="D6376" t="s">
        <v>5984</v>
      </c>
    </row>
    <row r="6377" spans="1:4" x14ac:dyDescent="0.2">
      <c r="A6377">
        <v>31</v>
      </c>
      <c r="B6377">
        <v>0</v>
      </c>
      <c r="C6377">
        <v>500</v>
      </c>
      <c r="D6377" t="s">
        <v>5984</v>
      </c>
    </row>
    <row r="6378" spans="1:4" x14ac:dyDescent="0.2">
      <c r="A6378">
        <v>32</v>
      </c>
      <c r="B6378">
        <v>0</v>
      </c>
      <c r="C6378">
        <v>500</v>
      </c>
      <c r="D6378" t="s">
        <v>5984</v>
      </c>
    </row>
    <row r="6379" spans="1:4" x14ac:dyDescent="0.2">
      <c r="A6379">
        <v>33</v>
      </c>
      <c r="B6379">
        <v>0</v>
      </c>
      <c r="C6379">
        <v>500</v>
      </c>
      <c r="D6379" t="s">
        <v>5984</v>
      </c>
    </row>
    <row r="6380" spans="1:4" x14ac:dyDescent="0.2">
      <c r="A6380">
        <v>34</v>
      </c>
      <c r="B6380">
        <v>0</v>
      </c>
      <c r="C6380">
        <v>500</v>
      </c>
      <c r="D6380" t="s">
        <v>5984</v>
      </c>
    </row>
    <row r="6381" spans="1:4" x14ac:dyDescent="0.2">
      <c r="A6381">
        <v>35</v>
      </c>
      <c r="B6381">
        <v>0</v>
      </c>
      <c r="C6381">
        <v>500</v>
      </c>
      <c r="D6381" t="s">
        <v>5984</v>
      </c>
    </row>
    <row r="6382" spans="1:4" x14ac:dyDescent="0.2">
      <c r="A6382">
        <v>36</v>
      </c>
      <c r="B6382">
        <v>0</v>
      </c>
      <c r="C6382">
        <v>500</v>
      </c>
      <c r="D6382" t="s">
        <v>5984</v>
      </c>
    </row>
    <row r="6383" spans="1:4" x14ac:dyDescent="0.2">
      <c r="A6383">
        <v>31</v>
      </c>
      <c r="B6383">
        <v>0</v>
      </c>
      <c r="C6383">
        <v>1000</v>
      </c>
      <c r="D6383" t="s">
        <v>5984</v>
      </c>
    </row>
    <row r="6384" spans="1:4" x14ac:dyDescent="0.2">
      <c r="A6384">
        <v>32</v>
      </c>
      <c r="B6384">
        <v>0</v>
      </c>
      <c r="C6384">
        <v>1000</v>
      </c>
      <c r="D6384" t="s">
        <v>5984</v>
      </c>
    </row>
    <row r="6385" spans="1:4" x14ac:dyDescent="0.2">
      <c r="A6385">
        <v>33</v>
      </c>
      <c r="B6385">
        <v>0</v>
      </c>
      <c r="C6385">
        <v>1000</v>
      </c>
      <c r="D6385" t="s">
        <v>5984</v>
      </c>
    </row>
    <row r="6386" spans="1:4" x14ac:dyDescent="0.2">
      <c r="A6386">
        <v>34</v>
      </c>
      <c r="B6386">
        <v>0</v>
      </c>
      <c r="C6386">
        <v>1000</v>
      </c>
      <c r="D6386" t="s">
        <v>5984</v>
      </c>
    </row>
    <row r="6387" spans="1:4" x14ac:dyDescent="0.2">
      <c r="A6387">
        <v>35</v>
      </c>
      <c r="B6387">
        <v>0</v>
      </c>
      <c r="C6387">
        <v>1000</v>
      </c>
      <c r="D6387" t="s">
        <v>5984</v>
      </c>
    </row>
    <row r="6388" spans="1:4" x14ac:dyDescent="0.2">
      <c r="A6388">
        <v>36</v>
      </c>
      <c r="B6388">
        <v>0</v>
      </c>
      <c r="C6388">
        <v>1000</v>
      </c>
      <c r="D6388" t="s">
        <v>5984</v>
      </c>
    </row>
    <row r="6389" spans="1:4" x14ac:dyDescent="0.2">
      <c r="A6389">
        <v>31</v>
      </c>
      <c r="B6389">
        <v>0</v>
      </c>
      <c r="C6389">
        <v>1500</v>
      </c>
      <c r="D6389" t="s">
        <v>5984</v>
      </c>
    </row>
    <row r="6390" spans="1:4" x14ac:dyDescent="0.2">
      <c r="A6390">
        <v>32</v>
      </c>
      <c r="B6390">
        <v>0</v>
      </c>
      <c r="C6390">
        <v>1500</v>
      </c>
      <c r="D6390" t="s">
        <v>5984</v>
      </c>
    </row>
    <row r="6391" spans="1:4" x14ac:dyDescent="0.2">
      <c r="A6391">
        <v>33</v>
      </c>
      <c r="B6391">
        <v>0</v>
      </c>
      <c r="C6391">
        <v>1500</v>
      </c>
      <c r="D6391" t="s">
        <v>5984</v>
      </c>
    </row>
    <row r="6392" spans="1:4" x14ac:dyDescent="0.2">
      <c r="A6392">
        <v>34</v>
      </c>
      <c r="B6392">
        <v>0</v>
      </c>
      <c r="C6392">
        <v>1500</v>
      </c>
      <c r="D6392" t="s">
        <v>5984</v>
      </c>
    </row>
    <row r="6393" spans="1:4" x14ac:dyDescent="0.2">
      <c r="A6393">
        <v>35</v>
      </c>
      <c r="B6393">
        <v>0</v>
      </c>
      <c r="C6393">
        <v>1500</v>
      </c>
      <c r="D6393" t="s">
        <v>5984</v>
      </c>
    </row>
    <row r="6394" spans="1:4" x14ac:dyDescent="0.2">
      <c r="A6394">
        <v>36</v>
      </c>
      <c r="B6394">
        <v>0</v>
      </c>
      <c r="C6394">
        <v>1500</v>
      </c>
      <c r="D6394" t="s">
        <v>5984</v>
      </c>
    </row>
    <row r="6395" spans="1:4" x14ac:dyDescent="0.2">
      <c r="A6395">
        <v>32</v>
      </c>
      <c r="B6395">
        <v>0</v>
      </c>
      <c r="C6395">
        <v>2000</v>
      </c>
      <c r="D6395" t="s">
        <v>5984</v>
      </c>
    </row>
    <row r="6396" spans="1:4" x14ac:dyDescent="0.2">
      <c r="A6396">
        <v>33</v>
      </c>
      <c r="B6396">
        <v>0</v>
      </c>
      <c r="C6396">
        <v>2000</v>
      </c>
      <c r="D6396" t="s">
        <v>5984</v>
      </c>
    </row>
    <row r="6397" spans="1:4" x14ac:dyDescent="0.2">
      <c r="A6397">
        <v>34</v>
      </c>
      <c r="B6397">
        <v>0</v>
      </c>
      <c r="C6397">
        <v>2000</v>
      </c>
      <c r="D6397" t="s">
        <v>5984</v>
      </c>
    </row>
    <row r="6398" spans="1:4" x14ac:dyDescent="0.2">
      <c r="A6398">
        <v>35</v>
      </c>
      <c r="B6398">
        <v>0</v>
      </c>
      <c r="C6398">
        <v>2000</v>
      </c>
      <c r="D6398" t="s">
        <v>5984</v>
      </c>
    </row>
    <row r="6399" spans="1:4" x14ac:dyDescent="0.2">
      <c r="A6399">
        <v>36</v>
      </c>
      <c r="B6399">
        <v>0</v>
      </c>
      <c r="C6399">
        <v>2000</v>
      </c>
      <c r="D6399" t="s">
        <v>5984</v>
      </c>
    </row>
    <row r="6400" spans="1:4" x14ac:dyDescent="0.2">
      <c r="A6400">
        <v>31</v>
      </c>
      <c r="B6400">
        <v>0</v>
      </c>
      <c r="C6400">
        <v>2280</v>
      </c>
      <c r="D6400" t="s">
        <v>5984</v>
      </c>
    </row>
    <row r="6401" spans="1:4" x14ac:dyDescent="0.2">
      <c r="A6401">
        <v>32</v>
      </c>
      <c r="B6401">
        <v>0</v>
      </c>
      <c r="C6401">
        <v>2280</v>
      </c>
      <c r="D6401" t="s">
        <v>5984</v>
      </c>
    </row>
    <row r="6402" spans="1:4" x14ac:dyDescent="0.2">
      <c r="A6402">
        <v>33</v>
      </c>
      <c r="B6402">
        <v>0</v>
      </c>
      <c r="C6402">
        <v>2280</v>
      </c>
      <c r="D6402" t="s">
        <v>5984</v>
      </c>
    </row>
    <row r="6403" spans="1:4" x14ac:dyDescent="0.2">
      <c r="A6403">
        <v>34</v>
      </c>
      <c r="B6403">
        <v>0</v>
      </c>
      <c r="C6403">
        <v>2280</v>
      </c>
      <c r="D6403" t="s">
        <v>5984</v>
      </c>
    </row>
    <row r="6404" spans="1:4" x14ac:dyDescent="0.2">
      <c r="A6404">
        <v>35</v>
      </c>
      <c r="B6404">
        <v>0</v>
      </c>
      <c r="C6404">
        <v>2280</v>
      </c>
      <c r="D6404" t="s">
        <v>5984</v>
      </c>
    </row>
    <row r="6405" spans="1:4" x14ac:dyDescent="0.2">
      <c r="A6405">
        <v>36</v>
      </c>
      <c r="B6405">
        <v>0</v>
      </c>
      <c r="C6405">
        <v>2280</v>
      </c>
      <c r="D6405" t="s">
        <v>5984</v>
      </c>
    </row>
    <row r="6406" spans="1:4" x14ac:dyDescent="0.2">
      <c r="A6406">
        <v>37</v>
      </c>
      <c r="B6406">
        <v>0</v>
      </c>
      <c r="C6406">
        <v>-100</v>
      </c>
      <c r="D6406" t="s">
        <v>5984</v>
      </c>
    </row>
    <row r="6407" spans="1:4" x14ac:dyDescent="0.2">
      <c r="A6407">
        <v>38</v>
      </c>
      <c r="B6407">
        <v>0</v>
      </c>
      <c r="C6407">
        <v>-100</v>
      </c>
      <c r="D6407" t="s">
        <v>5984</v>
      </c>
    </row>
    <row r="6408" spans="1:4" x14ac:dyDescent="0.2">
      <c r="A6408">
        <v>39</v>
      </c>
      <c r="B6408">
        <v>0</v>
      </c>
      <c r="C6408">
        <v>-100</v>
      </c>
      <c r="D6408" t="s">
        <v>5984</v>
      </c>
    </row>
    <row r="6409" spans="1:4" x14ac:dyDescent="0.2">
      <c r="A6409">
        <v>40</v>
      </c>
      <c r="B6409">
        <v>0</v>
      </c>
      <c r="C6409">
        <v>-100</v>
      </c>
      <c r="D6409" t="s">
        <v>5984</v>
      </c>
    </row>
    <row r="6410" spans="1:4" x14ac:dyDescent="0.2">
      <c r="A6410">
        <v>37</v>
      </c>
      <c r="B6410">
        <v>0</v>
      </c>
      <c r="C6410">
        <v>500</v>
      </c>
      <c r="D6410" t="s">
        <v>5984</v>
      </c>
    </row>
    <row r="6411" spans="1:4" x14ac:dyDescent="0.2">
      <c r="A6411">
        <v>38</v>
      </c>
      <c r="B6411">
        <v>0</v>
      </c>
      <c r="C6411">
        <v>500</v>
      </c>
      <c r="D6411" t="s">
        <v>5984</v>
      </c>
    </row>
    <row r="6412" spans="1:4" x14ac:dyDescent="0.2">
      <c r="A6412">
        <v>39</v>
      </c>
      <c r="B6412">
        <v>0</v>
      </c>
      <c r="C6412">
        <v>500</v>
      </c>
      <c r="D6412" t="s">
        <v>5984</v>
      </c>
    </row>
    <row r="6413" spans="1:4" x14ac:dyDescent="0.2">
      <c r="A6413">
        <v>40</v>
      </c>
      <c r="B6413">
        <v>0</v>
      </c>
      <c r="C6413">
        <v>500</v>
      </c>
      <c r="D6413" t="s">
        <v>5984</v>
      </c>
    </row>
    <row r="6414" spans="1:4" x14ac:dyDescent="0.2">
      <c r="A6414">
        <v>37</v>
      </c>
      <c r="B6414">
        <v>0</v>
      </c>
      <c r="C6414">
        <v>1000</v>
      </c>
      <c r="D6414" t="s">
        <v>5984</v>
      </c>
    </row>
    <row r="6415" spans="1:4" x14ac:dyDescent="0.2">
      <c r="A6415">
        <v>38</v>
      </c>
      <c r="B6415">
        <v>0</v>
      </c>
      <c r="C6415">
        <v>1000</v>
      </c>
      <c r="D6415" t="s">
        <v>5984</v>
      </c>
    </row>
    <row r="6416" spans="1:4" x14ac:dyDescent="0.2">
      <c r="A6416">
        <v>39</v>
      </c>
      <c r="B6416">
        <v>0</v>
      </c>
      <c r="C6416">
        <v>1000</v>
      </c>
      <c r="D6416" t="s">
        <v>5984</v>
      </c>
    </row>
    <row r="6417" spans="1:4" x14ac:dyDescent="0.2">
      <c r="A6417">
        <v>40</v>
      </c>
      <c r="B6417">
        <v>0</v>
      </c>
      <c r="C6417">
        <v>1000</v>
      </c>
      <c r="D6417" t="s">
        <v>5984</v>
      </c>
    </row>
    <row r="6418" spans="1:4" x14ac:dyDescent="0.2">
      <c r="A6418">
        <v>37</v>
      </c>
      <c r="B6418">
        <v>0</v>
      </c>
      <c r="C6418">
        <v>1500</v>
      </c>
      <c r="D6418" t="s">
        <v>5984</v>
      </c>
    </row>
    <row r="6419" spans="1:4" x14ac:dyDescent="0.2">
      <c r="A6419">
        <v>38</v>
      </c>
      <c r="B6419">
        <v>0</v>
      </c>
      <c r="C6419">
        <v>1500</v>
      </c>
      <c r="D6419" t="s">
        <v>5984</v>
      </c>
    </row>
    <row r="6420" spans="1:4" x14ac:dyDescent="0.2">
      <c r="A6420">
        <v>39</v>
      </c>
      <c r="B6420">
        <v>0</v>
      </c>
      <c r="C6420">
        <v>1500</v>
      </c>
      <c r="D6420" t="s">
        <v>5984</v>
      </c>
    </row>
    <row r="6421" spans="1:4" x14ac:dyDescent="0.2">
      <c r="A6421">
        <v>40</v>
      </c>
      <c r="B6421">
        <v>0</v>
      </c>
      <c r="C6421">
        <v>1500</v>
      </c>
      <c r="D6421" t="s">
        <v>5984</v>
      </c>
    </row>
    <row r="6422" spans="1:4" x14ac:dyDescent="0.2">
      <c r="A6422">
        <v>37</v>
      </c>
      <c r="B6422">
        <v>0</v>
      </c>
      <c r="C6422">
        <v>2000</v>
      </c>
      <c r="D6422" t="s">
        <v>5984</v>
      </c>
    </row>
    <row r="6423" spans="1:4" x14ac:dyDescent="0.2">
      <c r="A6423">
        <v>38</v>
      </c>
      <c r="B6423">
        <v>0</v>
      </c>
      <c r="C6423">
        <v>2000</v>
      </c>
      <c r="D6423" t="s">
        <v>5984</v>
      </c>
    </row>
    <row r="6424" spans="1:4" x14ac:dyDescent="0.2">
      <c r="A6424">
        <v>39</v>
      </c>
      <c r="B6424">
        <v>0</v>
      </c>
      <c r="C6424">
        <v>2000</v>
      </c>
      <c r="D6424" t="s">
        <v>5984</v>
      </c>
    </row>
    <row r="6425" spans="1:4" x14ac:dyDescent="0.2">
      <c r="A6425">
        <v>40</v>
      </c>
      <c r="B6425">
        <v>0</v>
      </c>
      <c r="C6425">
        <v>2000</v>
      </c>
      <c r="D6425" t="s">
        <v>5984</v>
      </c>
    </row>
    <row r="6426" spans="1:4" x14ac:dyDescent="0.2">
      <c r="A6426">
        <v>37</v>
      </c>
      <c r="B6426">
        <v>0</v>
      </c>
      <c r="C6426">
        <v>2280</v>
      </c>
      <c r="D6426" t="s">
        <v>5984</v>
      </c>
    </row>
    <row r="6427" spans="1:4" x14ac:dyDescent="0.2">
      <c r="A6427">
        <v>38</v>
      </c>
      <c r="B6427">
        <v>0</v>
      </c>
      <c r="C6427">
        <v>2280</v>
      </c>
      <c r="D6427" t="s">
        <v>5984</v>
      </c>
    </row>
    <row r="6428" spans="1:4" x14ac:dyDescent="0.2">
      <c r="A6428">
        <v>39</v>
      </c>
      <c r="B6428">
        <v>0</v>
      </c>
      <c r="C6428">
        <v>2280</v>
      </c>
      <c r="D6428" t="s">
        <v>5984</v>
      </c>
    </row>
    <row r="6429" spans="1:4" x14ac:dyDescent="0.2">
      <c r="A6429">
        <v>40</v>
      </c>
      <c r="B6429">
        <v>0</v>
      </c>
      <c r="C6429">
        <v>2280</v>
      </c>
      <c r="D6429" t="s">
        <v>5984</v>
      </c>
    </row>
    <row r="6430" spans="1:4" x14ac:dyDescent="0.2">
      <c r="A6430">
        <v>1</v>
      </c>
      <c r="B6430">
        <v>10.1</v>
      </c>
      <c r="C6430">
        <v>10</v>
      </c>
      <c r="D6430" t="s">
        <v>5985</v>
      </c>
    </row>
    <row r="6431" spans="1:4" x14ac:dyDescent="0.2">
      <c r="A6431">
        <v>2</v>
      </c>
      <c r="B6431">
        <v>10.1</v>
      </c>
      <c r="C6431">
        <v>10</v>
      </c>
      <c r="D6431" t="s">
        <v>5985</v>
      </c>
    </row>
    <row r="6432" spans="1:4" x14ac:dyDescent="0.2">
      <c r="A6432">
        <v>3</v>
      </c>
      <c r="B6432">
        <v>10.1</v>
      </c>
      <c r="C6432">
        <v>10</v>
      </c>
      <c r="D6432" t="s">
        <v>5985</v>
      </c>
    </row>
    <row r="6433" spans="1:4" x14ac:dyDescent="0.2">
      <c r="A6433">
        <v>4</v>
      </c>
      <c r="B6433">
        <v>10.199999999999999</v>
      </c>
      <c r="C6433">
        <v>10</v>
      </c>
      <c r="D6433" t="s">
        <v>5985</v>
      </c>
    </row>
    <row r="6434" spans="1:4" x14ac:dyDescent="0.2">
      <c r="A6434">
        <v>5</v>
      </c>
      <c r="B6434">
        <v>10.1</v>
      </c>
      <c r="C6434">
        <v>10</v>
      </c>
      <c r="D6434" t="s">
        <v>5985</v>
      </c>
    </row>
    <row r="6435" spans="1:4" x14ac:dyDescent="0.2">
      <c r="A6435">
        <v>6</v>
      </c>
      <c r="B6435">
        <v>10.1</v>
      </c>
      <c r="C6435">
        <v>10</v>
      </c>
      <c r="D6435" t="s">
        <v>5985</v>
      </c>
    </row>
    <row r="6436" spans="1:4" x14ac:dyDescent="0.2">
      <c r="A6436">
        <v>1</v>
      </c>
      <c r="B6436">
        <v>500.1</v>
      </c>
      <c r="C6436">
        <v>500</v>
      </c>
      <c r="D6436" t="s">
        <v>5985</v>
      </c>
    </row>
    <row r="6437" spans="1:4" x14ac:dyDescent="0.2">
      <c r="A6437">
        <v>2</v>
      </c>
      <c r="B6437">
        <v>500.1</v>
      </c>
      <c r="C6437">
        <v>500</v>
      </c>
      <c r="D6437" t="s">
        <v>5985</v>
      </c>
    </row>
    <row r="6438" spans="1:4" x14ac:dyDescent="0.2">
      <c r="A6438">
        <v>3</v>
      </c>
      <c r="B6438">
        <v>500.1</v>
      </c>
      <c r="C6438">
        <v>500</v>
      </c>
      <c r="D6438" t="s">
        <v>5985</v>
      </c>
    </row>
    <row r="6439" spans="1:4" x14ac:dyDescent="0.2">
      <c r="A6439">
        <v>4</v>
      </c>
      <c r="B6439">
        <v>500.2</v>
      </c>
      <c r="C6439">
        <v>500</v>
      </c>
      <c r="D6439" t="s">
        <v>5985</v>
      </c>
    </row>
    <row r="6440" spans="1:4" x14ac:dyDescent="0.2">
      <c r="A6440">
        <v>5</v>
      </c>
      <c r="B6440">
        <v>500</v>
      </c>
      <c r="C6440">
        <v>500</v>
      </c>
      <c r="D6440" t="s">
        <v>5985</v>
      </c>
    </row>
    <row r="6441" spans="1:4" x14ac:dyDescent="0.2">
      <c r="A6441">
        <v>6</v>
      </c>
      <c r="B6441">
        <v>500</v>
      </c>
      <c r="C6441">
        <v>500</v>
      </c>
      <c r="D6441" t="s">
        <v>5985</v>
      </c>
    </row>
    <row r="6442" spans="1:4" x14ac:dyDescent="0.2">
      <c r="A6442">
        <v>1</v>
      </c>
      <c r="B6442">
        <v>1000.2</v>
      </c>
      <c r="C6442">
        <v>1000</v>
      </c>
      <c r="D6442" t="s">
        <v>5985</v>
      </c>
    </row>
    <row r="6443" spans="1:4" x14ac:dyDescent="0.2">
      <c r="A6443">
        <v>2</v>
      </c>
      <c r="B6443">
        <v>1000.1</v>
      </c>
      <c r="C6443">
        <v>1000</v>
      </c>
      <c r="D6443" t="s">
        <v>5985</v>
      </c>
    </row>
    <row r="6444" spans="1:4" x14ac:dyDescent="0.2">
      <c r="A6444">
        <v>3</v>
      </c>
      <c r="B6444">
        <v>1000.1</v>
      </c>
      <c r="C6444">
        <v>1000</v>
      </c>
      <c r="D6444" t="s">
        <v>5985</v>
      </c>
    </row>
    <row r="6445" spans="1:4" x14ac:dyDescent="0.2">
      <c r="A6445">
        <v>4</v>
      </c>
      <c r="B6445">
        <v>1000.2</v>
      </c>
      <c r="C6445">
        <v>1000</v>
      </c>
      <c r="D6445" t="s">
        <v>5985</v>
      </c>
    </row>
    <row r="6446" spans="1:4" x14ac:dyDescent="0.2">
      <c r="A6446">
        <v>5</v>
      </c>
      <c r="B6446">
        <v>1000</v>
      </c>
      <c r="C6446">
        <v>1000</v>
      </c>
      <c r="D6446" t="s">
        <v>5985</v>
      </c>
    </row>
    <row r="6447" spans="1:4" x14ac:dyDescent="0.2">
      <c r="A6447">
        <v>6</v>
      </c>
      <c r="B6447">
        <v>1000</v>
      </c>
      <c r="C6447">
        <v>1000</v>
      </c>
      <c r="D6447" t="s">
        <v>5985</v>
      </c>
    </row>
    <row r="6448" spans="1:4" x14ac:dyDescent="0.2">
      <c r="A6448">
        <v>1</v>
      </c>
      <c r="B6448">
        <v>1500.2</v>
      </c>
      <c r="C6448">
        <v>1500</v>
      </c>
      <c r="D6448" t="s">
        <v>5985</v>
      </c>
    </row>
    <row r="6449" spans="1:4" x14ac:dyDescent="0.2">
      <c r="A6449">
        <v>2</v>
      </c>
      <c r="B6449">
        <v>1500.1</v>
      </c>
      <c r="C6449">
        <v>1500</v>
      </c>
      <c r="D6449" t="s">
        <v>5985</v>
      </c>
    </row>
    <row r="6450" spans="1:4" x14ac:dyDescent="0.2">
      <c r="A6450">
        <v>3</v>
      </c>
      <c r="B6450">
        <v>1500.2</v>
      </c>
      <c r="C6450">
        <v>1500</v>
      </c>
      <c r="D6450" t="s">
        <v>5985</v>
      </c>
    </row>
    <row r="6451" spans="1:4" x14ac:dyDescent="0.2">
      <c r="A6451">
        <v>4</v>
      </c>
      <c r="B6451">
        <v>1500.3</v>
      </c>
      <c r="C6451">
        <v>1500</v>
      </c>
      <c r="D6451" t="s">
        <v>5985</v>
      </c>
    </row>
    <row r="6452" spans="1:4" x14ac:dyDescent="0.2">
      <c r="A6452">
        <v>5</v>
      </c>
      <c r="B6452">
        <v>1500</v>
      </c>
      <c r="C6452">
        <v>1500</v>
      </c>
      <c r="D6452" t="s">
        <v>5985</v>
      </c>
    </row>
    <row r="6453" spans="1:4" x14ac:dyDescent="0.2">
      <c r="A6453">
        <v>6</v>
      </c>
      <c r="B6453">
        <v>1500.2</v>
      </c>
      <c r="C6453">
        <v>1500</v>
      </c>
      <c r="D6453" t="s">
        <v>5985</v>
      </c>
    </row>
    <row r="6454" spans="1:4" x14ac:dyDescent="0.2">
      <c r="A6454">
        <v>1</v>
      </c>
      <c r="B6454">
        <v>2000.2</v>
      </c>
      <c r="C6454">
        <v>2000</v>
      </c>
      <c r="D6454" t="s">
        <v>5985</v>
      </c>
    </row>
    <row r="6455" spans="1:4" x14ac:dyDescent="0.2">
      <c r="A6455">
        <v>2</v>
      </c>
      <c r="B6455">
        <v>2000.1</v>
      </c>
      <c r="C6455">
        <v>2000</v>
      </c>
      <c r="D6455" t="s">
        <v>5985</v>
      </c>
    </row>
    <row r="6456" spans="1:4" x14ac:dyDescent="0.2">
      <c r="A6456">
        <v>3</v>
      </c>
      <c r="B6456">
        <v>2000.2</v>
      </c>
      <c r="C6456">
        <v>2000</v>
      </c>
      <c r="D6456" t="s">
        <v>5985</v>
      </c>
    </row>
    <row r="6457" spans="1:4" x14ac:dyDescent="0.2">
      <c r="A6457">
        <v>4</v>
      </c>
      <c r="B6457">
        <v>2000.3</v>
      </c>
      <c r="C6457">
        <v>2000</v>
      </c>
      <c r="D6457" t="s">
        <v>5985</v>
      </c>
    </row>
    <row r="6458" spans="1:4" x14ac:dyDescent="0.2">
      <c r="A6458">
        <v>5</v>
      </c>
      <c r="B6458">
        <v>2000.1</v>
      </c>
      <c r="C6458">
        <v>2000</v>
      </c>
      <c r="D6458" t="s">
        <v>5985</v>
      </c>
    </row>
    <row r="6459" spans="1:4" x14ac:dyDescent="0.2">
      <c r="A6459">
        <v>6</v>
      </c>
      <c r="B6459">
        <v>2000.2</v>
      </c>
      <c r="C6459">
        <v>2000</v>
      </c>
      <c r="D6459" t="s">
        <v>5985</v>
      </c>
    </row>
    <row r="6460" spans="1:4" x14ac:dyDescent="0.2">
      <c r="A6460">
        <v>1</v>
      </c>
      <c r="B6460">
        <v>2250.1999999999998</v>
      </c>
      <c r="C6460">
        <v>2250</v>
      </c>
      <c r="D6460" t="s">
        <v>5985</v>
      </c>
    </row>
    <row r="6461" spans="1:4" x14ac:dyDescent="0.2">
      <c r="A6461">
        <v>2</v>
      </c>
      <c r="B6461">
        <v>2250.1999999999998</v>
      </c>
      <c r="C6461">
        <v>2250</v>
      </c>
      <c r="D6461" t="s">
        <v>5985</v>
      </c>
    </row>
    <row r="6462" spans="1:4" x14ac:dyDescent="0.2">
      <c r="A6462">
        <v>3</v>
      </c>
      <c r="B6462">
        <v>2250.1999999999998</v>
      </c>
      <c r="C6462">
        <v>2250</v>
      </c>
      <c r="D6462" t="s">
        <v>5985</v>
      </c>
    </row>
    <row r="6463" spans="1:4" x14ac:dyDescent="0.2">
      <c r="A6463">
        <v>4</v>
      </c>
      <c r="B6463">
        <v>2250.3000000000002</v>
      </c>
      <c r="C6463">
        <v>2250</v>
      </c>
      <c r="D6463" t="s">
        <v>5985</v>
      </c>
    </row>
    <row r="6464" spans="1:4" x14ac:dyDescent="0.2">
      <c r="A6464">
        <v>5</v>
      </c>
      <c r="B6464">
        <v>2250.1</v>
      </c>
      <c r="C6464">
        <v>2250</v>
      </c>
      <c r="D6464" t="s">
        <v>5985</v>
      </c>
    </row>
    <row r="6465" spans="1:4" x14ac:dyDescent="0.2">
      <c r="A6465">
        <v>6</v>
      </c>
      <c r="B6465">
        <v>2250.3000000000002</v>
      </c>
      <c r="C6465">
        <v>2250</v>
      </c>
      <c r="D6465" t="s">
        <v>5985</v>
      </c>
    </row>
    <row r="6466" spans="1:4" x14ac:dyDescent="0.2">
      <c r="A6466">
        <v>7</v>
      </c>
      <c r="B6466">
        <v>10.1</v>
      </c>
      <c r="C6466">
        <v>10</v>
      </c>
      <c r="D6466" t="s">
        <v>5985</v>
      </c>
    </row>
    <row r="6467" spans="1:4" x14ac:dyDescent="0.2">
      <c r="A6467">
        <v>8</v>
      </c>
      <c r="B6467">
        <v>10.3</v>
      </c>
      <c r="C6467">
        <v>10</v>
      </c>
      <c r="D6467" t="s">
        <v>5985</v>
      </c>
    </row>
    <row r="6468" spans="1:4" x14ac:dyDescent="0.2">
      <c r="A6468">
        <v>9</v>
      </c>
      <c r="B6468">
        <v>10.1</v>
      </c>
      <c r="C6468">
        <v>10</v>
      </c>
      <c r="D6468" t="s">
        <v>5985</v>
      </c>
    </row>
    <row r="6469" spans="1:4" x14ac:dyDescent="0.2">
      <c r="A6469">
        <v>10</v>
      </c>
      <c r="B6469">
        <v>10.3</v>
      </c>
      <c r="C6469">
        <v>10</v>
      </c>
      <c r="D6469" t="s">
        <v>5985</v>
      </c>
    </row>
    <row r="6470" spans="1:4" x14ac:dyDescent="0.2">
      <c r="A6470">
        <v>11</v>
      </c>
      <c r="B6470">
        <v>10.199999999999999</v>
      </c>
      <c r="C6470">
        <v>10</v>
      </c>
      <c r="D6470" t="s">
        <v>5985</v>
      </c>
    </row>
    <row r="6471" spans="1:4" x14ac:dyDescent="0.2">
      <c r="A6471">
        <v>12</v>
      </c>
      <c r="B6471">
        <v>10</v>
      </c>
      <c r="C6471">
        <v>10</v>
      </c>
      <c r="D6471" t="s">
        <v>5985</v>
      </c>
    </row>
    <row r="6472" spans="1:4" x14ac:dyDescent="0.2">
      <c r="A6472">
        <v>7</v>
      </c>
      <c r="B6472">
        <v>499.9</v>
      </c>
      <c r="C6472">
        <v>500</v>
      </c>
      <c r="D6472" t="s">
        <v>5985</v>
      </c>
    </row>
    <row r="6473" spans="1:4" x14ac:dyDescent="0.2">
      <c r="A6473">
        <v>8</v>
      </c>
      <c r="B6473">
        <v>500.1</v>
      </c>
      <c r="C6473">
        <v>500</v>
      </c>
      <c r="D6473" t="s">
        <v>5985</v>
      </c>
    </row>
    <row r="6474" spans="1:4" x14ac:dyDescent="0.2">
      <c r="A6474">
        <v>9</v>
      </c>
      <c r="B6474">
        <v>500.1</v>
      </c>
      <c r="C6474">
        <v>500</v>
      </c>
      <c r="D6474" t="s">
        <v>5985</v>
      </c>
    </row>
    <row r="6475" spans="1:4" x14ac:dyDescent="0.2">
      <c r="A6475">
        <v>10</v>
      </c>
      <c r="B6475">
        <v>500.3</v>
      </c>
      <c r="C6475">
        <v>500</v>
      </c>
      <c r="D6475" t="s">
        <v>5985</v>
      </c>
    </row>
    <row r="6476" spans="1:4" x14ac:dyDescent="0.2">
      <c r="A6476">
        <v>11</v>
      </c>
      <c r="B6476">
        <v>500.2</v>
      </c>
      <c r="C6476">
        <v>500</v>
      </c>
      <c r="D6476" t="s">
        <v>5985</v>
      </c>
    </row>
    <row r="6477" spans="1:4" x14ac:dyDescent="0.2">
      <c r="A6477">
        <v>12</v>
      </c>
      <c r="B6477">
        <v>500</v>
      </c>
      <c r="C6477">
        <v>500</v>
      </c>
      <c r="D6477" t="s">
        <v>5985</v>
      </c>
    </row>
    <row r="6478" spans="1:4" x14ac:dyDescent="0.2">
      <c r="A6478">
        <v>7</v>
      </c>
      <c r="B6478">
        <v>999.9</v>
      </c>
      <c r="C6478">
        <v>1000</v>
      </c>
      <c r="D6478" t="s">
        <v>5985</v>
      </c>
    </row>
    <row r="6479" spans="1:4" x14ac:dyDescent="0.2">
      <c r="A6479">
        <v>8</v>
      </c>
      <c r="B6479">
        <v>1000</v>
      </c>
      <c r="C6479">
        <v>1000</v>
      </c>
      <c r="D6479" t="s">
        <v>5985</v>
      </c>
    </row>
    <row r="6480" spans="1:4" x14ac:dyDescent="0.2">
      <c r="A6480">
        <v>9</v>
      </c>
      <c r="B6480">
        <v>1000.1</v>
      </c>
      <c r="C6480">
        <v>1000</v>
      </c>
      <c r="D6480" t="s">
        <v>5985</v>
      </c>
    </row>
    <row r="6481" spans="1:4" x14ac:dyDescent="0.2">
      <c r="A6481">
        <v>10</v>
      </c>
      <c r="B6481">
        <v>1000.3</v>
      </c>
      <c r="C6481">
        <v>1000</v>
      </c>
      <c r="D6481" t="s">
        <v>5985</v>
      </c>
    </row>
    <row r="6482" spans="1:4" x14ac:dyDescent="0.2">
      <c r="A6482">
        <v>11</v>
      </c>
      <c r="B6482">
        <v>1000.2</v>
      </c>
      <c r="C6482">
        <v>1000</v>
      </c>
      <c r="D6482" t="s">
        <v>5985</v>
      </c>
    </row>
    <row r="6483" spans="1:4" x14ac:dyDescent="0.2">
      <c r="A6483">
        <v>12</v>
      </c>
      <c r="B6483">
        <v>1000</v>
      </c>
      <c r="C6483">
        <v>1000</v>
      </c>
      <c r="D6483" t="s">
        <v>5985</v>
      </c>
    </row>
    <row r="6484" spans="1:4" x14ac:dyDescent="0.2">
      <c r="A6484">
        <v>7</v>
      </c>
      <c r="B6484">
        <v>1499.9</v>
      </c>
      <c r="C6484">
        <v>1500</v>
      </c>
      <c r="D6484" t="s">
        <v>5985</v>
      </c>
    </row>
    <row r="6485" spans="1:4" x14ac:dyDescent="0.2">
      <c r="A6485">
        <v>8</v>
      </c>
      <c r="B6485">
        <v>1500</v>
      </c>
      <c r="C6485">
        <v>1500</v>
      </c>
      <c r="D6485" t="s">
        <v>5985</v>
      </c>
    </row>
    <row r="6486" spans="1:4" x14ac:dyDescent="0.2">
      <c r="A6486">
        <v>9</v>
      </c>
      <c r="B6486">
        <v>1500.2</v>
      </c>
      <c r="C6486">
        <v>1500</v>
      </c>
      <c r="D6486" t="s">
        <v>5985</v>
      </c>
    </row>
    <row r="6487" spans="1:4" x14ac:dyDescent="0.2">
      <c r="A6487">
        <v>10</v>
      </c>
      <c r="B6487">
        <v>1500.4</v>
      </c>
      <c r="C6487">
        <v>1500</v>
      </c>
      <c r="D6487" t="s">
        <v>5985</v>
      </c>
    </row>
    <row r="6488" spans="1:4" x14ac:dyDescent="0.2">
      <c r="A6488">
        <v>11</v>
      </c>
      <c r="B6488">
        <v>1500.2</v>
      </c>
      <c r="C6488">
        <v>1500</v>
      </c>
      <c r="D6488" t="s">
        <v>5985</v>
      </c>
    </row>
    <row r="6489" spans="1:4" x14ac:dyDescent="0.2">
      <c r="A6489">
        <v>12</v>
      </c>
      <c r="B6489">
        <v>1500.1</v>
      </c>
      <c r="C6489">
        <v>1500</v>
      </c>
      <c r="D6489" t="s">
        <v>5985</v>
      </c>
    </row>
    <row r="6490" spans="1:4" x14ac:dyDescent="0.2">
      <c r="A6490">
        <v>7</v>
      </c>
      <c r="B6490">
        <v>2000</v>
      </c>
      <c r="C6490">
        <v>2000</v>
      </c>
      <c r="D6490" t="s">
        <v>5985</v>
      </c>
    </row>
    <row r="6491" spans="1:4" x14ac:dyDescent="0.2">
      <c r="A6491">
        <v>8</v>
      </c>
      <c r="B6491">
        <v>2000</v>
      </c>
      <c r="C6491">
        <v>2000</v>
      </c>
      <c r="D6491" t="s">
        <v>5985</v>
      </c>
    </row>
    <row r="6492" spans="1:4" x14ac:dyDescent="0.2">
      <c r="A6492">
        <v>9</v>
      </c>
      <c r="B6492">
        <v>2000.3</v>
      </c>
      <c r="C6492">
        <v>2000</v>
      </c>
      <c r="D6492" t="s">
        <v>5985</v>
      </c>
    </row>
    <row r="6493" spans="1:4" x14ac:dyDescent="0.2">
      <c r="A6493">
        <v>10</v>
      </c>
      <c r="B6493">
        <v>2000.4</v>
      </c>
      <c r="C6493">
        <v>2000</v>
      </c>
      <c r="D6493" t="s">
        <v>5985</v>
      </c>
    </row>
    <row r="6494" spans="1:4" x14ac:dyDescent="0.2">
      <c r="A6494">
        <v>11</v>
      </c>
      <c r="B6494">
        <v>2000.3</v>
      </c>
      <c r="C6494">
        <v>2000</v>
      </c>
      <c r="D6494" t="s">
        <v>5985</v>
      </c>
    </row>
    <row r="6495" spans="1:4" x14ac:dyDescent="0.2">
      <c r="A6495">
        <v>12</v>
      </c>
      <c r="B6495">
        <v>2000.2</v>
      </c>
      <c r="C6495">
        <v>2000</v>
      </c>
      <c r="D6495" t="s">
        <v>5985</v>
      </c>
    </row>
    <row r="6496" spans="1:4" x14ac:dyDescent="0.2">
      <c r="A6496">
        <v>7</v>
      </c>
      <c r="B6496">
        <v>2250</v>
      </c>
      <c r="C6496">
        <v>2250</v>
      </c>
      <c r="D6496" t="s">
        <v>5985</v>
      </c>
    </row>
    <row r="6497" spans="1:4" x14ac:dyDescent="0.2">
      <c r="A6497">
        <v>8</v>
      </c>
      <c r="B6497">
        <v>2250.1</v>
      </c>
      <c r="C6497">
        <v>2250</v>
      </c>
      <c r="D6497" t="s">
        <v>5985</v>
      </c>
    </row>
    <row r="6498" spans="1:4" x14ac:dyDescent="0.2">
      <c r="A6498">
        <v>9</v>
      </c>
      <c r="B6498">
        <v>2250.4</v>
      </c>
      <c r="C6498">
        <v>2250</v>
      </c>
      <c r="D6498" t="s">
        <v>5985</v>
      </c>
    </row>
    <row r="6499" spans="1:4" x14ac:dyDescent="0.2">
      <c r="A6499">
        <v>10</v>
      </c>
      <c r="B6499">
        <v>2250.5</v>
      </c>
      <c r="C6499">
        <v>2250</v>
      </c>
      <c r="D6499" t="s">
        <v>5985</v>
      </c>
    </row>
    <row r="6500" spans="1:4" x14ac:dyDescent="0.2">
      <c r="A6500">
        <v>11</v>
      </c>
      <c r="B6500">
        <v>2250.3000000000002</v>
      </c>
      <c r="C6500">
        <v>2250</v>
      </c>
      <c r="D6500" t="s">
        <v>5985</v>
      </c>
    </row>
    <row r="6501" spans="1:4" x14ac:dyDescent="0.2">
      <c r="A6501">
        <v>12</v>
      </c>
      <c r="B6501">
        <v>2250.1999999999998</v>
      </c>
      <c r="C6501">
        <v>2250</v>
      </c>
      <c r="D6501" t="s">
        <v>5985</v>
      </c>
    </row>
    <row r="6502" spans="1:4" x14ac:dyDescent="0.2">
      <c r="A6502">
        <v>13</v>
      </c>
      <c r="B6502">
        <v>10.199999999999999</v>
      </c>
      <c r="C6502">
        <v>10</v>
      </c>
      <c r="D6502" t="s">
        <v>5985</v>
      </c>
    </row>
    <row r="6503" spans="1:4" x14ac:dyDescent="0.2">
      <c r="A6503">
        <v>14</v>
      </c>
      <c r="B6503">
        <v>10.3</v>
      </c>
      <c r="C6503">
        <v>10</v>
      </c>
      <c r="D6503" t="s">
        <v>5985</v>
      </c>
    </row>
    <row r="6504" spans="1:4" x14ac:dyDescent="0.2">
      <c r="A6504">
        <v>15</v>
      </c>
      <c r="B6504">
        <v>10.1</v>
      </c>
      <c r="C6504">
        <v>10</v>
      </c>
      <c r="D6504" t="s">
        <v>5985</v>
      </c>
    </row>
    <row r="6505" spans="1:4" x14ac:dyDescent="0.2">
      <c r="A6505">
        <v>16</v>
      </c>
      <c r="B6505">
        <v>10</v>
      </c>
      <c r="C6505">
        <v>10</v>
      </c>
      <c r="D6505" t="s">
        <v>5985</v>
      </c>
    </row>
    <row r="6506" spans="1:4" x14ac:dyDescent="0.2">
      <c r="A6506">
        <v>17</v>
      </c>
      <c r="B6506">
        <v>10.199999999999999</v>
      </c>
      <c r="C6506">
        <v>10</v>
      </c>
      <c r="D6506" t="s">
        <v>5985</v>
      </c>
    </row>
    <row r="6507" spans="1:4" x14ac:dyDescent="0.2">
      <c r="A6507">
        <v>18</v>
      </c>
      <c r="B6507">
        <v>10</v>
      </c>
      <c r="C6507">
        <v>10</v>
      </c>
      <c r="D6507" t="s">
        <v>5985</v>
      </c>
    </row>
    <row r="6508" spans="1:4" x14ac:dyDescent="0.2">
      <c r="A6508">
        <v>13</v>
      </c>
      <c r="B6508">
        <v>500.1</v>
      </c>
      <c r="C6508">
        <v>500</v>
      </c>
      <c r="D6508" t="s">
        <v>5985</v>
      </c>
    </row>
    <row r="6509" spans="1:4" x14ac:dyDescent="0.2">
      <c r="A6509">
        <v>14</v>
      </c>
      <c r="B6509">
        <v>500.3</v>
      </c>
      <c r="C6509">
        <v>500</v>
      </c>
      <c r="D6509" t="s">
        <v>5985</v>
      </c>
    </row>
    <row r="6510" spans="1:4" x14ac:dyDescent="0.2">
      <c r="A6510">
        <v>15</v>
      </c>
      <c r="B6510">
        <v>500.1</v>
      </c>
      <c r="C6510">
        <v>500</v>
      </c>
      <c r="D6510" t="s">
        <v>5985</v>
      </c>
    </row>
    <row r="6511" spans="1:4" x14ac:dyDescent="0.2">
      <c r="A6511">
        <v>16</v>
      </c>
      <c r="B6511">
        <v>500.1</v>
      </c>
      <c r="C6511">
        <v>500</v>
      </c>
      <c r="D6511" t="s">
        <v>5985</v>
      </c>
    </row>
    <row r="6512" spans="1:4" x14ac:dyDescent="0.2">
      <c r="A6512">
        <v>17</v>
      </c>
      <c r="B6512">
        <v>500.2</v>
      </c>
      <c r="C6512">
        <v>500</v>
      </c>
      <c r="D6512" t="s">
        <v>5985</v>
      </c>
    </row>
    <row r="6513" spans="1:4" x14ac:dyDescent="0.2">
      <c r="A6513">
        <v>18</v>
      </c>
      <c r="B6513">
        <v>500.1</v>
      </c>
      <c r="C6513">
        <v>500</v>
      </c>
      <c r="D6513" t="s">
        <v>5985</v>
      </c>
    </row>
    <row r="6514" spans="1:4" x14ac:dyDescent="0.2">
      <c r="A6514">
        <v>13</v>
      </c>
      <c r="B6514">
        <v>1000.1</v>
      </c>
      <c r="C6514">
        <v>1000</v>
      </c>
      <c r="D6514" t="s">
        <v>5985</v>
      </c>
    </row>
    <row r="6515" spans="1:4" x14ac:dyDescent="0.2">
      <c r="A6515">
        <v>14</v>
      </c>
      <c r="B6515">
        <v>1000.3</v>
      </c>
      <c r="C6515">
        <v>1000</v>
      </c>
      <c r="D6515" t="s">
        <v>5985</v>
      </c>
    </row>
    <row r="6516" spans="1:4" x14ac:dyDescent="0.2">
      <c r="A6516">
        <v>15</v>
      </c>
      <c r="B6516">
        <v>1000.1</v>
      </c>
      <c r="C6516">
        <v>1000</v>
      </c>
      <c r="D6516" t="s">
        <v>5985</v>
      </c>
    </row>
    <row r="6517" spans="1:4" x14ac:dyDescent="0.2">
      <c r="A6517">
        <v>16</v>
      </c>
      <c r="B6517">
        <v>1000.1</v>
      </c>
      <c r="C6517">
        <v>1000</v>
      </c>
      <c r="D6517" t="s">
        <v>5985</v>
      </c>
    </row>
    <row r="6518" spans="1:4" x14ac:dyDescent="0.2">
      <c r="A6518">
        <v>17</v>
      </c>
      <c r="B6518">
        <v>1000.3</v>
      </c>
      <c r="C6518">
        <v>1000</v>
      </c>
      <c r="D6518" t="s">
        <v>5985</v>
      </c>
    </row>
    <row r="6519" spans="1:4" x14ac:dyDescent="0.2">
      <c r="A6519">
        <v>18</v>
      </c>
      <c r="B6519">
        <v>1000.1</v>
      </c>
      <c r="C6519">
        <v>1000</v>
      </c>
      <c r="D6519" t="s">
        <v>5985</v>
      </c>
    </row>
    <row r="6520" spans="1:4" x14ac:dyDescent="0.2">
      <c r="A6520">
        <v>13</v>
      </c>
      <c r="B6520">
        <v>1500.2</v>
      </c>
      <c r="C6520">
        <v>1500</v>
      </c>
      <c r="D6520" t="s">
        <v>5985</v>
      </c>
    </row>
    <row r="6521" spans="1:4" x14ac:dyDescent="0.2">
      <c r="A6521">
        <v>14</v>
      </c>
      <c r="B6521">
        <v>1500.4</v>
      </c>
      <c r="C6521">
        <v>1500</v>
      </c>
      <c r="D6521" t="s">
        <v>5985</v>
      </c>
    </row>
    <row r="6522" spans="1:4" x14ac:dyDescent="0.2">
      <c r="A6522">
        <v>15</v>
      </c>
      <c r="B6522">
        <v>1500.1</v>
      </c>
      <c r="C6522">
        <v>1500</v>
      </c>
      <c r="D6522" t="s">
        <v>5985</v>
      </c>
    </row>
    <row r="6523" spans="1:4" x14ac:dyDescent="0.2">
      <c r="A6523">
        <v>16</v>
      </c>
      <c r="B6523">
        <v>1500.1</v>
      </c>
      <c r="C6523">
        <v>1500</v>
      </c>
      <c r="D6523" t="s">
        <v>5985</v>
      </c>
    </row>
    <row r="6524" spans="1:4" x14ac:dyDescent="0.2">
      <c r="A6524">
        <v>17</v>
      </c>
      <c r="B6524">
        <v>1500.3</v>
      </c>
      <c r="C6524">
        <v>1500</v>
      </c>
      <c r="D6524" t="s">
        <v>5985</v>
      </c>
    </row>
    <row r="6525" spans="1:4" x14ac:dyDescent="0.2">
      <c r="A6525">
        <v>18</v>
      </c>
      <c r="B6525">
        <v>1500.1</v>
      </c>
      <c r="C6525">
        <v>1500</v>
      </c>
      <c r="D6525" t="s">
        <v>5985</v>
      </c>
    </row>
    <row r="6526" spans="1:4" x14ac:dyDescent="0.2">
      <c r="A6526">
        <v>13</v>
      </c>
      <c r="B6526">
        <v>2000.3</v>
      </c>
      <c r="C6526">
        <v>2000</v>
      </c>
      <c r="D6526" t="s">
        <v>5985</v>
      </c>
    </row>
    <row r="6527" spans="1:4" x14ac:dyDescent="0.2">
      <c r="A6527">
        <v>14</v>
      </c>
      <c r="B6527">
        <v>2000.4</v>
      </c>
      <c r="C6527">
        <v>2000</v>
      </c>
      <c r="D6527" t="s">
        <v>5985</v>
      </c>
    </row>
    <row r="6528" spans="1:4" x14ac:dyDescent="0.2">
      <c r="A6528">
        <v>15</v>
      </c>
      <c r="B6528">
        <v>2000.1</v>
      </c>
      <c r="C6528">
        <v>2000</v>
      </c>
      <c r="D6528" t="s">
        <v>5985</v>
      </c>
    </row>
    <row r="6529" spans="1:4" x14ac:dyDescent="0.2">
      <c r="A6529">
        <v>16</v>
      </c>
      <c r="B6529">
        <v>2000</v>
      </c>
      <c r="C6529">
        <v>2000</v>
      </c>
      <c r="D6529" t="s">
        <v>5985</v>
      </c>
    </row>
    <row r="6530" spans="1:4" x14ac:dyDescent="0.2">
      <c r="A6530">
        <v>17</v>
      </c>
      <c r="B6530">
        <v>2000.2</v>
      </c>
      <c r="C6530">
        <v>2000</v>
      </c>
      <c r="D6530" t="s">
        <v>5985</v>
      </c>
    </row>
    <row r="6531" spans="1:4" x14ac:dyDescent="0.2">
      <c r="A6531">
        <v>18</v>
      </c>
      <c r="B6531">
        <v>2000.2</v>
      </c>
      <c r="C6531">
        <v>2000</v>
      </c>
      <c r="D6531" t="s">
        <v>5985</v>
      </c>
    </row>
    <row r="6532" spans="1:4" x14ac:dyDescent="0.2">
      <c r="A6532">
        <v>13</v>
      </c>
      <c r="B6532">
        <v>2250.4</v>
      </c>
      <c r="C6532">
        <v>2250</v>
      </c>
      <c r="D6532" t="s">
        <v>5985</v>
      </c>
    </row>
    <row r="6533" spans="1:4" x14ac:dyDescent="0.2">
      <c r="A6533">
        <v>14</v>
      </c>
      <c r="B6533">
        <v>2250.4</v>
      </c>
      <c r="C6533">
        <v>2250</v>
      </c>
      <c r="D6533" t="s">
        <v>5985</v>
      </c>
    </row>
    <row r="6534" spans="1:4" x14ac:dyDescent="0.2">
      <c r="A6534">
        <v>15</v>
      </c>
      <c r="B6534">
        <v>2250.1</v>
      </c>
      <c r="C6534">
        <v>2250</v>
      </c>
      <c r="D6534" t="s">
        <v>5985</v>
      </c>
    </row>
    <row r="6535" spans="1:4" x14ac:dyDescent="0.2">
      <c r="A6535">
        <v>16</v>
      </c>
      <c r="B6535">
        <v>2250</v>
      </c>
      <c r="C6535">
        <v>2250</v>
      </c>
      <c r="D6535" t="s">
        <v>5985</v>
      </c>
    </row>
    <row r="6536" spans="1:4" x14ac:dyDescent="0.2">
      <c r="A6536">
        <v>17</v>
      </c>
      <c r="B6536">
        <v>2250.3000000000002</v>
      </c>
      <c r="C6536">
        <v>2250</v>
      </c>
      <c r="D6536" t="s">
        <v>5985</v>
      </c>
    </row>
    <row r="6537" spans="1:4" x14ac:dyDescent="0.2">
      <c r="A6537">
        <v>18</v>
      </c>
      <c r="B6537">
        <v>2250.1999999999998</v>
      </c>
      <c r="C6537">
        <v>2250</v>
      </c>
      <c r="D6537" t="s">
        <v>5985</v>
      </c>
    </row>
    <row r="6538" spans="1:4" x14ac:dyDescent="0.2">
      <c r="A6538">
        <v>19</v>
      </c>
      <c r="B6538">
        <v>10</v>
      </c>
      <c r="C6538">
        <v>10</v>
      </c>
      <c r="D6538" t="s">
        <v>5985</v>
      </c>
    </row>
    <row r="6539" spans="1:4" x14ac:dyDescent="0.2">
      <c r="A6539">
        <v>20</v>
      </c>
      <c r="B6539">
        <v>10</v>
      </c>
      <c r="C6539">
        <v>10</v>
      </c>
      <c r="D6539" t="s">
        <v>5985</v>
      </c>
    </row>
    <row r="6540" spans="1:4" x14ac:dyDescent="0.2">
      <c r="A6540">
        <v>21</v>
      </c>
      <c r="B6540">
        <v>10.1</v>
      </c>
      <c r="C6540">
        <v>10</v>
      </c>
      <c r="D6540" t="s">
        <v>5985</v>
      </c>
    </row>
    <row r="6541" spans="1:4" x14ac:dyDescent="0.2">
      <c r="A6541">
        <v>22</v>
      </c>
      <c r="B6541">
        <v>9.9</v>
      </c>
      <c r="C6541">
        <v>10</v>
      </c>
      <c r="D6541" t="s">
        <v>5985</v>
      </c>
    </row>
    <row r="6542" spans="1:4" x14ac:dyDescent="0.2">
      <c r="A6542">
        <v>23</v>
      </c>
      <c r="B6542">
        <v>9.9</v>
      </c>
      <c r="C6542">
        <v>10</v>
      </c>
      <c r="D6542" t="s">
        <v>5985</v>
      </c>
    </row>
    <row r="6543" spans="1:4" x14ac:dyDescent="0.2">
      <c r="A6543">
        <v>24</v>
      </c>
      <c r="B6543">
        <v>9.9</v>
      </c>
      <c r="C6543">
        <v>10</v>
      </c>
      <c r="D6543" t="s">
        <v>5985</v>
      </c>
    </row>
    <row r="6544" spans="1:4" x14ac:dyDescent="0.2">
      <c r="A6544">
        <v>19</v>
      </c>
      <c r="B6544">
        <v>500</v>
      </c>
      <c r="C6544">
        <v>500</v>
      </c>
      <c r="D6544" t="s">
        <v>5985</v>
      </c>
    </row>
    <row r="6545" spans="1:4" x14ac:dyDescent="0.2">
      <c r="A6545">
        <v>20</v>
      </c>
      <c r="B6545">
        <v>500</v>
      </c>
      <c r="C6545">
        <v>500</v>
      </c>
      <c r="D6545" t="s">
        <v>5985</v>
      </c>
    </row>
    <row r="6546" spans="1:4" x14ac:dyDescent="0.2">
      <c r="A6546">
        <v>21</v>
      </c>
      <c r="B6546">
        <v>500</v>
      </c>
      <c r="C6546">
        <v>500</v>
      </c>
      <c r="D6546" t="s">
        <v>5985</v>
      </c>
    </row>
    <row r="6547" spans="1:4" x14ac:dyDescent="0.2">
      <c r="A6547">
        <v>22</v>
      </c>
      <c r="B6547">
        <v>499.8</v>
      </c>
      <c r="C6547">
        <v>500</v>
      </c>
      <c r="D6547" t="s">
        <v>5985</v>
      </c>
    </row>
    <row r="6548" spans="1:4" x14ac:dyDescent="0.2">
      <c r="A6548">
        <v>23</v>
      </c>
      <c r="B6548">
        <v>500</v>
      </c>
      <c r="C6548">
        <v>500</v>
      </c>
      <c r="D6548" t="s">
        <v>5985</v>
      </c>
    </row>
    <row r="6549" spans="1:4" x14ac:dyDescent="0.2">
      <c r="A6549">
        <v>24</v>
      </c>
      <c r="B6549">
        <v>500</v>
      </c>
      <c r="C6549">
        <v>500</v>
      </c>
      <c r="D6549" t="s">
        <v>5985</v>
      </c>
    </row>
    <row r="6550" spans="1:4" x14ac:dyDescent="0.2">
      <c r="A6550">
        <v>19</v>
      </c>
      <c r="B6550">
        <v>1000.1</v>
      </c>
      <c r="C6550">
        <v>1000</v>
      </c>
      <c r="D6550" t="s">
        <v>5985</v>
      </c>
    </row>
    <row r="6551" spans="1:4" x14ac:dyDescent="0.2">
      <c r="A6551">
        <v>20</v>
      </c>
      <c r="B6551">
        <v>1000</v>
      </c>
      <c r="C6551">
        <v>1000</v>
      </c>
      <c r="D6551" t="s">
        <v>5985</v>
      </c>
    </row>
    <row r="6552" spans="1:4" x14ac:dyDescent="0.2">
      <c r="A6552">
        <v>21</v>
      </c>
      <c r="B6552">
        <v>1000</v>
      </c>
      <c r="C6552">
        <v>1000</v>
      </c>
      <c r="D6552" t="s">
        <v>5985</v>
      </c>
    </row>
    <row r="6553" spans="1:4" x14ac:dyDescent="0.2">
      <c r="A6553">
        <v>22</v>
      </c>
      <c r="B6553">
        <v>1000</v>
      </c>
      <c r="C6553">
        <v>1000</v>
      </c>
      <c r="D6553" t="s">
        <v>5985</v>
      </c>
    </row>
    <row r="6554" spans="1:4" x14ac:dyDescent="0.2">
      <c r="A6554">
        <v>23</v>
      </c>
      <c r="B6554">
        <v>1000</v>
      </c>
      <c r="C6554">
        <v>1000</v>
      </c>
      <c r="D6554" t="s">
        <v>5985</v>
      </c>
    </row>
    <row r="6555" spans="1:4" x14ac:dyDescent="0.2">
      <c r="A6555">
        <v>24</v>
      </c>
      <c r="B6555">
        <v>1000</v>
      </c>
      <c r="C6555">
        <v>1000</v>
      </c>
      <c r="D6555" t="s">
        <v>5985</v>
      </c>
    </row>
    <row r="6556" spans="1:4" x14ac:dyDescent="0.2">
      <c r="A6556">
        <v>19</v>
      </c>
      <c r="B6556">
        <v>1500.1</v>
      </c>
      <c r="C6556">
        <v>1500</v>
      </c>
      <c r="D6556" t="s">
        <v>5985</v>
      </c>
    </row>
    <row r="6557" spans="1:4" x14ac:dyDescent="0.2">
      <c r="A6557">
        <v>20</v>
      </c>
      <c r="B6557">
        <v>1500.1</v>
      </c>
      <c r="C6557">
        <v>1500</v>
      </c>
      <c r="D6557" t="s">
        <v>5985</v>
      </c>
    </row>
    <row r="6558" spans="1:4" x14ac:dyDescent="0.2">
      <c r="A6558">
        <v>21</v>
      </c>
      <c r="B6558">
        <v>1500.1</v>
      </c>
      <c r="C6558">
        <v>1500</v>
      </c>
      <c r="D6558" t="s">
        <v>5985</v>
      </c>
    </row>
    <row r="6559" spans="1:4" x14ac:dyDescent="0.2">
      <c r="A6559">
        <v>22</v>
      </c>
      <c r="B6559">
        <v>1500</v>
      </c>
      <c r="C6559">
        <v>1500</v>
      </c>
      <c r="D6559" t="s">
        <v>5985</v>
      </c>
    </row>
    <row r="6560" spans="1:4" x14ac:dyDescent="0.2">
      <c r="A6560">
        <v>23</v>
      </c>
      <c r="B6560">
        <v>1500</v>
      </c>
      <c r="C6560">
        <v>1500</v>
      </c>
      <c r="D6560" t="s">
        <v>5985</v>
      </c>
    </row>
    <row r="6561" spans="1:4" x14ac:dyDescent="0.2">
      <c r="A6561">
        <v>24</v>
      </c>
      <c r="B6561">
        <v>1500</v>
      </c>
      <c r="C6561">
        <v>1500</v>
      </c>
      <c r="D6561" t="s">
        <v>5985</v>
      </c>
    </row>
    <row r="6562" spans="1:4" x14ac:dyDescent="0.2">
      <c r="A6562">
        <v>19</v>
      </c>
      <c r="B6562">
        <v>2000</v>
      </c>
      <c r="C6562">
        <v>2000</v>
      </c>
      <c r="D6562" t="s">
        <v>5985</v>
      </c>
    </row>
    <row r="6563" spans="1:4" x14ac:dyDescent="0.2">
      <c r="A6563">
        <v>20</v>
      </c>
      <c r="B6563">
        <v>2000</v>
      </c>
      <c r="C6563">
        <v>2000</v>
      </c>
      <c r="D6563" t="s">
        <v>5985</v>
      </c>
    </row>
    <row r="6564" spans="1:4" x14ac:dyDescent="0.2">
      <c r="A6564">
        <v>21</v>
      </c>
      <c r="B6564">
        <v>1999.9</v>
      </c>
      <c r="C6564">
        <v>2000</v>
      </c>
      <c r="D6564" t="s">
        <v>5985</v>
      </c>
    </row>
    <row r="6565" spans="1:4" x14ac:dyDescent="0.2">
      <c r="A6565">
        <v>22</v>
      </c>
      <c r="B6565">
        <v>1999.9</v>
      </c>
      <c r="C6565">
        <v>2000</v>
      </c>
      <c r="D6565" t="s">
        <v>5985</v>
      </c>
    </row>
    <row r="6566" spans="1:4" x14ac:dyDescent="0.2">
      <c r="A6566">
        <v>23</v>
      </c>
      <c r="B6566">
        <v>2000</v>
      </c>
      <c r="C6566">
        <v>2000</v>
      </c>
      <c r="D6566" t="s">
        <v>5985</v>
      </c>
    </row>
    <row r="6567" spans="1:4" x14ac:dyDescent="0.2">
      <c r="A6567">
        <v>24</v>
      </c>
      <c r="B6567">
        <v>2000</v>
      </c>
      <c r="C6567">
        <v>2000</v>
      </c>
      <c r="D6567" t="s">
        <v>5985</v>
      </c>
    </row>
    <row r="6568" spans="1:4" x14ac:dyDescent="0.2">
      <c r="A6568">
        <v>19</v>
      </c>
      <c r="B6568">
        <v>2250</v>
      </c>
      <c r="C6568">
        <v>2250</v>
      </c>
      <c r="D6568" t="s">
        <v>5985</v>
      </c>
    </row>
    <row r="6569" spans="1:4" x14ac:dyDescent="0.2">
      <c r="A6569">
        <v>20</v>
      </c>
      <c r="B6569">
        <v>2250</v>
      </c>
      <c r="C6569">
        <v>2250</v>
      </c>
      <c r="D6569" t="s">
        <v>5985</v>
      </c>
    </row>
    <row r="6570" spans="1:4" x14ac:dyDescent="0.2">
      <c r="A6570">
        <v>21</v>
      </c>
      <c r="B6570">
        <v>2250</v>
      </c>
      <c r="C6570">
        <v>2250</v>
      </c>
      <c r="D6570" t="s">
        <v>5985</v>
      </c>
    </row>
    <row r="6571" spans="1:4" x14ac:dyDescent="0.2">
      <c r="A6571">
        <v>22</v>
      </c>
      <c r="B6571">
        <v>2249.9</v>
      </c>
      <c r="C6571">
        <v>2250</v>
      </c>
      <c r="D6571" t="s">
        <v>5985</v>
      </c>
    </row>
    <row r="6572" spans="1:4" x14ac:dyDescent="0.2">
      <c r="A6572">
        <v>23</v>
      </c>
      <c r="B6572">
        <v>2250</v>
      </c>
      <c r="C6572">
        <v>2250</v>
      </c>
      <c r="D6572" t="s">
        <v>5985</v>
      </c>
    </row>
    <row r="6573" spans="1:4" x14ac:dyDescent="0.2">
      <c r="A6573">
        <v>24</v>
      </c>
      <c r="B6573">
        <v>2250</v>
      </c>
      <c r="C6573">
        <v>2250</v>
      </c>
      <c r="D6573" t="s">
        <v>5985</v>
      </c>
    </row>
    <row r="6574" spans="1:4" x14ac:dyDescent="0.2">
      <c r="A6574">
        <v>25</v>
      </c>
      <c r="B6574">
        <v>10</v>
      </c>
      <c r="C6574">
        <v>10</v>
      </c>
      <c r="D6574" t="s">
        <v>5985</v>
      </c>
    </row>
    <row r="6575" spans="1:4" x14ac:dyDescent="0.2">
      <c r="A6575">
        <v>26</v>
      </c>
      <c r="B6575">
        <v>10.1</v>
      </c>
      <c r="C6575">
        <v>10</v>
      </c>
      <c r="D6575" t="s">
        <v>5985</v>
      </c>
    </row>
    <row r="6576" spans="1:4" x14ac:dyDescent="0.2">
      <c r="A6576">
        <v>27</v>
      </c>
      <c r="B6576">
        <v>10.199999999999999</v>
      </c>
      <c r="C6576">
        <v>10</v>
      </c>
      <c r="D6576" t="s">
        <v>5985</v>
      </c>
    </row>
    <row r="6577" spans="1:4" x14ac:dyDescent="0.2">
      <c r="A6577">
        <v>28</v>
      </c>
      <c r="B6577">
        <v>10.199999999999999</v>
      </c>
      <c r="C6577">
        <v>10</v>
      </c>
      <c r="D6577" t="s">
        <v>5985</v>
      </c>
    </row>
    <row r="6578" spans="1:4" x14ac:dyDescent="0.2">
      <c r="A6578">
        <v>29</v>
      </c>
      <c r="B6578">
        <v>10.1</v>
      </c>
      <c r="C6578">
        <v>10</v>
      </c>
      <c r="D6578" t="s">
        <v>5985</v>
      </c>
    </row>
    <row r="6579" spans="1:4" x14ac:dyDescent="0.2">
      <c r="A6579">
        <v>30</v>
      </c>
      <c r="B6579">
        <v>10.199999999999999</v>
      </c>
      <c r="C6579">
        <v>10</v>
      </c>
      <c r="D6579" t="s">
        <v>5985</v>
      </c>
    </row>
    <row r="6580" spans="1:4" x14ac:dyDescent="0.2">
      <c r="A6580">
        <v>25</v>
      </c>
      <c r="B6580">
        <v>500</v>
      </c>
      <c r="C6580">
        <v>500</v>
      </c>
      <c r="D6580" t="s">
        <v>5985</v>
      </c>
    </row>
    <row r="6581" spans="1:4" x14ac:dyDescent="0.2">
      <c r="A6581">
        <v>26</v>
      </c>
      <c r="B6581">
        <v>500.1</v>
      </c>
      <c r="C6581">
        <v>500</v>
      </c>
      <c r="D6581" t="s">
        <v>5985</v>
      </c>
    </row>
    <row r="6582" spans="1:4" x14ac:dyDescent="0.2">
      <c r="A6582">
        <v>27</v>
      </c>
      <c r="B6582">
        <v>500.2</v>
      </c>
      <c r="C6582">
        <v>500</v>
      </c>
      <c r="D6582" t="s">
        <v>5985</v>
      </c>
    </row>
    <row r="6583" spans="1:4" x14ac:dyDescent="0.2">
      <c r="A6583">
        <v>28</v>
      </c>
      <c r="B6583">
        <v>500.3</v>
      </c>
      <c r="C6583">
        <v>500</v>
      </c>
      <c r="D6583" t="s">
        <v>5985</v>
      </c>
    </row>
    <row r="6584" spans="1:4" x14ac:dyDescent="0.2">
      <c r="A6584">
        <v>29</v>
      </c>
      <c r="B6584">
        <v>499.8</v>
      </c>
      <c r="C6584">
        <v>500</v>
      </c>
      <c r="D6584" t="s">
        <v>5985</v>
      </c>
    </row>
    <row r="6585" spans="1:4" x14ac:dyDescent="0.2">
      <c r="A6585">
        <v>30</v>
      </c>
      <c r="B6585">
        <v>499.9</v>
      </c>
      <c r="C6585">
        <v>500</v>
      </c>
      <c r="D6585" t="s">
        <v>5985</v>
      </c>
    </row>
    <row r="6586" spans="1:4" x14ac:dyDescent="0.2">
      <c r="A6586">
        <v>25</v>
      </c>
      <c r="B6586">
        <v>1000.1</v>
      </c>
      <c r="C6586">
        <v>1000</v>
      </c>
      <c r="D6586" t="s">
        <v>5985</v>
      </c>
    </row>
    <row r="6587" spans="1:4" x14ac:dyDescent="0.2">
      <c r="A6587">
        <v>26</v>
      </c>
      <c r="B6587">
        <v>1000.1</v>
      </c>
      <c r="C6587">
        <v>1000</v>
      </c>
      <c r="D6587" t="s">
        <v>5985</v>
      </c>
    </row>
    <row r="6588" spans="1:4" x14ac:dyDescent="0.2">
      <c r="A6588">
        <v>27</v>
      </c>
      <c r="B6588">
        <v>1000.3</v>
      </c>
      <c r="C6588">
        <v>1000</v>
      </c>
      <c r="D6588" t="s">
        <v>5985</v>
      </c>
    </row>
    <row r="6589" spans="1:4" x14ac:dyDescent="0.2">
      <c r="A6589">
        <v>28</v>
      </c>
      <c r="B6589">
        <v>1000.3</v>
      </c>
      <c r="C6589">
        <v>1000</v>
      </c>
      <c r="D6589" t="s">
        <v>5985</v>
      </c>
    </row>
    <row r="6590" spans="1:4" x14ac:dyDescent="0.2">
      <c r="A6590">
        <v>29</v>
      </c>
      <c r="B6590">
        <v>999.6</v>
      </c>
      <c r="C6590">
        <v>1000</v>
      </c>
      <c r="D6590" t="s">
        <v>5985</v>
      </c>
    </row>
    <row r="6591" spans="1:4" x14ac:dyDescent="0.2">
      <c r="A6591">
        <v>30</v>
      </c>
      <c r="B6591">
        <v>999.6</v>
      </c>
      <c r="C6591">
        <v>1000</v>
      </c>
      <c r="D6591" t="s">
        <v>5985</v>
      </c>
    </row>
    <row r="6592" spans="1:4" x14ac:dyDescent="0.2">
      <c r="A6592">
        <v>25</v>
      </c>
      <c r="B6592">
        <v>1500.1</v>
      </c>
      <c r="C6592">
        <v>1500</v>
      </c>
      <c r="D6592" t="s">
        <v>5985</v>
      </c>
    </row>
    <row r="6593" spans="1:4" x14ac:dyDescent="0.2">
      <c r="A6593">
        <v>26</v>
      </c>
      <c r="B6593">
        <v>1500</v>
      </c>
      <c r="C6593">
        <v>1500</v>
      </c>
      <c r="D6593" t="s">
        <v>5985</v>
      </c>
    </row>
    <row r="6594" spans="1:4" x14ac:dyDescent="0.2">
      <c r="A6594">
        <v>27</v>
      </c>
      <c r="B6594">
        <v>1500.3</v>
      </c>
      <c r="C6594">
        <v>1500</v>
      </c>
      <c r="D6594" t="s">
        <v>5985</v>
      </c>
    </row>
    <row r="6595" spans="1:4" x14ac:dyDescent="0.2">
      <c r="A6595">
        <v>28</v>
      </c>
      <c r="B6595">
        <v>1500.3</v>
      </c>
      <c r="C6595">
        <v>1500</v>
      </c>
      <c r="D6595" t="s">
        <v>5985</v>
      </c>
    </row>
    <row r="6596" spans="1:4" x14ac:dyDescent="0.2">
      <c r="A6596">
        <v>29</v>
      </c>
      <c r="B6596">
        <v>1499.5</v>
      </c>
      <c r="C6596">
        <v>1500</v>
      </c>
      <c r="D6596" t="s">
        <v>5985</v>
      </c>
    </row>
    <row r="6597" spans="1:4" x14ac:dyDescent="0.2">
      <c r="A6597">
        <v>30</v>
      </c>
      <c r="B6597">
        <v>1499.6</v>
      </c>
      <c r="C6597">
        <v>1500</v>
      </c>
      <c r="D6597" t="s">
        <v>5985</v>
      </c>
    </row>
    <row r="6598" spans="1:4" x14ac:dyDescent="0.2">
      <c r="A6598">
        <v>25</v>
      </c>
      <c r="B6598">
        <v>2000.1</v>
      </c>
      <c r="C6598">
        <v>2000</v>
      </c>
      <c r="D6598" t="s">
        <v>5985</v>
      </c>
    </row>
    <row r="6599" spans="1:4" x14ac:dyDescent="0.2">
      <c r="A6599">
        <v>26</v>
      </c>
      <c r="B6599">
        <v>2000</v>
      </c>
      <c r="C6599">
        <v>2000</v>
      </c>
      <c r="D6599" t="s">
        <v>5985</v>
      </c>
    </row>
    <row r="6600" spans="1:4" x14ac:dyDescent="0.2">
      <c r="A6600">
        <v>27</v>
      </c>
      <c r="B6600">
        <v>2000.3</v>
      </c>
      <c r="C6600">
        <v>2000</v>
      </c>
      <c r="D6600" t="s">
        <v>5985</v>
      </c>
    </row>
    <row r="6601" spans="1:4" x14ac:dyDescent="0.2">
      <c r="A6601">
        <v>28</v>
      </c>
      <c r="B6601">
        <v>2000.3</v>
      </c>
      <c r="C6601">
        <v>2000</v>
      </c>
      <c r="D6601" t="s">
        <v>5985</v>
      </c>
    </row>
    <row r="6602" spans="1:4" x14ac:dyDescent="0.2">
      <c r="A6602">
        <v>29</v>
      </c>
      <c r="B6602">
        <v>1999.7</v>
      </c>
      <c r="C6602">
        <v>2000</v>
      </c>
      <c r="D6602" t="s">
        <v>5985</v>
      </c>
    </row>
    <row r="6603" spans="1:4" x14ac:dyDescent="0.2">
      <c r="A6603">
        <v>30</v>
      </c>
      <c r="B6603">
        <v>1999.6</v>
      </c>
      <c r="C6603">
        <v>2000</v>
      </c>
      <c r="D6603" t="s">
        <v>5985</v>
      </c>
    </row>
    <row r="6604" spans="1:4" x14ac:dyDescent="0.2">
      <c r="A6604">
        <v>25</v>
      </c>
      <c r="B6604">
        <v>2250.1</v>
      </c>
      <c r="C6604">
        <v>2250</v>
      </c>
      <c r="D6604" t="s">
        <v>5985</v>
      </c>
    </row>
    <row r="6605" spans="1:4" x14ac:dyDescent="0.2">
      <c r="A6605">
        <v>26</v>
      </c>
      <c r="B6605">
        <v>2250.1999999999998</v>
      </c>
      <c r="C6605">
        <v>2250</v>
      </c>
      <c r="D6605" t="s">
        <v>5985</v>
      </c>
    </row>
    <row r="6606" spans="1:4" x14ac:dyDescent="0.2">
      <c r="A6606">
        <v>27</v>
      </c>
      <c r="B6606">
        <v>2250.3000000000002</v>
      </c>
      <c r="C6606">
        <v>2250</v>
      </c>
      <c r="D6606" t="s">
        <v>5985</v>
      </c>
    </row>
    <row r="6607" spans="1:4" x14ac:dyDescent="0.2">
      <c r="A6607">
        <v>28</v>
      </c>
      <c r="B6607">
        <v>2250.3000000000002</v>
      </c>
      <c r="C6607">
        <v>2250</v>
      </c>
      <c r="D6607" t="s">
        <v>5985</v>
      </c>
    </row>
    <row r="6608" spans="1:4" x14ac:dyDescent="0.2">
      <c r="A6608">
        <v>29</v>
      </c>
      <c r="B6608">
        <v>2249.6</v>
      </c>
      <c r="C6608">
        <v>2250</v>
      </c>
      <c r="D6608" t="s">
        <v>5985</v>
      </c>
    </row>
    <row r="6609" spans="1:4" x14ac:dyDescent="0.2">
      <c r="A6609">
        <v>30</v>
      </c>
      <c r="B6609">
        <v>2249.6</v>
      </c>
      <c r="C6609">
        <v>2250</v>
      </c>
      <c r="D6609" t="s">
        <v>5985</v>
      </c>
    </row>
    <row r="6610" spans="1:4" x14ac:dyDescent="0.2">
      <c r="A6610">
        <v>31</v>
      </c>
      <c r="B6610">
        <v>9.9</v>
      </c>
      <c r="C6610">
        <v>10</v>
      </c>
      <c r="D6610" t="s">
        <v>5985</v>
      </c>
    </row>
    <row r="6611" spans="1:4" x14ac:dyDescent="0.2">
      <c r="A6611">
        <v>32</v>
      </c>
      <c r="B6611">
        <v>10.1</v>
      </c>
      <c r="C6611">
        <v>10</v>
      </c>
      <c r="D6611" t="s">
        <v>5985</v>
      </c>
    </row>
    <row r="6612" spans="1:4" x14ac:dyDescent="0.2">
      <c r="A6612">
        <v>33</v>
      </c>
      <c r="B6612">
        <v>10.1</v>
      </c>
      <c r="C6612">
        <v>10</v>
      </c>
      <c r="D6612" t="s">
        <v>5985</v>
      </c>
    </row>
    <row r="6613" spans="1:4" x14ac:dyDescent="0.2">
      <c r="A6613">
        <v>34</v>
      </c>
      <c r="B6613">
        <v>9.9</v>
      </c>
      <c r="C6613">
        <v>10</v>
      </c>
      <c r="D6613" t="s">
        <v>5985</v>
      </c>
    </row>
    <row r="6614" spans="1:4" x14ac:dyDescent="0.2">
      <c r="A6614">
        <v>35</v>
      </c>
      <c r="B6614">
        <v>10.1</v>
      </c>
      <c r="C6614">
        <v>10</v>
      </c>
      <c r="D6614" t="s">
        <v>5985</v>
      </c>
    </row>
    <row r="6615" spans="1:4" x14ac:dyDescent="0.2">
      <c r="A6615">
        <v>36</v>
      </c>
      <c r="B6615">
        <v>9.8000000000000007</v>
      </c>
      <c r="C6615">
        <v>10</v>
      </c>
      <c r="D6615" t="s">
        <v>5985</v>
      </c>
    </row>
    <row r="6616" spans="1:4" x14ac:dyDescent="0.2">
      <c r="A6616">
        <v>31</v>
      </c>
      <c r="B6616">
        <v>499.5</v>
      </c>
      <c r="C6616">
        <v>500</v>
      </c>
      <c r="D6616" t="s">
        <v>5985</v>
      </c>
    </row>
    <row r="6617" spans="1:4" x14ac:dyDescent="0.2">
      <c r="A6617">
        <v>32</v>
      </c>
      <c r="B6617">
        <v>499.7</v>
      </c>
      <c r="C6617">
        <v>500</v>
      </c>
      <c r="D6617" t="s">
        <v>5985</v>
      </c>
    </row>
    <row r="6618" spans="1:4" x14ac:dyDescent="0.2">
      <c r="A6618">
        <v>33</v>
      </c>
      <c r="B6618">
        <v>499.9</v>
      </c>
      <c r="C6618">
        <v>500</v>
      </c>
      <c r="D6618" t="s">
        <v>5985</v>
      </c>
    </row>
    <row r="6619" spans="1:4" x14ac:dyDescent="0.2">
      <c r="A6619">
        <v>34</v>
      </c>
      <c r="B6619">
        <v>499.6</v>
      </c>
      <c r="C6619">
        <v>500</v>
      </c>
      <c r="D6619" t="s">
        <v>5985</v>
      </c>
    </row>
    <row r="6620" spans="1:4" x14ac:dyDescent="0.2">
      <c r="A6620">
        <v>35</v>
      </c>
      <c r="B6620">
        <v>499.7</v>
      </c>
      <c r="C6620">
        <v>500</v>
      </c>
      <c r="D6620" t="s">
        <v>5985</v>
      </c>
    </row>
    <row r="6621" spans="1:4" x14ac:dyDescent="0.2">
      <c r="A6621">
        <v>36</v>
      </c>
      <c r="B6621">
        <v>499.7</v>
      </c>
      <c r="C6621">
        <v>500</v>
      </c>
      <c r="D6621" t="s">
        <v>5985</v>
      </c>
    </row>
    <row r="6622" spans="1:4" x14ac:dyDescent="0.2">
      <c r="A6622">
        <v>31</v>
      </c>
      <c r="B6622">
        <v>999.5</v>
      </c>
      <c r="C6622">
        <v>1000</v>
      </c>
      <c r="D6622" t="s">
        <v>5985</v>
      </c>
    </row>
    <row r="6623" spans="1:4" x14ac:dyDescent="0.2">
      <c r="A6623">
        <v>32</v>
      </c>
      <c r="B6623">
        <v>999.6</v>
      </c>
      <c r="C6623">
        <v>1000</v>
      </c>
      <c r="D6623" t="s">
        <v>5985</v>
      </c>
    </row>
    <row r="6624" spans="1:4" x14ac:dyDescent="0.2">
      <c r="A6624">
        <v>33</v>
      </c>
      <c r="B6624">
        <v>1000.1</v>
      </c>
      <c r="C6624">
        <v>1000</v>
      </c>
      <c r="D6624" t="s">
        <v>5985</v>
      </c>
    </row>
    <row r="6625" spans="1:4" x14ac:dyDescent="0.2">
      <c r="A6625">
        <v>34</v>
      </c>
      <c r="B6625">
        <v>999.6</v>
      </c>
      <c r="C6625">
        <v>1000</v>
      </c>
      <c r="D6625" t="s">
        <v>5985</v>
      </c>
    </row>
    <row r="6626" spans="1:4" x14ac:dyDescent="0.2">
      <c r="A6626">
        <v>35</v>
      </c>
      <c r="B6626">
        <v>999.7</v>
      </c>
      <c r="C6626">
        <v>1000</v>
      </c>
      <c r="D6626" t="s">
        <v>5985</v>
      </c>
    </row>
    <row r="6627" spans="1:4" x14ac:dyDescent="0.2">
      <c r="A6627">
        <v>36</v>
      </c>
      <c r="B6627">
        <v>999.7</v>
      </c>
      <c r="C6627">
        <v>1000</v>
      </c>
      <c r="D6627" t="s">
        <v>5985</v>
      </c>
    </row>
    <row r="6628" spans="1:4" x14ac:dyDescent="0.2">
      <c r="A6628">
        <v>31</v>
      </c>
      <c r="B6628">
        <v>1499.5</v>
      </c>
      <c r="C6628">
        <v>1500</v>
      </c>
      <c r="D6628" t="s">
        <v>5985</v>
      </c>
    </row>
    <row r="6629" spans="1:4" x14ac:dyDescent="0.2">
      <c r="A6629">
        <v>32</v>
      </c>
      <c r="B6629">
        <v>1499.5</v>
      </c>
      <c r="C6629">
        <v>1500</v>
      </c>
      <c r="D6629" t="s">
        <v>5985</v>
      </c>
    </row>
    <row r="6630" spans="1:4" x14ac:dyDescent="0.2">
      <c r="A6630">
        <v>33</v>
      </c>
      <c r="B6630">
        <v>1499.9</v>
      </c>
      <c r="C6630">
        <v>1500</v>
      </c>
      <c r="D6630" t="s">
        <v>5985</v>
      </c>
    </row>
    <row r="6631" spans="1:4" x14ac:dyDescent="0.2">
      <c r="A6631">
        <v>34</v>
      </c>
      <c r="B6631">
        <v>1499.5</v>
      </c>
      <c r="C6631">
        <v>1500</v>
      </c>
      <c r="D6631" t="s">
        <v>5985</v>
      </c>
    </row>
    <row r="6632" spans="1:4" x14ac:dyDescent="0.2">
      <c r="A6632">
        <v>35</v>
      </c>
      <c r="B6632">
        <v>1499.5</v>
      </c>
      <c r="C6632">
        <v>1500</v>
      </c>
      <c r="D6632" t="s">
        <v>5985</v>
      </c>
    </row>
    <row r="6633" spans="1:4" x14ac:dyDescent="0.2">
      <c r="A6633">
        <v>36</v>
      </c>
      <c r="B6633">
        <v>1499.6</v>
      </c>
      <c r="C6633">
        <v>1500</v>
      </c>
      <c r="D6633" t="s">
        <v>5985</v>
      </c>
    </row>
    <row r="6634" spans="1:4" x14ac:dyDescent="0.2">
      <c r="A6634">
        <v>31</v>
      </c>
      <c r="B6634">
        <v>1999.6</v>
      </c>
      <c r="C6634">
        <v>2000</v>
      </c>
      <c r="D6634" t="s">
        <v>5985</v>
      </c>
    </row>
    <row r="6635" spans="1:4" x14ac:dyDescent="0.2">
      <c r="A6635">
        <v>32</v>
      </c>
      <c r="B6635">
        <v>1999.8</v>
      </c>
      <c r="C6635">
        <v>2000</v>
      </c>
      <c r="D6635" t="s">
        <v>5985</v>
      </c>
    </row>
    <row r="6636" spans="1:4" x14ac:dyDescent="0.2">
      <c r="A6636">
        <v>33</v>
      </c>
      <c r="B6636">
        <v>2000.1</v>
      </c>
      <c r="C6636">
        <v>2000</v>
      </c>
      <c r="D6636" t="s">
        <v>5985</v>
      </c>
    </row>
    <row r="6637" spans="1:4" x14ac:dyDescent="0.2">
      <c r="A6637">
        <v>34</v>
      </c>
      <c r="B6637">
        <v>1999.9</v>
      </c>
      <c r="C6637">
        <v>2000</v>
      </c>
      <c r="D6637" t="s">
        <v>5985</v>
      </c>
    </row>
    <row r="6638" spans="1:4" x14ac:dyDescent="0.2">
      <c r="A6638">
        <v>35</v>
      </c>
      <c r="B6638">
        <v>1999.8</v>
      </c>
      <c r="C6638">
        <v>2000</v>
      </c>
      <c r="D6638" t="s">
        <v>5985</v>
      </c>
    </row>
    <row r="6639" spans="1:4" x14ac:dyDescent="0.2">
      <c r="A6639">
        <v>36</v>
      </c>
      <c r="B6639">
        <v>1999.6</v>
      </c>
      <c r="C6639">
        <v>2000</v>
      </c>
      <c r="D6639" t="s">
        <v>5985</v>
      </c>
    </row>
    <row r="6640" spans="1:4" x14ac:dyDescent="0.2">
      <c r="A6640">
        <v>31</v>
      </c>
      <c r="B6640">
        <v>2249.6</v>
      </c>
      <c r="C6640">
        <v>2250</v>
      </c>
      <c r="D6640" t="s">
        <v>5985</v>
      </c>
    </row>
    <row r="6641" spans="1:4" x14ac:dyDescent="0.2">
      <c r="A6641">
        <v>32</v>
      </c>
      <c r="B6641">
        <v>2249.8000000000002</v>
      </c>
      <c r="C6641">
        <v>2250</v>
      </c>
      <c r="D6641" t="s">
        <v>5985</v>
      </c>
    </row>
    <row r="6642" spans="1:4" x14ac:dyDescent="0.2">
      <c r="A6642">
        <v>33</v>
      </c>
      <c r="B6642">
        <v>2250.1999999999998</v>
      </c>
      <c r="C6642">
        <v>2250</v>
      </c>
      <c r="D6642" t="s">
        <v>5985</v>
      </c>
    </row>
    <row r="6643" spans="1:4" x14ac:dyDescent="0.2">
      <c r="A6643">
        <v>34</v>
      </c>
      <c r="B6643">
        <v>2249.9</v>
      </c>
      <c r="C6643">
        <v>2250</v>
      </c>
      <c r="D6643" t="s">
        <v>5985</v>
      </c>
    </row>
    <row r="6644" spans="1:4" x14ac:dyDescent="0.2">
      <c r="A6644">
        <v>35</v>
      </c>
      <c r="B6644">
        <v>2249.8000000000002</v>
      </c>
      <c r="C6644">
        <v>2250</v>
      </c>
      <c r="D6644" t="s">
        <v>5985</v>
      </c>
    </row>
    <row r="6645" spans="1:4" x14ac:dyDescent="0.2">
      <c r="A6645">
        <v>36</v>
      </c>
      <c r="B6645">
        <v>2249.6</v>
      </c>
      <c r="C6645">
        <v>2250</v>
      </c>
      <c r="D6645" t="s">
        <v>5985</v>
      </c>
    </row>
    <row r="6646" spans="1:4" x14ac:dyDescent="0.2">
      <c r="A6646">
        <v>37</v>
      </c>
      <c r="B6646">
        <v>10.1</v>
      </c>
      <c r="C6646">
        <v>10</v>
      </c>
      <c r="D6646" t="s">
        <v>5985</v>
      </c>
    </row>
    <row r="6647" spans="1:4" x14ac:dyDescent="0.2">
      <c r="A6647">
        <v>38</v>
      </c>
      <c r="B6647">
        <v>9.9</v>
      </c>
      <c r="C6647">
        <v>10</v>
      </c>
      <c r="D6647" t="s">
        <v>5985</v>
      </c>
    </row>
    <row r="6648" spans="1:4" x14ac:dyDescent="0.2">
      <c r="A6648">
        <v>39</v>
      </c>
      <c r="B6648">
        <v>10.199999999999999</v>
      </c>
      <c r="C6648">
        <v>10</v>
      </c>
      <c r="D6648" t="s">
        <v>5985</v>
      </c>
    </row>
    <row r="6649" spans="1:4" x14ac:dyDescent="0.2">
      <c r="A6649">
        <v>40</v>
      </c>
      <c r="B6649">
        <v>10.199999999999999</v>
      </c>
      <c r="C6649">
        <v>10</v>
      </c>
      <c r="D6649" t="s">
        <v>5985</v>
      </c>
    </row>
    <row r="6650" spans="1:4" x14ac:dyDescent="0.2">
      <c r="A6650">
        <v>37</v>
      </c>
      <c r="B6650">
        <v>499.7</v>
      </c>
      <c r="C6650">
        <v>500</v>
      </c>
      <c r="D6650" t="s">
        <v>5985</v>
      </c>
    </row>
    <row r="6651" spans="1:4" x14ac:dyDescent="0.2">
      <c r="A6651">
        <v>38</v>
      </c>
      <c r="B6651">
        <v>499.6</v>
      </c>
      <c r="C6651">
        <v>500</v>
      </c>
      <c r="D6651" t="s">
        <v>5985</v>
      </c>
    </row>
    <row r="6652" spans="1:4" x14ac:dyDescent="0.2">
      <c r="A6652">
        <v>39</v>
      </c>
      <c r="B6652">
        <v>499.9</v>
      </c>
      <c r="C6652">
        <v>500</v>
      </c>
      <c r="D6652" t="s">
        <v>5985</v>
      </c>
    </row>
    <row r="6653" spans="1:4" x14ac:dyDescent="0.2">
      <c r="A6653">
        <v>40</v>
      </c>
      <c r="B6653">
        <v>500</v>
      </c>
      <c r="C6653">
        <v>500</v>
      </c>
      <c r="D6653" t="s">
        <v>5985</v>
      </c>
    </row>
    <row r="6654" spans="1:4" x14ac:dyDescent="0.2">
      <c r="A6654">
        <v>37</v>
      </c>
      <c r="B6654">
        <v>999.6</v>
      </c>
      <c r="C6654">
        <v>1000</v>
      </c>
      <c r="D6654" t="s">
        <v>5985</v>
      </c>
    </row>
    <row r="6655" spans="1:4" x14ac:dyDescent="0.2">
      <c r="A6655">
        <v>38</v>
      </c>
      <c r="B6655">
        <v>999.6</v>
      </c>
      <c r="C6655">
        <v>1000</v>
      </c>
      <c r="D6655" t="s">
        <v>5985</v>
      </c>
    </row>
    <row r="6656" spans="1:4" x14ac:dyDescent="0.2">
      <c r="A6656">
        <v>39</v>
      </c>
      <c r="B6656">
        <v>999.6</v>
      </c>
      <c r="C6656">
        <v>1000</v>
      </c>
      <c r="D6656" t="s">
        <v>5985</v>
      </c>
    </row>
    <row r="6657" spans="1:4" x14ac:dyDescent="0.2">
      <c r="A6657">
        <v>40</v>
      </c>
      <c r="B6657">
        <v>999.8</v>
      </c>
      <c r="C6657">
        <v>1000</v>
      </c>
      <c r="D6657" t="s">
        <v>5985</v>
      </c>
    </row>
    <row r="6658" spans="1:4" x14ac:dyDescent="0.2">
      <c r="A6658">
        <v>37</v>
      </c>
      <c r="B6658">
        <v>1499.5</v>
      </c>
      <c r="C6658">
        <v>1500</v>
      </c>
      <c r="D6658" t="s">
        <v>5985</v>
      </c>
    </row>
    <row r="6659" spans="1:4" x14ac:dyDescent="0.2">
      <c r="A6659">
        <v>38</v>
      </c>
      <c r="B6659">
        <v>1499.6</v>
      </c>
      <c r="C6659">
        <v>1500</v>
      </c>
      <c r="D6659" t="s">
        <v>5985</v>
      </c>
    </row>
    <row r="6660" spans="1:4" x14ac:dyDescent="0.2">
      <c r="A6660">
        <v>39</v>
      </c>
      <c r="B6660">
        <v>1499.6</v>
      </c>
      <c r="C6660">
        <v>1500</v>
      </c>
      <c r="D6660" t="s">
        <v>5985</v>
      </c>
    </row>
    <row r="6661" spans="1:4" x14ac:dyDescent="0.2">
      <c r="A6661">
        <v>40</v>
      </c>
      <c r="B6661">
        <v>1499.8</v>
      </c>
      <c r="C6661">
        <v>1500</v>
      </c>
      <c r="D6661" t="s">
        <v>5985</v>
      </c>
    </row>
    <row r="6662" spans="1:4" x14ac:dyDescent="0.2">
      <c r="A6662">
        <v>37</v>
      </c>
      <c r="B6662">
        <v>1999.5</v>
      </c>
      <c r="C6662">
        <v>2000</v>
      </c>
      <c r="D6662" t="s">
        <v>5985</v>
      </c>
    </row>
    <row r="6663" spans="1:4" x14ac:dyDescent="0.2">
      <c r="A6663">
        <v>38</v>
      </c>
      <c r="B6663">
        <v>1999.9</v>
      </c>
      <c r="C6663">
        <v>2000</v>
      </c>
      <c r="D6663" t="s">
        <v>5985</v>
      </c>
    </row>
    <row r="6664" spans="1:4" x14ac:dyDescent="0.2">
      <c r="A6664">
        <v>39</v>
      </c>
      <c r="B6664">
        <v>1999.7</v>
      </c>
      <c r="C6664">
        <v>2000</v>
      </c>
      <c r="D6664" t="s">
        <v>5985</v>
      </c>
    </row>
    <row r="6665" spans="1:4" x14ac:dyDescent="0.2">
      <c r="A6665">
        <v>40</v>
      </c>
      <c r="B6665">
        <v>1999.9</v>
      </c>
      <c r="C6665">
        <v>2000</v>
      </c>
      <c r="D6665" t="s">
        <v>5985</v>
      </c>
    </row>
    <row r="6666" spans="1:4" x14ac:dyDescent="0.2">
      <c r="A6666">
        <v>37</v>
      </c>
      <c r="B6666">
        <v>2249.5</v>
      </c>
      <c r="C6666">
        <v>2250</v>
      </c>
      <c r="D6666" t="s">
        <v>5985</v>
      </c>
    </row>
    <row r="6667" spans="1:4" x14ac:dyDescent="0.2">
      <c r="A6667">
        <v>38</v>
      </c>
      <c r="B6667">
        <v>2249.9</v>
      </c>
      <c r="C6667">
        <v>2250</v>
      </c>
      <c r="D6667" t="s">
        <v>5985</v>
      </c>
    </row>
    <row r="6668" spans="1:4" x14ac:dyDescent="0.2">
      <c r="A6668">
        <v>39</v>
      </c>
      <c r="B6668">
        <v>2249.6999999999998</v>
      </c>
      <c r="C6668">
        <v>2250</v>
      </c>
      <c r="D6668" t="s">
        <v>5985</v>
      </c>
    </row>
    <row r="6669" spans="1:4" x14ac:dyDescent="0.2">
      <c r="A6669">
        <v>40</v>
      </c>
      <c r="B6669">
        <v>2250</v>
      </c>
      <c r="C6669">
        <v>2250</v>
      </c>
      <c r="D6669" t="s">
        <v>5985</v>
      </c>
    </row>
    <row r="6670" spans="1:4" x14ac:dyDescent="0.2">
      <c r="A6670">
        <v>1</v>
      </c>
      <c r="B6670">
        <v>-100.2</v>
      </c>
      <c r="C6670">
        <v>-100</v>
      </c>
      <c r="D6670" t="s">
        <v>5986</v>
      </c>
    </row>
    <row r="6671" spans="1:4" x14ac:dyDescent="0.2">
      <c r="A6671">
        <v>2</v>
      </c>
      <c r="B6671">
        <v>-99.8</v>
      </c>
      <c r="C6671">
        <v>-100</v>
      </c>
      <c r="D6671" t="s">
        <v>5986</v>
      </c>
    </row>
    <row r="6672" spans="1:4" x14ac:dyDescent="0.2">
      <c r="A6672">
        <v>3</v>
      </c>
      <c r="B6672">
        <v>-100.1</v>
      </c>
      <c r="C6672">
        <v>-100</v>
      </c>
      <c r="D6672" t="s">
        <v>5986</v>
      </c>
    </row>
    <row r="6673" spans="1:4" x14ac:dyDescent="0.2">
      <c r="A6673">
        <v>4</v>
      </c>
      <c r="B6673">
        <v>-99.9</v>
      </c>
      <c r="C6673">
        <v>-100</v>
      </c>
      <c r="D6673" t="s">
        <v>5986</v>
      </c>
    </row>
    <row r="6674" spans="1:4" x14ac:dyDescent="0.2">
      <c r="A6674">
        <v>5</v>
      </c>
      <c r="B6674">
        <v>-100.2</v>
      </c>
      <c r="C6674">
        <v>-100</v>
      </c>
      <c r="D6674" t="s">
        <v>5986</v>
      </c>
    </row>
    <row r="6675" spans="1:4" x14ac:dyDescent="0.2">
      <c r="A6675">
        <v>6</v>
      </c>
      <c r="B6675">
        <v>-99.9</v>
      </c>
      <c r="C6675">
        <v>-100</v>
      </c>
      <c r="D6675" t="s">
        <v>5986</v>
      </c>
    </row>
    <row r="6676" spans="1:4" x14ac:dyDescent="0.2">
      <c r="A6676">
        <v>1</v>
      </c>
      <c r="B6676">
        <v>499.8</v>
      </c>
      <c r="C6676">
        <v>500</v>
      </c>
      <c r="D6676" t="s">
        <v>5986</v>
      </c>
    </row>
    <row r="6677" spans="1:4" x14ac:dyDescent="0.2">
      <c r="A6677">
        <v>2</v>
      </c>
      <c r="B6677">
        <v>500.1</v>
      </c>
      <c r="C6677">
        <v>500</v>
      </c>
      <c r="D6677" t="s">
        <v>5986</v>
      </c>
    </row>
    <row r="6678" spans="1:4" x14ac:dyDescent="0.2">
      <c r="A6678">
        <v>3</v>
      </c>
      <c r="B6678">
        <v>500</v>
      </c>
      <c r="C6678">
        <v>500</v>
      </c>
      <c r="D6678" t="s">
        <v>5986</v>
      </c>
    </row>
    <row r="6679" spans="1:4" x14ac:dyDescent="0.2">
      <c r="A6679">
        <v>4</v>
      </c>
      <c r="B6679">
        <v>500.1</v>
      </c>
      <c r="C6679">
        <v>500</v>
      </c>
      <c r="D6679" t="s">
        <v>5986</v>
      </c>
    </row>
    <row r="6680" spans="1:4" x14ac:dyDescent="0.2">
      <c r="A6680">
        <v>5</v>
      </c>
      <c r="B6680">
        <v>499.8</v>
      </c>
      <c r="C6680">
        <v>500</v>
      </c>
      <c r="D6680" t="s">
        <v>5986</v>
      </c>
    </row>
    <row r="6681" spans="1:4" x14ac:dyDescent="0.2">
      <c r="A6681">
        <v>6</v>
      </c>
      <c r="B6681">
        <v>500.1</v>
      </c>
      <c r="C6681">
        <v>500</v>
      </c>
      <c r="D6681" t="s">
        <v>5986</v>
      </c>
    </row>
    <row r="6682" spans="1:4" x14ac:dyDescent="0.2">
      <c r="A6682">
        <v>1</v>
      </c>
      <c r="B6682">
        <v>999.8</v>
      </c>
      <c r="C6682">
        <v>1000</v>
      </c>
      <c r="D6682" t="s">
        <v>5986</v>
      </c>
    </row>
    <row r="6683" spans="1:4" x14ac:dyDescent="0.2">
      <c r="A6683">
        <v>2</v>
      </c>
      <c r="B6683">
        <v>1000.1</v>
      </c>
      <c r="C6683">
        <v>1000</v>
      </c>
      <c r="D6683" t="s">
        <v>5986</v>
      </c>
    </row>
    <row r="6684" spans="1:4" x14ac:dyDescent="0.2">
      <c r="A6684">
        <v>3</v>
      </c>
      <c r="B6684">
        <v>1000</v>
      </c>
      <c r="C6684">
        <v>1000</v>
      </c>
      <c r="D6684" t="s">
        <v>5986</v>
      </c>
    </row>
    <row r="6685" spans="1:4" x14ac:dyDescent="0.2">
      <c r="A6685">
        <v>4</v>
      </c>
      <c r="B6685">
        <v>1000.1</v>
      </c>
      <c r="C6685">
        <v>1000</v>
      </c>
      <c r="D6685" t="s">
        <v>5986</v>
      </c>
    </row>
    <row r="6686" spans="1:4" x14ac:dyDescent="0.2">
      <c r="A6686">
        <v>5</v>
      </c>
      <c r="B6686">
        <v>999.8</v>
      </c>
      <c r="C6686">
        <v>1000</v>
      </c>
      <c r="D6686" t="s">
        <v>5986</v>
      </c>
    </row>
    <row r="6687" spans="1:4" x14ac:dyDescent="0.2">
      <c r="A6687">
        <v>6</v>
      </c>
      <c r="B6687">
        <v>1000.1</v>
      </c>
      <c r="C6687">
        <v>1000</v>
      </c>
      <c r="D6687" t="s">
        <v>5986</v>
      </c>
    </row>
    <row r="6688" spans="1:4" x14ac:dyDescent="0.2">
      <c r="A6688">
        <v>1</v>
      </c>
      <c r="B6688">
        <v>1499.5</v>
      </c>
      <c r="C6688">
        <v>1500</v>
      </c>
      <c r="D6688" t="s">
        <v>5986</v>
      </c>
    </row>
    <row r="6689" spans="1:4" x14ac:dyDescent="0.2">
      <c r="A6689">
        <v>2</v>
      </c>
      <c r="B6689">
        <v>1500.1</v>
      </c>
      <c r="C6689">
        <v>1500</v>
      </c>
      <c r="D6689" t="s">
        <v>5986</v>
      </c>
    </row>
    <row r="6690" spans="1:4" x14ac:dyDescent="0.2">
      <c r="A6690">
        <v>3</v>
      </c>
      <c r="B6690">
        <v>1499.9</v>
      </c>
      <c r="C6690">
        <v>1500</v>
      </c>
      <c r="D6690" t="s">
        <v>5986</v>
      </c>
    </row>
    <row r="6691" spans="1:4" x14ac:dyDescent="0.2">
      <c r="A6691">
        <v>4</v>
      </c>
      <c r="B6691">
        <v>1500.1</v>
      </c>
      <c r="C6691">
        <v>1500</v>
      </c>
      <c r="D6691" t="s">
        <v>5986</v>
      </c>
    </row>
    <row r="6692" spans="1:4" x14ac:dyDescent="0.2">
      <c r="A6692">
        <v>5</v>
      </c>
      <c r="B6692">
        <v>1499.8</v>
      </c>
      <c r="C6692">
        <v>1500</v>
      </c>
      <c r="D6692" t="s">
        <v>5986</v>
      </c>
    </row>
    <row r="6693" spans="1:4" x14ac:dyDescent="0.2">
      <c r="A6693">
        <v>6</v>
      </c>
      <c r="B6693">
        <v>1500</v>
      </c>
      <c r="C6693">
        <v>1500</v>
      </c>
      <c r="D6693" t="s">
        <v>5986</v>
      </c>
    </row>
    <row r="6694" spans="1:4" x14ac:dyDescent="0.2">
      <c r="A6694">
        <v>1</v>
      </c>
      <c r="B6694">
        <v>1999.5</v>
      </c>
      <c r="C6694">
        <v>2000</v>
      </c>
      <c r="D6694" t="s">
        <v>5986</v>
      </c>
    </row>
    <row r="6695" spans="1:4" x14ac:dyDescent="0.2">
      <c r="A6695">
        <v>2</v>
      </c>
      <c r="B6695">
        <v>2000.1</v>
      </c>
      <c r="C6695">
        <v>2000</v>
      </c>
      <c r="D6695" t="s">
        <v>5986</v>
      </c>
    </row>
    <row r="6696" spans="1:4" x14ac:dyDescent="0.2">
      <c r="A6696">
        <v>3</v>
      </c>
      <c r="B6696">
        <v>1999.9</v>
      </c>
      <c r="C6696">
        <v>2000</v>
      </c>
      <c r="D6696" t="s">
        <v>5986</v>
      </c>
    </row>
    <row r="6697" spans="1:4" x14ac:dyDescent="0.2">
      <c r="A6697">
        <v>4</v>
      </c>
      <c r="B6697">
        <v>2000.1</v>
      </c>
      <c r="C6697">
        <v>2000</v>
      </c>
      <c r="D6697" t="s">
        <v>5986</v>
      </c>
    </row>
    <row r="6698" spans="1:4" x14ac:dyDescent="0.2">
      <c r="A6698">
        <v>5</v>
      </c>
      <c r="B6698">
        <v>1999.9</v>
      </c>
      <c r="C6698">
        <v>2000</v>
      </c>
      <c r="D6698" t="s">
        <v>5986</v>
      </c>
    </row>
    <row r="6699" spans="1:4" x14ac:dyDescent="0.2">
      <c r="A6699">
        <v>6</v>
      </c>
      <c r="B6699">
        <v>2000.1</v>
      </c>
      <c r="C6699">
        <v>2000</v>
      </c>
      <c r="D6699" t="s">
        <v>5986</v>
      </c>
    </row>
    <row r="6700" spans="1:4" x14ac:dyDescent="0.2">
      <c r="A6700">
        <v>1</v>
      </c>
      <c r="B6700">
        <v>2279.6</v>
      </c>
      <c r="C6700">
        <v>2280</v>
      </c>
      <c r="D6700" t="s">
        <v>5986</v>
      </c>
    </row>
    <row r="6701" spans="1:4" x14ac:dyDescent="0.2">
      <c r="A6701">
        <v>2</v>
      </c>
      <c r="B6701">
        <v>2280.1</v>
      </c>
      <c r="C6701">
        <v>2280</v>
      </c>
      <c r="D6701" t="s">
        <v>5986</v>
      </c>
    </row>
    <row r="6702" spans="1:4" x14ac:dyDescent="0.2">
      <c r="A6702">
        <v>3</v>
      </c>
      <c r="B6702">
        <v>2280.1</v>
      </c>
      <c r="C6702">
        <v>2280</v>
      </c>
      <c r="D6702" t="s">
        <v>5986</v>
      </c>
    </row>
    <row r="6703" spans="1:4" x14ac:dyDescent="0.2">
      <c r="A6703">
        <v>4</v>
      </c>
      <c r="B6703">
        <v>2280.1999999999998</v>
      </c>
      <c r="C6703">
        <v>2280</v>
      </c>
      <c r="D6703" t="s">
        <v>5986</v>
      </c>
    </row>
    <row r="6704" spans="1:4" x14ac:dyDescent="0.2">
      <c r="A6704">
        <v>5</v>
      </c>
      <c r="B6704">
        <v>2280.1</v>
      </c>
      <c r="C6704">
        <v>2280</v>
      </c>
      <c r="D6704" t="s">
        <v>5986</v>
      </c>
    </row>
    <row r="6705" spans="1:4" x14ac:dyDescent="0.2">
      <c r="A6705">
        <v>6</v>
      </c>
      <c r="B6705">
        <v>2280.1999999999998</v>
      </c>
      <c r="C6705">
        <v>2280</v>
      </c>
      <c r="D6705" t="s">
        <v>5986</v>
      </c>
    </row>
    <row r="6706" spans="1:4" x14ac:dyDescent="0.2">
      <c r="A6706">
        <v>7</v>
      </c>
      <c r="B6706">
        <v>-99.8</v>
      </c>
      <c r="C6706">
        <v>-100</v>
      </c>
      <c r="D6706" t="s">
        <v>5986</v>
      </c>
    </row>
    <row r="6707" spans="1:4" x14ac:dyDescent="0.2">
      <c r="A6707">
        <v>8</v>
      </c>
      <c r="B6707">
        <v>-99.7</v>
      </c>
      <c r="C6707">
        <v>-100</v>
      </c>
      <c r="D6707" t="s">
        <v>5986</v>
      </c>
    </row>
    <row r="6708" spans="1:4" x14ac:dyDescent="0.2">
      <c r="A6708">
        <v>9</v>
      </c>
      <c r="B6708">
        <v>-99.8</v>
      </c>
      <c r="C6708">
        <v>-100</v>
      </c>
      <c r="D6708" t="s">
        <v>5986</v>
      </c>
    </row>
    <row r="6709" spans="1:4" x14ac:dyDescent="0.2">
      <c r="A6709">
        <v>10</v>
      </c>
      <c r="B6709">
        <v>-100.1</v>
      </c>
      <c r="C6709">
        <v>-100</v>
      </c>
      <c r="D6709" t="s">
        <v>5986</v>
      </c>
    </row>
    <row r="6710" spans="1:4" x14ac:dyDescent="0.2">
      <c r="A6710">
        <v>11</v>
      </c>
      <c r="B6710">
        <v>-99.9</v>
      </c>
      <c r="C6710">
        <v>-100</v>
      </c>
      <c r="D6710" t="s">
        <v>5986</v>
      </c>
    </row>
    <row r="6711" spans="1:4" x14ac:dyDescent="0.2">
      <c r="A6711">
        <v>12</v>
      </c>
      <c r="B6711">
        <v>-99.9</v>
      </c>
      <c r="C6711">
        <v>-100</v>
      </c>
      <c r="D6711" t="s">
        <v>5986</v>
      </c>
    </row>
    <row r="6712" spans="1:4" x14ac:dyDescent="0.2">
      <c r="A6712">
        <v>7</v>
      </c>
      <c r="B6712">
        <v>500.2</v>
      </c>
      <c r="C6712">
        <v>500</v>
      </c>
      <c r="D6712" t="s">
        <v>5986</v>
      </c>
    </row>
    <row r="6713" spans="1:4" x14ac:dyDescent="0.2">
      <c r="A6713">
        <v>8</v>
      </c>
      <c r="B6713">
        <v>500.3</v>
      </c>
      <c r="C6713">
        <v>500</v>
      </c>
      <c r="D6713" t="s">
        <v>5986</v>
      </c>
    </row>
    <row r="6714" spans="1:4" x14ac:dyDescent="0.2">
      <c r="A6714">
        <v>9</v>
      </c>
      <c r="B6714">
        <v>500</v>
      </c>
      <c r="C6714">
        <v>500</v>
      </c>
      <c r="D6714" t="s">
        <v>5986</v>
      </c>
    </row>
    <row r="6715" spans="1:4" x14ac:dyDescent="0.2">
      <c r="A6715">
        <v>10</v>
      </c>
      <c r="B6715">
        <v>499.8</v>
      </c>
      <c r="C6715">
        <v>500</v>
      </c>
      <c r="D6715" t="s">
        <v>5986</v>
      </c>
    </row>
    <row r="6716" spans="1:4" x14ac:dyDescent="0.2">
      <c r="A6716">
        <v>11</v>
      </c>
      <c r="B6716">
        <v>500.2</v>
      </c>
      <c r="C6716">
        <v>500</v>
      </c>
      <c r="D6716" t="s">
        <v>5986</v>
      </c>
    </row>
    <row r="6717" spans="1:4" x14ac:dyDescent="0.2">
      <c r="A6717">
        <v>12</v>
      </c>
      <c r="B6717">
        <v>500.1</v>
      </c>
      <c r="C6717">
        <v>500</v>
      </c>
      <c r="D6717" t="s">
        <v>5986</v>
      </c>
    </row>
    <row r="6718" spans="1:4" x14ac:dyDescent="0.2">
      <c r="A6718">
        <v>7</v>
      </c>
      <c r="B6718">
        <v>1000.1</v>
      </c>
      <c r="C6718">
        <v>1000</v>
      </c>
      <c r="D6718" t="s">
        <v>5986</v>
      </c>
    </row>
    <row r="6719" spans="1:4" x14ac:dyDescent="0.2">
      <c r="A6719">
        <v>8</v>
      </c>
      <c r="B6719">
        <v>1000.2</v>
      </c>
      <c r="C6719">
        <v>1000</v>
      </c>
      <c r="D6719" t="s">
        <v>5986</v>
      </c>
    </row>
    <row r="6720" spans="1:4" x14ac:dyDescent="0.2">
      <c r="A6720">
        <v>9</v>
      </c>
      <c r="B6720">
        <v>1000</v>
      </c>
      <c r="C6720">
        <v>1000</v>
      </c>
      <c r="D6720" t="s">
        <v>5986</v>
      </c>
    </row>
    <row r="6721" spans="1:4" x14ac:dyDescent="0.2">
      <c r="A6721">
        <v>10</v>
      </c>
      <c r="B6721">
        <v>999.8</v>
      </c>
      <c r="C6721">
        <v>1000</v>
      </c>
      <c r="D6721" t="s">
        <v>5986</v>
      </c>
    </row>
    <row r="6722" spans="1:4" x14ac:dyDescent="0.2">
      <c r="A6722">
        <v>11</v>
      </c>
      <c r="B6722">
        <v>1000.2</v>
      </c>
      <c r="C6722">
        <v>1000</v>
      </c>
      <c r="D6722" t="s">
        <v>5986</v>
      </c>
    </row>
    <row r="6723" spans="1:4" x14ac:dyDescent="0.2">
      <c r="A6723">
        <v>12</v>
      </c>
      <c r="B6723">
        <v>1000.1</v>
      </c>
      <c r="C6723">
        <v>1000</v>
      </c>
      <c r="D6723" t="s">
        <v>5986</v>
      </c>
    </row>
    <row r="6724" spans="1:4" x14ac:dyDescent="0.2">
      <c r="A6724">
        <v>7</v>
      </c>
      <c r="B6724">
        <v>1500</v>
      </c>
      <c r="C6724">
        <v>1500</v>
      </c>
      <c r="D6724" t="s">
        <v>5986</v>
      </c>
    </row>
    <row r="6725" spans="1:4" x14ac:dyDescent="0.2">
      <c r="A6725">
        <v>8</v>
      </c>
      <c r="B6725">
        <v>1500</v>
      </c>
      <c r="C6725">
        <v>1500</v>
      </c>
      <c r="D6725" t="s">
        <v>5986</v>
      </c>
    </row>
    <row r="6726" spans="1:4" x14ac:dyDescent="0.2">
      <c r="A6726">
        <v>9</v>
      </c>
      <c r="B6726">
        <v>1500</v>
      </c>
      <c r="C6726">
        <v>1500</v>
      </c>
      <c r="D6726" t="s">
        <v>5986</v>
      </c>
    </row>
    <row r="6727" spans="1:4" x14ac:dyDescent="0.2">
      <c r="A6727">
        <v>10</v>
      </c>
      <c r="B6727">
        <v>1499.7</v>
      </c>
      <c r="C6727">
        <v>1500</v>
      </c>
      <c r="D6727" t="s">
        <v>5986</v>
      </c>
    </row>
    <row r="6728" spans="1:4" x14ac:dyDescent="0.2">
      <c r="A6728">
        <v>11</v>
      </c>
      <c r="B6728">
        <v>1500.2</v>
      </c>
      <c r="C6728">
        <v>1500</v>
      </c>
      <c r="D6728" t="s">
        <v>5986</v>
      </c>
    </row>
    <row r="6729" spans="1:4" x14ac:dyDescent="0.2">
      <c r="A6729">
        <v>12</v>
      </c>
      <c r="B6729">
        <v>1500</v>
      </c>
      <c r="C6729">
        <v>1500</v>
      </c>
      <c r="D6729" t="s">
        <v>5986</v>
      </c>
    </row>
    <row r="6730" spans="1:4" x14ac:dyDescent="0.2">
      <c r="A6730">
        <v>7</v>
      </c>
      <c r="B6730">
        <v>2000</v>
      </c>
      <c r="C6730">
        <v>2000</v>
      </c>
      <c r="D6730" t="s">
        <v>5986</v>
      </c>
    </row>
    <row r="6731" spans="1:4" x14ac:dyDescent="0.2">
      <c r="A6731">
        <v>8</v>
      </c>
      <c r="B6731">
        <v>2000</v>
      </c>
      <c r="C6731">
        <v>2000</v>
      </c>
      <c r="D6731" t="s">
        <v>5986</v>
      </c>
    </row>
    <row r="6732" spans="1:4" x14ac:dyDescent="0.2">
      <c r="A6732">
        <v>9</v>
      </c>
      <c r="B6732">
        <v>2000</v>
      </c>
      <c r="C6732">
        <v>2000</v>
      </c>
      <c r="D6732" t="s">
        <v>5986</v>
      </c>
    </row>
    <row r="6733" spans="1:4" x14ac:dyDescent="0.2">
      <c r="A6733">
        <v>10</v>
      </c>
      <c r="B6733">
        <v>1999.7</v>
      </c>
      <c r="C6733">
        <v>2000</v>
      </c>
      <c r="D6733" t="s">
        <v>5986</v>
      </c>
    </row>
    <row r="6734" spans="1:4" x14ac:dyDescent="0.2">
      <c r="A6734">
        <v>11</v>
      </c>
      <c r="B6734">
        <v>2000.1</v>
      </c>
      <c r="C6734">
        <v>2000</v>
      </c>
      <c r="D6734" t="s">
        <v>5986</v>
      </c>
    </row>
    <row r="6735" spans="1:4" x14ac:dyDescent="0.2">
      <c r="A6735">
        <v>12</v>
      </c>
      <c r="B6735">
        <v>1999.9</v>
      </c>
      <c r="C6735">
        <v>2000</v>
      </c>
      <c r="D6735" t="s">
        <v>5986</v>
      </c>
    </row>
    <row r="6736" spans="1:4" x14ac:dyDescent="0.2">
      <c r="A6736">
        <v>7</v>
      </c>
      <c r="B6736">
        <v>2280.1</v>
      </c>
      <c r="C6736">
        <v>2280</v>
      </c>
      <c r="D6736" t="s">
        <v>5986</v>
      </c>
    </row>
    <row r="6737" spans="1:4" x14ac:dyDescent="0.2">
      <c r="A6737">
        <v>8</v>
      </c>
      <c r="B6737">
        <v>2280</v>
      </c>
      <c r="C6737">
        <v>2280</v>
      </c>
      <c r="D6737" t="s">
        <v>5986</v>
      </c>
    </row>
    <row r="6738" spans="1:4" x14ac:dyDescent="0.2">
      <c r="A6738">
        <v>9</v>
      </c>
      <c r="B6738">
        <v>2280.1</v>
      </c>
      <c r="C6738">
        <v>2280</v>
      </c>
      <c r="D6738" t="s">
        <v>5986</v>
      </c>
    </row>
    <row r="6739" spans="1:4" x14ac:dyDescent="0.2">
      <c r="A6739">
        <v>10</v>
      </c>
      <c r="B6739">
        <v>2279.8000000000002</v>
      </c>
      <c r="C6739">
        <v>2280</v>
      </c>
      <c r="D6739" t="s">
        <v>5986</v>
      </c>
    </row>
    <row r="6740" spans="1:4" x14ac:dyDescent="0.2">
      <c r="A6740">
        <v>11</v>
      </c>
      <c r="B6740">
        <v>2280.1</v>
      </c>
      <c r="C6740">
        <v>2280</v>
      </c>
      <c r="D6740" t="s">
        <v>5986</v>
      </c>
    </row>
    <row r="6741" spans="1:4" x14ac:dyDescent="0.2">
      <c r="A6741">
        <v>12</v>
      </c>
      <c r="B6741">
        <v>2280.1</v>
      </c>
      <c r="C6741">
        <v>2280</v>
      </c>
      <c r="D6741" t="s">
        <v>5986</v>
      </c>
    </row>
    <row r="6742" spans="1:4" x14ac:dyDescent="0.2">
      <c r="A6742">
        <v>13</v>
      </c>
      <c r="B6742">
        <v>-100.2</v>
      </c>
      <c r="C6742">
        <v>-100</v>
      </c>
      <c r="D6742" t="s">
        <v>5986</v>
      </c>
    </row>
    <row r="6743" spans="1:4" x14ac:dyDescent="0.2">
      <c r="A6743">
        <v>14</v>
      </c>
      <c r="B6743">
        <v>-100.2</v>
      </c>
      <c r="C6743">
        <v>-100</v>
      </c>
      <c r="D6743" t="s">
        <v>5986</v>
      </c>
    </row>
    <row r="6744" spans="1:4" x14ac:dyDescent="0.2">
      <c r="A6744">
        <v>15</v>
      </c>
      <c r="B6744">
        <v>-99.8</v>
      </c>
      <c r="C6744">
        <v>-100</v>
      </c>
      <c r="D6744" t="s">
        <v>5986</v>
      </c>
    </row>
    <row r="6745" spans="1:4" x14ac:dyDescent="0.2">
      <c r="A6745">
        <v>16</v>
      </c>
      <c r="B6745">
        <v>-99.6</v>
      </c>
      <c r="C6745">
        <v>-100</v>
      </c>
      <c r="D6745" t="s">
        <v>5986</v>
      </c>
    </row>
    <row r="6746" spans="1:4" x14ac:dyDescent="0.2">
      <c r="A6746">
        <v>17</v>
      </c>
      <c r="B6746">
        <v>-99.5</v>
      </c>
      <c r="C6746">
        <v>-100</v>
      </c>
      <c r="D6746" t="s">
        <v>5986</v>
      </c>
    </row>
    <row r="6747" spans="1:4" x14ac:dyDescent="0.2">
      <c r="A6747">
        <v>18</v>
      </c>
      <c r="B6747">
        <v>-99.8</v>
      </c>
      <c r="C6747">
        <v>-100</v>
      </c>
      <c r="D6747" t="s">
        <v>5986</v>
      </c>
    </row>
    <row r="6748" spans="1:4" x14ac:dyDescent="0.2">
      <c r="A6748">
        <v>13</v>
      </c>
      <c r="B6748">
        <v>499.8</v>
      </c>
      <c r="C6748">
        <v>500</v>
      </c>
      <c r="D6748" t="s">
        <v>5986</v>
      </c>
    </row>
    <row r="6749" spans="1:4" x14ac:dyDescent="0.2">
      <c r="A6749">
        <v>14</v>
      </c>
      <c r="B6749">
        <v>499.7</v>
      </c>
      <c r="C6749">
        <v>500</v>
      </c>
      <c r="D6749" t="s">
        <v>5986</v>
      </c>
    </row>
    <row r="6750" spans="1:4" x14ac:dyDescent="0.2">
      <c r="A6750">
        <v>15</v>
      </c>
      <c r="B6750">
        <v>500.2</v>
      </c>
      <c r="C6750">
        <v>500</v>
      </c>
      <c r="D6750" t="s">
        <v>5986</v>
      </c>
    </row>
    <row r="6751" spans="1:4" x14ac:dyDescent="0.2">
      <c r="A6751">
        <v>16</v>
      </c>
      <c r="B6751">
        <v>500.3</v>
      </c>
      <c r="C6751">
        <v>500</v>
      </c>
      <c r="D6751" t="s">
        <v>5986</v>
      </c>
    </row>
    <row r="6752" spans="1:4" x14ac:dyDescent="0.2">
      <c r="A6752">
        <v>17</v>
      </c>
      <c r="B6752">
        <v>500.2</v>
      </c>
      <c r="C6752">
        <v>500</v>
      </c>
      <c r="D6752" t="s">
        <v>5986</v>
      </c>
    </row>
    <row r="6753" spans="1:4" x14ac:dyDescent="0.2">
      <c r="A6753">
        <v>18</v>
      </c>
      <c r="B6753">
        <v>500</v>
      </c>
      <c r="C6753">
        <v>500</v>
      </c>
      <c r="D6753" t="s">
        <v>5986</v>
      </c>
    </row>
    <row r="6754" spans="1:4" x14ac:dyDescent="0.2">
      <c r="A6754">
        <v>13</v>
      </c>
      <c r="B6754">
        <v>999.9</v>
      </c>
      <c r="C6754">
        <v>1000</v>
      </c>
      <c r="D6754" t="s">
        <v>5986</v>
      </c>
    </row>
    <row r="6755" spans="1:4" x14ac:dyDescent="0.2">
      <c r="A6755">
        <v>14</v>
      </c>
      <c r="B6755">
        <v>999.7</v>
      </c>
      <c r="C6755">
        <v>1000</v>
      </c>
      <c r="D6755" t="s">
        <v>5986</v>
      </c>
    </row>
    <row r="6756" spans="1:4" x14ac:dyDescent="0.2">
      <c r="A6756">
        <v>15</v>
      </c>
      <c r="B6756">
        <v>1000.2</v>
      </c>
      <c r="C6756">
        <v>1000</v>
      </c>
      <c r="D6756" t="s">
        <v>5986</v>
      </c>
    </row>
    <row r="6757" spans="1:4" x14ac:dyDescent="0.2">
      <c r="A6757">
        <v>16</v>
      </c>
      <c r="B6757">
        <v>1000.3</v>
      </c>
      <c r="C6757">
        <v>1000</v>
      </c>
      <c r="D6757" t="s">
        <v>5986</v>
      </c>
    </row>
    <row r="6758" spans="1:4" x14ac:dyDescent="0.2">
      <c r="A6758">
        <v>17</v>
      </c>
      <c r="B6758">
        <v>1000.2</v>
      </c>
      <c r="C6758">
        <v>1000</v>
      </c>
      <c r="D6758" t="s">
        <v>5986</v>
      </c>
    </row>
    <row r="6759" spans="1:4" x14ac:dyDescent="0.2">
      <c r="A6759">
        <v>18</v>
      </c>
      <c r="B6759">
        <v>1000</v>
      </c>
      <c r="C6759">
        <v>1000</v>
      </c>
      <c r="D6759" t="s">
        <v>5986</v>
      </c>
    </row>
    <row r="6760" spans="1:4" x14ac:dyDescent="0.2">
      <c r="A6760">
        <v>13</v>
      </c>
      <c r="B6760">
        <v>1499.8</v>
      </c>
      <c r="C6760">
        <v>1500</v>
      </c>
      <c r="D6760" t="s">
        <v>5986</v>
      </c>
    </row>
    <row r="6761" spans="1:4" x14ac:dyDescent="0.2">
      <c r="A6761">
        <v>14</v>
      </c>
      <c r="B6761">
        <v>1499.7</v>
      </c>
      <c r="C6761">
        <v>1500</v>
      </c>
      <c r="D6761" t="s">
        <v>5986</v>
      </c>
    </row>
    <row r="6762" spans="1:4" x14ac:dyDescent="0.2">
      <c r="A6762">
        <v>15</v>
      </c>
      <c r="B6762">
        <v>1500.1</v>
      </c>
      <c r="C6762">
        <v>1500</v>
      </c>
      <c r="D6762" t="s">
        <v>5986</v>
      </c>
    </row>
    <row r="6763" spans="1:4" x14ac:dyDescent="0.2">
      <c r="A6763">
        <v>16</v>
      </c>
      <c r="B6763">
        <v>1500.1</v>
      </c>
      <c r="C6763">
        <v>1500</v>
      </c>
      <c r="D6763" t="s">
        <v>5986</v>
      </c>
    </row>
    <row r="6764" spans="1:4" x14ac:dyDescent="0.2">
      <c r="A6764">
        <v>17</v>
      </c>
      <c r="B6764">
        <v>1500</v>
      </c>
      <c r="C6764">
        <v>1500</v>
      </c>
      <c r="D6764" t="s">
        <v>5986</v>
      </c>
    </row>
    <row r="6765" spans="1:4" x14ac:dyDescent="0.2">
      <c r="A6765">
        <v>18</v>
      </c>
      <c r="B6765">
        <v>1500</v>
      </c>
      <c r="C6765">
        <v>1500</v>
      </c>
      <c r="D6765" t="s">
        <v>5986</v>
      </c>
    </row>
    <row r="6766" spans="1:4" x14ac:dyDescent="0.2">
      <c r="A6766">
        <v>13</v>
      </c>
      <c r="B6766">
        <v>1999.7</v>
      </c>
      <c r="C6766">
        <v>2000</v>
      </c>
      <c r="D6766" t="s">
        <v>5986</v>
      </c>
    </row>
    <row r="6767" spans="1:4" x14ac:dyDescent="0.2">
      <c r="A6767">
        <v>14</v>
      </c>
      <c r="B6767">
        <v>1999.8</v>
      </c>
      <c r="C6767">
        <v>2000</v>
      </c>
      <c r="D6767" t="s">
        <v>5986</v>
      </c>
    </row>
    <row r="6768" spans="1:4" x14ac:dyDescent="0.2">
      <c r="A6768">
        <v>15</v>
      </c>
      <c r="B6768">
        <v>2000.1</v>
      </c>
      <c r="C6768">
        <v>2000</v>
      </c>
      <c r="D6768" t="s">
        <v>5986</v>
      </c>
    </row>
    <row r="6769" spans="1:4" x14ac:dyDescent="0.2">
      <c r="A6769">
        <v>16</v>
      </c>
      <c r="B6769">
        <v>2000.1</v>
      </c>
      <c r="C6769">
        <v>2000</v>
      </c>
      <c r="D6769" t="s">
        <v>5986</v>
      </c>
    </row>
    <row r="6770" spans="1:4" x14ac:dyDescent="0.2">
      <c r="A6770">
        <v>17</v>
      </c>
      <c r="B6770">
        <v>2000.1</v>
      </c>
      <c r="C6770">
        <v>2000</v>
      </c>
      <c r="D6770" t="s">
        <v>5986</v>
      </c>
    </row>
    <row r="6771" spans="1:4" x14ac:dyDescent="0.2">
      <c r="A6771">
        <v>18</v>
      </c>
      <c r="B6771">
        <v>2000</v>
      </c>
      <c r="C6771">
        <v>2000</v>
      </c>
      <c r="D6771" t="s">
        <v>5986</v>
      </c>
    </row>
    <row r="6772" spans="1:4" x14ac:dyDescent="0.2">
      <c r="A6772">
        <v>13</v>
      </c>
      <c r="B6772">
        <v>2280</v>
      </c>
      <c r="C6772">
        <v>2280</v>
      </c>
      <c r="D6772" t="s">
        <v>5986</v>
      </c>
    </row>
    <row r="6773" spans="1:4" x14ac:dyDescent="0.2">
      <c r="A6773">
        <v>14</v>
      </c>
      <c r="B6773">
        <v>2279.9</v>
      </c>
      <c r="C6773">
        <v>2280</v>
      </c>
      <c r="D6773" t="s">
        <v>5986</v>
      </c>
    </row>
    <row r="6774" spans="1:4" x14ac:dyDescent="0.2">
      <c r="A6774">
        <v>15</v>
      </c>
      <c r="B6774">
        <v>2280.1999999999998</v>
      </c>
      <c r="C6774">
        <v>2280</v>
      </c>
      <c r="D6774" t="s">
        <v>5986</v>
      </c>
    </row>
    <row r="6775" spans="1:4" x14ac:dyDescent="0.2">
      <c r="A6775">
        <v>16</v>
      </c>
      <c r="B6775">
        <v>2280.1</v>
      </c>
      <c r="C6775">
        <v>2280</v>
      </c>
      <c r="D6775" t="s">
        <v>5986</v>
      </c>
    </row>
    <row r="6776" spans="1:4" x14ac:dyDescent="0.2">
      <c r="A6776">
        <v>17</v>
      </c>
      <c r="B6776">
        <v>2280.1</v>
      </c>
      <c r="C6776">
        <v>2280</v>
      </c>
      <c r="D6776" t="s">
        <v>5986</v>
      </c>
    </row>
    <row r="6777" spans="1:4" x14ac:dyDescent="0.2">
      <c r="A6777">
        <v>18</v>
      </c>
      <c r="B6777">
        <v>2280.1</v>
      </c>
      <c r="C6777">
        <v>2280</v>
      </c>
      <c r="D6777" t="s">
        <v>5986</v>
      </c>
    </row>
    <row r="6778" spans="1:4" x14ac:dyDescent="0.2">
      <c r="A6778">
        <v>19</v>
      </c>
      <c r="B6778">
        <v>-99.7</v>
      </c>
      <c r="C6778">
        <v>-100</v>
      </c>
      <c r="D6778" t="s">
        <v>5986</v>
      </c>
    </row>
    <row r="6779" spans="1:4" x14ac:dyDescent="0.2">
      <c r="A6779">
        <v>20</v>
      </c>
      <c r="B6779">
        <v>-99.7</v>
      </c>
      <c r="C6779">
        <v>-100</v>
      </c>
      <c r="D6779" t="s">
        <v>5986</v>
      </c>
    </row>
    <row r="6780" spans="1:4" x14ac:dyDescent="0.2">
      <c r="A6780">
        <v>21</v>
      </c>
      <c r="B6780">
        <v>-100.2</v>
      </c>
      <c r="C6780">
        <v>-100</v>
      </c>
      <c r="D6780" t="s">
        <v>5986</v>
      </c>
    </row>
    <row r="6781" spans="1:4" x14ac:dyDescent="0.2">
      <c r="A6781">
        <v>22</v>
      </c>
      <c r="B6781">
        <v>-99.7</v>
      </c>
      <c r="C6781">
        <v>-100</v>
      </c>
      <c r="D6781" t="s">
        <v>5986</v>
      </c>
    </row>
    <row r="6782" spans="1:4" x14ac:dyDescent="0.2">
      <c r="A6782">
        <v>23</v>
      </c>
      <c r="B6782">
        <v>-99.8</v>
      </c>
      <c r="C6782">
        <v>-100</v>
      </c>
      <c r="D6782" t="s">
        <v>5986</v>
      </c>
    </row>
    <row r="6783" spans="1:4" x14ac:dyDescent="0.2">
      <c r="A6783">
        <v>24</v>
      </c>
      <c r="B6783">
        <v>-99.7</v>
      </c>
      <c r="C6783">
        <v>-100</v>
      </c>
      <c r="D6783" t="s">
        <v>5986</v>
      </c>
    </row>
    <row r="6784" spans="1:4" x14ac:dyDescent="0.2">
      <c r="A6784">
        <v>19</v>
      </c>
      <c r="B6784">
        <v>500</v>
      </c>
      <c r="C6784">
        <v>500</v>
      </c>
      <c r="D6784" t="s">
        <v>5986</v>
      </c>
    </row>
    <row r="6785" spans="1:4" x14ac:dyDescent="0.2">
      <c r="A6785">
        <v>20</v>
      </c>
      <c r="B6785">
        <v>500</v>
      </c>
      <c r="C6785">
        <v>500</v>
      </c>
      <c r="D6785" t="s">
        <v>5986</v>
      </c>
    </row>
    <row r="6786" spans="1:4" x14ac:dyDescent="0.2">
      <c r="A6786">
        <v>21</v>
      </c>
      <c r="B6786">
        <v>499.7</v>
      </c>
      <c r="C6786">
        <v>500</v>
      </c>
      <c r="D6786" t="s">
        <v>5986</v>
      </c>
    </row>
    <row r="6787" spans="1:4" x14ac:dyDescent="0.2">
      <c r="A6787">
        <v>22</v>
      </c>
      <c r="B6787">
        <v>500</v>
      </c>
      <c r="C6787">
        <v>500</v>
      </c>
      <c r="D6787" t="s">
        <v>5986</v>
      </c>
    </row>
    <row r="6788" spans="1:4" x14ac:dyDescent="0.2">
      <c r="A6788">
        <v>23</v>
      </c>
      <c r="B6788">
        <v>500.1</v>
      </c>
      <c r="C6788">
        <v>500</v>
      </c>
      <c r="D6788" t="s">
        <v>5986</v>
      </c>
    </row>
    <row r="6789" spans="1:4" x14ac:dyDescent="0.2">
      <c r="A6789">
        <v>24</v>
      </c>
      <c r="B6789">
        <v>500</v>
      </c>
      <c r="C6789">
        <v>500</v>
      </c>
      <c r="D6789" t="s">
        <v>5986</v>
      </c>
    </row>
    <row r="6790" spans="1:4" x14ac:dyDescent="0.2">
      <c r="A6790">
        <v>19</v>
      </c>
      <c r="B6790">
        <v>1000</v>
      </c>
      <c r="C6790">
        <v>1000</v>
      </c>
      <c r="D6790" t="s">
        <v>5986</v>
      </c>
    </row>
    <row r="6791" spans="1:4" x14ac:dyDescent="0.2">
      <c r="A6791">
        <v>20</v>
      </c>
      <c r="B6791">
        <v>999.9</v>
      </c>
      <c r="C6791">
        <v>1000</v>
      </c>
      <c r="D6791" t="s">
        <v>5986</v>
      </c>
    </row>
    <row r="6792" spans="1:4" x14ac:dyDescent="0.2">
      <c r="A6792">
        <v>21</v>
      </c>
      <c r="B6792">
        <v>999.7</v>
      </c>
      <c r="C6792">
        <v>1000</v>
      </c>
      <c r="D6792" t="s">
        <v>5986</v>
      </c>
    </row>
    <row r="6793" spans="1:4" x14ac:dyDescent="0.2">
      <c r="A6793">
        <v>22</v>
      </c>
      <c r="B6793">
        <v>1000</v>
      </c>
      <c r="C6793">
        <v>1000</v>
      </c>
      <c r="D6793" t="s">
        <v>5986</v>
      </c>
    </row>
    <row r="6794" spans="1:4" x14ac:dyDescent="0.2">
      <c r="A6794">
        <v>23</v>
      </c>
      <c r="B6794">
        <v>1000.1</v>
      </c>
      <c r="C6794">
        <v>1000</v>
      </c>
      <c r="D6794" t="s">
        <v>5986</v>
      </c>
    </row>
    <row r="6795" spans="1:4" x14ac:dyDescent="0.2">
      <c r="A6795">
        <v>24</v>
      </c>
      <c r="B6795">
        <v>999.9</v>
      </c>
      <c r="C6795">
        <v>1000</v>
      </c>
      <c r="D6795" t="s">
        <v>5986</v>
      </c>
    </row>
    <row r="6796" spans="1:4" x14ac:dyDescent="0.2">
      <c r="A6796">
        <v>19</v>
      </c>
      <c r="B6796">
        <v>1499.8</v>
      </c>
      <c r="C6796">
        <v>1500</v>
      </c>
      <c r="D6796" t="s">
        <v>5986</v>
      </c>
    </row>
    <row r="6797" spans="1:4" x14ac:dyDescent="0.2">
      <c r="A6797">
        <v>20</v>
      </c>
      <c r="B6797">
        <v>1499.8</v>
      </c>
      <c r="C6797">
        <v>1500</v>
      </c>
      <c r="D6797" t="s">
        <v>5986</v>
      </c>
    </row>
    <row r="6798" spans="1:4" x14ac:dyDescent="0.2">
      <c r="A6798">
        <v>21</v>
      </c>
      <c r="B6798">
        <v>1499.6</v>
      </c>
      <c r="C6798">
        <v>1500</v>
      </c>
      <c r="D6798" t="s">
        <v>5986</v>
      </c>
    </row>
    <row r="6799" spans="1:4" x14ac:dyDescent="0.2">
      <c r="A6799">
        <v>22</v>
      </c>
      <c r="B6799">
        <v>1500</v>
      </c>
      <c r="C6799">
        <v>1500</v>
      </c>
      <c r="D6799" t="s">
        <v>5986</v>
      </c>
    </row>
    <row r="6800" spans="1:4" x14ac:dyDescent="0.2">
      <c r="A6800">
        <v>23</v>
      </c>
      <c r="B6800">
        <v>1499.9</v>
      </c>
      <c r="C6800">
        <v>1500</v>
      </c>
      <c r="D6800" t="s">
        <v>5986</v>
      </c>
    </row>
    <row r="6801" spans="1:4" x14ac:dyDescent="0.2">
      <c r="A6801">
        <v>24</v>
      </c>
      <c r="B6801">
        <v>1499.7</v>
      </c>
      <c r="C6801">
        <v>1500</v>
      </c>
      <c r="D6801" t="s">
        <v>5986</v>
      </c>
    </row>
    <row r="6802" spans="1:4" x14ac:dyDescent="0.2">
      <c r="A6802">
        <v>19</v>
      </c>
      <c r="B6802">
        <v>1999.8</v>
      </c>
      <c r="C6802">
        <v>2000</v>
      </c>
      <c r="D6802" t="s">
        <v>5986</v>
      </c>
    </row>
    <row r="6803" spans="1:4" x14ac:dyDescent="0.2">
      <c r="A6803">
        <v>20</v>
      </c>
      <c r="B6803">
        <v>1999.8</v>
      </c>
      <c r="C6803">
        <v>2000</v>
      </c>
      <c r="D6803" t="s">
        <v>5986</v>
      </c>
    </row>
    <row r="6804" spans="1:4" x14ac:dyDescent="0.2">
      <c r="A6804">
        <v>21</v>
      </c>
      <c r="B6804">
        <v>1999.6</v>
      </c>
      <c r="C6804">
        <v>2000</v>
      </c>
      <c r="D6804" t="s">
        <v>5986</v>
      </c>
    </row>
    <row r="6805" spans="1:4" x14ac:dyDescent="0.2">
      <c r="A6805">
        <v>22</v>
      </c>
      <c r="B6805">
        <v>2000.1</v>
      </c>
      <c r="C6805">
        <v>2000</v>
      </c>
      <c r="D6805" t="s">
        <v>5986</v>
      </c>
    </row>
    <row r="6806" spans="1:4" x14ac:dyDescent="0.2">
      <c r="A6806">
        <v>23</v>
      </c>
      <c r="B6806">
        <v>2000</v>
      </c>
      <c r="C6806">
        <v>2000</v>
      </c>
      <c r="D6806" t="s">
        <v>5986</v>
      </c>
    </row>
    <row r="6807" spans="1:4" x14ac:dyDescent="0.2">
      <c r="A6807">
        <v>24</v>
      </c>
      <c r="B6807">
        <v>1999.7</v>
      </c>
      <c r="C6807">
        <v>2000</v>
      </c>
      <c r="D6807" t="s">
        <v>5986</v>
      </c>
    </row>
    <row r="6808" spans="1:4" x14ac:dyDescent="0.2">
      <c r="A6808">
        <v>19</v>
      </c>
      <c r="B6808">
        <v>2279.8000000000002</v>
      </c>
      <c r="C6808">
        <v>2280</v>
      </c>
      <c r="D6808" t="s">
        <v>5986</v>
      </c>
    </row>
    <row r="6809" spans="1:4" x14ac:dyDescent="0.2">
      <c r="A6809">
        <v>20</v>
      </c>
      <c r="B6809">
        <v>2279.8000000000002</v>
      </c>
      <c r="C6809">
        <v>2280</v>
      </c>
      <c r="D6809" t="s">
        <v>5986</v>
      </c>
    </row>
    <row r="6810" spans="1:4" x14ac:dyDescent="0.2">
      <c r="A6810">
        <v>21</v>
      </c>
      <c r="B6810">
        <v>2279.6</v>
      </c>
      <c r="C6810">
        <v>2280</v>
      </c>
      <c r="D6810" t="s">
        <v>5986</v>
      </c>
    </row>
    <row r="6811" spans="1:4" x14ac:dyDescent="0.2">
      <c r="A6811">
        <v>22</v>
      </c>
      <c r="B6811">
        <v>2280.3000000000002</v>
      </c>
      <c r="C6811">
        <v>2280</v>
      </c>
      <c r="D6811" t="s">
        <v>5986</v>
      </c>
    </row>
    <row r="6812" spans="1:4" x14ac:dyDescent="0.2">
      <c r="A6812">
        <v>23</v>
      </c>
      <c r="B6812">
        <v>2280.1</v>
      </c>
      <c r="C6812">
        <v>2280</v>
      </c>
      <c r="D6812" t="s">
        <v>5986</v>
      </c>
    </row>
    <row r="6813" spans="1:4" x14ac:dyDescent="0.2">
      <c r="A6813">
        <v>24</v>
      </c>
      <c r="B6813">
        <v>2279.6999999999998</v>
      </c>
      <c r="C6813">
        <v>2280</v>
      </c>
      <c r="D6813" t="s">
        <v>5986</v>
      </c>
    </row>
    <row r="6814" spans="1:4" x14ac:dyDescent="0.2">
      <c r="A6814">
        <v>25</v>
      </c>
      <c r="B6814">
        <v>-99.8</v>
      </c>
      <c r="C6814">
        <v>-100</v>
      </c>
      <c r="D6814" t="s">
        <v>5986</v>
      </c>
    </row>
    <row r="6815" spans="1:4" x14ac:dyDescent="0.2">
      <c r="A6815">
        <v>26</v>
      </c>
      <c r="B6815">
        <v>-99.9</v>
      </c>
      <c r="C6815">
        <v>-100</v>
      </c>
      <c r="D6815" t="s">
        <v>5986</v>
      </c>
    </row>
    <row r="6816" spans="1:4" x14ac:dyDescent="0.2">
      <c r="A6816">
        <v>27</v>
      </c>
      <c r="B6816">
        <v>-99.8</v>
      </c>
      <c r="C6816">
        <v>-100</v>
      </c>
      <c r="D6816" t="s">
        <v>5986</v>
      </c>
    </row>
    <row r="6817" spans="1:4" x14ac:dyDescent="0.2">
      <c r="A6817">
        <v>28</v>
      </c>
      <c r="B6817">
        <v>-100</v>
      </c>
      <c r="C6817">
        <v>-100</v>
      </c>
      <c r="D6817" t="s">
        <v>5986</v>
      </c>
    </row>
    <row r="6818" spans="1:4" x14ac:dyDescent="0.2">
      <c r="A6818">
        <v>29</v>
      </c>
      <c r="B6818">
        <v>0</v>
      </c>
      <c r="C6818">
        <v>-100</v>
      </c>
      <c r="D6818" t="s">
        <v>5986</v>
      </c>
    </row>
    <row r="6819" spans="1:4" x14ac:dyDescent="0.2">
      <c r="A6819">
        <v>30</v>
      </c>
      <c r="B6819">
        <v>0</v>
      </c>
      <c r="C6819">
        <v>-100</v>
      </c>
      <c r="D6819" t="s">
        <v>5986</v>
      </c>
    </row>
    <row r="6820" spans="1:4" x14ac:dyDescent="0.2">
      <c r="A6820">
        <v>25</v>
      </c>
      <c r="B6820">
        <v>500</v>
      </c>
      <c r="C6820">
        <v>500</v>
      </c>
      <c r="D6820" t="s">
        <v>5986</v>
      </c>
    </row>
    <row r="6821" spans="1:4" x14ac:dyDescent="0.2">
      <c r="A6821">
        <v>26</v>
      </c>
      <c r="B6821">
        <v>499.7</v>
      </c>
      <c r="C6821">
        <v>500</v>
      </c>
      <c r="D6821" t="s">
        <v>5986</v>
      </c>
    </row>
    <row r="6822" spans="1:4" x14ac:dyDescent="0.2">
      <c r="A6822">
        <v>27</v>
      </c>
      <c r="B6822">
        <v>500</v>
      </c>
      <c r="C6822">
        <v>500</v>
      </c>
      <c r="D6822" t="s">
        <v>5986</v>
      </c>
    </row>
    <row r="6823" spans="1:4" x14ac:dyDescent="0.2">
      <c r="A6823">
        <v>28</v>
      </c>
      <c r="B6823">
        <v>499.7</v>
      </c>
      <c r="C6823">
        <v>500</v>
      </c>
      <c r="D6823" t="s">
        <v>5986</v>
      </c>
    </row>
    <row r="6824" spans="1:4" x14ac:dyDescent="0.2">
      <c r="A6824">
        <v>29</v>
      </c>
      <c r="B6824">
        <v>0</v>
      </c>
      <c r="C6824">
        <v>500</v>
      </c>
      <c r="D6824" t="s">
        <v>5986</v>
      </c>
    </row>
    <row r="6825" spans="1:4" x14ac:dyDescent="0.2">
      <c r="A6825">
        <v>30</v>
      </c>
      <c r="B6825">
        <v>0</v>
      </c>
      <c r="C6825">
        <v>500</v>
      </c>
      <c r="D6825" t="s">
        <v>5986</v>
      </c>
    </row>
    <row r="6826" spans="1:4" x14ac:dyDescent="0.2">
      <c r="A6826">
        <v>25</v>
      </c>
      <c r="B6826">
        <v>1000</v>
      </c>
      <c r="C6826">
        <v>1000</v>
      </c>
      <c r="D6826" t="s">
        <v>5986</v>
      </c>
    </row>
    <row r="6827" spans="1:4" x14ac:dyDescent="0.2">
      <c r="A6827">
        <v>26</v>
      </c>
      <c r="B6827">
        <v>999.7</v>
      </c>
      <c r="C6827">
        <v>1000</v>
      </c>
      <c r="D6827" t="s">
        <v>5986</v>
      </c>
    </row>
    <row r="6828" spans="1:4" x14ac:dyDescent="0.2">
      <c r="A6828">
        <v>27</v>
      </c>
      <c r="B6828">
        <v>1000</v>
      </c>
      <c r="C6828">
        <v>1000</v>
      </c>
      <c r="D6828" t="s">
        <v>5986</v>
      </c>
    </row>
    <row r="6829" spans="1:4" x14ac:dyDescent="0.2">
      <c r="A6829">
        <v>28</v>
      </c>
      <c r="B6829">
        <v>999.7</v>
      </c>
      <c r="C6829">
        <v>1000</v>
      </c>
      <c r="D6829" t="s">
        <v>5986</v>
      </c>
    </row>
    <row r="6830" spans="1:4" x14ac:dyDescent="0.2">
      <c r="A6830">
        <v>29</v>
      </c>
      <c r="B6830">
        <v>0</v>
      </c>
      <c r="C6830">
        <v>1000</v>
      </c>
      <c r="D6830" t="s">
        <v>5986</v>
      </c>
    </row>
    <row r="6831" spans="1:4" x14ac:dyDescent="0.2">
      <c r="A6831">
        <v>30</v>
      </c>
      <c r="B6831">
        <v>0</v>
      </c>
      <c r="C6831">
        <v>1000</v>
      </c>
      <c r="D6831" t="s">
        <v>5986</v>
      </c>
    </row>
    <row r="6832" spans="1:4" x14ac:dyDescent="0.2">
      <c r="A6832">
        <v>25</v>
      </c>
      <c r="B6832">
        <v>1499.9</v>
      </c>
      <c r="C6832">
        <v>1500</v>
      </c>
      <c r="D6832" t="s">
        <v>5986</v>
      </c>
    </row>
    <row r="6833" spans="1:4" x14ac:dyDescent="0.2">
      <c r="A6833">
        <v>26</v>
      </c>
      <c r="B6833">
        <v>1499.6</v>
      </c>
      <c r="C6833">
        <v>1500</v>
      </c>
      <c r="D6833" t="s">
        <v>5986</v>
      </c>
    </row>
    <row r="6834" spans="1:4" x14ac:dyDescent="0.2">
      <c r="A6834">
        <v>27</v>
      </c>
      <c r="B6834">
        <v>1500</v>
      </c>
      <c r="C6834">
        <v>1500</v>
      </c>
      <c r="D6834" t="s">
        <v>5986</v>
      </c>
    </row>
    <row r="6835" spans="1:4" x14ac:dyDescent="0.2">
      <c r="A6835">
        <v>28</v>
      </c>
      <c r="B6835">
        <v>1499.5</v>
      </c>
      <c r="C6835">
        <v>1500</v>
      </c>
      <c r="D6835" t="s">
        <v>5986</v>
      </c>
    </row>
    <row r="6836" spans="1:4" x14ac:dyDescent="0.2">
      <c r="A6836">
        <v>29</v>
      </c>
      <c r="B6836">
        <v>0</v>
      </c>
      <c r="C6836">
        <v>1500</v>
      </c>
      <c r="D6836" t="s">
        <v>5986</v>
      </c>
    </row>
    <row r="6837" spans="1:4" x14ac:dyDescent="0.2">
      <c r="A6837">
        <v>30</v>
      </c>
      <c r="B6837">
        <v>0</v>
      </c>
      <c r="C6837">
        <v>1500</v>
      </c>
      <c r="D6837" t="s">
        <v>5986</v>
      </c>
    </row>
    <row r="6838" spans="1:4" x14ac:dyDescent="0.2">
      <c r="A6838">
        <v>25</v>
      </c>
      <c r="B6838">
        <v>2000</v>
      </c>
      <c r="C6838">
        <v>2000</v>
      </c>
      <c r="D6838" t="s">
        <v>5986</v>
      </c>
    </row>
    <row r="6839" spans="1:4" x14ac:dyDescent="0.2">
      <c r="A6839">
        <v>26</v>
      </c>
      <c r="B6839">
        <v>1999.8</v>
      </c>
      <c r="C6839">
        <v>2000</v>
      </c>
      <c r="D6839" t="s">
        <v>5986</v>
      </c>
    </row>
    <row r="6840" spans="1:4" x14ac:dyDescent="0.2">
      <c r="A6840">
        <v>27</v>
      </c>
      <c r="B6840">
        <v>2000</v>
      </c>
      <c r="C6840">
        <v>2000</v>
      </c>
      <c r="D6840" t="s">
        <v>5986</v>
      </c>
    </row>
    <row r="6841" spans="1:4" x14ac:dyDescent="0.2">
      <c r="A6841">
        <v>28</v>
      </c>
      <c r="B6841">
        <v>1999.7</v>
      </c>
      <c r="C6841">
        <v>2000</v>
      </c>
      <c r="D6841" t="s">
        <v>5986</v>
      </c>
    </row>
    <row r="6842" spans="1:4" x14ac:dyDescent="0.2">
      <c r="A6842">
        <v>29</v>
      </c>
      <c r="B6842">
        <v>0</v>
      </c>
      <c r="C6842">
        <v>2000</v>
      </c>
      <c r="D6842" t="s">
        <v>5986</v>
      </c>
    </row>
    <row r="6843" spans="1:4" x14ac:dyDescent="0.2">
      <c r="A6843">
        <v>30</v>
      </c>
      <c r="B6843">
        <v>0</v>
      </c>
      <c r="C6843">
        <v>2000</v>
      </c>
      <c r="D6843" t="s">
        <v>5986</v>
      </c>
    </row>
    <row r="6844" spans="1:4" x14ac:dyDescent="0.2">
      <c r="A6844">
        <v>25</v>
      </c>
      <c r="B6844">
        <v>2280.1</v>
      </c>
      <c r="C6844">
        <v>2280</v>
      </c>
      <c r="D6844" t="s">
        <v>5986</v>
      </c>
    </row>
    <row r="6845" spans="1:4" x14ac:dyDescent="0.2">
      <c r="A6845">
        <v>26</v>
      </c>
      <c r="B6845">
        <v>2279.9</v>
      </c>
      <c r="C6845">
        <v>2280</v>
      </c>
      <c r="D6845" t="s">
        <v>5986</v>
      </c>
    </row>
    <row r="6846" spans="1:4" x14ac:dyDescent="0.2">
      <c r="A6846">
        <v>27</v>
      </c>
      <c r="B6846">
        <v>2280.1</v>
      </c>
      <c r="C6846">
        <v>2280</v>
      </c>
      <c r="D6846" t="s">
        <v>5986</v>
      </c>
    </row>
    <row r="6847" spans="1:4" x14ac:dyDescent="0.2">
      <c r="A6847">
        <v>28</v>
      </c>
      <c r="B6847">
        <v>2279.6999999999998</v>
      </c>
      <c r="C6847">
        <v>2280</v>
      </c>
      <c r="D6847" t="s">
        <v>5986</v>
      </c>
    </row>
    <row r="6848" spans="1:4" x14ac:dyDescent="0.2">
      <c r="A6848">
        <v>29</v>
      </c>
      <c r="B6848">
        <v>0</v>
      </c>
      <c r="C6848">
        <v>2280</v>
      </c>
      <c r="D6848" t="s">
        <v>5986</v>
      </c>
    </row>
    <row r="6849" spans="1:4" x14ac:dyDescent="0.2">
      <c r="A6849">
        <v>30</v>
      </c>
      <c r="B6849">
        <v>0</v>
      </c>
      <c r="C6849">
        <v>2280</v>
      </c>
      <c r="D6849" t="s">
        <v>5986</v>
      </c>
    </row>
    <row r="6850" spans="1:4" x14ac:dyDescent="0.2">
      <c r="A6850">
        <v>31</v>
      </c>
      <c r="B6850">
        <v>0</v>
      </c>
      <c r="C6850">
        <v>-100</v>
      </c>
      <c r="D6850" t="s">
        <v>5986</v>
      </c>
    </row>
    <row r="6851" spans="1:4" x14ac:dyDescent="0.2">
      <c r="A6851">
        <v>32</v>
      </c>
      <c r="B6851">
        <v>0</v>
      </c>
      <c r="C6851">
        <v>-100</v>
      </c>
      <c r="D6851" t="s">
        <v>5986</v>
      </c>
    </row>
    <row r="6852" spans="1:4" x14ac:dyDescent="0.2">
      <c r="A6852">
        <v>33</v>
      </c>
      <c r="B6852">
        <v>0</v>
      </c>
      <c r="C6852">
        <v>-100</v>
      </c>
      <c r="D6852" t="s">
        <v>5986</v>
      </c>
    </row>
    <row r="6853" spans="1:4" x14ac:dyDescent="0.2">
      <c r="A6853">
        <v>34</v>
      </c>
      <c r="B6853">
        <v>0</v>
      </c>
      <c r="C6853">
        <v>-100</v>
      </c>
      <c r="D6853" t="s">
        <v>5986</v>
      </c>
    </row>
    <row r="6854" spans="1:4" x14ac:dyDescent="0.2">
      <c r="A6854">
        <v>35</v>
      </c>
      <c r="B6854">
        <v>0</v>
      </c>
      <c r="C6854">
        <v>-100</v>
      </c>
      <c r="D6854" t="s">
        <v>5986</v>
      </c>
    </row>
    <row r="6855" spans="1:4" x14ac:dyDescent="0.2">
      <c r="A6855">
        <v>36</v>
      </c>
      <c r="B6855">
        <v>0</v>
      </c>
      <c r="C6855">
        <v>-100</v>
      </c>
      <c r="D6855" t="s">
        <v>5986</v>
      </c>
    </row>
    <row r="6856" spans="1:4" x14ac:dyDescent="0.2">
      <c r="A6856">
        <v>31</v>
      </c>
      <c r="B6856">
        <v>0</v>
      </c>
      <c r="C6856">
        <v>500</v>
      </c>
      <c r="D6856" t="s">
        <v>5986</v>
      </c>
    </row>
    <row r="6857" spans="1:4" x14ac:dyDescent="0.2">
      <c r="A6857">
        <v>32</v>
      </c>
      <c r="B6857">
        <v>0</v>
      </c>
      <c r="C6857">
        <v>500</v>
      </c>
      <c r="D6857" t="s">
        <v>5986</v>
      </c>
    </row>
    <row r="6858" spans="1:4" x14ac:dyDescent="0.2">
      <c r="A6858">
        <v>33</v>
      </c>
      <c r="B6858">
        <v>0</v>
      </c>
      <c r="C6858">
        <v>500</v>
      </c>
      <c r="D6858" t="s">
        <v>5986</v>
      </c>
    </row>
    <row r="6859" spans="1:4" x14ac:dyDescent="0.2">
      <c r="A6859">
        <v>34</v>
      </c>
      <c r="B6859">
        <v>0</v>
      </c>
      <c r="C6859">
        <v>500</v>
      </c>
      <c r="D6859" t="s">
        <v>5986</v>
      </c>
    </row>
    <row r="6860" spans="1:4" x14ac:dyDescent="0.2">
      <c r="A6860">
        <v>35</v>
      </c>
      <c r="B6860">
        <v>0</v>
      </c>
      <c r="C6860">
        <v>500</v>
      </c>
      <c r="D6860" t="s">
        <v>5986</v>
      </c>
    </row>
    <row r="6861" spans="1:4" x14ac:dyDescent="0.2">
      <c r="A6861">
        <v>36</v>
      </c>
      <c r="B6861">
        <v>0</v>
      </c>
      <c r="C6861">
        <v>500</v>
      </c>
      <c r="D6861" t="s">
        <v>5986</v>
      </c>
    </row>
    <row r="6862" spans="1:4" x14ac:dyDescent="0.2">
      <c r="A6862">
        <v>31</v>
      </c>
      <c r="B6862">
        <v>0</v>
      </c>
      <c r="C6862">
        <v>1000</v>
      </c>
      <c r="D6862" t="s">
        <v>5986</v>
      </c>
    </row>
    <row r="6863" spans="1:4" x14ac:dyDescent="0.2">
      <c r="A6863">
        <v>32</v>
      </c>
      <c r="B6863">
        <v>0</v>
      </c>
      <c r="C6863">
        <v>1000</v>
      </c>
      <c r="D6863" t="s">
        <v>5986</v>
      </c>
    </row>
    <row r="6864" spans="1:4" x14ac:dyDescent="0.2">
      <c r="A6864">
        <v>33</v>
      </c>
      <c r="B6864">
        <v>0</v>
      </c>
      <c r="C6864">
        <v>1000</v>
      </c>
      <c r="D6864" t="s">
        <v>5986</v>
      </c>
    </row>
    <row r="6865" spans="1:4" x14ac:dyDescent="0.2">
      <c r="A6865">
        <v>34</v>
      </c>
      <c r="B6865">
        <v>0</v>
      </c>
      <c r="C6865">
        <v>1000</v>
      </c>
      <c r="D6865" t="s">
        <v>5986</v>
      </c>
    </row>
    <row r="6866" spans="1:4" x14ac:dyDescent="0.2">
      <c r="A6866">
        <v>35</v>
      </c>
      <c r="B6866">
        <v>0</v>
      </c>
      <c r="C6866">
        <v>1000</v>
      </c>
      <c r="D6866" t="s">
        <v>5986</v>
      </c>
    </row>
    <row r="6867" spans="1:4" x14ac:dyDescent="0.2">
      <c r="A6867">
        <v>36</v>
      </c>
      <c r="B6867">
        <v>0</v>
      </c>
      <c r="C6867">
        <v>1000</v>
      </c>
      <c r="D6867" t="s">
        <v>5986</v>
      </c>
    </row>
    <row r="6868" spans="1:4" x14ac:dyDescent="0.2">
      <c r="A6868">
        <v>31</v>
      </c>
      <c r="B6868">
        <v>0</v>
      </c>
      <c r="C6868">
        <v>1500</v>
      </c>
      <c r="D6868" t="s">
        <v>5986</v>
      </c>
    </row>
    <row r="6869" spans="1:4" x14ac:dyDescent="0.2">
      <c r="A6869">
        <v>32</v>
      </c>
      <c r="B6869">
        <v>0</v>
      </c>
      <c r="C6869">
        <v>1500</v>
      </c>
      <c r="D6869" t="s">
        <v>5986</v>
      </c>
    </row>
    <row r="6870" spans="1:4" x14ac:dyDescent="0.2">
      <c r="A6870">
        <v>33</v>
      </c>
      <c r="B6870">
        <v>0</v>
      </c>
      <c r="C6870">
        <v>1500</v>
      </c>
      <c r="D6870" t="s">
        <v>5986</v>
      </c>
    </row>
    <row r="6871" spans="1:4" x14ac:dyDescent="0.2">
      <c r="A6871">
        <v>34</v>
      </c>
      <c r="B6871">
        <v>0</v>
      </c>
      <c r="C6871">
        <v>1500</v>
      </c>
      <c r="D6871" t="s">
        <v>5986</v>
      </c>
    </row>
    <row r="6872" spans="1:4" x14ac:dyDescent="0.2">
      <c r="A6872">
        <v>35</v>
      </c>
      <c r="B6872">
        <v>0</v>
      </c>
      <c r="C6872">
        <v>1500</v>
      </c>
      <c r="D6872" t="s">
        <v>5986</v>
      </c>
    </row>
    <row r="6873" spans="1:4" x14ac:dyDescent="0.2">
      <c r="A6873">
        <v>36</v>
      </c>
      <c r="B6873">
        <v>0</v>
      </c>
      <c r="C6873">
        <v>1500</v>
      </c>
      <c r="D6873" t="s">
        <v>5986</v>
      </c>
    </row>
    <row r="6874" spans="1:4" x14ac:dyDescent="0.2">
      <c r="A6874">
        <v>32</v>
      </c>
      <c r="B6874">
        <v>0</v>
      </c>
      <c r="C6874">
        <v>2000</v>
      </c>
      <c r="D6874" t="s">
        <v>5986</v>
      </c>
    </row>
    <row r="6875" spans="1:4" x14ac:dyDescent="0.2">
      <c r="A6875">
        <v>33</v>
      </c>
      <c r="B6875">
        <v>0</v>
      </c>
      <c r="C6875">
        <v>2000</v>
      </c>
      <c r="D6875" t="s">
        <v>5986</v>
      </c>
    </row>
    <row r="6876" spans="1:4" x14ac:dyDescent="0.2">
      <c r="A6876">
        <v>34</v>
      </c>
      <c r="B6876">
        <v>0</v>
      </c>
      <c r="C6876">
        <v>2000</v>
      </c>
      <c r="D6876" t="s">
        <v>5986</v>
      </c>
    </row>
    <row r="6877" spans="1:4" x14ac:dyDescent="0.2">
      <c r="A6877">
        <v>35</v>
      </c>
      <c r="B6877">
        <v>0</v>
      </c>
      <c r="C6877">
        <v>2000</v>
      </c>
      <c r="D6877" t="s">
        <v>5986</v>
      </c>
    </row>
    <row r="6878" spans="1:4" x14ac:dyDescent="0.2">
      <c r="A6878">
        <v>36</v>
      </c>
      <c r="B6878">
        <v>0</v>
      </c>
      <c r="C6878">
        <v>2000</v>
      </c>
      <c r="D6878" t="s">
        <v>5986</v>
      </c>
    </row>
    <row r="6879" spans="1:4" x14ac:dyDescent="0.2">
      <c r="A6879">
        <v>31</v>
      </c>
      <c r="B6879">
        <v>0</v>
      </c>
      <c r="C6879">
        <v>2280</v>
      </c>
      <c r="D6879" t="s">
        <v>5986</v>
      </c>
    </row>
    <row r="6880" spans="1:4" x14ac:dyDescent="0.2">
      <c r="A6880">
        <v>32</v>
      </c>
      <c r="B6880">
        <v>0</v>
      </c>
      <c r="C6880">
        <v>2280</v>
      </c>
      <c r="D6880" t="s">
        <v>5986</v>
      </c>
    </row>
    <row r="6881" spans="1:4" x14ac:dyDescent="0.2">
      <c r="A6881">
        <v>33</v>
      </c>
      <c r="B6881">
        <v>0</v>
      </c>
      <c r="C6881">
        <v>2280</v>
      </c>
      <c r="D6881" t="s">
        <v>5986</v>
      </c>
    </row>
    <row r="6882" spans="1:4" x14ac:dyDescent="0.2">
      <c r="A6882">
        <v>34</v>
      </c>
      <c r="B6882">
        <v>0</v>
      </c>
      <c r="C6882">
        <v>2280</v>
      </c>
      <c r="D6882" t="s">
        <v>5986</v>
      </c>
    </row>
    <row r="6883" spans="1:4" x14ac:dyDescent="0.2">
      <c r="A6883">
        <v>35</v>
      </c>
      <c r="B6883">
        <v>0</v>
      </c>
      <c r="C6883">
        <v>2280</v>
      </c>
      <c r="D6883" t="s">
        <v>5986</v>
      </c>
    </row>
    <row r="6884" spans="1:4" x14ac:dyDescent="0.2">
      <c r="A6884">
        <v>36</v>
      </c>
      <c r="B6884">
        <v>0</v>
      </c>
      <c r="C6884">
        <v>2280</v>
      </c>
      <c r="D6884" t="s">
        <v>5986</v>
      </c>
    </row>
    <row r="6885" spans="1:4" x14ac:dyDescent="0.2">
      <c r="A6885">
        <v>37</v>
      </c>
      <c r="B6885">
        <v>0</v>
      </c>
      <c r="C6885">
        <v>-100</v>
      </c>
      <c r="D6885" t="s">
        <v>5986</v>
      </c>
    </row>
    <row r="6886" spans="1:4" x14ac:dyDescent="0.2">
      <c r="A6886">
        <v>38</v>
      </c>
      <c r="B6886">
        <v>0</v>
      </c>
      <c r="C6886">
        <v>-100</v>
      </c>
      <c r="D6886" t="s">
        <v>5986</v>
      </c>
    </row>
    <row r="6887" spans="1:4" x14ac:dyDescent="0.2">
      <c r="A6887">
        <v>39</v>
      </c>
      <c r="B6887">
        <v>0</v>
      </c>
      <c r="C6887">
        <v>-100</v>
      </c>
      <c r="D6887" t="s">
        <v>5986</v>
      </c>
    </row>
    <row r="6888" spans="1:4" x14ac:dyDescent="0.2">
      <c r="A6888">
        <v>40</v>
      </c>
      <c r="B6888">
        <v>0</v>
      </c>
      <c r="C6888">
        <v>-100</v>
      </c>
      <c r="D6888" t="s">
        <v>5986</v>
      </c>
    </row>
    <row r="6889" spans="1:4" x14ac:dyDescent="0.2">
      <c r="A6889">
        <v>37</v>
      </c>
      <c r="B6889">
        <v>0</v>
      </c>
      <c r="C6889">
        <v>500</v>
      </c>
      <c r="D6889" t="s">
        <v>5986</v>
      </c>
    </row>
    <row r="6890" spans="1:4" x14ac:dyDescent="0.2">
      <c r="A6890">
        <v>38</v>
      </c>
      <c r="B6890">
        <v>0</v>
      </c>
      <c r="C6890">
        <v>500</v>
      </c>
      <c r="D6890" t="s">
        <v>5986</v>
      </c>
    </row>
    <row r="6891" spans="1:4" x14ac:dyDescent="0.2">
      <c r="A6891">
        <v>39</v>
      </c>
      <c r="B6891">
        <v>0</v>
      </c>
      <c r="C6891">
        <v>500</v>
      </c>
      <c r="D6891" t="s">
        <v>5986</v>
      </c>
    </row>
    <row r="6892" spans="1:4" x14ac:dyDescent="0.2">
      <c r="A6892">
        <v>40</v>
      </c>
      <c r="B6892">
        <v>0</v>
      </c>
      <c r="C6892">
        <v>500</v>
      </c>
      <c r="D6892" t="s">
        <v>5986</v>
      </c>
    </row>
    <row r="6893" spans="1:4" x14ac:dyDescent="0.2">
      <c r="A6893">
        <v>37</v>
      </c>
      <c r="B6893">
        <v>0</v>
      </c>
      <c r="C6893">
        <v>1000</v>
      </c>
      <c r="D6893" t="s">
        <v>5986</v>
      </c>
    </row>
    <row r="6894" spans="1:4" x14ac:dyDescent="0.2">
      <c r="A6894">
        <v>38</v>
      </c>
      <c r="B6894">
        <v>0</v>
      </c>
      <c r="C6894">
        <v>1000</v>
      </c>
      <c r="D6894" t="s">
        <v>5986</v>
      </c>
    </row>
    <row r="6895" spans="1:4" x14ac:dyDescent="0.2">
      <c r="A6895">
        <v>39</v>
      </c>
      <c r="B6895">
        <v>0</v>
      </c>
      <c r="C6895">
        <v>1000</v>
      </c>
      <c r="D6895" t="s">
        <v>5986</v>
      </c>
    </row>
    <row r="6896" spans="1:4" x14ac:dyDescent="0.2">
      <c r="A6896">
        <v>40</v>
      </c>
      <c r="B6896">
        <v>0</v>
      </c>
      <c r="C6896">
        <v>1000</v>
      </c>
      <c r="D6896" t="s">
        <v>5986</v>
      </c>
    </row>
    <row r="6897" spans="1:4" x14ac:dyDescent="0.2">
      <c r="A6897">
        <v>37</v>
      </c>
      <c r="B6897">
        <v>0</v>
      </c>
      <c r="C6897">
        <v>1500</v>
      </c>
      <c r="D6897" t="s">
        <v>5986</v>
      </c>
    </row>
    <row r="6898" spans="1:4" x14ac:dyDescent="0.2">
      <c r="A6898">
        <v>38</v>
      </c>
      <c r="B6898">
        <v>0</v>
      </c>
      <c r="C6898">
        <v>1500</v>
      </c>
      <c r="D6898" t="s">
        <v>5986</v>
      </c>
    </row>
    <row r="6899" spans="1:4" x14ac:dyDescent="0.2">
      <c r="A6899">
        <v>39</v>
      </c>
      <c r="B6899">
        <v>0</v>
      </c>
      <c r="C6899">
        <v>1500</v>
      </c>
      <c r="D6899" t="s">
        <v>5986</v>
      </c>
    </row>
    <row r="6900" spans="1:4" x14ac:dyDescent="0.2">
      <c r="A6900">
        <v>40</v>
      </c>
      <c r="B6900">
        <v>0</v>
      </c>
      <c r="C6900">
        <v>1500</v>
      </c>
      <c r="D6900" t="s">
        <v>5986</v>
      </c>
    </row>
    <row r="6901" spans="1:4" x14ac:dyDescent="0.2">
      <c r="A6901">
        <v>37</v>
      </c>
      <c r="B6901">
        <v>0</v>
      </c>
      <c r="C6901">
        <v>2000</v>
      </c>
      <c r="D6901" t="s">
        <v>5986</v>
      </c>
    </row>
    <row r="6902" spans="1:4" x14ac:dyDescent="0.2">
      <c r="A6902">
        <v>38</v>
      </c>
      <c r="B6902">
        <v>0</v>
      </c>
      <c r="C6902">
        <v>2000</v>
      </c>
      <c r="D6902" t="s">
        <v>5986</v>
      </c>
    </row>
    <row r="6903" spans="1:4" x14ac:dyDescent="0.2">
      <c r="A6903">
        <v>39</v>
      </c>
      <c r="B6903">
        <v>0</v>
      </c>
      <c r="C6903">
        <v>2000</v>
      </c>
      <c r="D6903" t="s">
        <v>5986</v>
      </c>
    </row>
    <row r="6904" spans="1:4" x14ac:dyDescent="0.2">
      <c r="A6904">
        <v>40</v>
      </c>
      <c r="B6904">
        <v>0</v>
      </c>
      <c r="C6904">
        <v>2000</v>
      </c>
      <c r="D6904" t="s">
        <v>5986</v>
      </c>
    </row>
    <row r="6905" spans="1:4" x14ac:dyDescent="0.2">
      <c r="A6905">
        <v>37</v>
      </c>
      <c r="B6905">
        <v>0</v>
      </c>
      <c r="C6905">
        <v>2280</v>
      </c>
      <c r="D6905" t="s">
        <v>5986</v>
      </c>
    </row>
    <row r="6906" spans="1:4" x14ac:dyDescent="0.2">
      <c r="A6906">
        <v>38</v>
      </c>
      <c r="B6906">
        <v>0</v>
      </c>
      <c r="C6906">
        <v>2280</v>
      </c>
      <c r="D6906" t="s">
        <v>5986</v>
      </c>
    </row>
    <row r="6907" spans="1:4" x14ac:dyDescent="0.2">
      <c r="A6907">
        <v>39</v>
      </c>
      <c r="B6907">
        <v>0</v>
      </c>
      <c r="C6907">
        <v>2280</v>
      </c>
      <c r="D6907" t="s">
        <v>5986</v>
      </c>
    </row>
    <row r="6908" spans="1:4" x14ac:dyDescent="0.2">
      <c r="A6908">
        <v>40</v>
      </c>
      <c r="B6908">
        <v>0</v>
      </c>
      <c r="C6908">
        <v>2280</v>
      </c>
      <c r="D6908" t="s">
        <v>5986</v>
      </c>
    </row>
    <row r="6909" spans="1:4" x14ac:dyDescent="0.2">
      <c r="A6909">
        <v>1</v>
      </c>
      <c r="B6909">
        <v>-99.9</v>
      </c>
      <c r="C6909">
        <v>-100</v>
      </c>
      <c r="D6909" t="s">
        <v>5987</v>
      </c>
    </row>
    <row r="6910" spans="1:4" x14ac:dyDescent="0.2">
      <c r="A6910">
        <v>2</v>
      </c>
      <c r="B6910">
        <v>-99.9</v>
      </c>
      <c r="C6910">
        <v>-100</v>
      </c>
      <c r="D6910" t="s">
        <v>5987</v>
      </c>
    </row>
    <row r="6911" spans="1:4" x14ac:dyDescent="0.2">
      <c r="A6911">
        <v>3</v>
      </c>
      <c r="B6911">
        <v>-99.8</v>
      </c>
      <c r="C6911">
        <v>-100</v>
      </c>
      <c r="D6911" t="s">
        <v>5987</v>
      </c>
    </row>
    <row r="6912" spans="1:4" x14ac:dyDescent="0.2">
      <c r="A6912">
        <v>4</v>
      </c>
      <c r="B6912">
        <v>-99.9</v>
      </c>
      <c r="C6912">
        <v>-100</v>
      </c>
      <c r="D6912" t="s">
        <v>5987</v>
      </c>
    </row>
    <row r="6913" spans="1:4" x14ac:dyDescent="0.2">
      <c r="A6913">
        <v>5</v>
      </c>
      <c r="B6913">
        <v>-100</v>
      </c>
      <c r="C6913">
        <v>-100</v>
      </c>
      <c r="D6913" t="s">
        <v>5987</v>
      </c>
    </row>
    <row r="6914" spans="1:4" x14ac:dyDescent="0.2">
      <c r="A6914">
        <v>6</v>
      </c>
      <c r="B6914">
        <v>-99.9</v>
      </c>
      <c r="C6914">
        <v>-100</v>
      </c>
      <c r="D6914" t="s">
        <v>5987</v>
      </c>
    </row>
    <row r="6915" spans="1:4" x14ac:dyDescent="0.2">
      <c r="A6915">
        <v>1</v>
      </c>
      <c r="B6915">
        <v>-49.9</v>
      </c>
      <c r="C6915">
        <v>-50</v>
      </c>
      <c r="D6915" t="s">
        <v>5987</v>
      </c>
    </row>
    <row r="6916" spans="1:4" x14ac:dyDescent="0.2">
      <c r="A6916">
        <v>2</v>
      </c>
      <c r="B6916">
        <v>-49.9</v>
      </c>
      <c r="C6916">
        <v>-50</v>
      </c>
      <c r="D6916" t="s">
        <v>5987</v>
      </c>
    </row>
    <row r="6917" spans="1:4" x14ac:dyDescent="0.2">
      <c r="A6917">
        <v>3</v>
      </c>
      <c r="B6917">
        <v>-49.8</v>
      </c>
      <c r="C6917">
        <v>-50</v>
      </c>
      <c r="D6917" t="s">
        <v>5987</v>
      </c>
    </row>
    <row r="6918" spans="1:4" x14ac:dyDescent="0.2">
      <c r="A6918">
        <v>4</v>
      </c>
      <c r="B6918">
        <v>-49.9</v>
      </c>
      <c r="C6918">
        <v>-50</v>
      </c>
      <c r="D6918" t="s">
        <v>5987</v>
      </c>
    </row>
    <row r="6919" spans="1:4" x14ac:dyDescent="0.2">
      <c r="A6919">
        <v>5</v>
      </c>
      <c r="B6919">
        <v>-50</v>
      </c>
      <c r="C6919">
        <v>-50</v>
      </c>
      <c r="D6919" t="s">
        <v>5987</v>
      </c>
    </row>
    <row r="6920" spans="1:4" x14ac:dyDescent="0.2">
      <c r="A6920">
        <v>6</v>
      </c>
      <c r="B6920">
        <v>-49.9</v>
      </c>
      <c r="C6920">
        <v>-50</v>
      </c>
      <c r="D6920" t="s">
        <v>5987</v>
      </c>
    </row>
    <row r="6921" spans="1:4" x14ac:dyDescent="0.2">
      <c r="A6921">
        <v>1</v>
      </c>
      <c r="B6921">
        <v>-0.1</v>
      </c>
      <c r="C6921">
        <v>0</v>
      </c>
      <c r="D6921" t="s">
        <v>5987</v>
      </c>
    </row>
    <row r="6922" spans="1:4" x14ac:dyDescent="0.2">
      <c r="A6922">
        <v>2</v>
      </c>
      <c r="B6922">
        <v>0</v>
      </c>
      <c r="C6922">
        <v>0</v>
      </c>
      <c r="D6922" t="s">
        <v>5987</v>
      </c>
    </row>
    <row r="6923" spans="1:4" x14ac:dyDescent="0.2">
      <c r="A6923">
        <v>3</v>
      </c>
      <c r="B6923">
        <v>-0.2</v>
      </c>
      <c r="C6923">
        <v>0</v>
      </c>
      <c r="D6923" t="s">
        <v>5987</v>
      </c>
    </row>
    <row r="6924" spans="1:4" x14ac:dyDescent="0.2">
      <c r="A6924">
        <v>4</v>
      </c>
      <c r="B6924">
        <v>0</v>
      </c>
      <c r="C6924">
        <v>0</v>
      </c>
      <c r="D6924" t="s">
        <v>5987</v>
      </c>
    </row>
    <row r="6925" spans="1:4" x14ac:dyDescent="0.2">
      <c r="A6925">
        <v>5</v>
      </c>
      <c r="B6925">
        <v>0</v>
      </c>
      <c r="C6925">
        <v>0</v>
      </c>
      <c r="D6925" t="s">
        <v>5987</v>
      </c>
    </row>
    <row r="6926" spans="1:4" x14ac:dyDescent="0.2">
      <c r="A6926">
        <v>6</v>
      </c>
      <c r="B6926">
        <v>0</v>
      </c>
      <c r="C6926">
        <v>0</v>
      </c>
      <c r="D6926" t="s">
        <v>5987</v>
      </c>
    </row>
    <row r="6927" spans="1:4" x14ac:dyDescent="0.2">
      <c r="A6927">
        <v>1</v>
      </c>
      <c r="B6927">
        <v>249.9</v>
      </c>
      <c r="C6927">
        <v>250</v>
      </c>
      <c r="D6927" t="s">
        <v>5987</v>
      </c>
    </row>
    <row r="6928" spans="1:4" x14ac:dyDescent="0.2">
      <c r="A6928">
        <v>2</v>
      </c>
      <c r="B6928">
        <v>249.9</v>
      </c>
      <c r="C6928">
        <v>250</v>
      </c>
      <c r="D6928" t="s">
        <v>5987</v>
      </c>
    </row>
    <row r="6929" spans="1:4" x14ac:dyDescent="0.2">
      <c r="A6929">
        <v>3</v>
      </c>
      <c r="B6929">
        <v>249.9</v>
      </c>
      <c r="C6929">
        <v>250</v>
      </c>
      <c r="D6929" t="s">
        <v>5987</v>
      </c>
    </row>
    <row r="6930" spans="1:4" x14ac:dyDescent="0.2">
      <c r="A6930">
        <v>4</v>
      </c>
      <c r="B6930">
        <v>250</v>
      </c>
      <c r="C6930">
        <v>250</v>
      </c>
      <c r="D6930" t="s">
        <v>5987</v>
      </c>
    </row>
    <row r="6931" spans="1:4" x14ac:dyDescent="0.2">
      <c r="A6931">
        <v>5</v>
      </c>
      <c r="B6931">
        <v>249.9</v>
      </c>
      <c r="C6931">
        <v>250</v>
      </c>
      <c r="D6931" t="s">
        <v>5987</v>
      </c>
    </row>
    <row r="6932" spans="1:4" x14ac:dyDescent="0.2">
      <c r="A6932">
        <v>6</v>
      </c>
      <c r="B6932">
        <v>250</v>
      </c>
      <c r="C6932">
        <v>250</v>
      </c>
      <c r="D6932" t="s">
        <v>5987</v>
      </c>
    </row>
    <row r="6933" spans="1:4" x14ac:dyDescent="0.2">
      <c r="A6933">
        <v>1</v>
      </c>
      <c r="B6933">
        <v>499.9</v>
      </c>
      <c r="C6933">
        <v>500</v>
      </c>
      <c r="D6933" t="s">
        <v>5987</v>
      </c>
    </row>
    <row r="6934" spans="1:4" x14ac:dyDescent="0.2">
      <c r="A6934">
        <v>2</v>
      </c>
      <c r="B6934">
        <v>499.9</v>
      </c>
      <c r="C6934">
        <v>500</v>
      </c>
      <c r="D6934" t="s">
        <v>5987</v>
      </c>
    </row>
    <row r="6935" spans="1:4" x14ac:dyDescent="0.2">
      <c r="A6935">
        <v>3</v>
      </c>
      <c r="B6935">
        <v>499.9</v>
      </c>
      <c r="C6935">
        <v>500</v>
      </c>
      <c r="D6935" t="s">
        <v>5987</v>
      </c>
    </row>
    <row r="6936" spans="1:4" x14ac:dyDescent="0.2">
      <c r="A6936">
        <v>4</v>
      </c>
      <c r="B6936">
        <v>499.9</v>
      </c>
      <c r="C6936">
        <v>500</v>
      </c>
      <c r="D6936" t="s">
        <v>5987</v>
      </c>
    </row>
    <row r="6937" spans="1:4" x14ac:dyDescent="0.2">
      <c r="A6937">
        <v>5</v>
      </c>
      <c r="B6937">
        <v>499.8</v>
      </c>
      <c r="C6937">
        <v>500</v>
      </c>
      <c r="D6937" t="s">
        <v>5987</v>
      </c>
    </row>
    <row r="6938" spans="1:4" x14ac:dyDescent="0.2">
      <c r="A6938">
        <v>6</v>
      </c>
      <c r="B6938">
        <v>499.9</v>
      </c>
      <c r="C6938">
        <v>500</v>
      </c>
      <c r="D6938" t="s">
        <v>5987</v>
      </c>
    </row>
    <row r="6939" spans="1:4" x14ac:dyDescent="0.2">
      <c r="A6939">
        <v>1</v>
      </c>
      <c r="B6939">
        <v>999.9</v>
      </c>
      <c r="C6939">
        <v>1000</v>
      </c>
      <c r="D6939" t="s">
        <v>5987</v>
      </c>
    </row>
    <row r="6940" spans="1:4" x14ac:dyDescent="0.2">
      <c r="A6940">
        <v>2</v>
      </c>
      <c r="B6940">
        <v>999.8</v>
      </c>
      <c r="C6940">
        <v>1000</v>
      </c>
      <c r="D6940" t="s">
        <v>5987</v>
      </c>
    </row>
    <row r="6941" spans="1:4" x14ac:dyDescent="0.2">
      <c r="A6941">
        <v>3</v>
      </c>
      <c r="B6941">
        <v>999.9</v>
      </c>
      <c r="C6941">
        <v>1000</v>
      </c>
      <c r="D6941" t="s">
        <v>5987</v>
      </c>
    </row>
    <row r="6942" spans="1:4" x14ac:dyDescent="0.2">
      <c r="A6942">
        <v>4</v>
      </c>
      <c r="B6942">
        <v>999.9</v>
      </c>
      <c r="C6942">
        <v>1000</v>
      </c>
      <c r="D6942" t="s">
        <v>5987</v>
      </c>
    </row>
    <row r="6943" spans="1:4" x14ac:dyDescent="0.2">
      <c r="A6943">
        <v>5</v>
      </c>
      <c r="B6943">
        <v>999.8</v>
      </c>
      <c r="C6943">
        <v>1000</v>
      </c>
      <c r="D6943" t="s">
        <v>5987</v>
      </c>
    </row>
    <row r="6944" spans="1:4" x14ac:dyDescent="0.2">
      <c r="A6944">
        <v>6</v>
      </c>
      <c r="B6944">
        <v>999.9</v>
      </c>
      <c r="C6944">
        <v>1000</v>
      </c>
      <c r="D6944" t="s">
        <v>5987</v>
      </c>
    </row>
    <row r="6945" spans="1:4" x14ac:dyDescent="0.2">
      <c r="A6945">
        <v>7</v>
      </c>
      <c r="B6945">
        <v>-99.9</v>
      </c>
      <c r="C6945">
        <v>-100</v>
      </c>
      <c r="D6945" t="s">
        <v>5987</v>
      </c>
    </row>
    <row r="6946" spans="1:4" x14ac:dyDescent="0.2">
      <c r="A6946">
        <v>8</v>
      </c>
      <c r="B6946">
        <v>-100</v>
      </c>
      <c r="C6946">
        <v>-100</v>
      </c>
      <c r="D6946" t="s">
        <v>5987</v>
      </c>
    </row>
    <row r="6947" spans="1:4" x14ac:dyDescent="0.2">
      <c r="A6947">
        <v>9</v>
      </c>
      <c r="B6947">
        <v>-99.7</v>
      </c>
      <c r="C6947">
        <v>-100</v>
      </c>
      <c r="D6947" t="s">
        <v>5987</v>
      </c>
    </row>
    <row r="6948" spans="1:4" x14ac:dyDescent="0.2">
      <c r="A6948">
        <v>10</v>
      </c>
      <c r="B6948">
        <v>-100.1</v>
      </c>
      <c r="C6948">
        <v>-100</v>
      </c>
      <c r="D6948" t="s">
        <v>5987</v>
      </c>
    </row>
    <row r="6949" spans="1:4" x14ac:dyDescent="0.2">
      <c r="A6949">
        <v>11</v>
      </c>
      <c r="B6949">
        <v>-99.8</v>
      </c>
      <c r="C6949">
        <v>-100</v>
      </c>
      <c r="D6949" t="s">
        <v>5987</v>
      </c>
    </row>
    <row r="6950" spans="1:4" x14ac:dyDescent="0.2">
      <c r="A6950">
        <v>12</v>
      </c>
      <c r="B6950">
        <v>-100.1</v>
      </c>
      <c r="C6950">
        <v>-100</v>
      </c>
      <c r="D6950" t="s">
        <v>5987</v>
      </c>
    </row>
    <row r="6951" spans="1:4" x14ac:dyDescent="0.2">
      <c r="A6951">
        <v>7</v>
      </c>
      <c r="B6951">
        <v>-50</v>
      </c>
      <c r="C6951">
        <v>-50</v>
      </c>
      <c r="D6951" t="s">
        <v>5987</v>
      </c>
    </row>
    <row r="6952" spans="1:4" x14ac:dyDescent="0.2">
      <c r="A6952">
        <v>8</v>
      </c>
      <c r="B6952">
        <v>-50</v>
      </c>
      <c r="C6952">
        <v>-50</v>
      </c>
      <c r="D6952" t="s">
        <v>5987</v>
      </c>
    </row>
    <row r="6953" spans="1:4" x14ac:dyDescent="0.2">
      <c r="A6953">
        <v>9</v>
      </c>
      <c r="B6953">
        <v>-49.7</v>
      </c>
      <c r="C6953">
        <v>-50</v>
      </c>
      <c r="D6953" t="s">
        <v>5987</v>
      </c>
    </row>
    <row r="6954" spans="1:4" x14ac:dyDescent="0.2">
      <c r="A6954">
        <v>10</v>
      </c>
      <c r="B6954">
        <v>-50.1</v>
      </c>
      <c r="C6954">
        <v>-50</v>
      </c>
      <c r="D6954" t="s">
        <v>5987</v>
      </c>
    </row>
    <row r="6955" spans="1:4" x14ac:dyDescent="0.2">
      <c r="A6955">
        <v>11</v>
      </c>
      <c r="B6955">
        <v>-49.8</v>
      </c>
      <c r="C6955">
        <v>-50</v>
      </c>
      <c r="D6955" t="s">
        <v>5987</v>
      </c>
    </row>
    <row r="6956" spans="1:4" x14ac:dyDescent="0.2">
      <c r="A6956">
        <v>12</v>
      </c>
      <c r="B6956">
        <v>-50.1</v>
      </c>
      <c r="C6956">
        <v>-50</v>
      </c>
      <c r="D6956" t="s">
        <v>5987</v>
      </c>
    </row>
    <row r="6957" spans="1:4" x14ac:dyDescent="0.2">
      <c r="A6957">
        <v>7</v>
      </c>
      <c r="B6957">
        <v>0</v>
      </c>
      <c r="C6957">
        <v>0</v>
      </c>
      <c r="D6957" t="s">
        <v>5987</v>
      </c>
    </row>
    <row r="6958" spans="1:4" x14ac:dyDescent="0.2">
      <c r="A6958">
        <v>8</v>
      </c>
      <c r="B6958">
        <v>0.1</v>
      </c>
      <c r="C6958">
        <v>0</v>
      </c>
      <c r="D6958" t="s">
        <v>5987</v>
      </c>
    </row>
    <row r="6959" spans="1:4" x14ac:dyDescent="0.2">
      <c r="A6959">
        <v>9</v>
      </c>
      <c r="B6959">
        <v>-0.3</v>
      </c>
      <c r="C6959">
        <v>0</v>
      </c>
      <c r="D6959" t="s">
        <v>5987</v>
      </c>
    </row>
    <row r="6960" spans="1:4" x14ac:dyDescent="0.2">
      <c r="A6960">
        <v>10</v>
      </c>
      <c r="B6960">
        <v>0.1</v>
      </c>
      <c r="C6960">
        <v>0</v>
      </c>
      <c r="D6960" t="s">
        <v>5987</v>
      </c>
    </row>
    <row r="6961" spans="1:4" x14ac:dyDescent="0.2">
      <c r="A6961">
        <v>11</v>
      </c>
      <c r="B6961">
        <v>-0.2</v>
      </c>
      <c r="C6961">
        <v>0</v>
      </c>
      <c r="D6961" t="s">
        <v>5987</v>
      </c>
    </row>
    <row r="6962" spans="1:4" x14ac:dyDescent="0.2">
      <c r="A6962">
        <v>12</v>
      </c>
      <c r="B6962">
        <v>-0.2</v>
      </c>
      <c r="C6962">
        <v>0</v>
      </c>
      <c r="D6962" t="s">
        <v>5987</v>
      </c>
    </row>
    <row r="6963" spans="1:4" x14ac:dyDescent="0.2">
      <c r="A6963">
        <v>7</v>
      </c>
      <c r="B6963">
        <v>249.9</v>
      </c>
      <c r="C6963">
        <v>250</v>
      </c>
      <c r="D6963" t="s">
        <v>5987</v>
      </c>
    </row>
    <row r="6964" spans="1:4" x14ac:dyDescent="0.2">
      <c r="A6964">
        <v>8</v>
      </c>
      <c r="B6964">
        <v>249.9</v>
      </c>
      <c r="C6964">
        <v>250</v>
      </c>
      <c r="D6964" t="s">
        <v>5987</v>
      </c>
    </row>
    <row r="6965" spans="1:4" x14ac:dyDescent="0.2">
      <c r="A6965">
        <v>9</v>
      </c>
      <c r="B6965">
        <v>249.8</v>
      </c>
      <c r="C6965">
        <v>250</v>
      </c>
      <c r="D6965" t="s">
        <v>5987</v>
      </c>
    </row>
    <row r="6966" spans="1:4" x14ac:dyDescent="0.2">
      <c r="A6966">
        <v>10</v>
      </c>
      <c r="B6966">
        <v>249.9</v>
      </c>
      <c r="C6966">
        <v>250</v>
      </c>
      <c r="D6966" t="s">
        <v>5987</v>
      </c>
    </row>
    <row r="6967" spans="1:4" x14ac:dyDescent="0.2">
      <c r="A6967">
        <v>11</v>
      </c>
      <c r="B6967">
        <v>249.9</v>
      </c>
      <c r="C6967">
        <v>250</v>
      </c>
      <c r="D6967" t="s">
        <v>5987</v>
      </c>
    </row>
    <row r="6968" spans="1:4" x14ac:dyDescent="0.2">
      <c r="A6968">
        <v>12</v>
      </c>
      <c r="B6968">
        <v>249.8</v>
      </c>
      <c r="C6968">
        <v>250</v>
      </c>
      <c r="D6968" t="s">
        <v>5987</v>
      </c>
    </row>
    <row r="6969" spans="1:4" x14ac:dyDescent="0.2">
      <c r="A6969">
        <v>7</v>
      </c>
      <c r="B6969">
        <v>499.8</v>
      </c>
      <c r="C6969">
        <v>500</v>
      </c>
      <c r="D6969" t="s">
        <v>5987</v>
      </c>
    </row>
    <row r="6970" spans="1:4" x14ac:dyDescent="0.2">
      <c r="A6970">
        <v>8</v>
      </c>
      <c r="B6970">
        <v>499.8</v>
      </c>
      <c r="C6970">
        <v>500</v>
      </c>
      <c r="D6970" t="s">
        <v>5987</v>
      </c>
    </row>
    <row r="6971" spans="1:4" x14ac:dyDescent="0.2">
      <c r="A6971">
        <v>9</v>
      </c>
      <c r="B6971">
        <v>499.8</v>
      </c>
      <c r="C6971">
        <v>500</v>
      </c>
      <c r="D6971" t="s">
        <v>5987</v>
      </c>
    </row>
    <row r="6972" spans="1:4" x14ac:dyDescent="0.2">
      <c r="A6972">
        <v>10</v>
      </c>
      <c r="B6972">
        <v>499.8</v>
      </c>
      <c r="C6972">
        <v>500</v>
      </c>
      <c r="D6972" t="s">
        <v>5987</v>
      </c>
    </row>
    <row r="6973" spans="1:4" x14ac:dyDescent="0.2">
      <c r="A6973">
        <v>11</v>
      </c>
      <c r="B6973">
        <v>499.8</v>
      </c>
      <c r="C6973">
        <v>500</v>
      </c>
      <c r="D6973" t="s">
        <v>5987</v>
      </c>
    </row>
    <row r="6974" spans="1:4" x14ac:dyDescent="0.2">
      <c r="A6974">
        <v>12</v>
      </c>
      <c r="B6974">
        <v>499.8</v>
      </c>
      <c r="C6974">
        <v>500</v>
      </c>
      <c r="D6974" t="s">
        <v>5987</v>
      </c>
    </row>
    <row r="6975" spans="1:4" x14ac:dyDescent="0.2">
      <c r="A6975">
        <v>7</v>
      </c>
      <c r="B6975">
        <v>999.6</v>
      </c>
      <c r="C6975">
        <v>1000</v>
      </c>
      <c r="D6975" t="s">
        <v>5987</v>
      </c>
    </row>
    <row r="6976" spans="1:4" x14ac:dyDescent="0.2">
      <c r="A6976">
        <v>8</v>
      </c>
      <c r="B6976">
        <v>999.7</v>
      </c>
      <c r="C6976">
        <v>1000</v>
      </c>
      <c r="D6976" t="s">
        <v>5987</v>
      </c>
    </row>
    <row r="6977" spans="1:4" x14ac:dyDescent="0.2">
      <c r="A6977">
        <v>9</v>
      </c>
      <c r="B6977">
        <v>999.9</v>
      </c>
      <c r="C6977">
        <v>1000</v>
      </c>
      <c r="D6977" t="s">
        <v>5987</v>
      </c>
    </row>
    <row r="6978" spans="1:4" x14ac:dyDescent="0.2">
      <c r="A6978">
        <v>10</v>
      </c>
      <c r="B6978">
        <v>999.7</v>
      </c>
      <c r="C6978">
        <v>1000</v>
      </c>
      <c r="D6978" t="s">
        <v>5987</v>
      </c>
    </row>
    <row r="6979" spans="1:4" x14ac:dyDescent="0.2">
      <c r="A6979">
        <v>11</v>
      </c>
      <c r="B6979">
        <v>999.8</v>
      </c>
      <c r="C6979">
        <v>1000</v>
      </c>
      <c r="D6979" t="s">
        <v>5987</v>
      </c>
    </row>
    <row r="6980" spans="1:4" x14ac:dyDescent="0.2">
      <c r="A6980">
        <v>12</v>
      </c>
      <c r="B6980">
        <v>999.7</v>
      </c>
      <c r="C6980">
        <v>1000</v>
      </c>
      <c r="D6980" t="s">
        <v>5987</v>
      </c>
    </row>
    <row r="6981" spans="1:4" x14ac:dyDescent="0.2">
      <c r="A6981">
        <v>13</v>
      </c>
      <c r="B6981">
        <v>-100</v>
      </c>
      <c r="C6981">
        <v>-100</v>
      </c>
      <c r="D6981" t="s">
        <v>5987</v>
      </c>
    </row>
    <row r="6982" spans="1:4" x14ac:dyDescent="0.2">
      <c r="A6982">
        <v>14</v>
      </c>
      <c r="B6982">
        <v>-100.1</v>
      </c>
      <c r="C6982">
        <v>-100</v>
      </c>
      <c r="D6982" t="s">
        <v>5987</v>
      </c>
    </row>
    <row r="6983" spans="1:4" x14ac:dyDescent="0.2">
      <c r="A6983">
        <v>15</v>
      </c>
      <c r="B6983">
        <v>-100.2</v>
      </c>
      <c r="C6983">
        <v>-100</v>
      </c>
      <c r="D6983" t="s">
        <v>5987</v>
      </c>
    </row>
    <row r="6984" spans="1:4" x14ac:dyDescent="0.2">
      <c r="A6984">
        <v>16</v>
      </c>
      <c r="B6984">
        <v>-100</v>
      </c>
      <c r="C6984">
        <v>-100</v>
      </c>
      <c r="D6984" t="s">
        <v>5987</v>
      </c>
    </row>
    <row r="6985" spans="1:4" x14ac:dyDescent="0.2">
      <c r="A6985">
        <v>17</v>
      </c>
      <c r="B6985">
        <v>-100.2</v>
      </c>
      <c r="C6985">
        <v>-100</v>
      </c>
      <c r="D6985" t="s">
        <v>5987</v>
      </c>
    </row>
    <row r="6986" spans="1:4" x14ac:dyDescent="0.2">
      <c r="A6986">
        <v>18</v>
      </c>
      <c r="B6986">
        <v>-99.8</v>
      </c>
      <c r="C6986">
        <v>-100</v>
      </c>
      <c r="D6986" t="s">
        <v>5987</v>
      </c>
    </row>
    <row r="6987" spans="1:4" x14ac:dyDescent="0.2">
      <c r="A6987">
        <v>13</v>
      </c>
      <c r="B6987">
        <v>-50.1</v>
      </c>
      <c r="C6987">
        <v>-50</v>
      </c>
      <c r="D6987" t="s">
        <v>5987</v>
      </c>
    </row>
    <row r="6988" spans="1:4" x14ac:dyDescent="0.2">
      <c r="A6988">
        <v>14</v>
      </c>
      <c r="B6988">
        <v>-50.1</v>
      </c>
      <c r="C6988">
        <v>-50</v>
      </c>
      <c r="D6988" t="s">
        <v>5987</v>
      </c>
    </row>
    <row r="6989" spans="1:4" x14ac:dyDescent="0.2">
      <c r="A6989">
        <v>15</v>
      </c>
      <c r="B6989">
        <v>-50.1</v>
      </c>
      <c r="C6989">
        <v>-50</v>
      </c>
      <c r="D6989" t="s">
        <v>5987</v>
      </c>
    </row>
    <row r="6990" spans="1:4" x14ac:dyDescent="0.2">
      <c r="A6990">
        <v>16</v>
      </c>
      <c r="B6990">
        <v>-49.9</v>
      </c>
      <c r="C6990">
        <v>-50</v>
      </c>
      <c r="D6990" t="s">
        <v>5987</v>
      </c>
    </row>
    <row r="6991" spans="1:4" x14ac:dyDescent="0.2">
      <c r="A6991">
        <v>17</v>
      </c>
      <c r="B6991">
        <v>-49.9</v>
      </c>
      <c r="C6991">
        <v>-50</v>
      </c>
      <c r="D6991" t="s">
        <v>5987</v>
      </c>
    </row>
    <row r="6992" spans="1:4" x14ac:dyDescent="0.2">
      <c r="A6992">
        <v>18</v>
      </c>
      <c r="B6992">
        <v>-49.9</v>
      </c>
      <c r="C6992">
        <v>-50</v>
      </c>
      <c r="D6992" t="s">
        <v>5987</v>
      </c>
    </row>
    <row r="6993" spans="1:4" x14ac:dyDescent="0.2">
      <c r="A6993">
        <v>13</v>
      </c>
      <c r="B6993">
        <v>0.1</v>
      </c>
      <c r="C6993">
        <v>0</v>
      </c>
      <c r="D6993" t="s">
        <v>5987</v>
      </c>
    </row>
    <row r="6994" spans="1:4" x14ac:dyDescent="0.2">
      <c r="A6994">
        <v>14</v>
      </c>
      <c r="B6994">
        <v>-0.2</v>
      </c>
      <c r="C6994">
        <v>0</v>
      </c>
      <c r="D6994" t="s">
        <v>5987</v>
      </c>
    </row>
    <row r="6995" spans="1:4" x14ac:dyDescent="0.2">
      <c r="A6995">
        <v>15</v>
      </c>
      <c r="B6995">
        <v>-0.2</v>
      </c>
      <c r="C6995">
        <v>0</v>
      </c>
      <c r="D6995" t="s">
        <v>5987</v>
      </c>
    </row>
    <row r="6996" spans="1:4" x14ac:dyDescent="0.2">
      <c r="A6996">
        <v>16</v>
      </c>
      <c r="B6996">
        <v>0.1</v>
      </c>
      <c r="C6996">
        <v>0</v>
      </c>
      <c r="D6996" t="s">
        <v>5987</v>
      </c>
    </row>
    <row r="6997" spans="1:4" x14ac:dyDescent="0.2">
      <c r="A6997">
        <v>17</v>
      </c>
      <c r="B6997">
        <v>-0.1</v>
      </c>
      <c r="C6997">
        <v>0</v>
      </c>
      <c r="D6997" t="s">
        <v>5987</v>
      </c>
    </row>
    <row r="6998" spans="1:4" x14ac:dyDescent="0.2">
      <c r="A6998">
        <v>18</v>
      </c>
      <c r="B6998">
        <v>0.1</v>
      </c>
      <c r="C6998">
        <v>0</v>
      </c>
      <c r="D6998" t="s">
        <v>5987</v>
      </c>
    </row>
    <row r="6999" spans="1:4" x14ac:dyDescent="0.2">
      <c r="A6999">
        <v>13</v>
      </c>
      <c r="B6999">
        <v>250.1</v>
      </c>
      <c r="C6999">
        <v>250</v>
      </c>
      <c r="D6999" t="s">
        <v>5987</v>
      </c>
    </row>
    <row r="7000" spans="1:4" x14ac:dyDescent="0.2">
      <c r="A7000">
        <v>14</v>
      </c>
      <c r="B7000">
        <v>249.8</v>
      </c>
      <c r="C7000">
        <v>250</v>
      </c>
      <c r="D7000" t="s">
        <v>5987</v>
      </c>
    </row>
    <row r="7001" spans="1:4" x14ac:dyDescent="0.2">
      <c r="A7001">
        <v>15</v>
      </c>
      <c r="B7001">
        <v>249.8</v>
      </c>
      <c r="C7001">
        <v>250</v>
      </c>
      <c r="D7001" t="s">
        <v>5987</v>
      </c>
    </row>
    <row r="7002" spans="1:4" x14ac:dyDescent="0.2">
      <c r="A7002">
        <v>16</v>
      </c>
      <c r="B7002">
        <v>250.2</v>
      </c>
      <c r="C7002">
        <v>250</v>
      </c>
      <c r="D7002" t="s">
        <v>5987</v>
      </c>
    </row>
    <row r="7003" spans="1:4" x14ac:dyDescent="0.2">
      <c r="A7003">
        <v>17</v>
      </c>
      <c r="B7003">
        <v>250</v>
      </c>
      <c r="C7003">
        <v>250</v>
      </c>
      <c r="D7003" t="s">
        <v>5987</v>
      </c>
    </row>
    <row r="7004" spans="1:4" x14ac:dyDescent="0.2">
      <c r="A7004">
        <v>18</v>
      </c>
      <c r="B7004">
        <v>250.1</v>
      </c>
      <c r="C7004">
        <v>250</v>
      </c>
      <c r="D7004" t="s">
        <v>5987</v>
      </c>
    </row>
    <row r="7005" spans="1:4" x14ac:dyDescent="0.2">
      <c r="A7005">
        <v>13</v>
      </c>
      <c r="B7005">
        <v>500.1</v>
      </c>
      <c r="C7005">
        <v>500</v>
      </c>
      <c r="D7005" t="s">
        <v>5987</v>
      </c>
    </row>
    <row r="7006" spans="1:4" x14ac:dyDescent="0.2">
      <c r="A7006">
        <v>14</v>
      </c>
      <c r="B7006">
        <v>499.8</v>
      </c>
      <c r="C7006">
        <v>500</v>
      </c>
      <c r="D7006" t="s">
        <v>5987</v>
      </c>
    </row>
    <row r="7007" spans="1:4" x14ac:dyDescent="0.2">
      <c r="A7007">
        <v>15</v>
      </c>
      <c r="B7007">
        <v>499.7</v>
      </c>
      <c r="C7007">
        <v>500</v>
      </c>
      <c r="D7007" t="s">
        <v>5987</v>
      </c>
    </row>
    <row r="7008" spans="1:4" x14ac:dyDescent="0.2">
      <c r="A7008">
        <v>16</v>
      </c>
      <c r="B7008">
        <v>500.1</v>
      </c>
      <c r="C7008">
        <v>500</v>
      </c>
      <c r="D7008" t="s">
        <v>5987</v>
      </c>
    </row>
    <row r="7009" spans="1:4" x14ac:dyDescent="0.2">
      <c r="A7009">
        <v>17</v>
      </c>
      <c r="B7009">
        <v>500</v>
      </c>
      <c r="C7009">
        <v>500</v>
      </c>
      <c r="D7009" t="s">
        <v>5987</v>
      </c>
    </row>
    <row r="7010" spans="1:4" x14ac:dyDescent="0.2">
      <c r="A7010">
        <v>18</v>
      </c>
      <c r="B7010">
        <v>500.1</v>
      </c>
      <c r="C7010">
        <v>500</v>
      </c>
      <c r="D7010" t="s">
        <v>5987</v>
      </c>
    </row>
    <row r="7011" spans="1:4" x14ac:dyDescent="0.2">
      <c r="A7011">
        <v>13</v>
      </c>
      <c r="B7011">
        <v>1000.1</v>
      </c>
      <c r="C7011">
        <v>1000</v>
      </c>
      <c r="D7011" t="s">
        <v>5987</v>
      </c>
    </row>
    <row r="7012" spans="1:4" x14ac:dyDescent="0.2">
      <c r="A7012">
        <v>14</v>
      </c>
      <c r="B7012">
        <v>999.8</v>
      </c>
      <c r="C7012">
        <v>1000</v>
      </c>
      <c r="D7012" t="s">
        <v>5987</v>
      </c>
    </row>
    <row r="7013" spans="1:4" x14ac:dyDescent="0.2">
      <c r="A7013">
        <v>15</v>
      </c>
      <c r="B7013">
        <v>999.7</v>
      </c>
      <c r="C7013">
        <v>1000</v>
      </c>
      <c r="D7013" t="s">
        <v>5987</v>
      </c>
    </row>
    <row r="7014" spans="1:4" x14ac:dyDescent="0.2">
      <c r="A7014">
        <v>16</v>
      </c>
      <c r="B7014">
        <v>1000.1</v>
      </c>
      <c r="C7014">
        <v>1000</v>
      </c>
      <c r="D7014" t="s">
        <v>5987</v>
      </c>
    </row>
    <row r="7015" spans="1:4" x14ac:dyDescent="0.2">
      <c r="A7015">
        <v>17</v>
      </c>
      <c r="B7015">
        <v>1000.2</v>
      </c>
      <c r="C7015">
        <v>1000</v>
      </c>
      <c r="D7015" t="s">
        <v>5987</v>
      </c>
    </row>
    <row r="7016" spans="1:4" x14ac:dyDescent="0.2">
      <c r="A7016">
        <v>18</v>
      </c>
      <c r="B7016">
        <v>1000.1</v>
      </c>
      <c r="C7016">
        <v>1000</v>
      </c>
      <c r="D7016" t="s">
        <v>5987</v>
      </c>
    </row>
    <row r="7017" spans="1:4" x14ac:dyDescent="0.2">
      <c r="A7017">
        <v>19</v>
      </c>
      <c r="B7017">
        <v>-100.1</v>
      </c>
      <c r="C7017">
        <v>-100</v>
      </c>
      <c r="D7017" t="s">
        <v>5987</v>
      </c>
    </row>
    <row r="7018" spans="1:4" x14ac:dyDescent="0.2">
      <c r="A7018">
        <v>20</v>
      </c>
      <c r="B7018">
        <v>-100.2</v>
      </c>
      <c r="C7018">
        <v>-100</v>
      </c>
      <c r="D7018" t="s">
        <v>5987</v>
      </c>
    </row>
    <row r="7019" spans="1:4" x14ac:dyDescent="0.2">
      <c r="A7019">
        <v>21</v>
      </c>
      <c r="B7019">
        <v>-100.2</v>
      </c>
      <c r="C7019">
        <v>-100</v>
      </c>
      <c r="D7019" t="s">
        <v>5987</v>
      </c>
    </row>
    <row r="7020" spans="1:4" x14ac:dyDescent="0.2">
      <c r="A7020">
        <v>22</v>
      </c>
      <c r="B7020">
        <v>-100</v>
      </c>
      <c r="C7020">
        <v>-100</v>
      </c>
      <c r="D7020" t="s">
        <v>5987</v>
      </c>
    </row>
    <row r="7021" spans="1:4" x14ac:dyDescent="0.2">
      <c r="A7021">
        <v>23</v>
      </c>
      <c r="B7021">
        <v>-100.2</v>
      </c>
      <c r="C7021">
        <v>-100</v>
      </c>
      <c r="D7021" t="s">
        <v>5987</v>
      </c>
    </row>
    <row r="7022" spans="1:4" x14ac:dyDescent="0.2">
      <c r="A7022">
        <v>24</v>
      </c>
      <c r="B7022">
        <v>-99.8</v>
      </c>
      <c r="C7022">
        <v>-100</v>
      </c>
      <c r="D7022" t="s">
        <v>5987</v>
      </c>
    </row>
    <row r="7023" spans="1:4" x14ac:dyDescent="0.2">
      <c r="A7023">
        <v>19</v>
      </c>
      <c r="B7023">
        <v>-49.9</v>
      </c>
      <c r="C7023">
        <v>-50</v>
      </c>
      <c r="D7023" t="s">
        <v>5987</v>
      </c>
    </row>
    <row r="7024" spans="1:4" x14ac:dyDescent="0.2">
      <c r="A7024">
        <v>20</v>
      </c>
      <c r="B7024">
        <v>-50.1</v>
      </c>
      <c r="C7024">
        <v>-50</v>
      </c>
      <c r="D7024" t="s">
        <v>5987</v>
      </c>
    </row>
    <row r="7025" spans="1:4" x14ac:dyDescent="0.2">
      <c r="A7025">
        <v>21</v>
      </c>
      <c r="B7025">
        <v>-49.9</v>
      </c>
      <c r="C7025">
        <v>-50</v>
      </c>
      <c r="D7025" t="s">
        <v>5987</v>
      </c>
    </row>
    <row r="7026" spans="1:4" x14ac:dyDescent="0.2">
      <c r="A7026">
        <v>22</v>
      </c>
      <c r="B7026">
        <v>-49.9</v>
      </c>
      <c r="C7026">
        <v>-50</v>
      </c>
      <c r="D7026" t="s">
        <v>5987</v>
      </c>
    </row>
    <row r="7027" spans="1:4" x14ac:dyDescent="0.2">
      <c r="A7027">
        <v>23</v>
      </c>
      <c r="B7027">
        <v>-50.2</v>
      </c>
      <c r="C7027">
        <v>-50</v>
      </c>
      <c r="D7027" t="s">
        <v>5987</v>
      </c>
    </row>
    <row r="7028" spans="1:4" x14ac:dyDescent="0.2">
      <c r="A7028">
        <v>24</v>
      </c>
      <c r="B7028">
        <v>-49.8</v>
      </c>
      <c r="C7028">
        <v>-50</v>
      </c>
      <c r="D7028" t="s">
        <v>5987</v>
      </c>
    </row>
    <row r="7029" spans="1:4" x14ac:dyDescent="0.2">
      <c r="A7029">
        <v>19</v>
      </c>
      <c r="B7029">
        <v>0</v>
      </c>
      <c r="C7029">
        <v>0</v>
      </c>
      <c r="D7029" t="s">
        <v>5987</v>
      </c>
    </row>
    <row r="7030" spans="1:4" x14ac:dyDescent="0.2">
      <c r="A7030">
        <v>20</v>
      </c>
      <c r="B7030">
        <v>-0.1</v>
      </c>
      <c r="C7030">
        <v>0</v>
      </c>
      <c r="D7030" t="s">
        <v>5987</v>
      </c>
    </row>
    <row r="7031" spans="1:4" x14ac:dyDescent="0.2">
      <c r="A7031">
        <v>21</v>
      </c>
      <c r="B7031">
        <v>0</v>
      </c>
      <c r="C7031">
        <v>0</v>
      </c>
      <c r="D7031" t="s">
        <v>5987</v>
      </c>
    </row>
    <row r="7032" spans="1:4" x14ac:dyDescent="0.2">
      <c r="A7032">
        <v>22</v>
      </c>
      <c r="B7032">
        <v>0.1</v>
      </c>
      <c r="C7032">
        <v>0</v>
      </c>
      <c r="D7032" t="s">
        <v>5987</v>
      </c>
    </row>
    <row r="7033" spans="1:4" x14ac:dyDescent="0.2">
      <c r="A7033">
        <v>23</v>
      </c>
      <c r="B7033">
        <v>-0.1</v>
      </c>
      <c r="C7033">
        <v>0</v>
      </c>
      <c r="D7033" t="s">
        <v>5987</v>
      </c>
    </row>
    <row r="7034" spans="1:4" x14ac:dyDescent="0.2">
      <c r="A7034">
        <v>24</v>
      </c>
      <c r="B7034">
        <v>0</v>
      </c>
      <c r="C7034">
        <v>0</v>
      </c>
      <c r="D7034" t="s">
        <v>5987</v>
      </c>
    </row>
    <row r="7035" spans="1:4" x14ac:dyDescent="0.2">
      <c r="A7035">
        <v>19</v>
      </c>
      <c r="B7035">
        <v>250</v>
      </c>
      <c r="C7035">
        <v>250</v>
      </c>
      <c r="D7035" t="s">
        <v>5987</v>
      </c>
    </row>
    <row r="7036" spans="1:4" x14ac:dyDescent="0.2">
      <c r="A7036">
        <v>20</v>
      </c>
      <c r="B7036">
        <v>249.9</v>
      </c>
      <c r="C7036">
        <v>250</v>
      </c>
      <c r="D7036" t="s">
        <v>5987</v>
      </c>
    </row>
    <row r="7037" spans="1:4" x14ac:dyDescent="0.2">
      <c r="A7037">
        <v>21</v>
      </c>
      <c r="B7037">
        <v>250.1</v>
      </c>
      <c r="C7037">
        <v>250</v>
      </c>
      <c r="D7037" t="s">
        <v>5987</v>
      </c>
    </row>
    <row r="7038" spans="1:4" x14ac:dyDescent="0.2">
      <c r="A7038">
        <v>22</v>
      </c>
      <c r="B7038">
        <v>250.1</v>
      </c>
      <c r="C7038">
        <v>250</v>
      </c>
      <c r="D7038" t="s">
        <v>5987</v>
      </c>
    </row>
    <row r="7039" spans="1:4" x14ac:dyDescent="0.2">
      <c r="A7039">
        <v>23</v>
      </c>
      <c r="B7039">
        <v>250</v>
      </c>
      <c r="C7039">
        <v>250</v>
      </c>
      <c r="D7039" t="s">
        <v>5987</v>
      </c>
    </row>
    <row r="7040" spans="1:4" x14ac:dyDescent="0.2">
      <c r="A7040">
        <v>24</v>
      </c>
      <c r="B7040">
        <v>250.1</v>
      </c>
      <c r="C7040">
        <v>250</v>
      </c>
      <c r="D7040" t="s">
        <v>5987</v>
      </c>
    </row>
    <row r="7041" spans="1:4" x14ac:dyDescent="0.2">
      <c r="A7041">
        <v>19</v>
      </c>
      <c r="B7041">
        <v>499.9</v>
      </c>
      <c r="C7041">
        <v>500</v>
      </c>
      <c r="D7041" t="s">
        <v>5987</v>
      </c>
    </row>
    <row r="7042" spans="1:4" x14ac:dyDescent="0.2">
      <c r="A7042">
        <v>20</v>
      </c>
      <c r="B7042">
        <v>499.8</v>
      </c>
      <c r="C7042">
        <v>500</v>
      </c>
      <c r="D7042" t="s">
        <v>5987</v>
      </c>
    </row>
    <row r="7043" spans="1:4" x14ac:dyDescent="0.2">
      <c r="A7043">
        <v>21</v>
      </c>
      <c r="B7043">
        <v>500.1</v>
      </c>
      <c r="C7043">
        <v>500</v>
      </c>
      <c r="D7043" t="s">
        <v>5987</v>
      </c>
    </row>
    <row r="7044" spans="1:4" x14ac:dyDescent="0.2">
      <c r="A7044">
        <v>22</v>
      </c>
      <c r="B7044">
        <v>500.1</v>
      </c>
      <c r="C7044">
        <v>500</v>
      </c>
      <c r="D7044" t="s">
        <v>5987</v>
      </c>
    </row>
    <row r="7045" spans="1:4" x14ac:dyDescent="0.2">
      <c r="A7045">
        <v>23</v>
      </c>
      <c r="B7045">
        <v>499.9</v>
      </c>
      <c r="C7045">
        <v>500</v>
      </c>
      <c r="D7045" t="s">
        <v>5987</v>
      </c>
    </row>
    <row r="7046" spans="1:4" x14ac:dyDescent="0.2">
      <c r="A7046">
        <v>24</v>
      </c>
      <c r="B7046">
        <v>499.9</v>
      </c>
      <c r="C7046">
        <v>500</v>
      </c>
      <c r="D7046" t="s">
        <v>5987</v>
      </c>
    </row>
    <row r="7047" spans="1:4" x14ac:dyDescent="0.2">
      <c r="A7047">
        <v>19</v>
      </c>
      <c r="B7047">
        <v>1000</v>
      </c>
      <c r="C7047">
        <v>1000</v>
      </c>
      <c r="D7047" t="s">
        <v>5987</v>
      </c>
    </row>
    <row r="7048" spans="1:4" x14ac:dyDescent="0.2">
      <c r="A7048">
        <v>20</v>
      </c>
      <c r="B7048">
        <v>999.7</v>
      </c>
      <c r="C7048">
        <v>1000</v>
      </c>
      <c r="D7048" t="s">
        <v>5987</v>
      </c>
    </row>
    <row r="7049" spans="1:4" x14ac:dyDescent="0.2">
      <c r="A7049">
        <v>21</v>
      </c>
      <c r="B7049">
        <v>1000.2</v>
      </c>
      <c r="C7049">
        <v>1000</v>
      </c>
      <c r="D7049" t="s">
        <v>5987</v>
      </c>
    </row>
    <row r="7050" spans="1:4" x14ac:dyDescent="0.2">
      <c r="A7050">
        <v>22</v>
      </c>
      <c r="B7050">
        <v>1000.1</v>
      </c>
      <c r="C7050">
        <v>1000</v>
      </c>
      <c r="D7050" t="s">
        <v>5987</v>
      </c>
    </row>
    <row r="7051" spans="1:4" x14ac:dyDescent="0.2">
      <c r="A7051">
        <v>23</v>
      </c>
      <c r="B7051">
        <v>999.9</v>
      </c>
      <c r="C7051">
        <v>1000</v>
      </c>
      <c r="D7051" t="s">
        <v>5987</v>
      </c>
    </row>
    <row r="7052" spans="1:4" x14ac:dyDescent="0.2">
      <c r="A7052">
        <v>24</v>
      </c>
      <c r="B7052">
        <v>999.8</v>
      </c>
      <c r="C7052">
        <v>1000</v>
      </c>
      <c r="D7052" t="s">
        <v>5987</v>
      </c>
    </row>
    <row r="7053" spans="1:4" x14ac:dyDescent="0.2">
      <c r="A7053">
        <v>25</v>
      </c>
      <c r="B7053">
        <v>-99.9</v>
      </c>
      <c r="C7053">
        <v>-100</v>
      </c>
      <c r="D7053" t="s">
        <v>5987</v>
      </c>
    </row>
    <row r="7054" spans="1:4" x14ac:dyDescent="0.2">
      <c r="A7054">
        <v>26</v>
      </c>
      <c r="B7054">
        <v>-100</v>
      </c>
      <c r="C7054">
        <v>-100</v>
      </c>
      <c r="D7054" t="s">
        <v>5987</v>
      </c>
    </row>
    <row r="7055" spans="1:4" x14ac:dyDescent="0.2">
      <c r="A7055">
        <v>27</v>
      </c>
      <c r="B7055">
        <v>-100.2</v>
      </c>
      <c r="C7055">
        <v>-100</v>
      </c>
      <c r="D7055" t="s">
        <v>5987</v>
      </c>
    </row>
    <row r="7056" spans="1:4" x14ac:dyDescent="0.2">
      <c r="A7056">
        <v>28</v>
      </c>
      <c r="B7056">
        <v>-100.1</v>
      </c>
      <c r="C7056">
        <v>-100</v>
      </c>
      <c r="D7056" t="s">
        <v>5987</v>
      </c>
    </row>
    <row r="7057" spans="1:4" x14ac:dyDescent="0.2">
      <c r="A7057">
        <v>29</v>
      </c>
      <c r="B7057">
        <v>-100.2</v>
      </c>
      <c r="C7057">
        <v>-100</v>
      </c>
      <c r="D7057" t="s">
        <v>5987</v>
      </c>
    </row>
    <row r="7058" spans="1:4" x14ac:dyDescent="0.2">
      <c r="A7058">
        <v>30</v>
      </c>
      <c r="B7058">
        <v>-100.2</v>
      </c>
      <c r="C7058">
        <v>-100</v>
      </c>
      <c r="D7058" t="s">
        <v>5987</v>
      </c>
    </row>
    <row r="7059" spans="1:4" x14ac:dyDescent="0.2">
      <c r="A7059">
        <v>25</v>
      </c>
      <c r="B7059">
        <v>-49.9</v>
      </c>
      <c r="C7059">
        <v>-50</v>
      </c>
      <c r="D7059" t="s">
        <v>5987</v>
      </c>
    </row>
    <row r="7060" spans="1:4" x14ac:dyDescent="0.2">
      <c r="A7060">
        <v>26</v>
      </c>
      <c r="B7060">
        <v>-49.8</v>
      </c>
      <c r="C7060">
        <v>-50</v>
      </c>
      <c r="D7060" t="s">
        <v>5987</v>
      </c>
    </row>
    <row r="7061" spans="1:4" x14ac:dyDescent="0.2">
      <c r="A7061">
        <v>27</v>
      </c>
      <c r="B7061">
        <v>-50.1</v>
      </c>
      <c r="C7061">
        <v>-50</v>
      </c>
      <c r="D7061" t="s">
        <v>5987</v>
      </c>
    </row>
    <row r="7062" spans="1:4" x14ac:dyDescent="0.2">
      <c r="A7062">
        <v>28</v>
      </c>
      <c r="B7062">
        <v>-50.1</v>
      </c>
      <c r="C7062">
        <v>-50</v>
      </c>
      <c r="D7062" t="s">
        <v>5987</v>
      </c>
    </row>
    <row r="7063" spans="1:4" x14ac:dyDescent="0.2">
      <c r="A7063">
        <v>29</v>
      </c>
      <c r="B7063">
        <v>-50.1</v>
      </c>
      <c r="C7063">
        <v>-50</v>
      </c>
      <c r="D7063" t="s">
        <v>5987</v>
      </c>
    </row>
    <row r="7064" spans="1:4" x14ac:dyDescent="0.2">
      <c r="A7064">
        <v>30</v>
      </c>
      <c r="B7064">
        <v>-50</v>
      </c>
      <c r="C7064">
        <v>-50</v>
      </c>
      <c r="D7064" t="s">
        <v>5987</v>
      </c>
    </row>
    <row r="7065" spans="1:4" x14ac:dyDescent="0.2">
      <c r="A7065">
        <v>25</v>
      </c>
      <c r="B7065">
        <v>0</v>
      </c>
      <c r="C7065">
        <v>0</v>
      </c>
      <c r="D7065" t="s">
        <v>5987</v>
      </c>
    </row>
    <row r="7066" spans="1:4" x14ac:dyDescent="0.2">
      <c r="A7066">
        <v>26</v>
      </c>
      <c r="B7066">
        <v>0.1</v>
      </c>
      <c r="C7066">
        <v>0</v>
      </c>
      <c r="D7066" t="s">
        <v>5987</v>
      </c>
    </row>
    <row r="7067" spans="1:4" x14ac:dyDescent="0.2">
      <c r="A7067">
        <v>27</v>
      </c>
      <c r="B7067">
        <v>-0.1</v>
      </c>
      <c r="C7067">
        <v>0</v>
      </c>
      <c r="D7067" t="s">
        <v>5987</v>
      </c>
    </row>
    <row r="7068" spans="1:4" x14ac:dyDescent="0.2">
      <c r="A7068">
        <v>28</v>
      </c>
      <c r="B7068">
        <v>0</v>
      </c>
      <c r="C7068">
        <v>0</v>
      </c>
      <c r="D7068" t="s">
        <v>5987</v>
      </c>
    </row>
    <row r="7069" spans="1:4" x14ac:dyDescent="0.2">
      <c r="A7069">
        <v>29</v>
      </c>
      <c r="B7069">
        <v>0.1</v>
      </c>
      <c r="C7069">
        <v>0</v>
      </c>
      <c r="D7069" t="s">
        <v>5987</v>
      </c>
    </row>
    <row r="7070" spans="1:4" x14ac:dyDescent="0.2">
      <c r="A7070">
        <v>30</v>
      </c>
      <c r="B7070">
        <v>0.1</v>
      </c>
      <c r="C7070">
        <v>0</v>
      </c>
      <c r="D7070" t="s">
        <v>5987</v>
      </c>
    </row>
    <row r="7071" spans="1:4" x14ac:dyDescent="0.2">
      <c r="A7071">
        <v>25</v>
      </c>
      <c r="B7071">
        <v>250.1</v>
      </c>
      <c r="C7071">
        <v>250</v>
      </c>
      <c r="D7071" t="s">
        <v>5987</v>
      </c>
    </row>
    <row r="7072" spans="1:4" x14ac:dyDescent="0.2">
      <c r="A7072">
        <v>26</v>
      </c>
      <c r="B7072">
        <v>250.1</v>
      </c>
      <c r="C7072">
        <v>250</v>
      </c>
      <c r="D7072" t="s">
        <v>5987</v>
      </c>
    </row>
    <row r="7073" spans="1:4" x14ac:dyDescent="0.2">
      <c r="A7073">
        <v>27</v>
      </c>
      <c r="B7073">
        <v>250.2</v>
      </c>
      <c r="C7073">
        <v>250</v>
      </c>
      <c r="D7073" t="s">
        <v>5987</v>
      </c>
    </row>
    <row r="7074" spans="1:4" x14ac:dyDescent="0.2">
      <c r="A7074">
        <v>28</v>
      </c>
      <c r="B7074">
        <v>250.1</v>
      </c>
      <c r="C7074">
        <v>250</v>
      </c>
      <c r="D7074" t="s">
        <v>5987</v>
      </c>
    </row>
    <row r="7075" spans="1:4" x14ac:dyDescent="0.2">
      <c r="A7075">
        <v>29</v>
      </c>
      <c r="B7075">
        <v>249.8</v>
      </c>
      <c r="C7075">
        <v>250</v>
      </c>
      <c r="D7075" t="s">
        <v>5987</v>
      </c>
    </row>
    <row r="7076" spans="1:4" x14ac:dyDescent="0.2">
      <c r="A7076">
        <v>30</v>
      </c>
      <c r="B7076">
        <v>249.9</v>
      </c>
      <c r="C7076">
        <v>250</v>
      </c>
      <c r="D7076" t="s">
        <v>5987</v>
      </c>
    </row>
    <row r="7077" spans="1:4" x14ac:dyDescent="0.2">
      <c r="A7077">
        <v>25</v>
      </c>
      <c r="B7077">
        <v>500.1</v>
      </c>
      <c r="C7077">
        <v>500</v>
      </c>
      <c r="D7077" t="s">
        <v>5987</v>
      </c>
    </row>
    <row r="7078" spans="1:4" x14ac:dyDescent="0.2">
      <c r="A7078">
        <v>26</v>
      </c>
      <c r="B7078">
        <v>500.1</v>
      </c>
      <c r="C7078">
        <v>500</v>
      </c>
      <c r="D7078" t="s">
        <v>5987</v>
      </c>
    </row>
    <row r="7079" spans="1:4" x14ac:dyDescent="0.2">
      <c r="A7079">
        <v>27</v>
      </c>
      <c r="B7079">
        <v>500.2</v>
      </c>
      <c r="C7079">
        <v>500</v>
      </c>
      <c r="D7079" t="s">
        <v>5987</v>
      </c>
    </row>
    <row r="7080" spans="1:4" x14ac:dyDescent="0.2">
      <c r="A7080">
        <v>28</v>
      </c>
      <c r="B7080">
        <v>500.1</v>
      </c>
      <c r="C7080">
        <v>500</v>
      </c>
      <c r="D7080" t="s">
        <v>5987</v>
      </c>
    </row>
    <row r="7081" spans="1:4" x14ac:dyDescent="0.2">
      <c r="A7081">
        <v>29</v>
      </c>
      <c r="B7081">
        <v>499.9</v>
      </c>
      <c r="C7081">
        <v>500</v>
      </c>
      <c r="D7081" t="s">
        <v>5987</v>
      </c>
    </row>
    <row r="7082" spans="1:4" x14ac:dyDescent="0.2">
      <c r="A7082">
        <v>30</v>
      </c>
      <c r="B7082">
        <v>500</v>
      </c>
      <c r="C7082">
        <v>500</v>
      </c>
      <c r="D7082" t="s">
        <v>5987</v>
      </c>
    </row>
    <row r="7083" spans="1:4" x14ac:dyDescent="0.2">
      <c r="A7083">
        <v>25</v>
      </c>
      <c r="B7083">
        <v>1000.2</v>
      </c>
      <c r="C7083">
        <v>1000</v>
      </c>
      <c r="D7083" t="s">
        <v>5987</v>
      </c>
    </row>
    <row r="7084" spans="1:4" x14ac:dyDescent="0.2">
      <c r="A7084">
        <v>26</v>
      </c>
      <c r="B7084">
        <v>1000.1</v>
      </c>
      <c r="C7084">
        <v>1000</v>
      </c>
      <c r="D7084" t="s">
        <v>5987</v>
      </c>
    </row>
    <row r="7085" spans="1:4" x14ac:dyDescent="0.2">
      <c r="A7085">
        <v>27</v>
      </c>
      <c r="B7085">
        <v>1000.3</v>
      </c>
      <c r="C7085">
        <v>1000</v>
      </c>
      <c r="D7085" t="s">
        <v>5987</v>
      </c>
    </row>
    <row r="7086" spans="1:4" x14ac:dyDescent="0.2">
      <c r="A7086">
        <v>28</v>
      </c>
      <c r="B7086">
        <v>1000.2</v>
      </c>
      <c r="C7086">
        <v>1000</v>
      </c>
      <c r="D7086" t="s">
        <v>5987</v>
      </c>
    </row>
    <row r="7087" spans="1:4" x14ac:dyDescent="0.2">
      <c r="A7087">
        <v>29</v>
      </c>
      <c r="B7087">
        <v>999.9</v>
      </c>
      <c r="C7087">
        <v>1000</v>
      </c>
      <c r="D7087" t="s">
        <v>5987</v>
      </c>
    </row>
    <row r="7088" spans="1:4" x14ac:dyDescent="0.2">
      <c r="A7088">
        <v>30</v>
      </c>
      <c r="B7088">
        <v>1000</v>
      </c>
      <c r="C7088">
        <v>1000</v>
      </c>
      <c r="D7088" t="s">
        <v>5987</v>
      </c>
    </row>
    <row r="7089" spans="1:4" x14ac:dyDescent="0.2">
      <c r="A7089">
        <v>31</v>
      </c>
      <c r="B7089">
        <v>-100.2</v>
      </c>
      <c r="C7089">
        <v>-100</v>
      </c>
      <c r="D7089" t="s">
        <v>5987</v>
      </c>
    </row>
    <row r="7090" spans="1:4" x14ac:dyDescent="0.2">
      <c r="A7090">
        <v>32</v>
      </c>
      <c r="B7090">
        <v>-100.2</v>
      </c>
      <c r="C7090">
        <v>-100</v>
      </c>
      <c r="D7090" t="s">
        <v>5987</v>
      </c>
    </row>
    <row r="7091" spans="1:4" x14ac:dyDescent="0.2">
      <c r="A7091">
        <v>33</v>
      </c>
      <c r="B7091">
        <v>-100.2</v>
      </c>
      <c r="C7091">
        <v>-100</v>
      </c>
      <c r="D7091" t="s">
        <v>5987</v>
      </c>
    </row>
    <row r="7092" spans="1:4" x14ac:dyDescent="0.2">
      <c r="A7092">
        <v>34</v>
      </c>
      <c r="B7092">
        <v>-100.2</v>
      </c>
      <c r="C7092">
        <v>-100</v>
      </c>
      <c r="D7092" t="s">
        <v>5987</v>
      </c>
    </row>
    <row r="7093" spans="1:4" x14ac:dyDescent="0.2">
      <c r="A7093">
        <v>35</v>
      </c>
      <c r="B7093">
        <v>-100.2</v>
      </c>
      <c r="C7093">
        <v>-100</v>
      </c>
      <c r="D7093" t="s">
        <v>5987</v>
      </c>
    </row>
    <row r="7094" spans="1:4" x14ac:dyDescent="0.2">
      <c r="A7094">
        <v>36</v>
      </c>
      <c r="B7094">
        <v>-100.3</v>
      </c>
      <c r="C7094">
        <v>-100</v>
      </c>
      <c r="D7094" t="s">
        <v>5987</v>
      </c>
    </row>
    <row r="7095" spans="1:4" x14ac:dyDescent="0.2">
      <c r="A7095">
        <v>31</v>
      </c>
      <c r="B7095">
        <v>-49.9</v>
      </c>
      <c r="C7095">
        <v>-50</v>
      </c>
      <c r="D7095" t="s">
        <v>5987</v>
      </c>
    </row>
    <row r="7096" spans="1:4" x14ac:dyDescent="0.2">
      <c r="A7096">
        <v>32</v>
      </c>
      <c r="B7096">
        <v>-50</v>
      </c>
      <c r="C7096">
        <v>-50</v>
      </c>
      <c r="D7096" t="s">
        <v>5987</v>
      </c>
    </row>
    <row r="7097" spans="1:4" x14ac:dyDescent="0.2">
      <c r="A7097">
        <v>33</v>
      </c>
      <c r="B7097">
        <v>-50.1</v>
      </c>
      <c r="C7097">
        <v>-50</v>
      </c>
      <c r="D7097" t="s">
        <v>5987</v>
      </c>
    </row>
    <row r="7098" spans="1:4" x14ac:dyDescent="0.2">
      <c r="A7098">
        <v>34</v>
      </c>
      <c r="B7098">
        <v>-50.2</v>
      </c>
      <c r="C7098">
        <v>-50</v>
      </c>
      <c r="D7098" t="s">
        <v>5987</v>
      </c>
    </row>
    <row r="7099" spans="1:4" x14ac:dyDescent="0.2">
      <c r="A7099">
        <v>35</v>
      </c>
      <c r="B7099">
        <v>-50.1</v>
      </c>
      <c r="C7099">
        <v>-50</v>
      </c>
      <c r="D7099" t="s">
        <v>5987</v>
      </c>
    </row>
    <row r="7100" spans="1:4" x14ac:dyDescent="0.2">
      <c r="A7100">
        <v>36</v>
      </c>
      <c r="B7100">
        <v>-50.2</v>
      </c>
      <c r="C7100">
        <v>-50</v>
      </c>
      <c r="D7100" t="s">
        <v>5987</v>
      </c>
    </row>
    <row r="7101" spans="1:4" x14ac:dyDescent="0.2">
      <c r="A7101">
        <v>31</v>
      </c>
      <c r="B7101">
        <v>0.2</v>
      </c>
      <c r="C7101">
        <v>0</v>
      </c>
      <c r="D7101" t="s">
        <v>5987</v>
      </c>
    </row>
    <row r="7102" spans="1:4" x14ac:dyDescent="0.2">
      <c r="A7102">
        <v>32</v>
      </c>
      <c r="B7102">
        <v>0.2</v>
      </c>
      <c r="C7102">
        <v>0</v>
      </c>
      <c r="D7102" t="s">
        <v>5987</v>
      </c>
    </row>
    <row r="7103" spans="1:4" x14ac:dyDescent="0.2">
      <c r="A7103">
        <v>33</v>
      </c>
      <c r="B7103">
        <v>0.1</v>
      </c>
      <c r="C7103">
        <v>0</v>
      </c>
      <c r="D7103" t="s">
        <v>5987</v>
      </c>
    </row>
    <row r="7104" spans="1:4" x14ac:dyDescent="0.2">
      <c r="A7104">
        <v>34</v>
      </c>
      <c r="B7104">
        <v>0.1</v>
      </c>
      <c r="C7104">
        <v>0</v>
      </c>
      <c r="D7104" t="s">
        <v>5987</v>
      </c>
    </row>
    <row r="7105" spans="1:4" x14ac:dyDescent="0.2">
      <c r="A7105">
        <v>35</v>
      </c>
      <c r="B7105">
        <v>0.1</v>
      </c>
      <c r="C7105">
        <v>0</v>
      </c>
      <c r="D7105" t="s">
        <v>5987</v>
      </c>
    </row>
    <row r="7106" spans="1:4" x14ac:dyDescent="0.2">
      <c r="A7106">
        <v>36</v>
      </c>
      <c r="B7106">
        <v>0.1</v>
      </c>
      <c r="C7106">
        <v>0</v>
      </c>
      <c r="D7106" t="s">
        <v>5987</v>
      </c>
    </row>
    <row r="7107" spans="1:4" x14ac:dyDescent="0.2">
      <c r="A7107">
        <v>31</v>
      </c>
      <c r="B7107">
        <v>250</v>
      </c>
      <c r="C7107">
        <v>250</v>
      </c>
      <c r="D7107" t="s">
        <v>5987</v>
      </c>
    </row>
    <row r="7108" spans="1:4" x14ac:dyDescent="0.2">
      <c r="A7108">
        <v>32</v>
      </c>
      <c r="B7108">
        <v>250.1</v>
      </c>
      <c r="C7108">
        <v>250</v>
      </c>
      <c r="D7108" t="s">
        <v>5987</v>
      </c>
    </row>
    <row r="7109" spans="1:4" x14ac:dyDescent="0.2">
      <c r="A7109">
        <v>33</v>
      </c>
      <c r="B7109">
        <v>249.8</v>
      </c>
      <c r="C7109">
        <v>250</v>
      </c>
      <c r="D7109" t="s">
        <v>5987</v>
      </c>
    </row>
    <row r="7110" spans="1:4" x14ac:dyDescent="0.2">
      <c r="A7110">
        <v>34</v>
      </c>
      <c r="B7110">
        <v>249.7</v>
      </c>
      <c r="C7110">
        <v>250</v>
      </c>
      <c r="D7110" t="s">
        <v>5987</v>
      </c>
    </row>
    <row r="7111" spans="1:4" x14ac:dyDescent="0.2">
      <c r="A7111">
        <v>35</v>
      </c>
      <c r="B7111">
        <v>249.8</v>
      </c>
      <c r="C7111">
        <v>250</v>
      </c>
      <c r="D7111" t="s">
        <v>5987</v>
      </c>
    </row>
    <row r="7112" spans="1:4" x14ac:dyDescent="0.2">
      <c r="A7112">
        <v>36</v>
      </c>
      <c r="B7112">
        <v>250</v>
      </c>
      <c r="C7112">
        <v>250</v>
      </c>
      <c r="D7112" t="s">
        <v>5987</v>
      </c>
    </row>
    <row r="7113" spans="1:4" x14ac:dyDescent="0.2">
      <c r="A7113">
        <v>31</v>
      </c>
      <c r="B7113">
        <v>500.1</v>
      </c>
      <c r="C7113">
        <v>500</v>
      </c>
      <c r="D7113" t="s">
        <v>5987</v>
      </c>
    </row>
    <row r="7114" spans="1:4" x14ac:dyDescent="0.2">
      <c r="A7114">
        <v>32</v>
      </c>
      <c r="B7114">
        <v>500.2</v>
      </c>
      <c r="C7114">
        <v>500</v>
      </c>
      <c r="D7114" t="s">
        <v>5987</v>
      </c>
    </row>
    <row r="7115" spans="1:4" x14ac:dyDescent="0.2">
      <c r="A7115">
        <v>33</v>
      </c>
      <c r="B7115">
        <v>500</v>
      </c>
      <c r="C7115">
        <v>500</v>
      </c>
      <c r="D7115" t="s">
        <v>5987</v>
      </c>
    </row>
    <row r="7116" spans="1:4" x14ac:dyDescent="0.2">
      <c r="A7116">
        <v>34</v>
      </c>
      <c r="B7116">
        <v>500.1</v>
      </c>
      <c r="C7116">
        <v>500</v>
      </c>
      <c r="D7116" t="s">
        <v>5987</v>
      </c>
    </row>
    <row r="7117" spans="1:4" x14ac:dyDescent="0.2">
      <c r="A7117">
        <v>35</v>
      </c>
      <c r="B7117">
        <v>500</v>
      </c>
      <c r="C7117">
        <v>500</v>
      </c>
      <c r="D7117" t="s">
        <v>5987</v>
      </c>
    </row>
    <row r="7118" spans="1:4" x14ac:dyDescent="0.2">
      <c r="A7118">
        <v>36</v>
      </c>
      <c r="B7118">
        <v>500.2</v>
      </c>
      <c r="C7118">
        <v>500</v>
      </c>
      <c r="D7118" t="s">
        <v>5987</v>
      </c>
    </row>
    <row r="7119" spans="1:4" x14ac:dyDescent="0.2">
      <c r="A7119">
        <v>31</v>
      </c>
      <c r="B7119">
        <v>1000</v>
      </c>
      <c r="C7119">
        <v>1000</v>
      </c>
      <c r="D7119" t="s">
        <v>5987</v>
      </c>
    </row>
    <row r="7120" spans="1:4" x14ac:dyDescent="0.2">
      <c r="A7120">
        <v>32</v>
      </c>
      <c r="B7120">
        <v>1000.2</v>
      </c>
      <c r="C7120">
        <v>1000</v>
      </c>
      <c r="D7120" t="s">
        <v>5987</v>
      </c>
    </row>
    <row r="7121" spans="1:4" x14ac:dyDescent="0.2">
      <c r="A7121">
        <v>33</v>
      </c>
      <c r="B7121">
        <v>1000.1</v>
      </c>
      <c r="C7121">
        <v>1000</v>
      </c>
      <c r="D7121" t="s">
        <v>5987</v>
      </c>
    </row>
    <row r="7122" spans="1:4" x14ac:dyDescent="0.2">
      <c r="A7122">
        <v>34</v>
      </c>
      <c r="B7122">
        <v>1000.3</v>
      </c>
      <c r="C7122">
        <v>1000</v>
      </c>
      <c r="D7122" t="s">
        <v>5987</v>
      </c>
    </row>
    <row r="7123" spans="1:4" x14ac:dyDescent="0.2">
      <c r="A7123">
        <v>35</v>
      </c>
      <c r="B7123">
        <v>1000.1</v>
      </c>
      <c r="C7123">
        <v>1000</v>
      </c>
      <c r="D7123" t="s">
        <v>5987</v>
      </c>
    </row>
    <row r="7124" spans="1:4" x14ac:dyDescent="0.2">
      <c r="A7124">
        <v>36</v>
      </c>
      <c r="B7124">
        <v>1000.2</v>
      </c>
      <c r="C7124">
        <v>1000</v>
      </c>
      <c r="D7124" t="s">
        <v>5987</v>
      </c>
    </row>
    <row r="7125" spans="1:4" x14ac:dyDescent="0.2">
      <c r="A7125">
        <v>37</v>
      </c>
      <c r="B7125">
        <v>-100.5</v>
      </c>
      <c r="C7125">
        <v>-100</v>
      </c>
      <c r="D7125" t="s">
        <v>5987</v>
      </c>
    </row>
    <row r="7126" spans="1:4" x14ac:dyDescent="0.2">
      <c r="A7126">
        <v>38</v>
      </c>
      <c r="B7126">
        <v>-100.1</v>
      </c>
      <c r="C7126">
        <v>-100</v>
      </c>
      <c r="D7126" t="s">
        <v>5987</v>
      </c>
    </row>
    <row r="7127" spans="1:4" x14ac:dyDescent="0.2">
      <c r="A7127">
        <v>39</v>
      </c>
      <c r="B7127">
        <v>-99.8</v>
      </c>
      <c r="C7127">
        <v>-100</v>
      </c>
      <c r="D7127" t="s">
        <v>5987</v>
      </c>
    </row>
    <row r="7128" spans="1:4" x14ac:dyDescent="0.2">
      <c r="A7128">
        <v>40</v>
      </c>
      <c r="B7128">
        <v>-99.8</v>
      </c>
      <c r="C7128">
        <v>-100</v>
      </c>
      <c r="D7128" t="s">
        <v>5987</v>
      </c>
    </row>
    <row r="7129" spans="1:4" x14ac:dyDescent="0.2">
      <c r="A7129">
        <v>37</v>
      </c>
      <c r="B7129">
        <v>-50.3</v>
      </c>
      <c r="C7129">
        <v>-50</v>
      </c>
      <c r="D7129" t="s">
        <v>5987</v>
      </c>
    </row>
    <row r="7130" spans="1:4" x14ac:dyDescent="0.2">
      <c r="A7130">
        <v>38</v>
      </c>
      <c r="B7130">
        <v>-49.8</v>
      </c>
      <c r="C7130">
        <v>-50</v>
      </c>
      <c r="D7130" t="s">
        <v>5987</v>
      </c>
    </row>
    <row r="7131" spans="1:4" x14ac:dyDescent="0.2">
      <c r="A7131">
        <v>39</v>
      </c>
      <c r="B7131">
        <v>-50</v>
      </c>
      <c r="C7131">
        <v>-50</v>
      </c>
      <c r="D7131" t="s">
        <v>5987</v>
      </c>
    </row>
    <row r="7132" spans="1:4" x14ac:dyDescent="0.2">
      <c r="A7132">
        <v>40</v>
      </c>
      <c r="B7132">
        <v>-50</v>
      </c>
      <c r="C7132">
        <v>-50</v>
      </c>
      <c r="D7132" t="s">
        <v>5987</v>
      </c>
    </row>
    <row r="7133" spans="1:4" x14ac:dyDescent="0.2">
      <c r="A7133">
        <v>37</v>
      </c>
      <c r="B7133">
        <v>0.3</v>
      </c>
      <c r="C7133">
        <v>0</v>
      </c>
      <c r="D7133" t="s">
        <v>5987</v>
      </c>
    </row>
    <row r="7134" spans="1:4" x14ac:dyDescent="0.2">
      <c r="A7134">
        <v>38</v>
      </c>
      <c r="B7134">
        <v>0.2</v>
      </c>
      <c r="C7134">
        <v>0</v>
      </c>
      <c r="D7134" t="s">
        <v>5987</v>
      </c>
    </row>
    <row r="7135" spans="1:4" x14ac:dyDescent="0.2">
      <c r="A7135">
        <v>39</v>
      </c>
      <c r="B7135">
        <v>0.2</v>
      </c>
      <c r="C7135">
        <v>0</v>
      </c>
      <c r="D7135" t="s">
        <v>5987</v>
      </c>
    </row>
    <row r="7136" spans="1:4" x14ac:dyDescent="0.2">
      <c r="A7136">
        <v>40</v>
      </c>
      <c r="B7136">
        <v>0.2</v>
      </c>
      <c r="C7136">
        <v>0</v>
      </c>
      <c r="D7136" t="s">
        <v>5987</v>
      </c>
    </row>
    <row r="7137" spans="1:4" x14ac:dyDescent="0.2">
      <c r="A7137">
        <v>37</v>
      </c>
      <c r="B7137">
        <v>250.3</v>
      </c>
      <c r="C7137">
        <v>250</v>
      </c>
      <c r="D7137" t="s">
        <v>5987</v>
      </c>
    </row>
    <row r="7138" spans="1:4" x14ac:dyDescent="0.2">
      <c r="A7138">
        <v>38</v>
      </c>
      <c r="B7138">
        <v>250.2</v>
      </c>
      <c r="C7138">
        <v>250</v>
      </c>
      <c r="D7138" t="s">
        <v>5987</v>
      </c>
    </row>
    <row r="7139" spans="1:4" x14ac:dyDescent="0.2">
      <c r="A7139">
        <v>39</v>
      </c>
      <c r="B7139">
        <v>250.3</v>
      </c>
      <c r="C7139">
        <v>250</v>
      </c>
      <c r="D7139" t="s">
        <v>5987</v>
      </c>
    </row>
    <row r="7140" spans="1:4" x14ac:dyDescent="0.2">
      <c r="A7140">
        <v>40</v>
      </c>
      <c r="B7140">
        <v>250.2</v>
      </c>
      <c r="C7140">
        <v>250</v>
      </c>
      <c r="D7140" t="s">
        <v>5987</v>
      </c>
    </row>
    <row r="7141" spans="1:4" x14ac:dyDescent="0.2">
      <c r="A7141">
        <v>37</v>
      </c>
      <c r="B7141">
        <v>500.4</v>
      </c>
      <c r="C7141">
        <v>500</v>
      </c>
      <c r="D7141" t="s">
        <v>5987</v>
      </c>
    </row>
    <row r="7142" spans="1:4" x14ac:dyDescent="0.2">
      <c r="A7142">
        <v>38</v>
      </c>
      <c r="B7142">
        <v>500.3</v>
      </c>
      <c r="C7142">
        <v>500</v>
      </c>
      <c r="D7142" t="s">
        <v>5987</v>
      </c>
    </row>
    <row r="7143" spans="1:4" x14ac:dyDescent="0.2">
      <c r="A7143">
        <v>39</v>
      </c>
      <c r="B7143">
        <v>500</v>
      </c>
      <c r="C7143">
        <v>500</v>
      </c>
      <c r="D7143" t="s">
        <v>5987</v>
      </c>
    </row>
    <row r="7144" spans="1:4" x14ac:dyDescent="0.2">
      <c r="A7144">
        <v>40</v>
      </c>
      <c r="B7144">
        <v>500</v>
      </c>
      <c r="C7144">
        <v>500</v>
      </c>
      <c r="D7144" t="s">
        <v>5987</v>
      </c>
    </row>
    <row r="7145" spans="1:4" x14ac:dyDescent="0.2">
      <c r="A7145">
        <v>37</v>
      </c>
      <c r="B7145">
        <v>1000.5</v>
      </c>
      <c r="C7145">
        <v>1000</v>
      </c>
      <c r="D7145" t="s">
        <v>5987</v>
      </c>
    </row>
    <row r="7146" spans="1:4" x14ac:dyDescent="0.2">
      <c r="A7146">
        <v>38</v>
      </c>
      <c r="B7146">
        <v>1000.3</v>
      </c>
      <c r="C7146">
        <v>1000</v>
      </c>
      <c r="D7146" t="s">
        <v>5987</v>
      </c>
    </row>
    <row r="7147" spans="1:4" x14ac:dyDescent="0.2">
      <c r="A7147">
        <v>39</v>
      </c>
      <c r="B7147">
        <v>1000.1</v>
      </c>
      <c r="C7147">
        <v>1000</v>
      </c>
      <c r="D7147" t="s">
        <v>5987</v>
      </c>
    </row>
    <row r="7148" spans="1:4" x14ac:dyDescent="0.2">
      <c r="A7148">
        <v>40</v>
      </c>
      <c r="B7148">
        <v>1000.1</v>
      </c>
      <c r="C7148">
        <v>1000</v>
      </c>
      <c r="D7148" t="s">
        <v>5987</v>
      </c>
    </row>
    <row r="7149" spans="1:4" x14ac:dyDescent="0.2">
      <c r="A7149">
        <v>1</v>
      </c>
      <c r="B7149">
        <v>-99.9</v>
      </c>
      <c r="C7149">
        <v>-100</v>
      </c>
      <c r="D7149" t="s">
        <v>5988</v>
      </c>
    </row>
    <row r="7150" spans="1:4" x14ac:dyDescent="0.2">
      <c r="A7150">
        <v>2</v>
      </c>
      <c r="B7150">
        <v>-99.9</v>
      </c>
      <c r="C7150">
        <v>-100</v>
      </c>
      <c r="D7150" t="s">
        <v>5988</v>
      </c>
    </row>
    <row r="7151" spans="1:4" x14ac:dyDescent="0.2">
      <c r="A7151">
        <v>3</v>
      </c>
      <c r="B7151">
        <v>-99.8</v>
      </c>
      <c r="C7151">
        <v>-100</v>
      </c>
      <c r="D7151" t="s">
        <v>5988</v>
      </c>
    </row>
    <row r="7152" spans="1:4" x14ac:dyDescent="0.2">
      <c r="A7152">
        <v>4</v>
      </c>
      <c r="B7152">
        <v>-99.9</v>
      </c>
      <c r="C7152">
        <v>-100</v>
      </c>
      <c r="D7152" t="s">
        <v>5988</v>
      </c>
    </row>
    <row r="7153" spans="1:4" x14ac:dyDescent="0.2">
      <c r="A7153">
        <v>5</v>
      </c>
      <c r="B7153">
        <v>-100</v>
      </c>
      <c r="C7153">
        <v>-100</v>
      </c>
      <c r="D7153" t="s">
        <v>5988</v>
      </c>
    </row>
    <row r="7154" spans="1:4" x14ac:dyDescent="0.2">
      <c r="A7154">
        <v>6</v>
      </c>
      <c r="B7154">
        <v>-99.9</v>
      </c>
      <c r="C7154">
        <v>-100</v>
      </c>
      <c r="D7154" t="s">
        <v>5988</v>
      </c>
    </row>
    <row r="7155" spans="1:4" x14ac:dyDescent="0.2">
      <c r="A7155">
        <v>1</v>
      </c>
      <c r="B7155">
        <v>-49.9</v>
      </c>
      <c r="C7155">
        <v>-50</v>
      </c>
      <c r="D7155" t="s">
        <v>5988</v>
      </c>
    </row>
    <row r="7156" spans="1:4" x14ac:dyDescent="0.2">
      <c r="A7156">
        <v>2</v>
      </c>
      <c r="B7156">
        <v>-49.9</v>
      </c>
      <c r="C7156">
        <v>-50</v>
      </c>
      <c r="D7156" t="s">
        <v>5988</v>
      </c>
    </row>
    <row r="7157" spans="1:4" x14ac:dyDescent="0.2">
      <c r="A7157">
        <v>3</v>
      </c>
      <c r="B7157">
        <v>-49.8</v>
      </c>
      <c r="C7157">
        <v>-50</v>
      </c>
      <c r="D7157" t="s">
        <v>5988</v>
      </c>
    </row>
    <row r="7158" spans="1:4" x14ac:dyDescent="0.2">
      <c r="A7158">
        <v>4</v>
      </c>
      <c r="B7158">
        <v>-49.9</v>
      </c>
      <c r="C7158">
        <v>-50</v>
      </c>
      <c r="D7158" t="s">
        <v>5988</v>
      </c>
    </row>
    <row r="7159" spans="1:4" x14ac:dyDescent="0.2">
      <c r="A7159">
        <v>5</v>
      </c>
      <c r="B7159">
        <v>-50</v>
      </c>
      <c r="C7159">
        <v>-50</v>
      </c>
      <c r="D7159" t="s">
        <v>5988</v>
      </c>
    </row>
    <row r="7160" spans="1:4" x14ac:dyDescent="0.2">
      <c r="A7160">
        <v>6</v>
      </c>
      <c r="B7160">
        <v>-49.9</v>
      </c>
      <c r="C7160">
        <v>-50</v>
      </c>
      <c r="D7160" t="s">
        <v>5988</v>
      </c>
    </row>
    <row r="7161" spans="1:4" x14ac:dyDescent="0.2">
      <c r="A7161">
        <v>1</v>
      </c>
      <c r="B7161">
        <v>-0.1</v>
      </c>
      <c r="C7161">
        <v>0</v>
      </c>
      <c r="D7161" t="s">
        <v>5988</v>
      </c>
    </row>
    <row r="7162" spans="1:4" x14ac:dyDescent="0.2">
      <c r="A7162">
        <v>2</v>
      </c>
      <c r="B7162">
        <v>0</v>
      </c>
      <c r="C7162">
        <v>0</v>
      </c>
      <c r="D7162" t="s">
        <v>5988</v>
      </c>
    </row>
    <row r="7163" spans="1:4" x14ac:dyDescent="0.2">
      <c r="A7163">
        <v>3</v>
      </c>
      <c r="B7163">
        <v>-0.2</v>
      </c>
      <c r="C7163">
        <v>0</v>
      </c>
      <c r="D7163" t="s">
        <v>5988</v>
      </c>
    </row>
    <row r="7164" spans="1:4" x14ac:dyDescent="0.2">
      <c r="A7164">
        <v>4</v>
      </c>
      <c r="B7164">
        <v>0</v>
      </c>
      <c r="C7164">
        <v>0</v>
      </c>
      <c r="D7164" t="s">
        <v>5988</v>
      </c>
    </row>
    <row r="7165" spans="1:4" x14ac:dyDescent="0.2">
      <c r="A7165">
        <v>5</v>
      </c>
      <c r="B7165">
        <v>0</v>
      </c>
      <c r="C7165">
        <v>0</v>
      </c>
      <c r="D7165" t="s">
        <v>5988</v>
      </c>
    </row>
    <row r="7166" spans="1:4" x14ac:dyDescent="0.2">
      <c r="A7166">
        <v>6</v>
      </c>
      <c r="B7166">
        <v>0</v>
      </c>
      <c r="C7166">
        <v>0</v>
      </c>
      <c r="D7166" t="s">
        <v>5988</v>
      </c>
    </row>
    <row r="7167" spans="1:4" x14ac:dyDescent="0.2">
      <c r="A7167">
        <v>1</v>
      </c>
      <c r="B7167">
        <v>249.9</v>
      </c>
      <c r="C7167">
        <v>250</v>
      </c>
      <c r="D7167" t="s">
        <v>5988</v>
      </c>
    </row>
    <row r="7168" spans="1:4" x14ac:dyDescent="0.2">
      <c r="A7168">
        <v>2</v>
      </c>
      <c r="B7168">
        <v>249.9</v>
      </c>
      <c r="C7168">
        <v>250</v>
      </c>
      <c r="D7168" t="s">
        <v>5988</v>
      </c>
    </row>
    <row r="7169" spans="1:4" x14ac:dyDescent="0.2">
      <c r="A7169">
        <v>3</v>
      </c>
      <c r="B7169">
        <v>249.9</v>
      </c>
      <c r="C7169">
        <v>250</v>
      </c>
      <c r="D7169" t="s">
        <v>5988</v>
      </c>
    </row>
    <row r="7170" spans="1:4" x14ac:dyDescent="0.2">
      <c r="A7170">
        <v>4</v>
      </c>
      <c r="B7170">
        <v>250</v>
      </c>
      <c r="C7170">
        <v>250</v>
      </c>
      <c r="D7170" t="s">
        <v>5988</v>
      </c>
    </row>
    <row r="7171" spans="1:4" x14ac:dyDescent="0.2">
      <c r="A7171">
        <v>5</v>
      </c>
      <c r="B7171">
        <v>249.9</v>
      </c>
      <c r="C7171">
        <v>250</v>
      </c>
      <c r="D7171" t="s">
        <v>5988</v>
      </c>
    </row>
    <row r="7172" spans="1:4" x14ac:dyDescent="0.2">
      <c r="A7172">
        <v>6</v>
      </c>
      <c r="B7172">
        <v>250</v>
      </c>
      <c r="C7172">
        <v>250</v>
      </c>
      <c r="D7172" t="s">
        <v>5988</v>
      </c>
    </row>
    <row r="7173" spans="1:4" x14ac:dyDescent="0.2">
      <c r="A7173">
        <v>1</v>
      </c>
      <c r="B7173">
        <v>499.9</v>
      </c>
      <c r="C7173">
        <v>500</v>
      </c>
      <c r="D7173" t="s">
        <v>5988</v>
      </c>
    </row>
    <row r="7174" spans="1:4" x14ac:dyDescent="0.2">
      <c r="A7174">
        <v>2</v>
      </c>
      <c r="B7174">
        <v>499.9</v>
      </c>
      <c r="C7174">
        <v>500</v>
      </c>
      <c r="D7174" t="s">
        <v>5988</v>
      </c>
    </row>
    <row r="7175" spans="1:4" x14ac:dyDescent="0.2">
      <c r="A7175">
        <v>3</v>
      </c>
      <c r="B7175">
        <v>499.9</v>
      </c>
      <c r="C7175">
        <v>500</v>
      </c>
      <c r="D7175" t="s">
        <v>5988</v>
      </c>
    </row>
    <row r="7176" spans="1:4" x14ac:dyDescent="0.2">
      <c r="A7176">
        <v>4</v>
      </c>
      <c r="B7176">
        <v>499.9</v>
      </c>
      <c r="C7176">
        <v>500</v>
      </c>
      <c r="D7176" t="s">
        <v>5988</v>
      </c>
    </row>
    <row r="7177" spans="1:4" x14ac:dyDescent="0.2">
      <c r="A7177">
        <v>5</v>
      </c>
      <c r="B7177">
        <v>499.8</v>
      </c>
      <c r="C7177">
        <v>500</v>
      </c>
      <c r="D7177" t="s">
        <v>5988</v>
      </c>
    </row>
    <row r="7178" spans="1:4" x14ac:dyDescent="0.2">
      <c r="A7178">
        <v>6</v>
      </c>
      <c r="B7178">
        <v>499.9</v>
      </c>
      <c r="C7178">
        <v>500</v>
      </c>
      <c r="D7178" t="s">
        <v>5988</v>
      </c>
    </row>
    <row r="7179" spans="1:4" x14ac:dyDescent="0.2">
      <c r="A7179">
        <v>1</v>
      </c>
      <c r="B7179">
        <v>999.9</v>
      </c>
      <c r="C7179">
        <v>1000</v>
      </c>
      <c r="D7179" t="s">
        <v>5988</v>
      </c>
    </row>
    <row r="7180" spans="1:4" x14ac:dyDescent="0.2">
      <c r="A7180">
        <v>2</v>
      </c>
      <c r="B7180">
        <v>999.8</v>
      </c>
      <c r="C7180">
        <v>1000</v>
      </c>
      <c r="D7180" t="s">
        <v>5988</v>
      </c>
    </row>
    <row r="7181" spans="1:4" x14ac:dyDescent="0.2">
      <c r="A7181">
        <v>3</v>
      </c>
      <c r="B7181">
        <v>999.9</v>
      </c>
      <c r="C7181">
        <v>1000</v>
      </c>
      <c r="D7181" t="s">
        <v>5988</v>
      </c>
    </row>
    <row r="7182" spans="1:4" x14ac:dyDescent="0.2">
      <c r="A7182">
        <v>4</v>
      </c>
      <c r="B7182">
        <v>999.9</v>
      </c>
      <c r="C7182">
        <v>1000</v>
      </c>
      <c r="D7182" t="s">
        <v>5988</v>
      </c>
    </row>
    <row r="7183" spans="1:4" x14ac:dyDescent="0.2">
      <c r="A7183">
        <v>5</v>
      </c>
      <c r="B7183">
        <v>999.8</v>
      </c>
      <c r="C7183">
        <v>1000</v>
      </c>
      <c r="D7183" t="s">
        <v>5988</v>
      </c>
    </row>
    <row r="7184" spans="1:4" x14ac:dyDescent="0.2">
      <c r="A7184">
        <v>6</v>
      </c>
      <c r="B7184">
        <v>999.9</v>
      </c>
      <c r="C7184">
        <v>1000</v>
      </c>
      <c r="D7184" t="s">
        <v>5988</v>
      </c>
    </row>
    <row r="7185" spans="1:4" x14ac:dyDescent="0.2">
      <c r="A7185">
        <v>7</v>
      </c>
      <c r="B7185">
        <v>-99.9</v>
      </c>
      <c r="C7185">
        <v>-100</v>
      </c>
      <c r="D7185" t="s">
        <v>5988</v>
      </c>
    </row>
    <row r="7186" spans="1:4" x14ac:dyDescent="0.2">
      <c r="A7186">
        <v>8</v>
      </c>
      <c r="B7186">
        <v>-100</v>
      </c>
      <c r="C7186">
        <v>-100</v>
      </c>
      <c r="D7186" t="s">
        <v>5988</v>
      </c>
    </row>
    <row r="7187" spans="1:4" x14ac:dyDescent="0.2">
      <c r="A7187">
        <v>9</v>
      </c>
      <c r="B7187">
        <v>-99.7</v>
      </c>
      <c r="C7187">
        <v>-100</v>
      </c>
      <c r="D7187" t="s">
        <v>5988</v>
      </c>
    </row>
    <row r="7188" spans="1:4" x14ac:dyDescent="0.2">
      <c r="A7188">
        <v>10</v>
      </c>
      <c r="B7188">
        <v>-100.1</v>
      </c>
      <c r="C7188">
        <v>-100</v>
      </c>
      <c r="D7188" t="s">
        <v>5988</v>
      </c>
    </row>
    <row r="7189" spans="1:4" x14ac:dyDescent="0.2">
      <c r="A7189">
        <v>11</v>
      </c>
      <c r="B7189">
        <v>-99.8</v>
      </c>
      <c r="C7189">
        <v>-100</v>
      </c>
      <c r="D7189" t="s">
        <v>5988</v>
      </c>
    </row>
    <row r="7190" spans="1:4" x14ac:dyDescent="0.2">
      <c r="A7190">
        <v>12</v>
      </c>
      <c r="B7190">
        <v>-100.1</v>
      </c>
      <c r="C7190">
        <v>-100</v>
      </c>
      <c r="D7190" t="s">
        <v>5988</v>
      </c>
    </row>
    <row r="7191" spans="1:4" x14ac:dyDescent="0.2">
      <c r="A7191">
        <v>7</v>
      </c>
      <c r="B7191">
        <v>-50</v>
      </c>
      <c r="C7191">
        <v>-50</v>
      </c>
      <c r="D7191" t="s">
        <v>5988</v>
      </c>
    </row>
    <row r="7192" spans="1:4" x14ac:dyDescent="0.2">
      <c r="A7192">
        <v>8</v>
      </c>
      <c r="B7192">
        <v>-50</v>
      </c>
      <c r="C7192">
        <v>-50</v>
      </c>
      <c r="D7192" t="s">
        <v>5988</v>
      </c>
    </row>
    <row r="7193" spans="1:4" x14ac:dyDescent="0.2">
      <c r="A7193">
        <v>9</v>
      </c>
      <c r="B7193">
        <v>-49.7</v>
      </c>
      <c r="C7193">
        <v>-50</v>
      </c>
      <c r="D7193" t="s">
        <v>5988</v>
      </c>
    </row>
    <row r="7194" spans="1:4" x14ac:dyDescent="0.2">
      <c r="A7194">
        <v>10</v>
      </c>
      <c r="B7194">
        <v>-50.1</v>
      </c>
      <c r="C7194">
        <v>-50</v>
      </c>
      <c r="D7194" t="s">
        <v>5988</v>
      </c>
    </row>
    <row r="7195" spans="1:4" x14ac:dyDescent="0.2">
      <c r="A7195">
        <v>11</v>
      </c>
      <c r="B7195">
        <v>-49.8</v>
      </c>
      <c r="C7195">
        <v>-50</v>
      </c>
      <c r="D7195" t="s">
        <v>5988</v>
      </c>
    </row>
    <row r="7196" spans="1:4" x14ac:dyDescent="0.2">
      <c r="A7196">
        <v>12</v>
      </c>
      <c r="B7196">
        <v>-50.1</v>
      </c>
      <c r="C7196">
        <v>-50</v>
      </c>
      <c r="D7196" t="s">
        <v>5988</v>
      </c>
    </row>
    <row r="7197" spans="1:4" x14ac:dyDescent="0.2">
      <c r="A7197">
        <v>7</v>
      </c>
      <c r="B7197">
        <v>0</v>
      </c>
      <c r="C7197">
        <v>0</v>
      </c>
      <c r="D7197" t="s">
        <v>5988</v>
      </c>
    </row>
    <row r="7198" spans="1:4" x14ac:dyDescent="0.2">
      <c r="A7198">
        <v>8</v>
      </c>
      <c r="B7198">
        <v>0.1</v>
      </c>
      <c r="C7198">
        <v>0</v>
      </c>
      <c r="D7198" t="s">
        <v>5988</v>
      </c>
    </row>
    <row r="7199" spans="1:4" x14ac:dyDescent="0.2">
      <c r="A7199">
        <v>9</v>
      </c>
      <c r="B7199">
        <v>-0.3</v>
      </c>
      <c r="C7199">
        <v>0</v>
      </c>
      <c r="D7199" t="s">
        <v>5988</v>
      </c>
    </row>
    <row r="7200" spans="1:4" x14ac:dyDescent="0.2">
      <c r="A7200">
        <v>10</v>
      </c>
      <c r="B7200">
        <v>0.1</v>
      </c>
      <c r="C7200">
        <v>0</v>
      </c>
      <c r="D7200" t="s">
        <v>5988</v>
      </c>
    </row>
    <row r="7201" spans="1:4" x14ac:dyDescent="0.2">
      <c r="A7201">
        <v>11</v>
      </c>
      <c r="B7201">
        <v>-0.2</v>
      </c>
      <c r="C7201">
        <v>0</v>
      </c>
      <c r="D7201" t="s">
        <v>5988</v>
      </c>
    </row>
    <row r="7202" spans="1:4" x14ac:dyDescent="0.2">
      <c r="A7202">
        <v>12</v>
      </c>
      <c r="B7202">
        <v>-0.2</v>
      </c>
      <c r="C7202">
        <v>0</v>
      </c>
      <c r="D7202" t="s">
        <v>5988</v>
      </c>
    </row>
    <row r="7203" spans="1:4" x14ac:dyDescent="0.2">
      <c r="A7203">
        <v>7</v>
      </c>
      <c r="B7203">
        <v>249.9</v>
      </c>
      <c r="C7203">
        <v>250</v>
      </c>
      <c r="D7203" t="s">
        <v>5988</v>
      </c>
    </row>
    <row r="7204" spans="1:4" x14ac:dyDescent="0.2">
      <c r="A7204">
        <v>8</v>
      </c>
      <c r="B7204">
        <v>249.9</v>
      </c>
      <c r="C7204">
        <v>250</v>
      </c>
      <c r="D7204" t="s">
        <v>5988</v>
      </c>
    </row>
    <row r="7205" spans="1:4" x14ac:dyDescent="0.2">
      <c r="A7205">
        <v>9</v>
      </c>
      <c r="B7205">
        <v>249.8</v>
      </c>
      <c r="C7205">
        <v>250</v>
      </c>
      <c r="D7205" t="s">
        <v>5988</v>
      </c>
    </row>
    <row r="7206" spans="1:4" x14ac:dyDescent="0.2">
      <c r="A7206">
        <v>10</v>
      </c>
      <c r="B7206">
        <v>249.9</v>
      </c>
      <c r="C7206">
        <v>250</v>
      </c>
      <c r="D7206" t="s">
        <v>5988</v>
      </c>
    </row>
    <row r="7207" spans="1:4" x14ac:dyDescent="0.2">
      <c r="A7207">
        <v>11</v>
      </c>
      <c r="B7207">
        <v>249.9</v>
      </c>
      <c r="C7207">
        <v>250</v>
      </c>
      <c r="D7207" t="s">
        <v>5988</v>
      </c>
    </row>
    <row r="7208" spans="1:4" x14ac:dyDescent="0.2">
      <c r="A7208">
        <v>12</v>
      </c>
      <c r="B7208">
        <v>249.8</v>
      </c>
      <c r="C7208">
        <v>250</v>
      </c>
      <c r="D7208" t="s">
        <v>5988</v>
      </c>
    </row>
    <row r="7209" spans="1:4" x14ac:dyDescent="0.2">
      <c r="A7209">
        <v>7</v>
      </c>
      <c r="B7209">
        <v>499.8</v>
      </c>
      <c r="C7209">
        <v>500</v>
      </c>
      <c r="D7209" t="s">
        <v>5988</v>
      </c>
    </row>
    <row r="7210" spans="1:4" x14ac:dyDescent="0.2">
      <c r="A7210">
        <v>8</v>
      </c>
      <c r="B7210">
        <v>499.8</v>
      </c>
      <c r="C7210">
        <v>500</v>
      </c>
      <c r="D7210" t="s">
        <v>5988</v>
      </c>
    </row>
    <row r="7211" spans="1:4" x14ac:dyDescent="0.2">
      <c r="A7211">
        <v>9</v>
      </c>
      <c r="B7211">
        <v>499.8</v>
      </c>
      <c r="C7211">
        <v>500</v>
      </c>
      <c r="D7211" t="s">
        <v>5988</v>
      </c>
    </row>
    <row r="7212" spans="1:4" x14ac:dyDescent="0.2">
      <c r="A7212">
        <v>10</v>
      </c>
      <c r="B7212">
        <v>499.8</v>
      </c>
      <c r="C7212">
        <v>500</v>
      </c>
      <c r="D7212" t="s">
        <v>5988</v>
      </c>
    </row>
    <row r="7213" spans="1:4" x14ac:dyDescent="0.2">
      <c r="A7213">
        <v>11</v>
      </c>
      <c r="B7213">
        <v>499.8</v>
      </c>
      <c r="C7213">
        <v>500</v>
      </c>
      <c r="D7213" t="s">
        <v>5988</v>
      </c>
    </row>
    <row r="7214" spans="1:4" x14ac:dyDescent="0.2">
      <c r="A7214">
        <v>12</v>
      </c>
      <c r="B7214">
        <v>499.8</v>
      </c>
      <c r="C7214">
        <v>500</v>
      </c>
      <c r="D7214" t="s">
        <v>5988</v>
      </c>
    </row>
    <row r="7215" spans="1:4" x14ac:dyDescent="0.2">
      <c r="A7215">
        <v>7</v>
      </c>
      <c r="B7215">
        <v>999.6</v>
      </c>
      <c r="C7215">
        <v>1000</v>
      </c>
      <c r="D7215" t="s">
        <v>5988</v>
      </c>
    </row>
    <row r="7216" spans="1:4" x14ac:dyDescent="0.2">
      <c r="A7216">
        <v>8</v>
      </c>
      <c r="B7216">
        <v>999.7</v>
      </c>
      <c r="C7216">
        <v>1000</v>
      </c>
      <c r="D7216" t="s">
        <v>5988</v>
      </c>
    </row>
    <row r="7217" spans="1:4" x14ac:dyDescent="0.2">
      <c r="A7217">
        <v>9</v>
      </c>
      <c r="B7217">
        <v>999.9</v>
      </c>
      <c r="C7217">
        <v>1000</v>
      </c>
      <c r="D7217" t="s">
        <v>5988</v>
      </c>
    </row>
    <row r="7218" spans="1:4" x14ac:dyDescent="0.2">
      <c r="A7218">
        <v>10</v>
      </c>
      <c r="B7218">
        <v>999.7</v>
      </c>
      <c r="C7218">
        <v>1000</v>
      </c>
      <c r="D7218" t="s">
        <v>5988</v>
      </c>
    </row>
    <row r="7219" spans="1:4" x14ac:dyDescent="0.2">
      <c r="A7219">
        <v>11</v>
      </c>
      <c r="B7219">
        <v>999.8</v>
      </c>
      <c r="C7219">
        <v>1000</v>
      </c>
      <c r="D7219" t="s">
        <v>5988</v>
      </c>
    </row>
    <row r="7220" spans="1:4" x14ac:dyDescent="0.2">
      <c r="A7220">
        <v>12</v>
      </c>
      <c r="B7220">
        <v>999.7</v>
      </c>
      <c r="C7220">
        <v>1000</v>
      </c>
      <c r="D7220" t="s">
        <v>5988</v>
      </c>
    </row>
    <row r="7221" spans="1:4" x14ac:dyDescent="0.2">
      <c r="A7221">
        <v>13</v>
      </c>
      <c r="B7221">
        <v>-100</v>
      </c>
      <c r="C7221">
        <v>-100</v>
      </c>
      <c r="D7221" t="s">
        <v>5988</v>
      </c>
    </row>
    <row r="7222" spans="1:4" x14ac:dyDescent="0.2">
      <c r="A7222">
        <v>14</v>
      </c>
      <c r="B7222">
        <v>-100.1</v>
      </c>
      <c r="C7222">
        <v>-100</v>
      </c>
      <c r="D7222" t="s">
        <v>5988</v>
      </c>
    </row>
    <row r="7223" spans="1:4" x14ac:dyDescent="0.2">
      <c r="A7223">
        <v>15</v>
      </c>
      <c r="B7223">
        <v>-100.2</v>
      </c>
      <c r="C7223">
        <v>-100</v>
      </c>
      <c r="D7223" t="s">
        <v>5988</v>
      </c>
    </row>
    <row r="7224" spans="1:4" x14ac:dyDescent="0.2">
      <c r="A7224">
        <v>16</v>
      </c>
      <c r="B7224">
        <v>-100</v>
      </c>
      <c r="C7224">
        <v>-100</v>
      </c>
      <c r="D7224" t="s">
        <v>5988</v>
      </c>
    </row>
    <row r="7225" spans="1:4" x14ac:dyDescent="0.2">
      <c r="A7225">
        <v>17</v>
      </c>
      <c r="B7225">
        <v>-100.2</v>
      </c>
      <c r="C7225">
        <v>-100</v>
      </c>
      <c r="D7225" t="s">
        <v>5988</v>
      </c>
    </row>
    <row r="7226" spans="1:4" x14ac:dyDescent="0.2">
      <c r="A7226">
        <v>18</v>
      </c>
      <c r="B7226">
        <v>-99.8</v>
      </c>
      <c r="C7226">
        <v>-100</v>
      </c>
      <c r="D7226" t="s">
        <v>5988</v>
      </c>
    </row>
    <row r="7227" spans="1:4" x14ac:dyDescent="0.2">
      <c r="A7227">
        <v>13</v>
      </c>
      <c r="B7227">
        <v>-50.1</v>
      </c>
      <c r="C7227">
        <v>-50</v>
      </c>
      <c r="D7227" t="s">
        <v>5988</v>
      </c>
    </row>
    <row r="7228" spans="1:4" x14ac:dyDescent="0.2">
      <c r="A7228">
        <v>14</v>
      </c>
      <c r="B7228">
        <v>-50.1</v>
      </c>
      <c r="C7228">
        <v>-50</v>
      </c>
      <c r="D7228" t="s">
        <v>5988</v>
      </c>
    </row>
    <row r="7229" spans="1:4" x14ac:dyDescent="0.2">
      <c r="A7229">
        <v>15</v>
      </c>
      <c r="B7229">
        <v>-50.1</v>
      </c>
      <c r="C7229">
        <v>-50</v>
      </c>
      <c r="D7229" t="s">
        <v>5988</v>
      </c>
    </row>
    <row r="7230" spans="1:4" x14ac:dyDescent="0.2">
      <c r="A7230">
        <v>16</v>
      </c>
      <c r="B7230">
        <v>-49.9</v>
      </c>
      <c r="C7230">
        <v>-50</v>
      </c>
      <c r="D7230" t="s">
        <v>5988</v>
      </c>
    </row>
    <row r="7231" spans="1:4" x14ac:dyDescent="0.2">
      <c r="A7231">
        <v>17</v>
      </c>
      <c r="B7231">
        <v>-49.9</v>
      </c>
      <c r="C7231">
        <v>-50</v>
      </c>
      <c r="D7231" t="s">
        <v>5988</v>
      </c>
    </row>
    <row r="7232" spans="1:4" x14ac:dyDescent="0.2">
      <c r="A7232">
        <v>18</v>
      </c>
      <c r="B7232">
        <v>-49.9</v>
      </c>
      <c r="C7232">
        <v>-50</v>
      </c>
      <c r="D7232" t="s">
        <v>5988</v>
      </c>
    </row>
    <row r="7233" spans="1:4" x14ac:dyDescent="0.2">
      <c r="A7233">
        <v>13</v>
      </c>
      <c r="B7233">
        <v>0.1</v>
      </c>
      <c r="C7233">
        <v>0</v>
      </c>
      <c r="D7233" t="s">
        <v>5988</v>
      </c>
    </row>
    <row r="7234" spans="1:4" x14ac:dyDescent="0.2">
      <c r="A7234">
        <v>14</v>
      </c>
      <c r="B7234">
        <v>-0.2</v>
      </c>
      <c r="C7234">
        <v>0</v>
      </c>
      <c r="D7234" t="s">
        <v>5988</v>
      </c>
    </row>
    <row r="7235" spans="1:4" x14ac:dyDescent="0.2">
      <c r="A7235">
        <v>15</v>
      </c>
      <c r="B7235">
        <v>-0.2</v>
      </c>
      <c r="C7235">
        <v>0</v>
      </c>
      <c r="D7235" t="s">
        <v>5988</v>
      </c>
    </row>
    <row r="7236" spans="1:4" x14ac:dyDescent="0.2">
      <c r="A7236">
        <v>16</v>
      </c>
      <c r="B7236">
        <v>0.1</v>
      </c>
      <c r="C7236">
        <v>0</v>
      </c>
      <c r="D7236" t="s">
        <v>5988</v>
      </c>
    </row>
    <row r="7237" spans="1:4" x14ac:dyDescent="0.2">
      <c r="A7237">
        <v>17</v>
      </c>
      <c r="B7237">
        <v>-0.1</v>
      </c>
      <c r="C7237">
        <v>0</v>
      </c>
      <c r="D7237" t="s">
        <v>5988</v>
      </c>
    </row>
    <row r="7238" spans="1:4" x14ac:dyDescent="0.2">
      <c r="A7238">
        <v>18</v>
      </c>
      <c r="B7238">
        <v>0.1</v>
      </c>
      <c r="C7238">
        <v>0</v>
      </c>
      <c r="D7238" t="s">
        <v>5988</v>
      </c>
    </row>
    <row r="7239" spans="1:4" x14ac:dyDescent="0.2">
      <c r="A7239">
        <v>13</v>
      </c>
      <c r="B7239">
        <v>250.1</v>
      </c>
      <c r="C7239">
        <v>250</v>
      </c>
      <c r="D7239" t="s">
        <v>5988</v>
      </c>
    </row>
    <row r="7240" spans="1:4" x14ac:dyDescent="0.2">
      <c r="A7240">
        <v>14</v>
      </c>
      <c r="B7240">
        <v>249.8</v>
      </c>
      <c r="C7240">
        <v>250</v>
      </c>
      <c r="D7240" t="s">
        <v>5988</v>
      </c>
    </row>
    <row r="7241" spans="1:4" x14ac:dyDescent="0.2">
      <c r="A7241">
        <v>15</v>
      </c>
      <c r="B7241">
        <v>249.8</v>
      </c>
      <c r="C7241">
        <v>250</v>
      </c>
      <c r="D7241" t="s">
        <v>5988</v>
      </c>
    </row>
    <row r="7242" spans="1:4" x14ac:dyDescent="0.2">
      <c r="A7242">
        <v>16</v>
      </c>
      <c r="B7242">
        <v>250.2</v>
      </c>
      <c r="C7242">
        <v>250</v>
      </c>
      <c r="D7242" t="s">
        <v>5988</v>
      </c>
    </row>
    <row r="7243" spans="1:4" x14ac:dyDescent="0.2">
      <c r="A7243">
        <v>17</v>
      </c>
      <c r="B7243">
        <v>250</v>
      </c>
      <c r="C7243">
        <v>250</v>
      </c>
      <c r="D7243" t="s">
        <v>5988</v>
      </c>
    </row>
    <row r="7244" spans="1:4" x14ac:dyDescent="0.2">
      <c r="A7244">
        <v>18</v>
      </c>
      <c r="B7244">
        <v>250.1</v>
      </c>
      <c r="C7244">
        <v>250</v>
      </c>
      <c r="D7244" t="s">
        <v>5988</v>
      </c>
    </row>
    <row r="7245" spans="1:4" x14ac:dyDescent="0.2">
      <c r="A7245">
        <v>13</v>
      </c>
      <c r="B7245">
        <v>500.1</v>
      </c>
      <c r="C7245">
        <v>500</v>
      </c>
      <c r="D7245" t="s">
        <v>5988</v>
      </c>
    </row>
    <row r="7246" spans="1:4" x14ac:dyDescent="0.2">
      <c r="A7246">
        <v>14</v>
      </c>
      <c r="B7246">
        <v>499.8</v>
      </c>
      <c r="C7246">
        <v>500</v>
      </c>
      <c r="D7246" t="s">
        <v>5988</v>
      </c>
    </row>
    <row r="7247" spans="1:4" x14ac:dyDescent="0.2">
      <c r="A7247">
        <v>15</v>
      </c>
      <c r="B7247">
        <v>499.7</v>
      </c>
      <c r="C7247">
        <v>500</v>
      </c>
      <c r="D7247" t="s">
        <v>5988</v>
      </c>
    </row>
    <row r="7248" spans="1:4" x14ac:dyDescent="0.2">
      <c r="A7248">
        <v>16</v>
      </c>
      <c r="B7248">
        <v>500.1</v>
      </c>
      <c r="C7248">
        <v>500</v>
      </c>
      <c r="D7248" t="s">
        <v>5988</v>
      </c>
    </row>
    <row r="7249" spans="1:4" x14ac:dyDescent="0.2">
      <c r="A7249">
        <v>17</v>
      </c>
      <c r="B7249">
        <v>500</v>
      </c>
      <c r="C7249">
        <v>500</v>
      </c>
      <c r="D7249" t="s">
        <v>5988</v>
      </c>
    </row>
    <row r="7250" spans="1:4" x14ac:dyDescent="0.2">
      <c r="A7250">
        <v>18</v>
      </c>
      <c r="B7250">
        <v>500.1</v>
      </c>
      <c r="C7250">
        <v>500</v>
      </c>
      <c r="D7250" t="s">
        <v>5988</v>
      </c>
    </row>
    <row r="7251" spans="1:4" x14ac:dyDescent="0.2">
      <c r="A7251">
        <v>13</v>
      </c>
      <c r="B7251">
        <v>1000.1</v>
      </c>
      <c r="C7251">
        <v>1000</v>
      </c>
      <c r="D7251" t="s">
        <v>5988</v>
      </c>
    </row>
    <row r="7252" spans="1:4" x14ac:dyDescent="0.2">
      <c r="A7252">
        <v>14</v>
      </c>
      <c r="B7252">
        <v>999.8</v>
      </c>
      <c r="C7252">
        <v>1000</v>
      </c>
      <c r="D7252" t="s">
        <v>5988</v>
      </c>
    </row>
    <row r="7253" spans="1:4" x14ac:dyDescent="0.2">
      <c r="A7253">
        <v>15</v>
      </c>
      <c r="B7253">
        <v>999.7</v>
      </c>
      <c r="C7253">
        <v>1000</v>
      </c>
      <c r="D7253" t="s">
        <v>5988</v>
      </c>
    </row>
    <row r="7254" spans="1:4" x14ac:dyDescent="0.2">
      <c r="A7254">
        <v>16</v>
      </c>
      <c r="B7254">
        <v>1000.1</v>
      </c>
      <c r="C7254">
        <v>1000</v>
      </c>
      <c r="D7254" t="s">
        <v>5988</v>
      </c>
    </row>
    <row r="7255" spans="1:4" x14ac:dyDescent="0.2">
      <c r="A7255">
        <v>17</v>
      </c>
      <c r="B7255">
        <v>1000.2</v>
      </c>
      <c r="C7255">
        <v>1000</v>
      </c>
      <c r="D7255" t="s">
        <v>5988</v>
      </c>
    </row>
    <row r="7256" spans="1:4" x14ac:dyDescent="0.2">
      <c r="A7256">
        <v>18</v>
      </c>
      <c r="B7256">
        <v>1000.1</v>
      </c>
      <c r="C7256">
        <v>1000</v>
      </c>
      <c r="D7256" t="s">
        <v>5988</v>
      </c>
    </row>
    <row r="7257" spans="1:4" x14ac:dyDescent="0.2">
      <c r="A7257">
        <v>19</v>
      </c>
      <c r="B7257">
        <v>-100.1</v>
      </c>
      <c r="C7257">
        <v>-100</v>
      </c>
      <c r="D7257" t="s">
        <v>5988</v>
      </c>
    </row>
    <row r="7258" spans="1:4" x14ac:dyDescent="0.2">
      <c r="A7258">
        <v>20</v>
      </c>
      <c r="B7258">
        <v>-100.2</v>
      </c>
      <c r="C7258">
        <v>-100</v>
      </c>
      <c r="D7258" t="s">
        <v>5988</v>
      </c>
    </row>
    <row r="7259" spans="1:4" x14ac:dyDescent="0.2">
      <c r="A7259">
        <v>21</v>
      </c>
      <c r="B7259">
        <v>-100.2</v>
      </c>
      <c r="C7259">
        <v>-100</v>
      </c>
      <c r="D7259" t="s">
        <v>5988</v>
      </c>
    </row>
    <row r="7260" spans="1:4" x14ac:dyDescent="0.2">
      <c r="A7260">
        <v>22</v>
      </c>
      <c r="B7260">
        <v>-100</v>
      </c>
      <c r="C7260">
        <v>-100</v>
      </c>
      <c r="D7260" t="s">
        <v>5988</v>
      </c>
    </row>
    <row r="7261" spans="1:4" x14ac:dyDescent="0.2">
      <c r="A7261">
        <v>23</v>
      </c>
      <c r="B7261">
        <v>-100.2</v>
      </c>
      <c r="C7261">
        <v>-100</v>
      </c>
      <c r="D7261" t="s">
        <v>5988</v>
      </c>
    </row>
    <row r="7262" spans="1:4" x14ac:dyDescent="0.2">
      <c r="A7262">
        <v>24</v>
      </c>
      <c r="B7262">
        <v>-99.8</v>
      </c>
      <c r="C7262">
        <v>-100</v>
      </c>
      <c r="D7262" t="s">
        <v>5988</v>
      </c>
    </row>
    <row r="7263" spans="1:4" x14ac:dyDescent="0.2">
      <c r="A7263">
        <v>19</v>
      </c>
      <c r="B7263">
        <v>-49.9</v>
      </c>
      <c r="C7263">
        <v>-50</v>
      </c>
      <c r="D7263" t="s">
        <v>5988</v>
      </c>
    </row>
    <row r="7264" spans="1:4" x14ac:dyDescent="0.2">
      <c r="A7264">
        <v>20</v>
      </c>
      <c r="B7264">
        <v>-50.1</v>
      </c>
      <c r="C7264">
        <v>-50</v>
      </c>
      <c r="D7264" t="s">
        <v>5988</v>
      </c>
    </row>
    <row r="7265" spans="1:4" x14ac:dyDescent="0.2">
      <c r="A7265">
        <v>21</v>
      </c>
      <c r="B7265">
        <v>-49.9</v>
      </c>
      <c r="C7265">
        <v>-50</v>
      </c>
      <c r="D7265" t="s">
        <v>5988</v>
      </c>
    </row>
    <row r="7266" spans="1:4" x14ac:dyDescent="0.2">
      <c r="A7266">
        <v>22</v>
      </c>
      <c r="B7266">
        <v>-49.9</v>
      </c>
      <c r="C7266">
        <v>-50</v>
      </c>
      <c r="D7266" t="s">
        <v>5988</v>
      </c>
    </row>
    <row r="7267" spans="1:4" x14ac:dyDescent="0.2">
      <c r="A7267">
        <v>23</v>
      </c>
      <c r="B7267">
        <v>-50.2</v>
      </c>
      <c r="C7267">
        <v>-50</v>
      </c>
      <c r="D7267" t="s">
        <v>5988</v>
      </c>
    </row>
    <row r="7268" spans="1:4" x14ac:dyDescent="0.2">
      <c r="A7268">
        <v>24</v>
      </c>
      <c r="B7268">
        <v>-49.8</v>
      </c>
      <c r="C7268">
        <v>-50</v>
      </c>
      <c r="D7268" t="s">
        <v>5988</v>
      </c>
    </row>
    <row r="7269" spans="1:4" x14ac:dyDescent="0.2">
      <c r="A7269">
        <v>19</v>
      </c>
      <c r="B7269">
        <v>0</v>
      </c>
      <c r="C7269">
        <v>0</v>
      </c>
      <c r="D7269" t="s">
        <v>5988</v>
      </c>
    </row>
    <row r="7270" spans="1:4" x14ac:dyDescent="0.2">
      <c r="A7270">
        <v>20</v>
      </c>
      <c r="B7270">
        <v>-0.1</v>
      </c>
      <c r="C7270">
        <v>0</v>
      </c>
      <c r="D7270" t="s">
        <v>5988</v>
      </c>
    </row>
    <row r="7271" spans="1:4" x14ac:dyDescent="0.2">
      <c r="A7271">
        <v>21</v>
      </c>
      <c r="B7271">
        <v>0</v>
      </c>
      <c r="C7271">
        <v>0</v>
      </c>
      <c r="D7271" t="s">
        <v>5988</v>
      </c>
    </row>
    <row r="7272" spans="1:4" x14ac:dyDescent="0.2">
      <c r="A7272">
        <v>22</v>
      </c>
      <c r="B7272">
        <v>0.1</v>
      </c>
      <c r="C7272">
        <v>0</v>
      </c>
      <c r="D7272" t="s">
        <v>5988</v>
      </c>
    </row>
    <row r="7273" spans="1:4" x14ac:dyDescent="0.2">
      <c r="A7273">
        <v>23</v>
      </c>
      <c r="B7273">
        <v>-0.1</v>
      </c>
      <c r="C7273">
        <v>0</v>
      </c>
      <c r="D7273" t="s">
        <v>5988</v>
      </c>
    </row>
    <row r="7274" spans="1:4" x14ac:dyDescent="0.2">
      <c r="A7274">
        <v>24</v>
      </c>
      <c r="B7274">
        <v>0</v>
      </c>
      <c r="C7274">
        <v>0</v>
      </c>
      <c r="D7274" t="s">
        <v>5988</v>
      </c>
    </row>
    <row r="7275" spans="1:4" x14ac:dyDescent="0.2">
      <c r="A7275">
        <v>19</v>
      </c>
      <c r="B7275">
        <v>250</v>
      </c>
      <c r="C7275">
        <v>250</v>
      </c>
      <c r="D7275" t="s">
        <v>5988</v>
      </c>
    </row>
    <row r="7276" spans="1:4" x14ac:dyDescent="0.2">
      <c r="A7276">
        <v>20</v>
      </c>
      <c r="B7276">
        <v>249.9</v>
      </c>
      <c r="C7276">
        <v>250</v>
      </c>
      <c r="D7276" t="s">
        <v>5988</v>
      </c>
    </row>
    <row r="7277" spans="1:4" x14ac:dyDescent="0.2">
      <c r="A7277">
        <v>21</v>
      </c>
      <c r="B7277">
        <v>250.1</v>
      </c>
      <c r="C7277">
        <v>250</v>
      </c>
      <c r="D7277" t="s">
        <v>5988</v>
      </c>
    </row>
    <row r="7278" spans="1:4" x14ac:dyDescent="0.2">
      <c r="A7278">
        <v>22</v>
      </c>
      <c r="B7278">
        <v>250.1</v>
      </c>
      <c r="C7278">
        <v>250</v>
      </c>
      <c r="D7278" t="s">
        <v>5988</v>
      </c>
    </row>
    <row r="7279" spans="1:4" x14ac:dyDescent="0.2">
      <c r="A7279">
        <v>23</v>
      </c>
      <c r="B7279">
        <v>250</v>
      </c>
      <c r="C7279">
        <v>250</v>
      </c>
      <c r="D7279" t="s">
        <v>5988</v>
      </c>
    </row>
    <row r="7280" spans="1:4" x14ac:dyDescent="0.2">
      <c r="A7280">
        <v>24</v>
      </c>
      <c r="B7280">
        <v>250.1</v>
      </c>
      <c r="C7280">
        <v>250</v>
      </c>
      <c r="D7280" t="s">
        <v>5988</v>
      </c>
    </row>
    <row r="7281" spans="1:4" x14ac:dyDescent="0.2">
      <c r="A7281">
        <v>19</v>
      </c>
      <c r="B7281">
        <v>499.9</v>
      </c>
      <c r="C7281">
        <v>500</v>
      </c>
      <c r="D7281" t="s">
        <v>5988</v>
      </c>
    </row>
    <row r="7282" spans="1:4" x14ac:dyDescent="0.2">
      <c r="A7282">
        <v>20</v>
      </c>
      <c r="B7282">
        <v>499.8</v>
      </c>
      <c r="C7282">
        <v>500</v>
      </c>
      <c r="D7282" t="s">
        <v>5988</v>
      </c>
    </row>
    <row r="7283" spans="1:4" x14ac:dyDescent="0.2">
      <c r="A7283">
        <v>21</v>
      </c>
      <c r="B7283">
        <v>500.1</v>
      </c>
      <c r="C7283">
        <v>500</v>
      </c>
      <c r="D7283" t="s">
        <v>5988</v>
      </c>
    </row>
    <row r="7284" spans="1:4" x14ac:dyDescent="0.2">
      <c r="A7284">
        <v>22</v>
      </c>
      <c r="B7284">
        <v>500.1</v>
      </c>
      <c r="C7284">
        <v>500</v>
      </c>
      <c r="D7284" t="s">
        <v>5988</v>
      </c>
    </row>
    <row r="7285" spans="1:4" x14ac:dyDescent="0.2">
      <c r="A7285">
        <v>23</v>
      </c>
      <c r="B7285">
        <v>499.9</v>
      </c>
      <c r="C7285">
        <v>500</v>
      </c>
      <c r="D7285" t="s">
        <v>5988</v>
      </c>
    </row>
    <row r="7286" spans="1:4" x14ac:dyDescent="0.2">
      <c r="A7286">
        <v>24</v>
      </c>
      <c r="B7286">
        <v>499.9</v>
      </c>
      <c r="C7286">
        <v>500</v>
      </c>
      <c r="D7286" t="s">
        <v>5988</v>
      </c>
    </row>
    <row r="7287" spans="1:4" x14ac:dyDescent="0.2">
      <c r="A7287">
        <v>19</v>
      </c>
      <c r="B7287">
        <v>1000</v>
      </c>
      <c r="C7287">
        <v>1000</v>
      </c>
      <c r="D7287" t="s">
        <v>5988</v>
      </c>
    </row>
    <row r="7288" spans="1:4" x14ac:dyDescent="0.2">
      <c r="A7288">
        <v>20</v>
      </c>
      <c r="B7288">
        <v>999.7</v>
      </c>
      <c r="C7288">
        <v>1000</v>
      </c>
      <c r="D7288" t="s">
        <v>5988</v>
      </c>
    </row>
    <row r="7289" spans="1:4" x14ac:dyDescent="0.2">
      <c r="A7289">
        <v>21</v>
      </c>
      <c r="B7289">
        <v>1000.2</v>
      </c>
      <c r="C7289">
        <v>1000</v>
      </c>
      <c r="D7289" t="s">
        <v>5988</v>
      </c>
    </row>
    <row r="7290" spans="1:4" x14ac:dyDescent="0.2">
      <c r="A7290">
        <v>22</v>
      </c>
      <c r="B7290">
        <v>1000.1</v>
      </c>
      <c r="C7290">
        <v>1000</v>
      </c>
      <c r="D7290" t="s">
        <v>5988</v>
      </c>
    </row>
    <row r="7291" spans="1:4" x14ac:dyDescent="0.2">
      <c r="A7291">
        <v>23</v>
      </c>
      <c r="B7291">
        <v>999.9</v>
      </c>
      <c r="C7291">
        <v>1000</v>
      </c>
      <c r="D7291" t="s">
        <v>5988</v>
      </c>
    </row>
    <row r="7292" spans="1:4" x14ac:dyDescent="0.2">
      <c r="A7292">
        <v>24</v>
      </c>
      <c r="B7292">
        <v>999.8</v>
      </c>
      <c r="C7292">
        <v>1000</v>
      </c>
      <c r="D7292" t="s">
        <v>5988</v>
      </c>
    </row>
    <row r="7293" spans="1:4" x14ac:dyDescent="0.2">
      <c r="A7293">
        <v>25</v>
      </c>
      <c r="B7293">
        <v>-99.9</v>
      </c>
      <c r="C7293">
        <v>-100</v>
      </c>
      <c r="D7293" t="s">
        <v>5988</v>
      </c>
    </row>
    <row r="7294" spans="1:4" x14ac:dyDescent="0.2">
      <c r="A7294">
        <v>26</v>
      </c>
      <c r="B7294">
        <v>-100</v>
      </c>
      <c r="C7294">
        <v>-100</v>
      </c>
      <c r="D7294" t="s">
        <v>5988</v>
      </c>
    </row>
    <row r="7295" spans="1:4" x14ac:dyDescent="0.2">
      <c r="A7295">
        <v>27</v>
      </c>
      <c r="B7295">
        <v>-100.2</v>
      </c>
      <c r="C7295">
        <v>-100</v>
      </c>
      <c r="D7295" t="s">
        <v>5988</v>
      </c>
    </row>
    <row r="7296" spans="1:4" x14ac:dyDescent="0.2">
      <c r="A7296">
        <v>28</v>
      </c>
      <c r="B7296">
        <v>-100.1</v>
      </c>
      <c r="C7296">
        <v>-100</v>
      </c>
      <c r="D7296" t="s">
        <v>5988</v>
      </c>
    </row>
    <row r="7297" spans="1:4" x14ac:dyDescent="0.2">
      <c r="A7297">
        <v>29</v>
      </c>
      <c r="B7297">
        <v>-100.2</v>
      </c>
      <c r="C7297">
        <v>-100</v>
      </c>
      <c r="D7297" t="s">
        <v>5988</v>
      </c>
    </row>
    <row r="7298" spans="1:4" x14ac:dyDescent="0.2">
      <c r="A7298">
        <v>30</v>
      </c>
      <c r="B7298">
        <v>-100.2</v>
      </c>
      <c r="C7298">
        <v>-100</v>
      </c>
      <c r="D7298" t="s">
        <v>5988</v>
      </c>
    </row>
    <row r="7299" spans="1:4" x14ac:dyDescent="0.2">
      <c r="A7299">
        <v>25</v>
      </c>
      <c r="B7299">
        <v>-49.9</v>
      </c>
      <c r="C7299">
        <v>-50</v>
      </c>
      <c r="D7299" t="s">
        <v>5988</v>
      </c>
    </row>
    <row r="7300" spans="1:4" x14ac:dyDescent="0.2">
      <c r="A7300">
        <v>26</v>
      </c>
      <c r="B7300">
        <v>-49.8</v>
      </c>
      <c r="C7300">
        <v>-50</v>
      </c>
      <c r="D7300" t="s">
        <v>5988</v>
      </c>
    </row>
    <row r="7301" spans="1:4" x14ac:dyDescent="0.2">
      <c r="A7301">
        <v>27</v>
      </c>
      <c r="B7301">
        <v>-50.1</v>
      </c>
      <c r="C7301">
        <v>-50</v>
      </c>
      <c r="D7301" t="s">
        <v>5988</v>
      </c>
    </row>
    <row r="7302" spans="1:4" x14ac:dyDescent="0.2">
      <c r="A7302">
        <v>28</v>
      </c>
      <c r="B7302">
        <v>-50.1</v>
      </c>
      <c r="C7302">
        <v>-50</v>
      </c>
      <c r="D7302" t="s">
        <v>5988</v>
      </c>
    </row>
    <row r="7303" spans="1:4" x14ac:dyDescent="0.2">
      <c r="A7303">
        <v>29</v>
      </c>
      <c r="B7303">
        <v>-50.1</v>
      </c>
      <c r="C7303">
        <v>-50</v>
      </c>
      <c r="D7303" t="s">
        <v>5988</v>
      </c>
    </row>
    <row r="7304" spans="1:4" x14ac:dyDescent="0.2">
      <c r="A7304">
        <v>30</v>
      </c>
      <c r="B7304">
        <v>-50</v>
      </c>
      <c r="C7304">
        <v>-50</v>
      </c>
      <c r="D7304" t="s">
        <v>5988</v>
      </c>
    </row>
    <row r="7305" spans="1:4" x14ac:dyDescent="0.2">
      <c r="A7305">
        <v>25</v>
      </c>
      <c r="B7305">
        <v>0</v>
      </c>
      <c r="C7305">
        <v>0</v>
      </c>
      <c r="D7305" t="s">
        <v>5988</v>
      </c>
    </row>
    <row r="7306" spans="1:4" x14ac:dyDescent="0.2">
      <c r="A7306">
        <v>26</v>
      </c>
      <c r="B7306">
        <v>0.1</v>
      </c>
      <c r="C7306">
        <v>0</v>
      </c>
      <c r="D7306" t="s">
        <v>5988</v>
      </c>
    </row>
    <row r="7307" spans="1:4" x14ac:dyDescent="0.2">
      <c r="A7307">
        <v>27</v>
      </c>
      <c r="B7307">
        <v>-0.1</v>
      </c>
      <c r="C7307">
        <v>0</v>
      </c>
      <c r="D7307" t="s">
        <v>5988</v>
      </c>
    </row>
    <row r="7308" spans="1:4" x14ac:dyDescent="0.2">
      <c r="A7308">
        <v>28</v>
      </c>
      <c r="B7308">
        <v>0</v>
      </c>
      <c r="C7308">
        <v>0</v>
      </c>
      <c r="D7308" t="s">
        <v>5988</v>
      </c>
    </row>
    <row r="7309" spans="1:4" x14ac:dyDescent="0.2">
      <c r="A7309">
        <v>29</v>
      </c>
      <c r="B7309">
        <v>0.1</v>
      </c>
      <c r="C7309">
        <v>0</v>
      </c>
      <c r="D7309" t="s">
        <v>5988</v>
      </c>
    </row>
    <row r="7310" spans="1:4" x14ac:dyDescent="0.2">
      <c r="A7310">
        <v>30</v>
      </c>
      <c r="B7310">
        <v>0.1</v>
      </c>
      <c r="C7310">
        <v>0</v>
      </c>
      <c r="D7310" t="s">
        <v>5988</v>
      </c>
    </row>
    <row r="7311" spans="1:4" x14ac:dyDescent="0.2">
      <c r="A7311">
        <v>25</v>
      </c>
      <c r="B7311">
        <v>250.1</v>
      </c>
      <c r="C7311">
        <v>250</v>
      </c>
      <c r="D7311" t="s">
        <v>5988</v>
      </c>
    </row>
    <row r="7312" spans="1:4" x14ac:dyDescent="0.2">
      <c r="A7312">
        <v>26</v>
      </c>
      <c r="B7312">
        <v>250.1</v>
      </c>
      <c r="C7312">
        <v>250</v>
      </c>
      <c r="D7312" t="s">
        <v>5988</v>
      </c>
    </row>
    <row r="7313" spans="1:4" x14ac:dyDescent="0.2">
      <c r="A7313">
        <v>27</v>
      </c>
      <c r="B7313">
        <v>250.2</v>
      </c>
      <c r="C7313">
        <v>250</v>
      </c>
      <c r="D7313" t="s">
        <v>5988</v>
      </c>
    </row>
    <row r="7314" spans="1:4" x14ac:dyDescent="0.2">
      <c r="A7314">
        <v>28</v>
      </c>
      <c r="B7314">
        <v>250.1</v>
      </c>
      <c r="C7314">
        <v>250</v>
      </c>
      <c r="D7314" t="s">
        <v>5988</v>
      </c>
    </row>
    <row r="7315" spans="1:4" x14ac:dyDescent="0.2">
      <c r="A7315">
        <v>29</v>
      </c>
      <c r="B7315">
        <v>249.8</v>
      </c>
      <c r="C7315">
        <v>250</v>
      </c>
      <c r="D7315" t="s">
        <v>5988</v>
      </c>
    </row>
    <row r="7316" spans="1:4" x14ac:dyDescent="0.2">
      <c r="A7316">
        <v>30</v>
      </c>
      <c r="B7316">
        <v>249.9</v>
      </c>
      <c r="C7316">
        <v>250</v>
      </c>
      <c r="D7316" t="s">
        <v>5988</v>
      </c>
    </row>
    <row r="7317" spans="1:4" x14ac:dyDescent="0.2">
      <c r="A7317">
        <v>25</v>
      </c>
      <c r="B7317">
        <v>500.1</v>
      </c>
      <c r="C7317">
        <v>500</v>
      </c>
      <c r="D7317" t="s">
        <v>5988</v>
      </c>
    </row>
    <row r="7318" spans="1:4" x14ac:dyDescent="0.2">
      <c r="A7318">
        <v>26</v>
      </c>
      <c r="B7318">
        <v>500.1</v>
      </c>
      <c r="C7318">
        <v>500</v>
      </c>
      <c r="D7318" t="s">
        <v>5988</v>
      </c>
    </row>
    <row r="7319" spans="1:4" x14ac:dyDescent="0.2">
      <c r="A7319">
        <v>27</v>
      </c>
      <c r="B7319">
        <v>500.2</v>
      </c>
      <c r="C7319">
        <v>500</v>
      </c>
      <c r="D7319" t="s">
        <v>5988</v>
      </c>
    </row>
    <row r="7320" spans="1:4" x14ac:dyDescent="0.2">
      <c r="A7320">
        <v>28</v>
      </c>
      <c r="B7320">
        <v>500.1</v>
      </c>
      <c r="C7320">
        <v>500</v>
      </c>
      <c r="D7320" t="s">
        <v>5988</v>
      </c>
    </row>
    <row r="7321" spans="1:4" x14ac:dyDescent="0.2">
      <c r="A7321">
        <v>29</v>
      </c>
      <c r="B7321">
        <v>499.9</v>
      </c>
      <c r="C7321">
        <v>500</v>
      </c>
      <c r="D7321" t="s">
        <v>5988</v>
      </c>
    </row>
    <row r="7322" spans="1:4" x14ac:dyDescent="0.2">
      <c r="A7322">
        <v>30</v>
      </c>
      <c r="B7322">
        <v>500</v>
      </c>
      <c r="C7322">
        <v>500</v>
      </c>
      <c r="D7322" t="s">
        <v>5988</v>
      </c>
    </row>
    <row r="7323" spans="1:4" x14ac:dyDescent="0.2">
      <c r="A7323">
        <v>25</v>
      </c>
      <c r="B7323">
        <v>1000.2</v>
      </c>
      <c r="C7323">
        <v>1000</v>
      </c>
      <c r="D7323" t="s">
        <v>5988</v>
      </c>
    </row>
    <row r="7324" spans="1:4" x14ac:dyDescent="0.2">
      <c r="A7324">
        <v>26</v>
      </c>
      <c r="B7324">
        <v>1000.1</v>
      </c>
      <c r="C7324">
        <v>1000</v>
      </c>
      <c r="D7324" t="s">
        <v>5988</v>
      </c>
    </row>
    <row r="7325" spans="1:4" x14ac:dyDescent="0.2">
      <c r="A7325">
        <v>27</v>
      </c>
      <c r="B7325">
        <v>1000.3</v>
      </c>
      <c r="C7325">
        <v>1000</v>
      </c>
      <c r="D7325" t="s">
        <v>5988</v>
      </c>
    </row>
    <row r="7326" spans="1:4" x14ac:dyDescent="0.2">
      <c r="A7326">
        <v>28</v>
      </c>
      <c r="B7326">
        <v>1000.2</v>
      </c>
      <c r="C7326">
        <v>1000</v>
      </c>
      <c r="D7326" t="s">
        <v>5988</v>
      </c>
    </row>
    <row r="7327" spans="1:4" x14ac:dyDescent="0.2">
      <c r="A7327">
        <v>29</v>
      </c>
      <c r="B7327">
        <v>999.9</v>
      </c>
      <c r="C7327">
        <v>1000</v>
      </c>
      <c r="D7327" t="s">
        <v>5988</v>
      </c>
    </row>
    <row r="7328" spans="1:4" x14ac:dyDescent="0.2">
      <c r="A7328">
        <v>30</v>
      </c>
      <c r="B7328">
        <v>1000</v>
      </c>
      <c r="C7328">
        <v>1000</v>
      </c>
      <c r="D7328" t="s">
        <v>5988</v>
      </c>
    </row>
    <row r="7329" spans="1:4" x14ac:dyDescent="0.2">
      <c r="A7329">
        <v>31</v>
      </c>
      <c r="B7329">
        <v>-100.2</v>
      </c>
      <c r="C7329">
        <v>-100</v>
      </c>
      <c r="D7329" t="s">
        <v>5988</v>
      </c>
    </row>
    <row r="7330" spans="1:4" x14ac:dyDescent="0.2">
      <c r="A7330">
        <v>32</v>
      </c>
      <c r="B7330">
        <v>-100.2</v>
      </c>
      <c r="C7330">
        <v>-100</v>
      </c>
      <c r="D7330" t="s">
        <v>5988</v>
      </c>
    </row>
    <row r="7331" spans="1:4" x14ac:dyDescent="0.2">
      <c r="A7331">
        <v>33</v>
      </c>
      <c r="B7331">
        <v>-100.2</v>
      </c>
      <c r="C7331">
        <v>-100</v>
      </c>
      <c r="D7331" t="s">
        <v>5988</v>
      </c>
    </row>
    <row r="7332" spans="1:4" x14ac:dyDescent="0.2">
      <c r="A7332">
        <v>34</v>
      </c>
      <c r="B7332">
        <v>-100.2</v>
      </c>
      <c r="C7332">
        <v>-100</v>
      </c>
      <c r="D7332" t="s">
        <v>5988</v>
      </c>
    </row>
    <row r="7333" spans="1:4" x14ac:dyDescent="0.2">
      <c r="A7333">
        <v>35</v>
      </c>
      <c r="B7333">
        <v>-100.2</v>
      </c>
      <c r="C7333">
        <v>-100</v>
      </c>
      <c r="D7333" t="s">
        <v>5988</v>
      </c>
    </row>
    <row r="7334" spans="1:4" x14ac:dyDescent="0.2">
      <c r="A7334">
        <v>36</v>
      </c>
      <c r="B7334">
        <v>-100.3</v>
      </c>
      <c r="C7334">
        <v>-100</v>
      </c>
      <c r="D7334" t="s">
        <v>5988</v>
      </c>
    </row>
    <row r="7335" spans="1:4" x14ac:dyDescent="0.2">
      <c r="A7335">
        <v>31</v>
      </c>
      <c r="B7335">
        <v>-49.9</v>
      </c>
      <c r="C7335">
        <v>-50</v>
      </c>
      <c r="D7335" t="s">
        <v>5988</v>
      </c>
    </row>
    <row r="7336" spans="1:4" x14ac:dyDescent="0.2">
      <c r="A7336">
        <v>32</v>
      </c>
      <c r="B7336">
        <v>-50</v>
      </c>
      <c r="C7336">
        <v>-50</v>
      </c>
      <c r="D7336" t="s">
        <v>5988</v>
      </c>
    </row>
    <row r="7337" spans="1:4" x14ac:dyDescent="0.2">
      <c r="A7337">
        <v>33</v>
      </c>
      <c r="B7337">
        <v>-50.1</v>
      </c>
      <c r="C7337">
        <v>-50</v>
      </c>
      <c r="D7337" t="s">
        <v>5988</v>
      </c>
    </row>
    <row r="7338" spans="1:4" x14ac:dyDescent="0.2">
      <c r="A7338">
        <v>34</v>
      </c>
      <c r="B7338">
        <v>-50.2</v>
      </c>
      <c r="C7338">
        <v>-50</v>
      </c>
      <c r="D7338" t="s">
        <v>5988</v>
      </c>
    </row>
    <row r="7339" spans="1:4" x14ac:dyDescent="0.2">
      <c r="A7339">
        <v>35</v>
      </c>
      <c r="B7339">
        <v>-50.1</v>
      </c>
      <c r="C7339">
        <v>-50</v>
      </c>
      <c r="D7339" t="s">
        <v>5988</v>
      </c>
    </row>
    <row r="7340" spans="1:4" x14ac:dyDescent="0.2">
      <c r="A7340">
        <v>36</v>
      </c>
      <c r="B7340">
        <v>-50.2</v>
      </c>
      <c r="C7340">
        <v>-50</v>
      </c>
      <c r="D7340" t="s">
        <v>5988</v>
      </c>
    </row>
    <row r="7341" spans="1:4" x14ac:dyDescent="0.2">
      <c r="A7341">
        <v>31</v>
      </c>
      <c r="B7341">
        <v>0.2</v>
      </c>
      <c r="C7341">
        <v>0</v>
      </c>
      <c r="D7341" t="s">
        <v>5988</v>
      </c>
    </row>
    <row r="7342" spans="1:4" x14ac:dyDescent="0.2">
      <c r="A7342">
        <v>32</v>
      </c>
      <c r="B7342">
        <v>0.2</v>
      </c>
      <c r="C7342">
        <v>0</v>
      </c>
      <c r="D7342" t="s">
        <v>5988</v>
      </c>
    </row>
    <row r="7343" spans="1:4" x14ac:dyDescent="0.2">
      <c r="A7343">
        <v>33</v>
      </c>
      <c r="B7343">
        <v>0.1</v>
      </c>
      <c r="C7343">
        <v>0</v>
      </c>
      <c r="D7343" t="s">
        <v>5988</v>
      </c>
    </row>
    <row r="7344" spans="1:4" x14ac:dyDescent="0.2">
      <c r="A7344">
        <v>34</v>
      </c>
      <c r="B7344">
        <v>0.1</v>
      </c>
      <c r="C7344">
        <v>0</v>
      </c>
      <c r="D7344" t="s">
        <v>5988</v>
      </c>
    </row>
    <row r="7345" spans="1:4" x14ac:dyDescent="0.2">
      <c r="A7345">
        <v>35</v>
      </c>
      <c r="B7345">
        <v>0.1</v>
      </c>
      <c r="C7345">
        <v>0</v>
      </c>
      <c r="D7345" t="s">
        <v>5988</v>
      </c>
    </row>
    <row r="7346" spans="1:4" x14ac:dyDescent="0.2">
      <c r="A7346">
        <v>36</v>
      </c>
      <c r="B7346">
        <v>0.1</v>
      </c>
      <c r="C7346">
        <v>0</v>
      </c>
      <c r="D7346" t="s">
        <v>5988</v>
      </c>
    </row>
    <row r="7347" spans="1:4" x14ac:dyDescent="0.2">
      <c r="A7347">
        <v>31</v>
      </c>
      <c r="B7347">
        <v>250</v>
      </c>
      <c r="C7347">
        <v>250</v>
      </c>
      <c r="D7347" t="s">
        <v>5988</v>
      </c>
    </row>
    <row r="7348" spans="1:4" x14ac:dyDescent="0.2">
      <c r="A7348">
        <v>32</v>
      </c>
      <c r="B7348">
        <v>250.1</v>
      </c>
      <c r="C7348">
        <v>250</v>
      </c>
      <c r="D7348" t="s">
        <v>5988</v>
      </c>
    </row>
    <row r="7349" spans="1:4" x14ac:dyDescent="0.2">
      <c r="A7349">
        <v>33</v>
      </c>
      <c r="B7349">
        <v>249.8</v>
      </c>
      <c r="C7349">
        <v>250</v>
      </c>
      <c r="D7349" t="s">
        <v>5988</v>
      </c>
    </row>
    <row r="7350" spans="1:4" x14ac:dyDescent="0.2">
      <c r="A7350">
        <v>34</v>
      </c>
      <c r="B7350">
        <v>249.7</v>
      </c>
      <c r="C7350">
        <v>250</v>
      </c>
      <c r="D7350" t="s">
        <v>5988</v>
      </c>
    </row>
    <row r="7351" spans="1:4" x14ac:dyDescent="0.2">
      <c r="A7351">
        <v>35</v>
      </c>
      <c r="B7351">
        <v>249.8</v>
      </c>
      <c r="C7351">
        <v>250</v>
      </c>
      <c r="D7351" t="s">
        <v>5988</v>
      </c>
    </row>
    <row r="7352" spans="1:4" x14ac:dyDescent="0.2">
      <c r="A7352">
        <v>36</v>
      </c>
      <c r="B7352">
        <v>250</v>
      </c>
      <c r="C7352">
        <v>250</v>
      </c>
      <c r="D7352" t="s">
        <v>5988</v>
      </c>
    </row>
    <row r="7353" spans="1:4" x14ac:dyDescent="0.2">
      <c r="A7353">
        <v>31</v>
      </c>
      <c r="B7353">
        <v>500.1</v>
      </c>
      <c r="C7353">
        <v>500</v>
      </c>
      <c r="D7353" t="s">
        <v>5988</v>
      </c>
    </row>
    <row r="7354" spans="1:4" x14ac:dyDescent="0.2">
      <c r="A7354">
        <v>32</v>
      </c>
      <c r="B7354">
        <v>500.2</v>
      </c>
      <c r="C7354">
        <v>500</v>
      </c>
      <c r="D7354" t="s">
        <v>5988</v>
      </c>
    </row>
    <row r="7355" spans="1:4" x14ac:dyDescent="0.2">
      <c r="A7355">
        <v>33</v>
      </c>
      <c r="B7355">
        <v>500</v>
      </c>
      <c r="C7355">
        <v>500</v>
      </c>
      <c r="D7355" t="s">
        <v>5988</v>
      </c>
    </row>
    <row r="7356" spans="1:4" x14ac:dyDescent="0.2">
      <c r="A7356">
        <v>34</v>
      </c>
      <c r="B7356">
        <v>500.1</v>
      </c>
      <c r="C7356">
        <v>500</v>
      </c>
      <c r="D7356" t="s">
        <v>5988</v>
      </c>
    </row>
    <row r="7357" spans="1:4" x14ac:dyDescent="0.2">
      <c r="A7357">
        <v>35</v>
      </c>
      <c r="B7357">
        <v>500</v>
      </c>
      <c r="C7357">
        <v>500</v>
      </c>
      <c r="D7357" t="s">
        <v>5988</v>
      </c>
    </row>
    <row r="7358" spans="1:4" x14ac:dyDescent="0.2">
      <c r="A7358">
        <v>36</v>
      </c>
      <c r="B7358">
        <v>500.2</v>
      </c>
      <c r="C7358">
        <v>500</v>
      </c>
      <c r="D7358" t="s">
        <v>5988</v>
      </c>
    </row>
    <row r="7359" spans="1:4" x14ac:dyDescent="0.2">
      <c r="A7359">
        <v>31</v>
      </c>
      <c r="B7359">
        <v>1000</v>
      </c>
      <c r="C7359">
        <v>1000</v>
      </c>
      <c r="D7359" t="s">
        <v>5988</v>
      </c>
    </row>
    <row r="7360" spans="1:4" x14ac:dyDescent="0.2">
      <c r="A7360">
        <v>32</v>
      </c>
      <c r="B7360">
        <v>1000.2</v>
      </c>
      <c r="C7360">
        <v>1000</v>
      </c>
      <c r="D7360" t="s">
        <v>5988</v>
      </c>
    </row>
    <row r="7361" spans="1:4" x14ac:dyDescent="0.2">
      <c r="A7361">
        <v>33</v>
      </c>
      <c r="B7361">
        <v>1000.1</v>
      </c>
      <c r="C7361">
        <v>1000</v>
      </c>
      <c r="D7361" t="s">
        <v>5988</v>
      </c>
    </row>
    <row r="7362" spans="1:4" x14ac:dyDescent="0.2">
      <c r="A7362">
        <v>34</v>
      </c>
      <c r="B7362">
        <v>1000.3</v>
      </c>
      <c r="C7362">
        <v>1000</v>
      </c>
      <c r="D7362" t="s">
        <v>5988</v>
      </c>
    </row>
    <row r="7363" spans="1:4" x14ac:dyDescent="0.2">
      <c r="A7363">
        <v>35</v>
      </c>
      <c r="B7363">
        <v>1000.1</v>
      </c>
      <c r="C7363">
        <v>1000</v>
      </c>
      <c r="D7363" t="s">
        <v>5988</v>
      </c>
    </row>
    <row r="7364" spans="1:4" x14ac:dyDescent="0.2">
      <c r="A7364">
        <v>36</v>
      </c>
      <c r="B7364">
        <v>1000.2</v>
      </c>
      <c r="C7364">
        <v>1000</v>
      </c>
      <c r="D7364" t="s">
        <v>5988</v>
      </c>
    </row>
    <row r="7365" spans="1:4" x14ac:dyDescent="0.2">
      <c r="A7365">
        <v>37</v>
      </c>
      <c r="B7365">
        <v>-100.5</v>
      </c>
      <c r="C7365">
        <v>-100</v>
      </c>
      <c r="D7365" t="s">
        <v>5988</v>
      </c>
    </row>
    <row r="7366" spans="1:4" x14ac:dyDescent="0.2">
      <c r="A7366">
        <v>38</v>
      </c>
      <c r="B7366">
        <v>-100.1</v>
      </c>
      <c r="C7366">
        <v>-100</v>
      </c>
      <c r="D7366" t="s">
        <v>5988</v>
      </c>
    </row>
    <row r="7367" spans="1:4" x14ac:dyDescent="0.2">
      <c r="A7367">
        <v>39</v>
      </c>
      <c r="B7367">
        <v>-99.8</v>
      </c>
      <c r="C7367">
        <v>-100</v>
      </c>
      <c r="D7367" t="s">
        <v>5988</v>
      </c>
    </row>
    <row r="7368" spans="1:4" x14ac:dyDescent="0.2">
      <c r="A7368">
        <v>40</v>
      </c>
      <c r="B7368">
        <v>-99.8</v>
      </c>
      <c r="C7368">
        <v>-100</v>
      </c>
      <c r="D7368" t="s">
        <v>5988</v>
      </c>
    </row>
    <row r="7369" spans="1:4" x14ac:dyDescent="0.2">
      <c r="A7369">
        <v>37</v>
      </c>
      <c r="B7369">
        <v>-50.3</v>
      </c>
      <c r="C7369">
        <v>-50</v>
      </c>
      <c r="D7369" t="s">
        <v>5988</v>
      </c>
    </row>
    <row r="7370" spans="1:4" x14ac:dyDescent="0.2">
      <c r="A7370">
        <v>38</v>
      </c>
      <c r="B7370">
        <v>-49.8</v>
      </c>
      <c r="C7370">
        <v>-50</v>
      </c>
      <c r="D7370" t="s">
        <v>5988</v>
      </c>
    </row>
    <row r="7371" spans="1:4" x14ac:dyDescent="0.2">
      <c r="A7371">
        <v>39</v>
      </c>
      <c r="B7371">
        <v>-50</v>
      </c>
      <c r="C7371">
        <v>-50</v>
      </c>
      <c r="D7371" t="s">
        <v>5988</v>
      </c>
    </row>
    <row r="7372" spans="1:4" x14ac:dyDescent="0.2">
      <c r="A7372">
        <v>40</v>
      </c>
      <c r="B7372">
        <v>-50</v>
      </c>
      <c r="C7372">
        <v>-50</v>
      </c>
      <c r="D7372" t="s">
        <v>5988</v>
      </c>
    </row>
    <row r="7373" spans="1:4" x14ac:dyDescent="0.2">
      <c r="A7373">
        <v>37</v>
      </c>
      <c r="B7373">
        <v>0.3</v>
      </c>
      <c r="C7373">
        <v>0</v>
      </c>
      <c r="D7373" t="s">
        <v>5988</v>
      </c>
    </row>
    <row r="7374" spans="1:4" x14ac:dyDescent="0.2">
      <c r="A7374">
        <v>38</v>
      </c>
      <c r="B7374">
        <v>0.2</v>
      </c>
      <c r="C7374">
        <v>0</v>
      </c>
      <c r="D7374" t="s">
        <v>5988</v>
      </c>
    </row>
    <row r="7375" spans="1:4" x14ac:dyDescent="0.2">
      <c r="A7375">
        <v>39</v>
      </c>
      <c r="B7375">
        <v>0.2</v>
      </c>
      <c r="C7375">
        <v>0</v>
      </c>
      <c r="D7375" t="s">
        <v>5988</v>
      </c>
    </row>
    <row r="7376" spans="1:4" x14ac:dyDescent="0.2">
      <c r="A7376">
        <v>40</v>
      </c>
      <c r="B7376">
        <v>0.2</v>
      </c>
      <c r="C7376">
        <v>0</v>
      </c>
      <c r="D7376" t="s">
        <v>5988</v>
      </c>
    </row>
    <row r="7377" spans="1:4" x14ac:dyDescent="0.2">
      <c r="A7377">
        <v>37</v>
      </c>
      <c r="B7377">
        <v>250.3</v>
      </c>
      <c r="C7377">
        <v>250</v>
      </c>
      <c r="D7377" t="s">
        <v>5988</v>
      </c>
    </row>
    <row r="7378" spans="1:4" x14ac:dyDescent="0.2">
      <c r="A7378">
        <v>38</v>
      </c>
      <c r="B7378">
        <v>250.2</v>
      </c>
      <c r="C7378">
        <v>250</v>
      </c>
      <c r="D7378" t="s">
        <v>5988</v>
      </c>
    </row>
    <row r="7379" spans="1:4" x14ac:dyDescent="0.2">
      <c r="A7379">
        <v>39</v>
      </c>
      <c r="B7379">
        <v>250.3</v>
      </c>
      <c r="C7379">
        <v>250</v>
      </c>
      <c r="D7379" t="s">
        <v>5988</v>
      </c>
    </row>
    <row r="7380" spans="1:4" x14ac:dyDescent="0.2">
      <c r="A7380">
        <v>40</v>
      </c>
      <c r="B7380">
        <v>250.2</v>
      </c>
      <c r="C7380">
        <v>250</v>
      </c>
      <c r="D7380" t="s">
        <v>5988</v>
      </c>
    </row>
    <row r="7381" spans="1:4" x14ac:dyDescent="0.2">
      <c r="A7381">
        <v>37</v>
      </c>
      <c r="B7381">
        <v>500.4</v>
      </c>
      <c r="C7381">
        <v>500</v>
      </c>
      <c r="D7381" t="s">
        <v>5988</v>
      </c>
    </row>
    <row r="7382" spans="1:4" x14ac:dyDescent="0.2">
      <c r="A7382">
        <v>38</v>
      </c>
      <c r="B7382">
        <v>500.3</v>
      </c>
      <c r="C7382">
        <v>500</v>
      </c>
      <c r="D7382" t="s">
        <v>5988</v>
      </c>
    </row>
    <row r="7383" spans="1:4" x14ac:dyDescent="0.2">
      <c r="A7383">
        <v>39</v>
      </c>
      <c r="B7383">
        <v>500</v>
      </c>
      <c r="C7383">
        <v>500</v>
      </c>
      <c r="D7383" t="s">
        <v>5988</v>
      </c>
    </row>
    <row r="7384" spans="1:4" x14ac:dyDescent="0.2">
      <c r="A7384">
        <v>40</v>
      </c>
      <c r="B7384">
        <v>500</v>
      </c>
      <c r="C7384">
        <v>500</v>
      </c>
      <c r="D7384" t="s">
        <v>5988</v>
      </c>
    </row>
    <row r="7385" spans="1:4" x14ac:dyDescent="0.2">
      <c r="A7385">
        <v>37</v>
      </c>
      <c r="B7385">
        <v>1000.5</v>
      </c>
      <c r="C7385">
        <v>1000</v>
      </c>
      <c r="D7385" t="s">
        <v>5988</v>
      </c>
    </row>
    <row r="7386" spans="1:4" x14ac:dyDescent="0.2">
      <c r="A7386">
        <v>38</v>
      </c>
      <c r="B7386">
        <v>1000.3</v>
      </c>
      <c r="C7386">
        <v>1000</v>
      </c>
      <c r="D7386" t="s">
        <v>5988</v>
      </c>
    </row>
    <row r="7387" spans="1:4" x14ac:dyDescent="0.2">
      <c r="A7387">
        <v>39</v>
      </c>
      <c r="B7387">
        <v>1000.1</v>
      </c>
      <c r="C7387">
        <v>1000</v>
      </c>
      <c r="D7387" t="s">
        <v>5988</v>
      </c>
    </row>
    <row r="7388" spans="1:4" x14ac:dyDescent="0.2">
      <c r="A7388">
        <v>40</v>
      </c>
      <c r="B7388">
        <v>1000.1</v>
      </c>
      <c r="C7388">
        <v>1000</v>
      </c>
      <c r="D7388" t="s">
        <v>5988</v>
      </c>
    </row>
    <row r="7389" spans="1:4" x14ac:dyDescent="0.2">
      <c r="A7389">
        <v>1</v>
      </c>
      <c r="B7389">
        <v>32.1</v>
      </c>
      <c r="C7389">
        <v>32</v>
      </c>
      <c r="D7389" t="s">
        <v>5989</v>
      </c>
    </row>
    <row r="7390" spans="1:4" x14ac:dyDescent="0.2">
      <c r="A7390">
        <v>2</v>
      </c>
      <c r="B7390">
        <v>32.1</v>
      </c>
      <c r="C7390">
        <v>32</v>
      </c>
      <c r="D7390" t="s">
        <v>5989</v>
      </c>
    </row>
    <row r="7391" spans="1:4" x14ac:dyDescent="0.2">
      <c r="A7391">
        <v>3</v>
      </c>
      <c r="B7391">
        <v>32</v>
      </c>
      <c r="C7391">
        <v>32</v>
      </c>
      <c r="D7391" t="s">
        <v>5989</v>
      </c>
    </row>
    <row r="7392" spans="1:4" x14ac:dyDescent="0.2">
      <c r="A7392">
        <v>4</v>
      </c>
      <c r="B7392">
        <v>31.9</v>
      </c>
      <c r="C7392">
        <v>32</v>
      </c>
      <c r="D7392" t="s">
        <v>5989</v>
      </c>
    </row>
    <row r="7393" spans="1:4" x14ac:dyDescent="0.2">
      <c r="A7393">
        <v>5</v>
      </c>
      <c r="B7393">
        <v>32.200000000000003</v>
      </c>
      <c r="C7393">
        <v>32</v>
      </c>
      <c r="D7393" t="s">
        <v>5989</v>
      </c>
    </row>
    <row r="7394" spans="1:4" x14ac:dyDescent="0.2">
      <c r="A7394">
        <v>6</v>
      </c>
      <c r="B7394">
        <v>32.1</v>
      </c>
      <c r="C7394">
        <v>32</v>
      </c>
      <c r="D7394" t="s">
        <v>5989</v>
      </c>
    </row>
    <row r="7395" spans="1:4" x14ac:dyDescent="0.2">
      <c r="A7395">
        <v>1</v>
      </c>
      <c r="B7395">
        <v>499.8</v>
      </c>
      <c r="C7395">
        <v>500</v>
      </c>
      <c r="D7395" t="s">
        <v>5989</v>
      </c>
    </row>
    <row r="7396" spans="1:4" x14ac:dyDescent="0.2">
      <c r="A7396">
        <v>2</v>
      </c>
      <c r="B7396">
        <v>499.8</v>
      </c>
      <c r="C7396">
        <v>500</v>
      </c>
      <c r="D7396" t="s">
        <v>5989</v>
      </c>
    </row>
    <row r="7397" spans="1:4" x14ac:dyDescent="0.2">
      <c r="A7397">
        <v>3</v>
      </c>
      <c r="B7397">
        <v>499.8</v>
      </c>
      <c r="C7397">
        <v>500</v>
      </c>
      <c r="D7397" t="s">
        <v>5989</v>
      </c>
    </row>
    <row r="7398" spans="1:4" x14ac:dyDescent="0.2">
      <c r="A7398">
        <v>4</v>
      </c>
      <c r="B7398">
        <v>499.8</v>
      </c>
      <c r="C7398">
        <v>500</v>
      </c>
      <c r="D7398" t="s">
        <v>5989</v>
      </c>
    </row>
    <row r="7399" spans="1:4" x14ac:dyDescent="0.2">
      <c r="A7399">
        <v>5</v>
      </c>
      <c r="B7399">
        <v>499.8</v>
      </c>
      <c r="C7399">
        <v>500</v>
      </c>
      <c r="D7399" t="s">
        <v>5989</v>
      </c>
    </row>
    <row r="7400" spans="1:4" x14ac:dyDescent="0.2">
      <c r="A7400">
        <v>6</v>
      </c>
      <c r="B7400">
        <v>499.8</v>
      </c>
      <c r="C7400">
        <v>500</v>
      </c>
      <c r="D7400" t="s">
        <v>5989</v>
      </c>
    </row>
    <row r="7401" spans="1:4" x14ac:dyDescent="0.2">
      <c r="A7401">
        <v>1</v>
      </c>
      <c r="B7401">
        <v>999.8</v>
      </c>
      <c r="C7401">
        <v>1000</v>
      </c>
      <c r="D7401" t="s">
        <v>5989</v>
      </c>
    </row>
    <row r="7402" spans="1:4" x14ac:dyDescent="0.2">
      <c r="A7402">
        <v>2</v>
      </c>
      <c r="B7402">
        <v>999.8</v>
      </c>
      <c r="C7402">
        <v>1000</v>
      </c>
      <c r="D7402" t="s">
        <v>5989</v>
      </c>
    </row>
    <row r="7403" spans="1:4" x14ac:dyDescent="0.2">
      <c r="A7403">
        <v>3</v>
      </c>
      <c r="B7403">
        <v>999.9</v>
      </c>
      <c r="C7403">
        <v>1000</v>
      </c>
      <c r="D7403" t="s">
        <v>5989</v>
      </c>
    </row>
    <row r="7404" spans="1:4" x14ac:dyDescent="0.2">
      <c r="A7404">
        <v>4</v>
      </c>
      <c r="B7404">
        <v>999.8</v>
      </c>
      <c r="C7404">
        <v>1000</v>
      </c>
      <c r="D7404" t="s">
        <v>5989</v>
      </c>
    </row>
    <row r="7405" spans="1:4" x14ac:dyDescent="0.2">
      <c r="A7405">
        <v>5</v>
      </c>
      <c r="B7405">
        <v>999.9</v>
      </c>
      <c r="C7405">
        <v>1000</v>
      </c>
      <c r="D7405" t="s">
        <v>5989</v>
      </c>
    </row>
    <row r="7406" spans="1:4" x14ac:dyDescent="0.2">
      <c r="A7406">
        <v>6</v>
      </c>
      <c r="B7406">
        <v>999.8</v>
      </c>
      <c r="C7406">
        <v>1000</v>
      </c>
      <c r="D7406" t="s">
        <v>5989</v>
      </c>
    </row>
    <row r="7407" spans="1:4" x14ac:dyDescent="0.2">
      <c r="A7407">
        <v>1</v>
      </c>
      <c r="B7407">
        <v>1499.8</v>
      </c>
      <c r="C7407">
        <v>1500</v>
      </c>
      <c r="D7407" t="s">
        <v>5989</v>
      </c>
    </row>
    <row r="7408" spans="1:4" x14ac:dyDescent="0.2">
      <c r="A7408">
        <v>2</v>
      </c>
      <c r="B7408">
        <v>1499.9</v>
      </c>
      <c r="C7408">
        <v>1500</v>
      </c>
      <c r="D7408" t="s">
        <v>5989</v>
      </c>
    </row>
    <row r="7409" spans="1:4" x14ac:dyDescent="0.2">
      <c r="A7409">
        <v>3</v>
      </c>
      <c r="B7409">
        <v>1499.9</v>
      </c>
      <c r="C7409">
        <v>1500</v>
      </c>
      <c r="D7409" t="s">
        <v>5989</v>
      </c>
    </row>
    <row r="7410" spans="1:4" x14ac:dyDescent="0.2">
      <c r="A7410">
        <v>4</v>
      </c>
      <c r="B7410">
        <v>1499.9</v>
      </c>
      <c r="C7410">
        <v>1500</v>
      </c>
      <c r="D7410" t="s">
        <v>5989</v>
      </c>
    </row>
    <row r="7411" spans="1:4" x14ac:dyDescent="0.2">
      <c r="A7411">
        <v>5</v>
      </c>
      <c r="B7411">
        <v>1499.9</v>
      </c>
      <c r="C7411">
        <v>1500</v>
      </c>
      <c r="D7411" t="s">
        <v>5989</v>
      </c>
    </row>
    <row r="7412" spans="1:4" x14ac:dyDescent="0.2">
      <c r="A7412">
        <v>6</v>
      </c>
      <c r="B7412">
        <v>1499.9</v>
      </c>
      <c r="C7412">
        <v>1500</v>
      </c>
      <c r="D7412" t="s">
        <v>5989</v>
      </c>
    </row>
    <row r="7413" spans="1:4" x14ac:dyDescent="0.2">
      <c r="A7413">
        <v>1</v>
      </c>
      <c r="B7413">
        <v>1999.8</v>
      </c>
      <c r="C7413">
        <v>2000</v>
      </c>
      <c r="D7413" t="s">
        <v>5989</v>
      </c>
    </row>
    <row r="7414" spans="1:4" x14ac:dyDescent="0.2">
      <c r="A7414">
        <v>2</v>
      </c>
      <c r="B7414">
        <v>2000</v>
      </c>
      <c r="C7414">
        <v>2000</v>
      </c>
      <c r="D7414" t="s">
        <v>5989</v>
      </c>
    </row>
    <row r="7415" spans="1:4" x14ac:dyDescent="0.2">
      <c r="A7415">
        <v>3</v>
      </c>
      <c r="B7415">
        <v>2000.1</v>
      </c>
      <c r="C7415">
        <v>2000</v>
      </c>
      <c r="D7415" t="s">
        <v>5989</v>
      </c>
    </row>
    <row r="7416" spans="1:4" x14ac:dyDescent="0.2">
      <c r="A7416">
        <v>4</v>
      </c>
      <c r="B7416">
        <v>2000.1</v>
      </c>
      <c r="C7416">
        <v>2000</v>
      </c>
      <c r="D7416" t="s">
        <v>5989</v>
      </c>
    </row>
    <row r="7417" spans="1:4" x14ac:dyDescent="0.2">
      <c r="A7417">
        <v>5</v>
      </c>
      <c r="B7417">
        <v>2000.1</v>
      </c>
      <c r="C7417">
        <v>2000</v>
      </c>
      <c r="D7417" t="s">
        <v>5989</v>
      </c>
    </row>
    <row r="7418" spans="1:4" x14ac:dyDescent="0.2">
      <c r="A7418">
        <v>6</v>
      </c>
      <c r="B7418">
        <v>2000.1</v>
      </c>
      <c r="C7418">
        <v>2000</v>
      </c>
      <c r="D7418" t="s">
        <v>5989</v>
      </c>
    </row>
    <row r="7419" spans="1:4" x14ac:dyDescent="0.2">
      <c r="A7419">
        <v>1</v>
      </c>
      <c r="B7419">
        <v>2299.9</v>
      </c>
      <c r="C7419">
        <v>2300</v>
      </c>
      <c r="D7419" t="s">
        <v>5989</v>
      </c>
    </row>
    <row r="7420" spans="1:4" x14ac:dyDescent="0.2">
      <c r="A7420">
        <v>2</v>
      </c>
      <c r="B7420">
        <v>2300.1</v>
      </c>
      <c r="C7420">
        <v>2300</v>
      </c>
      <c r="D7420" t="s">
        <v>5989</v>
      </c>
    </row>
    <row r="7421" spans="1:4" x14ac:dyDescent="0.2">
      <c r="A7421">
        <v>3</v>
      </c>
      <c r="B7421">
        <v>2300.1</v>
      </c>
      <c r="C7421">
        <v>2300</v>
      </c>
      <c r="D7421" t="s">
        <v>5989</v>
      </c>
    </row>
    <row r="7422" spans="1:4" x14ac:dyDescent="0.2">
      <c r="A7422">
        <v>4</v>
      </c>
      <c r="B7422">
        <v>2300.1999999999998</v>
      </c>
      <c r="C7422">
        <v>2300</v>
      </c>
      <c r="D7422" t="s">
        <v>5989</v>
      </c>
    </row>
    <row r="7423" spans="1:4" x14ac:dyDescent="0.2">
      <c r="A7423">
        <v>5</v>
      </c>
      <c r="B7423">
        <v>2300.1999999999998</v>
      </c>
      <c r="C7423">
        <v>2300</v>
      </c>
      <c r="D7423" t="s">
        <v>5989</v>
      </c>
    </row>
    <row r="7424" spans="1:4" x14ac:dyDescent="0.2">
      <c r="A7424">
        <v>6</v>
      </c>
      <c r="B7424">
        <v>2300.1</v>
      </c>
      <c r="C7424">
        <v>2300</v>
      </c>
      <c r="D7424" t="s">
        <v>5989</v>
      </c>
    </row>
    <row r="7425" spans="1:4" x14ac:dyDescent="0.2">
      <c r="A7425">
        <v>7</v>
      </c>
      <c r="B7425">
        <v>32.1</v>
      </c>
      <c r="C7425">
        <v>32</v>
      </c>
      <c r="D7425" t="s">
        <v>5989</v>
      </c>
    </row>
    <row r="7426" spans="1:4" x14ac:dyDescent="0.2">
      <c r="A7426">
        <v>8</v>
      </c>
      <c r="B7426">
        <v>32.200000000000003</v>
      </c>
      <c r="C7426">
        <v>32</v>
      </c>
      <c r="D7426" t="s">
        <v>5989</v>
      </c>
    </row>
    <row r="7427" spans="1:4" x14ac:dyDescent="0.2">
      <c r="A7427">
        <v>9</v>
      </c>
      <c r="B7427">
        <v>32.299999999999997</v>
      </c>
      <c r="C7427">
        <v>32</v>
      </c>
      <c r="D7427" t="s">
        <v>5989</v>
      </c>
    </row>
    <row r="7428" spans="1:4" x14ac:dyDescent="0.2">
      <c r="A7428">
        <v>10</v>
      </c>
      <c r="B7428">
        <v>32.299999999999997</v>
      </c>
      <c r="C7428">
        <v>32</v>
      </c>
      <c r="D7428" t="s">
        <v>5989</v>
      </c>
    </row>
    <row r="7429" spans="1:4" x14ac:dyDescent="0.2">
      <c r="A7429">
        <v>11</v>
      </c>
      <c r="B7429">
        <v>32.200000000000003</v>
      </c>
      <c r="C7429">
        <v>32</v>
      </c>
      <c r="D7429" t="s">
        <v>5989</v>
      </c>
    </row>
    <row r="7430" spans="1:4" x14ac:dyDescent="0.2">
      <c r="A7430">
        <v>12</v>
      </c>
      <c r="B7430">
        <v>32.200000000000003</v>
      </c>
      <c r="C7430">
        <v>32</v>
      </c>
      <c r="D7430" t="s">
        <v>5989</v>
      </c>
    </row>
    <row r="7431" spans="1:4" x14ac:dyDescent="0.2">
      <c r="A7431">
        <v>7</v>
      </c>
      <c r="B7431">
        <v>499.7</v>
      </c>
      <c r="C7431">
        <v>500</v>
      </c>
      <c r="D7431" t="s">
        <v>5989</v>
      </c>
    </row>
    <row r="7432" spans="1:4" x14ac:dyDescent="0.2">
      <c r="A7432">
        <v>8</v>
      </c>
      <c r="B7432">
        <v>499.7</v>
      </c>
      <c r="C7432">
        <v>500</v>
      </c>
      <c r="D7432" t="s">
        <v>5989</v>
      </c>
    </row>
    <row r="7433" spans="1:4" x14ac:dyDescent="0.2">
      <c r="A7433">
        <v>9</v>
      </c>
      <c r="B7433">
        <v>499.8</v>
      </c>
      <c r="C7433">
        <v>500</v>
      </c>
      <c r="D7433" t="s">
        <v>5989</v>
      </c>
    </row>
    <row r="7434" spans="1:4" x14ac:dyDescent="0.2">
      <c r="A7434">
        <v>10</v>
      </c>
      <c r="B7434">
        <v>499.7</v>
      </c>
      <c r="C7434">
        <v>500</v>
      </c>
      <c r="D7434" t="s">
        <v>5989</v>
      </c>
    </row>
    <row r="7435" spans="1:4" x14ac:dyDescent="0.2">
      <c r="A7435">
        <v>11</v>
      </c>
      <c r="B7435">
        <v>499.7</v>
      </c>
      <c r="C7435">
        <v>500</v>
      </c>
      <c r="D7435" t="s">
        <v>5989</v>
      </c>
    </row>
    <row r="7436" spans="1:4" x14ac:dyDescent="0.2">
      <c r="A7436">
        <v>12</v>
      </c>
      <c r="B7436">
        <v>499.8</v>
      </c>
      <c r="C7436">
        <v>500</v>
      </c>
      <c r="D7436" t="s">
        <v>5989</v>
      </c>
    </row>
    <row r="7437" spans="1:4" x14ac:dyDescent="0.2">
      <c r="A7437">
        <v>7</v>
      </c>
      <c r="B7437">
        <v>999.7</v>
      </c>
      <c r="C7437">
        <v>1000</v>
      </c>
      <c r="D7437" t="s">
        <v>5989</v>
      </c>
    </row>
    <row r="7438" spans="1:4" x14ac:dyDescent="0.2">
      <c r="A7438">
        <v>8</v>
      </c>
      <c r="B7438">
        <v>999.8</v>
      </c>
      <c r="C7438">
        <v>1000</v>
      </c>
      <c r="D7438" t="s">
        <v>5989</v>
      </c>
    </row>
    <row r="7439" spans="1:4" x14ac:dyDescent="0.2">
      <c r="A7439">
        <v>9</v>
      </c>
      <c r="B7439">
        <v>999.8</v>
      </c>
      <c r="C7439">
        <v>1000</v>
      </c>
      <c r="D7439" t="s">
        <v>5989</v>
      </c>
    </row>
    <row r="7440" spans="1:4" x14ac:dyDescent="0.2">
      <c r="A7440">
        <v>10</v>
      </c>
      <c r="B7440">
        <v>999.8</v>
      </c>
      <c r="C7440">
        <v>1000</v>
      </c>
      <c r="D7440" t="s">
        <v>5989</v>
      </c>
    </row>
    <row r="7441" spans="1:4" x14ac:dyDescent="0.2">
      <c r="A7441">
        <v>11</v>
      </c>
      <c r="B7441">
        <v>999.7</v>
      </c>
      <c r="C7441">
        <v>1000</v>
      </c>
      <c r="D7441" t="s">
        <v>5989</v>
      </c>
    </row>
    <row r="7442" spans="1:4" x14ac:dyDescent="0.2">
      <c r="A7442">
        <v>12</v>
      </c>
      <c r="B7442">
        <v>999.7</v>
      </c>
      <c r="C7442">
        <v>1000</v>
      </c>
      <c r="D7442" t="s">
        <v>5989</v>
      </c>
    </row>
    <row r="7443" spans="1:4" x14ac:dyDescent="0.2">
      <c r="A7443">
        <v>7</v>
      </c>
      <c r="B7443">
        <v>1499.7</v>
      </c>
      <c r="C7443">
        <v>1500</v>
      </c>
      <c r="D7443" t="s">
        <v>5989</v>
      </c>
    </row>
    <row r="7444" spans="1:4" x14ac:dyDescent="0.2">
      <c r="A7444">
        <v>8</v>
      </c>
      <c r="B7444">
        <v>1499.8</v>
      </c>
      <c r="C7444">
        <v>1500</v>
      </c>
      <c r="D7444" t="s">
        <v>5989</v>
      </c>
    </row>
    <row r="7445" spans="1:4" x14ac:dyDescent="0.2">
      <c r="A7445">
        <v>9</v>
      </c>
      <c r="B7445">
        <v>1499.9</v>
      </c>
      <c r="C7445">
        <v>1500</v>
      </c>
      <c r="D7445" t="s">
        <v>5989</v>
      </c>
    </row>
    <row r="7446" spans="1:4" x14ac:dyDescent="0.2">
      <c r="A7446">
        <v>10</v>
      </c>
      <c r="B7446">
        <v>1499.9</v>
      </c>
      <c r="C7446">
        <v>1500</v>
      </c>
      <c r="D7446" t="s">
        <v>5989</v>
      </c>
    </row>
    <row r="7447" spans="1:4" x14ac:dyDescent="0.2">
      <c r="A7447">
        <v>11</v>
      </c>
      <c r="B7447">
        <v>1499.8</v>
      </c>
      <c r="C7447">
        <v>1500</v>
      </c>
      <c r="D7447" t="s">
        <v>5989</v>
      </c>
    </row>
    <row r="7448" spans="1:4" x14ac:dyDescent="0.2">
      <c r="A7448">
        <v>12</v>
      </c>
      <c r="B7448">
        <v>1499.7</v>
      </c>
      <c r="C7448">
        <v>1500</v>
      </c>
      <c r="D7448" t="s">
        <v>5989</v>
      </c>
    </row>
    <row r="7449" spans="1:4" x14ac:dyDescent="0.2">
      <c r="A7449">
        <v>7</v>
      </c>
      <c r="B7449">
        <v>1999.9</v>
      </c>
      <c r="C7449">
        <v>2000</v>
      </c>
      <c r="D7449" t="s">
        <v>5989</v>
      </c>
    </row>
    <row r="7450" spans="1:4" x14ac:dyDescent="0.2">
      <c r="A7450">
        <v>8</v>
      </c>
      <c r="B7450">
        <v>1999.9</v>
      </c>
      <c r="C7450">
        <v>2000</v>
      </c>
      <c r="D7450" t="s">
        <v>5989</v>
      </c>
    </row>
    <row r="7451" spans="1:4" x14ac:dyDescent="0.2">
      <c r="A7451">
        <v>9</v>
      </c>
      <c r="B7451">
        <v>1999.9</v>
      </c>
      <c r="C7451">
        <v>2000</v>
      </c>
      <c r="D7451" t="s">
        <v>5989</v>
      </c>
    </row>
    <row r="7452" spans="1:4" x14ac:dyDescent="0.2">
      <c r="A7452">
        <v>10</v>
      </c>
      <c r="B7452">
        <v>1999.9</v>
      </c>
      <c r="C7452">
        <v>2000</v>
      </c>
      <c r="D7452" t="s">
        <v>5989</v>
      </c>
    </row>
    <row r="7453" spans="1:4" x14ac:dyDescent="0.2">
      <c r="A7453">
        <v>11</v>
      </c>
      <c r="B7453">
        <v>2000</v>
      </c>
      <c r="C7453">
        <v>2000</v>
      </c>
      <c r="D7453" t="s">
        <v>5989</v>
      </c>
    </row>
    <row r="7454" spans="1:4" x14ac:dyDescent="0.2">
      <c r="A7454">
        <v>12</v>
      </c>
      <c r="B7454">
        <v>1999.9</v>
      </c>
      <c r="C7454">
        <v>2000</v>
      </c>
      <c r="D7454" t="s">
        <v>5989</v>
      </c>
    </row>
    <row r="7455" spans="1:4" x14ac:dyDescent="0.2">
      <c r="A7455">
        <v>7</v>
      </c>
      <c r="B7455">
        <v>2299.9</v>
      </c>
      <c r="C7455">
        <v>2300</v>
      </c>
      <c r="D7455" t="s">
        <v>5989</v>
      </c>
    </row>
    <row r="7456" spans="1:4" x14ac:dyDescent="0.2">
      <c r="A7456">
        <v>8</v>
      </c>
      <c r="B7456">
        <v>2300</v>
      </c>
      <c r="C7456">
        <v>2300</v>
      </c>
      <c r="D7456" t="s">
        <v>5989</v>
      </c>
    </row>
    <row r="7457" spans="1:4" x14ac:dyDescent="0.2">
      <c r="A7457">
        <v>9</v>
      </c>
      <c r="B7457">
        <v>2300.1</v>
      </c>
      <c r="C7457">
        <v>2300</v>
      </c>
      <c r="D7457" t="s">
        <v>5989</v>
      </c>
    </row>
    <row r="7458" spans="1:4" x14ac:dyDescent="0.2">
      <c r="A7458">
        <v>10</v>
      </c>
      <c r="B7458">
        <v>2300.1999999999998</v>
      </c>
      <c r="C7458">
        <v>2300</v>
      </c>
      <c r="D7458" t="s">
        <v>5989</v>
      </c>
    </row>
    <row r="7459" spans="1:4" x14ac:dyDescent="0.2">
      <c r="A7459">
        <v>11</v>
      </c>
      <c r="B7459">
        <v>2300.1999999999998</v>
      </c>
      <c r="C7459">
        <v>2300</v>
      </c>
      <c r="D7459" t="s">
        <v>5989</v>
      </c>
    </row>
    <row r="7460" spans="1:4" x14ac:dyDescent="0.2">
      <c r="A7460">
        <v>12</v>
      </c>
      <c r="B7460">
        <v>2300.1</v>
      </c>
      <c r="C7460">
        <v>2300</v>
      </c>
      <c r="D7460" t="s">
        <v>5989</v>
      </c>
    </row>
    <row r="7461" spans="1:4" x14ac:dyDescent="0.2">
      <c r="A7461">
        <v>13</v>
      </c>
      <c r="B7461">
        <v>32.200000000000003</v>
      </c>
      <c r="C7461">
        <v>32</v>
      </c>
      <c r="D7461" t="s">
        <v>5989</v>
      </c>
    </row>
    <row r="7462" spans="1:4" x14ac:dyDescent="0.2">
      <c r="A7462">
        <v>14</v>
      </c>
      <c r="B7462">
        <v>32.1</v>
      </c>
      <c r="C7462">
        <v>32</v>
      </c>
      <c r="D7462" t="s">
        <v>5989</v>
      </c>
    </row>
    <row r="7463" spans="1:4" x14ac:dyDescent="0.2">
      <c r="A7463">
        <v>15</v>
      </c>
      <c r="B7463">
        <v>32.299999999999997</v>
      </c>
      <c r="C7463">
        <v>32</v>
      </c>
      <c r="D7463" t="s">
        <v>5989</v>
      </c>
    </row>
    <row r="7464" spans="1:4" x14ac:dyDescent="0.2">
      <c r="A7464">
        <v>16</v>
      </c>
      <c r="B7464">
        <v>32.200000000000003</v>
      </c>
      <c r="C7464">
        <v>32</v>
      </c>
      <c r="D7464" t="s">
        <v>5989</v>
      </c>
    </row>
    <row r="7465" spans="1:4" x14ac:dyDescent="0.2">
      <c r="A7465">
        <v>17</v>
      </c>
      <c r="B7465">
        <v>32.200000000000003</v>
      </c>
      <c r="C7465">
        <v>32</v>
      </c>
      <c r="D7465" t="s">
        <v>5989</v>
      </c>
    </row>
    <row r="7466" spans="1:4" x14ac:dyDescent="0.2">
      <c r="A7466">
        <v>18</v>
      </c>
      <c r="B7466">
        <v>32.200000000000003</v>
      </c>
      <c r="C7466">
        <v>32</v>
      </c>
      <c r="D7466" t="s">
        <v>5989</v>
      </c>
    </row>
    <row r="7467" spans="1:4" x14ac:dyDescent="0.2">
      <c r="A7467">
        <v>13</v>
      </c>
      <c r="B7467">
        <v>499.7</v>
      </c>
      <c r="C7467">
        <v>500</v>
      </c>
      <c r="D7467" t="s">
        <v>5989</v>
      </c>
    </row>
    <row r="7468" spans="1:4" x14ac:dyDescent="0.2">
      <c r="A7468">
        <v>14</v>
      </c>
      <c r="B7468">
        <v>499.8</v>
      </c>
      <c r="C7468">
        <v>500</v>
      </c>
      <c r="D7468" t="s">
        <v>5989</v>
      </c>
    </row>
    <row r="7469" spans="1:4" x14ac:dyDescent="0.2">
      <c r="A7469">
        <v>15</v>
      </c>
      <c r="B7469">
        <v>499.7</v>
      </c>
      <c r="C7469">
        <v>500</v>
      </c>
      <c r="D7469" t="s">
        <v>5989</v>
      </c>
    </row>
    <row r="7470" spans="1:4" x14ac:dyDescent="0.2">
      <c r="A7470">
        <v>16</v>
      </c>
      <c r="B7470">
        <v>499.8</v>
      </c>
      <c r="C7470">
        <v>500</v>
      </c>
      <c r="D7470" t="s">
        <v>5989</v>
      </c>
    </row>
    <row r="7471" spans="1:4" x14ac:dyDescent="0.2">
      <c r="A7471">
        <v>17</v>
      </c>
      <c r="B7471">
        <v>499.7</v>
      </c>
      <c r="C7471">
        <v>500</v>
      </c>
      <c r="D7471" t="s">
        <v>5989</v>
      </c>
    </row>
    <row r="7472" spans="1:4" x14ac:dyDescent="0.2">
      <c r="A7472">
        <v>18</v>
      </c>
      <c r="B7472">
        <v>499.8</v>
      </c>
      <c r="C7472">
        <v>500</v>
      </c>
      <c r="D7472" t="s">
        <v>5989</v>
      </c>
    </row>
    <row r="7473" spans="1:4" x14ac:dyDescent="0.2">
      <c r="A7473">
        <v>13</v>
      </c>
      <c r="B7473">
        <v>999.7</v>
      </c>
      <c r="C7473">
        <v>1000</v>
      </c>
      <c r="D7473" t="s">
        <v>5989</v>
      </c>
    </row>
    <row r="7474" spans="1:4" x14ac:dyDescent="0.2">
      <c r="A7474">
        <v>14</v>
      </c>
      <c r="B7474">
        <v>999.8</v>
      </c>
      <c r="C7474">
        <v>1000</v>
      </c>
      <c r="D7474" t="s">
        <v>5989</v>
      </c>
    </row>
    <row r="7475" spans="1:4" x14ac:dyDescent="0.2">
      <c r="A7475">
        <v>15</v>
      </c>
      <c r="B7475">
        <v>999.8</v>
      </c>
      <c r="C7475">
        <v>1000</v>
      </c>
      <c r="D7475" t="s">
        <v>5989</v>
      </c>
    </row>
    <row r="7476" spans="1:4" x14ac:dyDescent="0.2">
      <c r="A7476">
        <v>16</v>
      </c>
      <c r="B7476">
        <v>999.9</v>
      </c>
      <c r="C7476">
        <v>1000</v>
      </c>
      <c r="D7476" t="s">
        <v>5989</v>
      </c>
    </row>
    <row r="7477" spans="1:4" x14ac:dyDescent="0.2">
      <c r="A7477">
        <v>17</v>
      </c>
      <c r="B7477">
        <v>999.9</v>
      </c>
      <c r="C7477">
        <v>1000</v>
      </c>
      <c r="D7477" t="s">
        <v>5989</v>
      </c>
    </row>
    <row r="7478" spans="1:4" x14ac:dyDescent="0.2">
      <c r="A7478">
        <v>18</v>
      </c>
      <c r="B7478">
        <v>999.9</v>
      </c>
      <c r="C7478">
        <v>1000</v>
      </c>
      <c r="D7478" t="s">
        <v>5989</v>
      </c>
    </row>
    <row r="7479" spans="1:4" x14ac:dyDescent="0.2">
      <c r="A7479">
        <v>13</v>
      </c>
      <c r="B7479">
        <v>1499.8</v>
      </c>
      <c r="C7479">
        <v>1500</v>
      </c>
      <c r="D7479" t="s">
        <v>5989</v>
      </c>
    </row>
    <row r="7480" spans="1:4" x14ac:dyDescent="0.2">
      <c r="A7480">
        <v>14</v>
      </c>
      <c r="B7480">
        <v>1499.9</v>
      </c>
      <c r="C7480">
        <v>1500</v>
      </c>
      <c r="D7480" t="s">
        <v>5989</v>
      </c>
    </row>
    <row r="7481" spans="1:4" x14ac:dyDescent="0.2">
      <c r="A7481">
        <v>15</v>
      </c>
      <c r="B7481">
        <v>1499.9</v>
      </c>
      <c r="C7481">
        <v>1500</v>
      </c>
      <c r="D7481" t="s">
        <v>5989</v>
      </c>
    </row>
    <row r="7482" spans="1:4" x14ac:dyDescent="0.2">
      <c r="A7482">
        <v>16</v>
      </c>
      <c r="B7482">
        <v>1499.9</v>
      </c>
      <c r="C7482">
        <v>1500</v>
      </c>
      <c r="D7482" t="s">
        <v>5989</v>
      </c>
    </row>
    <row r="7483" spans="1:4" x14ac:dyDescent="0.2">
      <c r="A7483">
        <v>17</v>
      </c>
      <c r="B7483">
        <v>1499.9</v>
      </c>
      <c r="C7483">
        <v>1500</v>
      </c>
      <c r="D7483" t="s">
        <v>5989</v>
      </c>
    </row>
    <row r="7484" spans="1:4" x14ac:dyDescent="0.2">
      <c r="A7484">
        <v>18</v>
      </c>
      <c r="B7484">
        <v>1499.9</v>
      </c>
      <c r="C7484">
        <v>1500</v>
      </c>
      <c r="D7484" t="s">
        <v>5989</v>
      </c>
    </row>
    <row r="7485" spans="1:4" x14ac:dyDescent="0.2">
      <c r="A7485">
        <v>13</v>
      </c>
      <c r="B7485">
        <v>1999.9</v>
      </c>
      <c r="C7485">
        <v>2000</v>
      </c>
      <c r="D7485" t="s">
        <v>5989</v>
      </c>
    </row>
    <row r="7486" spans="1:4" x14ac:dyDescent="0.2">
      <c r="A7486">
        <v>14</v>
      </c>
      <c r="B7486">
        <v>1999.9</v>
      </c>
      <c r="C7486">
        <v>2000</v>
      </c>
      <c r="D7486" t="s">
        <v>5989</v>
      </c>
    </row>
    <row r="7487" spans="1:4" x14ac:dyDescent="0.2">
      <c r="A7487">
        <v>15</v>
      </c>
      <c r="B7487">
        <v>1999.9</v>
      </c>
      <c r="C7487">
        <v>2000</v>
      </c>
      <c r="D7487" t="s">
        <v>5989</v>
      </c>
    </row>
    <row r="7488" spans="1:4" x14ac:dyDescent="0.2">
      <c r="A7488">
        <v>16</v>
      </c>
      <c r="B7488">
        <v>2000</v>
      </c>
      <c r="C7488">
        <v>2000</v>
      </c>
      <c r="D7488" t="s">
        <v>5989</v>
      </c>
    </row>
    <row r="7489" spans="1:4" x14ac:dyDescent="0.2">
      <c r="A7489">
        <v>17</v>
      </c>
      <c r="B7489">
        <v>2000</v>
      </c>
      <c r="C7489">
        <v>2000</v>
      </c>
      <c r="D7489" t="s">
        <v>5989</v>
      </c>
    </row>
    <row r="7490" spans="1:4" x14ac:dyDescent="0.2">
      <c r="A7490">
        <v>18</v>
      </c>
      <c r="B7490">
        <v>2000</v>
      </c>
      <c r="C7490">
        <v>2000</v>
      </c>
      <c r="D7490" t="s">
        <v>5989</v>
      </c>
    </row>
    <row r="7491" spans="1:4" x14ac:dyDescent="0.2">
      <c r="A7491">
        <v>13</v>
      </c>
      <c r="B7491">
        <v>2300.1</v>
      </c>
      <c r="C7491">
        <v>2300</v>
      </c>
      <c r="D7491" t="s">
        <v>5989</v>
      </c>
    </row>
    <row r="7492" spans="1:4" x14ac:dyDescent="0.2">
      <c r="A7492">
        <v>14</v>
      </c>
      <c r="B7492">
        <v>2300.1</v>
      </c>
      <c r="C7492">
        <v>2300</v>
      </c>
      <c r="D7492" t="s">
        <v>5989</v>
      </c>
    </row>
    <row r="7493" spans="1:4" x14ac:dyDescent="0.2">
      <c r="A7493">
        <v>15</v>
      </c>
      <c r="B7493">
        <v>2300</v>
      </c>
      <c r="C7493">
        <v>2300</v>
      </c>
      <c r="D7493" t="s">
        <v>5989</v>
      </c>
    </row>
    <row r="7494" spans="1:4" x14ac:dyDescent="0.2">
      <c r="A7494">
        <v>16</v>
      </c>
      <c r="B7494">
        <v>2300.1999999999998</v>
      </c>
      <c r="C7494">
        <v>2300</v>
      </c>
      <c r="D7494" t="s">
        <v>5989</v>
      </c>
    </row>
    <row r="7495" spans="1:4" x14ac:dyDescent="0.2">
      <c r="A7495">
        <v>17</v>
      </c>
      <c r="B7495">
        <v>2300.1</v>
      </c>
      <c r="C7495">
        <v>2300</v>
      </c>
      <c r="D7495" t="s">
        <v>5989</v>
      </c>
    </row>
    <row r="7496" spans="1:4" x14ac:dyDescent="0.2">
      <c r="A7496">
        <v>18</v>
      </c>
      <c r="B7496">
        <v>2300.1999999999998</v>
      </c>
      <c r="C7496">
        <v>2300</v>
      </c>
      <c r="D7496" t="s">
        <v>5989</v>
      </c>
    </row>
    <row r="7497" spans="1:4" x14ac:dyDescent="0.2">
      <c r="A7497">
        <v>19</v>
      </c>
      <c r="B7497">
        <v>32.200000000000003</v>
      </c>
      <c r="C7497">
        <v>32</v>
      </c>
      <c r="D7497" t="s">
        <v>5989</v>
      </c>
    </row>
    <row r="7498" spans="1:4" x14ac:dyDescent="0.2">
      <c r="A7498">
        <v>20</v>
      </c>
      <c r="B7498">
        <v>32.200000000000003</v>
      </c>
      <c r="C7498">
        <v>32</v>
      </c>
      <c r="D7498" t="s">
        <v>5989</v>
      </c>
    </row>
    <row r="7499" spans="1:4" x14ac:dyDescent="0.2">
      <c r="A7499">
        <v>21</v>
      </c>
      <c r="B7499">
        <v>32.200000000000003</v>
      </c>
      <c r="C7499">
        <v>32</v>
      </c>
      <c r="D7499" t="s">
        <v>5989</v>
      </c>
    </row>
    <row r="7500" spans="1:4" x14ac:dyDescent="0.2">
      <c r="A7500">
        <v>22</v>
      </c>
      <c r="B7500">
        <v>32.299999999999997</v>
      </c>
      <c r="C7500">
        <v>32</v>
      </c>
      <c r="D7500" t="s">
        <v>5989</v>
      </c>
    </row>
    <row r="7501" spans="1:4" x14ac:dyDescent="0.2">
      <c r="A7501">
        <v>23</v>
      </c>
      <c r="B7501">
        <v>32.299999999999997</v>
      </c>
      <c r="C7501">
        <v>32</v>
      </c>
      <c r="D7501" t="s">
        <v>5989</v>
      </c>
    </row>
    <row r="7502" spans="1:4" x14ac:dyDescent="0.2">
      <c r="A7502">
        <v>24</v>
      </c>
      <c r="B7502">
        <v>32.1</v>
      </c>
      <c r="C7502">
        <v>32</v>
      </c>
      <c r="D7502" t="s">
        <v>5989</v>
      </c>
    </row>
    <row r="7503" spans="1:4" x14ac:dyDescent="0.2">
      <c r="A7503">
        <v>19</v>
      </c>
      <c r="B7503">
        <v>499.8</v>
      </c>
      <c r="C7503">
        <v>500</v>
      </c>
      <c r="D7503" t="s">
        <v>5989</v>
      </c>
    </row>
    <row r="7504" spans="1:4" x14ac:dyDescent="0.2">
      <c r="A7504">
        <v>20</v>
      </c>
      <c r="B7504">
        <v>499.9</v>
      </c>
      <c r="C7504">
        <v>500</v>
      </c>
      <c r="D7504" t="s">
        <v>5989</v>
      </c>
    </row>
    <row r="7505" spans="1:4" x14ac:dyDescent="0.2">
      <c r="A7505">
        <v>21</v>
      </c>
      <c r="B7505">
        <v>499.8</v>
      </c>
      <c r="C7505">
        <v>500</v>
      </c>
      <c r="D7505" t="s">
        <v>5989</v>
      </c>
    </row>
    <row r="7506" spans="1:4" x14ac:dyDescent="0.2">
      <c r="A7506">
        <v>22</v>
      </c>
      <c r="B7506">
        <v>499.9</v>
      </c>
      <c r="C7506">
        <v>500</v>
      </c>
      <c r="D7506" t="s">
        <v>5989</v>
      </c>
    </row>
    <row r="7507" spans="1:4" x14ac:dyDescent="0.2">
      <c r="A7507">
        <v>23</v>
      </c>
      <c r="B7507">
        <v>499.9</v>
      </c>
      <c r="C7507">
        <v>500</v>
      </c>
      <c r="D7507" t="s">
        <v>5989</v>
      </c>
    </row>
    <row r="7508" spans="1:4" x14ac:dyDescent="0.2">
      <c r="A7508">
        <v>24</v>
      </c>
      <c r="B7508">
        <v>500.1</v>
      </c>
      <c r="C7508">
        <v>500</v>
      </c>
      <c r="D7508" t="s">
        <v>5989</v>
      </c>
    </row>
    <row r="7509" spans="1:4" x14ac:dyDescent="0.2">
      <c r="A7509">
        <v>19</v>
      </c>
      <c r="B7509">
        <v>999.8</v>
      </c>
      <c r="C7509">
        <v>1000</v>
      </c>
      <c r="D7509" t="s">
        <v>5989</v>
      </c>
    </row>
    <row r="7510" spans="1:4" x14ac:dyDescent="0.2">
      <c r="A7510">
        <v>20</v>
      </c>
      <c r="B7510">
        <v>999.9</v>
      </c>
      <c r="C7510">
        <v>1000</v>
      </c>
      <c r="D7510" t="s">
        <v>5989</v>
      </c>
    </row>
    <row r="7511" spans="1:4" x14ac:dyDescent="0.2">
      <c r="A7511">
        <v>21</v>
      </c>
      <c r="B7511">
        <v>999.8</v>
      </c>
      <c r="C7511">
        <v>1000</v>
      </c>
      <c r="D7511" t="s">
        <v>5989</v>
      </c>
    </row>
    <row r="7512" spans="1:4" x14ac:dyDescent="0.2">
      <c r="A7512">
        <v>22</v>
      </c>
      <c r="B7512">
        <v>999.9</v>
      </c>
      <c r="C7512">
        <v>1000</v>
      </c>
      <c r="D7512" t="s">
        <v>5989</v>
      </c>
    </row>
    <row r="7513" spans="1:4" x14ac:dyDescent="0.2">
      <c r="A7513">
        <v>23</v>
      </c>
      <c r="B7513">
        <v>1000</v>
      </c>
      <c r="C7513">
        <v>1000</v>
      </c>
      <c r="D7513" t="s">
        <v>5989</v>
      </c>
    </row>
    <row r="7514" spans="1:4" x14ac:dyDescent="0.2">
      <c r="A7514">
        <v>24</v>
      </c>
      <c r="B7514">
        <v>1000.1</v>
      </c>
      <c r="C7514">
        <v>1000</v>
      </c>
      <c r="D7514" t="s">
        <v>5989</v>
      </c>
    </row>
    <row r="7515" spans="1:4" x14ac:dyDescent="0.2">
      <c r="A7515">
        <v>19</v>
      </c>
      <c r="B7515">
        <v>1499.9</v>
      </c>
      <c r="C7515">
        <v>1500</v>
      </c>
      <c r="D7515" t="s">
        <v>5989</v>
      </c>
    </row>
    <row r="7516" spans="1:4" x14ac:dyDescent="0.2">
      <c r="A7516">
        <v>20</v>
      </c>
      <c r="B7516">
        <v>1499.8</v>
      </c>
      <c r="C7516">
        <v>1500</v>
      </c>
      <c r="D7516" t="s">
        <v>5989</v>
      </c>
    </row>
    <row r="7517" spans="1:4" x14ac:dyDescent="0.2">
      <c r="A7517">
        <v>21</v>
      </c>
      <c r="B7517">
        <v>1499.9</v>
      </c>
      <c r="C7517">
        <v>1500</v>
      </c>
      <c r="D7517" t="s">
        <v>5989</v>
      </c>
    </row>
    <row r="7518" spans="1:4" x14ac:dyDescent="0.2">
      <c r="A7518">
        <v>22</v>
      </c>
      <c r="B7518">
        <v>1500</v>
      </c>
      <c r="C7518">
        <v>1500</v>
      </c>
      <c r="D7518" t="s">
        <v>5989</v>
      </c>
    </row>
    <row r="7519" spans="1:4" x14ac:dyDescent="0.2">
      <c r="A7519">
        <v>23</v>
      </c>
      <c r="B7519">
        <v>1500.1</v>
      </c>
      <c r="C7519">
        <v>1500</v>
      </c>
      <c r="D7519" t="s">
        <v>5989</v>
      </c>
    </row>
    <row r="7520" spans="1:4" x14ac:dyDescent="0.2">
      <c r="A7520">
        <v>24</v>
      </c>
      <c r="B7520">
        <v>1500.1</v>
      </c>
      <c r="C7520">
        <v>1500</v>
      </c>
      <c r="D7520" t="s">
        <v>5989</v>
      </c>
    </row>
    <row r="7521" spans="1:4" x14ac:dyDescent="0.2">
      <c r="A7521">
        <v>19</v>
      </c>
      <c r="B7521">
        <v>1999.9</v>
      </c>
      <c r="C7521">
        <v>2000</v>
      </c>
      <c r="D7521" t="s">
        <v>5989</v>
      </c>
    </row>
    <row r="7522" spans="1:4" x14ac:dyDescent="0.2">
      <c r="A7522">
        <v>20</v>
      </c>
      <c r="B7522">
        <v>1999.9</v>
      </c>
      <c r="C7522">
        <v>2000</v>
      </c>
      <c r="D7522" t="s">
        <v>5989</v>
      </c>
    </row>
    <row r="7523" spans="1:4" x14ac:dyDescent="0.2">
      <c r="A7523">
        <v>21</v>
      </c>
      <c r="B7523">
        <v>2000</v>
      </c>
      <c r="C7523">
        <v>2000</v>
      </c>
      <c r="D7523" t="s">
        <v>5989</v>
      </c>
    </row>
    <row r="7524" spans="1:4" x14ac:dyDescent="0.2">
      <c r="A7524">
        <v>22</v>
      </c>
      <c r="B7524">
        <v>2000.1</v>
      </c>
      <c r="C7524">
        <v>2000</v>
      </c>
      <c r="D7524" t="s">
        <v>5989</v>
      </c>
    </row>
    <row r="7525" spans="1:4" x14ac:dyDescent="0.2">
      <c r="A7525">
        <v>23</v>
      </c>
      <c r="B7525">
        <v>2000.2</v>
      </c>
      <c r="C7525">
        <v>2000</v>
      </c>
      <c r="D7525" t="s">
        <v>5989</v>
      </c>
    </row>
    <row r="7526" spans="1:4" x14ac:dyDescent="0.2">
      <c r="A7526">
        <v>24</v>
      </c>
      <c r="B7526">
        <v>2000.1</v>
      </c>
      <c r="C7526">
        <v>2000</v>
      </c>
      <c r="D7526" t="s">
        <v>5989</v>
      </c>
    </row>
    <row r="7527" spans="1:4" x14ac:dyDescent="0.2">
      <c r="A7527">
        <v>19</v>
      </c>
      <c r="B7527">
        <v>2299.9</v>
      </c>
      <c r="C7527">
        <v>2300</v>
      </c>
      <c r="D7527" t="s">
        <v>5989</v>
      </c>
    </row>
    <row r="7528" spans="1:4" x14ac:dyDescent="0.2">
      <c r="A7528">
        <v>20</v>
      </c>
      <c r="B7528">
        <v>2300</v>
      </c>
      <c r="C7528">
        <v>2300</v>
      </c>
      <c r="D7528" t="s">
        <v>5989</v>
      </c>
    </row>
    <row r="7529" spans="1:4" x14ac:dyDescent="0.2">
      <c r="A7529">
        <v>21</v>
      </c>
      <c r="B7529">
        <v>2300.1</v>
      </c>
      <c r="C7529">
        <v>2300</v>
      </c>
      <c r="D7529" t="s">
        <v>5989</v>
      </c>
    </row>
    <row r="7530" spans="1:4" x14ac:dyDescent="0.2">
      <c r="A7530">
        <v>22</v>
      </c>
      <c r="B7530">
        <v>2300.1999999999998</v>
      </c>
      <c r="C7530">
        <v>2300</v>
      </c>
      <c r="D7530" t="s">
        <v>5989</v>
      </c>
    </row>
    <row r="7531" spans="1:4" x14ac:dyDescent="0.2">
      <c r="A7531">
        <v>23</v>
      </c>
      <c r="B7531">
        <v>2300.1999999999998</v>
      </c>
      <c r="C7531">
        <v>2300</v>
      </c>
      <c r="D7531" t="s">
        <v>5989</v>
      </c>
    </row>
    <row r="7532" spans="1:4" x14ac:dyDescent="0.2">
      <c r="A7532">
        <v>24</v>
      </c>
      <c r="B7532">
        <v>2300.1</v>
      </c>
      <c r="C7532">
        <v>2300</v>
      </c>
      <c r="D7532" t="s">
        <v>5989</v>
      </c>
    </row>
    <row r="7533" spans="1:4" x14ac:dyDescent="0.2">
      <c r="A7533">
        <v>25</v>
      </c>
      <c r="B7533">
        <v>32.200000000000003</v>
      </c>
      <c r="C7533">
        <v>32</v>
      </c>
      <c r="D7533" t="s">
        <v>5989</v>
      </c>
    </row>
    <row r="7534" spans="1:4" x14ac:dyDescent="0.2">
      <c r="A7534">
        <v>26</v>
      </c>
      <c r="B7534">
        <v>32.299999999999997</v>
      </c>
      <c r="C7534">
        <v>32</v>
      </c>
      <c r="D7534" t="s">
        <v>5989</v>
      </c>
    </row>
    <row r="7535" spans="1:4" x14ac:dyDescent="0.2">
      <c r="A7535">
        <v>27</v>
      </c>
      <c r="B7535">
        <v>32.200000000000003</v>
      </c>
      <c r="C7535">
        <v>32</v>
      </c>
      <c r="D7535" t="s">
        <v>5989</v>
      </c>
    </row>
    <row r="7536" spans="1:4" x14ac:dyDescent="0.2">
      <c r="A7536">
        <v>28</v>
      </c>
      <c r="B7536">
        <v>32.200000000000003</v>
      </c>
      <c r="C7536">
        <v>32</v>
      </c>
      <c r="D7536" t="s">
        <v>5989</v>
      </c>
    </row>
    <row r="7537" spans="1:4" x14ac:dyDescent="0.2">
      <c r="A7537">
        <v>25</v>
      </c>
      <c r="B7537">
        <v>499.8</v>
      </c>
      <c r="C7537">
        <v>500</v>
      </c>
      <c r="D7537" t="s">
        <v>5989</v>
      </c>
    </row>
    <row r="7538" spans="1:4" x14ac:dyDescent="0.2">
      <c r="A7538">
        <v>26</v>
      </c>
      <c r="B7538">
        <v>499.8</v>
      </c>
      <c r="C7538">
        <v>500</v>
      </c>
      <c r="D7538" t="s">
        <v>5989</v>
      </c>
    </row>
    <row r="7539" spans="1:4" x14ac:dyDescent="0.2">
      <c r="A7539">
        <v>27</v>
      </c>
      <c r="B7539">
        <v>499.9</v>
      </c>
      <c r="C7539">
        <v>500</v>
      </c>
      <c r="D7539" t="s">
        <v>5989</v>
      </c>
    </row>
    <row r="7540" spans="1:4" x14ac:dyDescent="0.2">
      <c r="A7540">
        <v>28</v>
      </c>
      <c r="B7540">
        <v>499.8</v>
      </c>
      <c r="C7540">
        <v>500</v>
      </c>
      <c r="D7540" t="s">
        <v>5989</v>
      </c>
    </row>
    <row r="7541" spans="1:4" x14ac:dyDescent="0.2">
      <c r="A7541">
        <v>25</v>
      </c>
      <c r="B7541">
        <v>999.8</v>
      </c>
      <c r="C7541">
        <v>1000</v>
      </c>
      <c r="D7541" t="s">
        <v>5989</v>
      </c>
    </row>
    <row r="7542" spans="1:4" x14ac:dyDescent="0.2">
      <c r="A7542">
        <v>26</v>
      </c>
      <c r="B7542">
        <v>999.9</v>
      </c>
      <c r="C7542">
        <v>1000</v>
      </c>
      <c r="D7542" t="s">
        <v>5989</v>
      </c>
    </row>
    <row r="7543" spans="1:4" x14ac:dyDescent="0.2">
      <c r="A7543">
        <v>27</v>
      </c>
      <c r="B7543">
        <v>999.9</v>
      </c>
      <c r="C7543">
        <v>1000</v>
      </c>
      <c r="D7543" t="s">
        <v>5989</v>
      </c>
    </row>
    <row r="7544" spans="1:4" x14ac:dyDescent="0.2">
      <c r="A7544">
        <v>28</v>
      </c>
      <c r="B7544">
        <v>999.9</v>
      </c>
      <c r="C7544">
        <v>1000</v>
      </c>
      <c r="D7544" t="s">
        <v>5989</v>
      </c>
    </row>
    <row r="7545" spans="1:4" x14ac:dyDescent="0.2">
      <c r="A7545">
        <v>25</v>
      </c>
      <c r="B7545">
        <v>1499.8</v>
      </c>
      <c r="C7545">
        <v>1500</v>
      </c>
      <c r="D7545" t="s">
        <v>5989</v>
      </c>
    </row>
    <row r="7546" spans="1:4" x14ac:dyDescent="0.2">
      <c r="A7546">
        <v>26</v>
      </c>
      <c r="B7546">
        <v>1500</v>
      </c>
      <c r="C7546">
        <v>1500</v>
      </c>
      <c r="D7546" t="s">
        <v>5989</v>
      </c>
    </row>
    <row r="7547" spans="1:4" x14ac:dyDescent="0.2">
      <c r="A7547">
        <v>27</v>
      </c>
      <c r="B7547">
        <v>1500</v>
      </c>
      <c r="C7547">
        <v>1500</v>
      </c>
      <c r="D7547" t="s">
        <v>5989</v>
      </c>
    </row>
    <row r="7548" spans="1:4" x14ac:dyDescent="0.2">
      <c r="A7548">
        <v>28</v>
      </c>
      <c r="B7548">
        <v>1500</v>
      </c>
      <c r="C7548">
        <v>1500</v>
      </c>
      <c r="D7548" t="s">
        <v>5989</v>
      </c>
    </row>
    <row r="7549" spans="1:4" x14ac:dyDescent="0.2">
      <c r="A7549">
        <v>25</v>
      </c>
      <c r="B7549">
        <v>1999.9</v>
      </c>
      <c r="C7549">
        <v>2000</v>
      </c>
      <c r="D7549" t="s">
        <v>5989</v>
      </c>
    </row>
    <row r="7550" spans="1:4" x14ac:dyDescent="0.2">
      <c r="A7550">
        <v>26</v>
      </c>
      <c r="B7550">
        <v>2000.1</v>
      </c>
      <c r="C7550">
        <v>2000</v>
      </c>
      <c r="D7550" t="s">
        <v>5989</v>
      </c>
    </row>
    <row r="7551" spans="1:4" x14ac:dyDescent="0.2">
      <c r="A7551">
        <v>27</v>
      </c>
      <c r="B7551">
        <v>2000</v>
      </c>
      <c r="C7551">
        <v>2000</v>
      </c>
      <c r="D7551" t="s">
        <v>5989</v>
      </c>
    </row>
    <row r="7552" spans="1:4" x14ac:dyDescent="0.2">
      <c r="A7552">
        <v>28</v>
      </c>
      <c r="B7552">
        <v>2000.2</v>
      </c>
      <c r="C7552">
        <v>2000</v>
      </c>
      <c r="D7552" t="s">
        <v>5989</v>
      </c>
    </row>
    <row r="7553" spans="1:4" x14ac:dyDescent="0.2">
      <c r="A7553">
        <v>25</v>
      </c>
      <c r="B7553">
        <v>2299.9</v>
      </c>
      <c r="C7553">
        <v>2300</v>
      </c>
      <c r="D7553" t="s">
        <v>5989</v>
      </c>
    </row>
    <row r="7554" spans="1:4" x14ac:dyDescent="0.2">
      <c r="A7554">
        <v>26</v>
      </c>
      <c r="B7554">
        <v>2300.1</v>
      </c>
      <c r="C7554">
        <v>2300</v>
      </c>
      <c r="D7554" t="s">
        <v>5989</v>
      </c>
    </row>
    <row r="7555" spans="1:4" x14ac:dyDescent="0.2">
      <c r="A7555">
        <v>27</v>
      </c>
      <c r="B7555">
        <v>2300.1</v>
      </c>
      <c r="C7555">
        <v>2300</v>
      </c>
      <c r="D7555" t="s">
        <v>5989</v>
      </c>
    </row>
    <row r="7556" spans="1:4" x14ac:dyDescent="0.2">
      <c r="A7556">
        <v>28</v>
      </c>
      <c r="B7556">
        <v>2300.1999999999998</v>
      </c>
      <c r="C7556">
        <v>2300</v>
      </c>
      <c r="D7556" t="s">
        <v>5989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63</vt:i4>
      </vt:variant>
    </vt:vector>
  </HeadingPairs>
  <TitlesOfParts>
    <vt:vector size="89" baseType="lpstr">
      <vt:lpstr>WireSets</vt:lpstr>
      <vt:lpstr>WorkItemDetails</vt:lpstr>
      <vt:lpstr>Query1</vt:lpstr>
      <vt:lpstr>WireOffsets</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2025-06-22T09:49:53Z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