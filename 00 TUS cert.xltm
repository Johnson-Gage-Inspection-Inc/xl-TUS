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37E0F035-50F2-4314-9A4F-A21E0F8F5A3A}" xr6:coauthVersionLast="47" xr6:coauthVersionMax="47" xr10:uidLastSave="{00000000-0000-0000-0000-000000000000}"/>
  <bookViews>
    <workbookView xWindow="-120" yWindow="-120" windowWidth="29040" windowHeight="15840" tabRatio="892" activeTab="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13" l="1"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A903" i="13" l="1"/>
  <c r="A901" i="13"/>
  <c r="A900" i="13"/>
  <c r="A899" i="13"/>
  <c r="A896" i="13"/>
  <c r="A895" i="13"/>
  <c r="A894" i="13"/>
  <c r="A892" i="13"/>
  <c r="A891" i="13"/>
  <c r="A888" i="13"/>
  <c r="A887" i="13"/>
  <c r="A886" i="13"/>
  <c r="A885" i="13"/>
  <c r="A883" i="13"/>
  <c r="A882" i="13"/>
  <c r="A880" i="13"/>
  <c r="A879" i="13"/>
  <c r="A878" i="13"/>
  <c r="A877" i="13"/>
  <c r="A876" i="13"/>
  <c r="A875" i="13"/>
  <c r="A872" i="13"/>
  <c r="A871" i="13"/>
  <c r="A870" i="13"/>
  <c r="A869" i="13"/>
  <c r="A868" i="13"/>
  <c r="A867" i="13"/>
  <c r="A866" i="13"/>
  <c r="A864" i="13"/>
  <c r="A863" i="13"/>
  <c r="A862" i="13"/>
  <c r="A860" i="13"/>
  <c r="A859" i="13"/>
  <c r="A858" i="13"/>
  <c r="A856" i="13"/>
  <c r="A855" i="13"/>
  <c r="A854" i="13"/>
  <c r="A852" i="13"/>
  <c r="A851" i="13"/>
  <c r="A850" i="13"/>
  <c r="A848" i="13"/>
  <c r="A847" i="13"/>
  <c r="A846" i="13"/>
  <c r="A844" i="13"/>
  <c r="A843" i="13"/>
  <c r="A842" i="13"/>
  <c r="A840" i="13"/>
  <c r="A839" i="13"/>
  <c r="A838" i="13"/>
  <c r="A837" i="13"/>
  <c r="A836" i="13"/>
  <c r="A834" i="13"/>
  <c r="A832" i="13"/>
  <c r="A831" i="13"/>
  <c r="A830" i="13"/>
  <c r="A828" i="13"/>
  <c r="A827" i="13"/>
  <c r="A826" i="13"/>
  <c r="A824" i="13"/>
  <c r="A823" i="13"/>
  <c r="A821" i="13"/>
  <c r="A820" i="13"/>
  <c r="A819" i="13"/>
  <c r="A818" i="13"/>
  <c r="A816" i="13"/>
  <c r="A815" i="13"/>
  <c r="A814" i="13"/>
  <c r="A813" i="13"/>
  <c r="A812" i="13"/>
  <c r="A811" i="13"/>
  <c r="A810" i="13"/>
  <c r="A808" i="13"/>
  <c r="A807" i="13"/>
  <c r="A806" i="13"/>
  <c r="A805" i="13"/>
  <c r="A804" i="13"/>
  <c r="A803" i="13"/>
  <c r="A802" i="13"/>
  <c r="A800" i="13"/>
  <c r="A799" i="13"/>
  <c r="A798" i="13"/>
  <c r="A797" i="13"/>
  <c r="A796" i="13"/>
  <c r="A795" i="13"/>
  <c r="A792" i="13"/>
  <c r="A791" i="13"/>
  <c r="A790" i="13"/>
  <c r="A788" i="13"/>
  <c r="A787" i="13"/>
  <c r="A786" i="13"/>
  <c r="A784" i="13"/>
  <c r="A783" i="13"/>
  <c r="A782" i="13"/>
  <c r="A780" i="13"/>
  <c r="A779" i="13"/>
  <c r="A776" i="13"/>
  <c r="A775" i="13"/>
  <c r="A774" i="13"/>
  <c r="A773" i="13"/>
  <c r="A772" i="13"/>
  <c r="A771" i="13"/>
  <c r="A770" i="13"/>
  <c r="A768" i="13"/>
  <c r="A767" i="13"/>
  <c r="A766" i="13"/>
  <c r="A764" i="13"/>
  <c r="A763" i="13"/>
  <c r="A762" i="13"/>
  <c r="A760" i="13"/>
  <c r="A759" i="13"/>
  <c r="A758" i="13"/>
  <c r="A756" i="13"/>
  <c r="A755" i="13"/>
  <c r="A754" i="13"/>
  <c r="A752" i="13"/>
  <c r="A751" i="13"/>
  <c r="A750" i="13"/>
  <c r="A749" i="13"/>
  <c r="A748" i="13"/>
  <c r="A747" i="13"/>
  <c r="A744" i="13"/>
  <c r="A743" i="13"/>
  <c r="A742" i="13"/>
  <c r="A741" i="13"/>
  <c r="A740" i="13"/>
  <c r="A739" i="13"/>
  <c r="A738" i="13"/>
  <c r="A736" i="13"/>
  <c r="A735" i="13"/>
  <c r="A734" i="13"/>
  <c r="A733" i="13"/>
  <c r="A732" i="13"/>
  <c r="A731" i="13"/>
  <c r="A728" i="13"/>
  <c r="A727" i="13"/>
  <c r="A726" i="13"/>
  <c r="A725" i="13"/>
  <c r="A724" i="13"/>
  <c r="A723" i="13"/>
  <c r="A722" i="13"/>
  <c r="A720" i="13"/>
  <c r="A719" i="13"/>
  <c r="A718" i="13"/>
  <c r="A716" i="13"/>
  <c r="A715" i="13"/>
  <c r="A714" i="13"/>
  <c r="A713" i="13"/>
  <c r="A712" i="13"/>
  <c r="A711" i="13"/>
  <c r="A710" i="13"/>
  <c r="A709" i="13"/>
  <c r="A708" i="13"/>
  <c r="A707" i="13"/>
  <c r="A706" i="13"/>
  <c r="A704" i="13"/>
  <c r="A703" i="13"/>
  <c r="A702" i="13"/>
  <c r="A701" i="13"/>
  <c r="A700" i="13"/>
  <c r="A699" i="13"/>
  <c r="A698" i="13"/>
  <c r="A696" i="13"/>
  <c r="A695" i="13"/>
  <c r="A694" i="13"/>
  <c r="A692" i="13"/>
  <c r="A691" i="13"/>
  <c r="A688" i="13"/>
  <c r="A687" i="13"/>
  <c r="A686" i="13"/>
  <c r="A685" i="13"/>
  <c r="A684" i="13"/>
  <c r="A683" i="13"/>
  <c r="A682" i="13"/>
  <c r="A680" i="13"/>
  <c r="A679" i="13"/>
  <c r="A678" i="13"/>
  <c r="A677" i="13"/>
  <c r="A676" i="13"/>
  <c r="A675" i="13"/>
  <c r="A674" i="13"/>
  <c r="A672" i="13"/>
  <c r="A671" i="13"/>
  <c r="A670" i="13"/>
  <c r="A669" i="13"/>
  <c r="A668" i="13"/>
  <c r="A667" i="13"/>
  <c r="A666" i="13"/>
  <c r="A665" i="13"/>
  <c r="A664" i="13"/>
  <c r="A663" i="13"/>
  <c r="A662" i="13"/>
  <c r="A660" i="13"/>
  <c r="A659" i="13"/>
  <c r="A658" i="13"/>
  <c r="A656" i="13"/>
  <c r="A655" i="13"/>
  <c r="A654" i="13"/>
  <c r="A653" i="13"/>
  <c r="A652" i="13"/>
  <c r="A651" i="13"/>
  <c r="A650" i="13"/>
  <c r="A648" i="13"/>
  <c r="A647" i="13"/>
  <c r="A646" i="13"/>
  <c r="A645" i="13"/>
  <c r="A644" i="13"/>
  <c r="A643" i="13"/>
  <c r="A641" i="13"/>
  <c r="A640" i="13"/>
  <c r="A639" i="13"/>
  <c r="A638" i="13"/>
  <c r="A636" i="13"/>
  <c r="A635" i="13"/>
  <c r="A634" i="13"/>
  <c r="A632" i="13"/>
  <c r="A631" i="13"/>
  <c r="A630" i="13"/>
  <c r="A629" i="13"/>
  <c r="A628" i="13"/>
  <c r="A627" i="13"/>
  <c r="A626" i="13"/>
  <c r="A625" i="13"/>
  <c r="A624" i="13"/>
  <c r="A623" i="13"/>
  <c r="A622" i="13"/>
  <c r="A621" i="13"/>
  <c r="A620" i="13"/>
  <c r="A619" i="13"/>
  <c r="A618" i="13"/>
  <c r="A616" i="13"/>
  <c r="A615" i="13"/>
  <c r="A614" i="13"/>
  <c r="A613" i="13"/>
  <c r="A612" i="13"/>
  <c r="A611" i="13"/>
  <c r="A610" i="13"/>
  <c r="A608" i="13"/>
  <c r="A607" i="13"/>
  <c r="A606" i="13"/>
  <c r="A605" i="13"/>
  <c r="A604" i="13"/>
  <c r="A603" i="13"/>
  <c r="A602" i="13"/>
  <c r="A601" i="13"/>
  <c r="A600" i="13"/>
  <c r="A599" i="13"/>
  <c r="A598" i="13"/>
  <c r="A597" i="13"/>
  <c r="A596" i="13"/>
  <c r="A595" i="13"/>
  <c r="A594" i="13"/>
  <c r="A592" i="13"/>
  <c r="A591" i="13"/>
  <c r="A590" i="13"/>
  <c r="A589" i="13"/>
  <c r="A588" i="13"/>
  <c r="A587" i="13"/>
  <c r="A586" i="13"/>
  <c r="A584" i="13"/>
  <c r="A583" i="13"/>
  <c r="A582" i="13"/>
  <c r="A581" i="13"/>
  <c r="A580" i="13"/>
  <c r="A579" i="13"/>
  <c r="A578" i="13"/>
  <c r="A577" i="13"/>
  <c r="A576" i="13"/>
  <c r="A575" i="13"/>
  <c r="A574" i="13"/>
  <c r="A573" i="13"/>
  <c r="A572" i="13"/>
  <c r="A571" i="13"/>
  <c r="A570" i="13"/>
  <c r="A569" i="13"/>
  <c r="A568" i="13"/>
  <c r="A567" i="13"/>
  <c r="A566" i="13"/>
  <c r="A564" i="13"/>
  <c r="A563" i="13"/>
  <c r="A562" i="13"/>
  <c r="A560" i="13"/>
  <c r="A559" i="13"/>
  <c r="A558" i="13"/>
  <c r="A557" i="13"/>
  <c r="A556" i="13"/>
  <c r="A555" i="13"/>
  <c r="A554" i="13"/>
  <c r="A553" i="13"/>
  <c r="A552" i="13"/>
  <c r="A551" i="13"/>
  <c r="A550" i="13"/>
  <c r="A549" i="13"/>
  <c r="A548" i="13"/>
  <c r="A547" i="13"/>
  <c r="A546" i="13"/>
  <c r="A545" i="13"/>
  <c r="A544" i="13"/>
  <c r="A543" i="13"/>
  <c r="A542" i="13"/>
  <c r="A541" i="13"/>
  <c r="A540" i="13"/>
  <c r="A539" i="13"/>
  <c r="A538" i="13"/>
  <c r="A536" i="13"/>
  <c r="A535" i="13"/>
  <c r="A534" i="13"/>
  <c r="A533" i="13"/>
  <c r="A532" i="13"/>
  <c r="A531" i="13"/>
  <c r="A530" i="13"/>
  <c r="A528" i="13"/>
  <c r="A527" i="13"/>
  <c r="A526" i="13"/>
  <c r="A525" i="13"/>
  <c r="A524" i="13"/>
  <c r="A523" i="13"/>
  <c r="A522" i="13"/>
  <c r="A521" i="13"/>
  <c r="A520" i="13"/>
  <c r="A519" i="13"/>
  <c r="A517" i="13"/>
  <c r="A516" i="13"/>
  <c r="A515" i="13"/>
  <c r="A514" i="13"/>
  <c r="A512" i="13"/>
  <c r="A511" i="13"/>
  <c r="A510" i="13"/>
  <c r="A509" i="13"/>
  <c r="A508" i="13"/>
  <c r="A507" i="13"/>
  <c r="A506" i="13"/>
  <c r="A505" i="13"/>
  <c r="A504" i="13"/>
  <c r="A503" i="13"/>
  <c r="A502" i="13"/>
  <c r="A501" i="13"/>
  <c r="A500" i="13"/>
  <c r="A499" i="13"/>
  <c r="A498" i="13"/>
  <c r="A497" i="13"/>
  <c r="A496" i="13"/>
  <c r="A495" i="13"/>
  <c r="A494" i="13"/>
  <c r="A493" i="13"/>
  <c r="A492" i="13"/>
  <c r="A491" i="13"/>
  <c r="A490" i="13"/>
  <c r="A488" i="13"/>
  <c r="A487" i="13"/>
  <c r="A486" i="13"/>
  <c r="A484" i="13"/>
  <c r="A483" i="13"/>
  <c r="A482" i="13"/>
  <c r="A481" i="13"/>
  <c r="A480" i="13"/>
  <c r="A479" i="13"/>
  <c r="A478" i="13"/>
  <c r="A477" i="13"/>
  <c r="A476" i="13"/>
  <c r="A475" i="13"/>
  <c r="A474" i="13"/>
  <c r="A473" i="13"/>
  <c r="A472" i="13"/>
  <c r="A471" i="13"/>
  <c r="A470" i="13"/>
  <c r="A468" i="13"/>
  <c r="A467" i="13"/>
  <c r="A465" i="13"/>
  <c r="A464" i="13"/>
  <c r="A463" i="13"/>
  <c r="A462" i="13"/>
  <c r="A461" i="13"/>
  <c r="A460" i="13"/>
  <c r="A459" i="13"/>
  <c r="A456" i="13"/>
  <c r="A455" i="13"/>
  <c r="A454" i="13"/>
  <c r="A453" i="13"/>
  <c r="A452" i="13"/>
  <c r="A451" i="13"/>
  <c r="A450" i="13"/>
  <c r="A448" i="13"/>
  <c r="A447" i="13"/>
  <c r="A446" i="13"/>
  <c r="A445" i="13"/>
  <c r="A444" i="13"/>
  <c r="A443" i="13"/>
  <c r="A442" i="13"/>
  <c r="A441" i="13"/>
  <c r="A440" i="13"/>
  <c r="A439" i="13"/>
  <c r="A438" i="13"/>
  <c r="A437" i="13"/>
  <c r="A436" i="13"/>
  <c r="A435" i="13"/>
  <c r="A434" i="13"/>
  <c r="A432" i="13"/>
  <c r="A431" i="13"/>
  <c r="A430" i="13"/>
  <c r="A429" i="13"/>
  <c r="A428" i="13"/>
  <c r="A427" i="13"/>
  <c r="A426" i="13"/>
  <c r="A424" i="13"/>
  <c r="A423" i="13"/>
  <c r="A422" i="13"/>
  <c r="A421" i="13"/>
  <c r="A420" i="13"/>
  <c r="A419" i="13"/>
  <c r="A418" i="13"/>
  <c r="A417" i="13"/>
  <c r="A416" i="13"/>
  <c r="A415" i="13"/>
  <c r="A414" i="13"/>
  <c r="A413" i="13"/>
  <c r="A412" i="13"/>
  <c r="A411" i="13"/>
  <c r="A410" i="13"/>
  <c r="A409" i="13"/>
  <c r="A408" i="13"/>
  <c r="A407" i="13"/>
  <c r="A406" i="13"/>
  <c r="A404" i="13"/>
  <c r="A403" i="13"/>
  <c r="A402" i="13"/>
  <c r="A400" i="13"/>
  <c r="A399" i="13"/>
  <c r="A398" i="13"/>
  <c r="A397" i="13"/>
  <c r="A396" i="13"/>
  <c r="A395" i="13"/>
  <c r="A394" i="13"/>
  <c r="A393" i="13"/>
  <c r="A392" i="13"/>
  <c r="A391" i="13"/>
  <c r="A390" i="13"/>
  <c r="A389" i="13"/>
  <c r="A388" i="13"/>
  <c r="A387" i="13"/>
  <c r="A386" i="13"/>
  <c r="A385" i="13"/>
  <c r="A384" i="13"/>
  <c r="A383" i="13"/>
  <c r="A382" i="13"/>
  <c r="A381" i="13"/>
  <c r="A380" i="13"/>
  <c r="A379" i="13"/>
  <c r="A378" i="13"/>
  <c r="A376" i="13"/>
  <c r="A375" i="13"/>
  <c r="A374" i="13"/>
  <c r="A372" i="13"/>
  <c r="A371" i="13"/>
  <c r="A370" i="13"/>
  <c r="A369" i="13"/>
  <c r="A368" i="13"/>
  <c r="A367" i="13"/>
  <c r="A366" i="13"/>
  <c r="A365" i="13"/>
  <c r="A364" i="13"/>
  <c r="A363" i="13"/>
  <c r="A362" i="13"/>
  <c r="A361" i="13"/>
  <c r="A360" i="13"/>
  <c r="A359" i="13"/>
  <c r="A358" i="13"/>
  <c r="A357" i="13"/>
  <c r="A356" i="13"/>
  <c r="A355" i="13"/>
  <c r="A354" i="13"/>
  <c r="A352" i="13"/>
  <c r="A351" i="13"/>
  <c r="A350" i="13"/>
  <c r="A349" i="13"/>
  <c r="A348" i="13"/>
  <c r="A347" i="13"/>
  <c r="A346" i="13"/>
  <c r="A344" i="13"/>
  <c r="A343" i="13"/>
  <c r="A342" i="13"/>
  <c r="A341" i="13"/>
  <c r="A340" i="13"/>
  <c r="A339" i="13"/>
  <c r="A338" i="13"/>
  <c r="A337" i="13"/>
  <c r="A336" i="13"/>
  <c r="A335" i="13"/>
  <c r="A334" i="13"/>
  <c r="A333" i="13"/>
  <c r="A332" i="13"/>
  <c r="A331" i="13"/>
  <c r="A330" i="13"/>
  <c r="A328" i="13"/>
  <c r="A327" i="13"/>
  <c r="A326" i="13"/>
  <c r="A325" i="13"/>
  <c r="A324" i="13"/>
  <c r="A323" i="13"/>
  <c r="A322" i="13"/>
  <c r="A320" i="13"/>
  <c r="A319" i="13"/>
  <c r="A318" i="13"/>
  <c r="A317" i="13"/>
  <c r="A316" i="13"/>
  <c r="A315" i="13"/>
  <c r="A313" i="13"/>
  <c r="A312" i="13"/>
  <c r="A311" i="13"/>
  <c r="A310" i="13"/>
  <c r="A309" i="13"/>
  <c r="A308" i="13"/>
  <c r="A307" i="13"/>
  <c r="A306" i="13"/>
  <c r="A304" i="13"/>
  <c r="A303" i="13"/>
  <c r="A302" i="13"/>
  <c r="A301" i="13"/>
  <c r="A300" i="13"/>
  <c r="A299" i="13"/>
  <c r="A298" i="13"/>
  <c r="A296" i="13"/>
  <c r="A295" i="13"/>
  <c r="A294" i="13"/>
  <c r="A293" i="13"/>
  <c r="A292" i="13"/>
  <c r="A291" i="13"/>
  <c r="A290" i="13"/>
  <c r="A289" i="13"/>
  <c r="A288" i="13"/>
  <c r="A287" i="13"/>
  <c r="A286" i="13"/>
  <c r="A285" i="13"/>
  <c r="A284" i="13"/>
  <c r="A283" i="13"/>
  <c r="A282" i="13"/>
  <c r="A281" i="13"/>
  <c r="A280" i="13"/>
  <c r="A279" i="13"/>
  <c r="A278" i="13"/>
  <c r="A277" i="13"/>
  <c r="A276" i="13"/>
  <c r="A275" i="13"/>
  <c r="A274" i="13"/>
  <c r="A272" i="13"/>
  <c r="A271" i="13"/>
  <c r="A270" i="13"/>
  <c r="A269" i="13"/>
  <c r="A268" i="13"/>
  <c r="A267" i="13"/>
  <c r="A266" i="13"/>
  <c r="A265" i="13"/>
  <c r="A264" i="13"/>
  <c r="A263" i="13"/>
  <c r="A262" i="13"/>
  <c r="A261" i="13"/>
  <c r="A260" i="13"/>
  <c r="A259" i="13"/>
  <c r="A258" i="13"/>
  <c r="A257" i="13"/>
  <c r="A256" i="13"/>
  <c r="A255" i="13"/>
  <c r="A254" i="13"/>
  <c r="A252" i="13"/>
  <c r="A251" i="13"/>
  <c r="A250" i="13"/>
  <c r="A249" i="13"/>
  <c r="A248" i="13"/>
  <c r="A247" i="13"/>
  <c r="A246" i="13"/>
  <c r="A245" i="13"/>
  <c r="A244" i="13"/>
  <c r="A243" i="13"/>
  <c r="A242" i="13"/>
  <c r="A241" i="13"/>
  <c r="A240" i="13"/>
  <c r="A239" i="13"/>
  <c r="A238" i="13"/>
  <c r="A236" i="13"/>
  <c r="A235" i="13"/>
  <c r="A234" i="13"/>
  <c r="A233" i="13"/>
  <c r="A232" i="13"/>
  <c r="A231" i="13"/>
  <c r="A230" i="13"/>
  <c r="A229" i="13"/>
  <c r="A228" i="13"/>
  <c r="A227" i="13"/>
  <c r="A226" i="13"/>
  <c r="A225" i="13"/>
  <c r="A224" i="13"/>
  <c r="A223" i="13"/>
  <c r="A222" i="13"/>
  <c r="A221" i="13"/>
  <c r="A220" i="13"/>
  <c r="A219" i="13"/>
  <c r="A218" i="13"/>
  <c r="A217" i="13"/>
  <c r="A216" i="13"/>
  <c r="A215" i="13"/>
  <c r="A214" i="13"/>
  <c r="A212" i="13"/>
  <c r="A211" i="13"/>
  <c r="A210" i="13"/>
  <c r="A209" i="13"/>
  <c r="A208" i="13"/>
  <c r="A207" i="13"/>
  <c r="A206" i="13"/>
  <c r="A205" i="13"/>
  <c r="A204" i="13"/>
  <c r="A203" i="13"/>
  <c r="A202" i="13"/>
  <c r="A201" i="13"/>
  <c r="A200" i="13"/>
  <c r="A199" i="13"/>
  <c r="A198" i="13"/>
  <c r="A197" i="13"/>
  <c r="A196" i="13"/>
  <c r="A195" i="13"/>
  <c r="A194" i="13"/>
  <c r="A193" i="13"/>
  <c r="A192" i="13"/>
  <c r="A191" i="13"/>
  <c r="A190" i="13"/>
  <c r="A189" i="13"/>
  <c r="A188" i="13"/>
  <c r="A187" i="13"/>
  <c r="A186" i="13"/>
  <c r="A184" i="13"/>
  <c r="A183" i="13"/>
  <c r="A182" i="13"/>
  <c r="A181" i="13"/>
  <c r="A180" i="13"/>
  <c r="A179" i="13"/>
  <c r="A178" i="13"/>
  <c r="A177" i="13"/>
  <c r="A176" i="13"/>
  <c r="A175" i="13"/>
  <c r="A174" i="13"/>
  <c r="A173" i="13"/>
  <c r="A172" i="13"/>
  <c r="A171" i="13"/>
  <c r="A170" i="13"/>
  <c r="A169" i="13"/>
  <c r="A168" i="13"/>
  <c r="A167" i="13"/>
  <c r="A166" i="13"/>
  <c r="A165" i="13"/>
  <c r="A164" i="13"/>
  <c r="A163" i="13"/>
  <c r="A162" i="13"/>
  <c r="A160" i="13"/>
  <c r="A159" i="13"/>
  <c r="A158" i="13"/>
  <c r="A157" i="13"/>
  <c r="A156" i="13"/>
  <c r="A155" i="13"/>
  <c r="A154" i="13"/>
  <c r="A153" i="13"/>
  <c r="A152" i="13"/>
  <c r="A151" i="13"/>
  <c r="A150" i="13"/>
  <c r="A149" i="13"/>
  <c r="A148" i="13"/>
  <c r="A147" i="13"/>
  <c r="A146" i="13"/>
  <c r="A144" i="13"/>
  <c r="A143" i="13"/>
  <c r="A142" i="13"/>
  <c r="A141" i="13"/>
  <c r="A140" i="13"/>
  <c r="A139" i="13"/>
  <c r="A138" i="13"/>
  <c r="A137" i="13"/>
  <c r="A136" i="13"/>
  <c r="A135" i="13"/>
  <c r="A134" i="13"/>
  <c r="A133" i="13"/>
  <c r="A132" i="13"/>
  <c r="A131" i="13"/>
  <c r="A130" i="13"/>
  <c r="A129" i="13"/>
  <c r="A128" i="13"/>
  <c r="A127" i="13"/>
  <c r="A126" i="13"/>
  <c r="A125" i="13"/>
  <c r="A124" i="13"/>
  <c r="A123" i="13"/>
  <c r="A122" i="13"/>
  <c r="A121" i="13"/>
  <c r="A120" i="13"/>
  <c r="A119" i="13"/>
  <c r="A118" i="13"/>
  <c r="A116" i="13"/>
  <c r="A115" i="13"/>
  <c r="A114" i="13"/>
  <c r="A113" i="13"/>
  <c r="A112" i="13"/>
  <c r="A111" i="13"/>
  <c r="A110" i="13"/>
  <c r="A109" i="13"/>
  <c r="A108" i="13"/>
  <c r="A107" i="13"/>
  <c r="A105" i="13"/>
  <c r="A104" i="13"/>
  <c r="A103" i="13"/>
  <c r="A102" i="13"/>
  <c r="A101" i="13"/>
  <c r="A100" i="13"/>
  <c r="A99" i="13"/>
  <c r="A98" i="13"/>
  <c r="A97" i="13"/>
  <c r="A96" i="13"/>
  <c r="A95" i="13"/>
  <c r="A94" i="13"/>
  <c r="A93" i="13"/>
  <c r="A92" i="13"/>
  <c r="A91" i="13"/>
  <c r="A90"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B50" i="1" l="1"/>
  <c r="E1" i="13"/>
  <c r="C2" i="13"/>
  <c r="E2" i="13"/>
  <c r="C1" i="13"/>
  <c r="O25" i="1"/>
  <c r="K25" i="1"/>
  <c r="G25" i="1"/>
  <c r="C25" i="1"/>
  <c r="N24" i="1"/>
  <c r="J24" i="1"/>
  <c r="F24" i="1"/>
  <c r="B24" i="1"/>
  <c r="M23" i="1"/>
  <c r="I23" i="1"/>
  <c r="E23" i="1"/>
  <c r="A23" i="1"/>
  <c r="L22" i="1"/>
  <c r="H22" i="1"/>
  <c r="D22" i="1"/>
  <c r="O21" i="1"/>
  <c r="K21" i="1"/>
  <c r="G21" i="1"/>
  <c r="C21" i="1"/>
  <c r="N20" i="1"/>
  <c r="J20" i="1"/>
  <c r="F20" i="1"/>
  <c r="B20" i="1"/>
  <c r="M19" i="1"/>
  <c r="I19" i="1"/>
  <c r="E19" i="1"/>
  <c r="A19" i="1"/>
  <c r="L18" i="1"/>
  <c r="H18" i="1"/>
  <c r="D18" i="1"/>
  <c r="O17" i="1"/>
  <c r="K17" i="1"/>
  <c r="G17" i="1"/>
  <c r="C17" i="1"/>
  <c r="N16" i="1"/>
  <c r="J16" i="1"/>
  <c r="F16" i="1"/>
  <c r="B16" i="1"/>
  <c r="M15" i="1"/>
  <c r="I15" i="1"/>
  <c r="E15" i="1"/>
  <c r="A15" i="1"/>
  <c r="L14" i="1"/>
  <c r="H14" i="1"/>
  <c r="D14" i="1"/>
  <c r="O13" i="1"/>
  <c r="K13" i="1"/>
  <c r="G13" i="1"/>
  <c r="C13" i="1"/>
  <c r="N12" i="1"/>
  <c r="J12" i="1"/>
  <c r="F12" i="1"/>
  <c r="B12" i="1"/>
  <c r="M11" i="1"/>
  <c r="I11" i="1"/>
  <c r="E11" i="1"/>
  <c r="A11" i="1"/>
  <c r="L10" i="1"/>
  <c r="H10" i="1"/>
  <c r="D10" i="1"/>
  <c r="J17" i="1"/>
  <c r="B17" i="1"/>
  <c r="I16" i="1"/>
  <c r="A16" i="1"/>
  <c r="H15" i="1"/>
  <c r="O14" i="1"/>
  <c r="K14" i="1"/>
  <c r="C14" i="1"/>
  <c r="J13" i="1"/>
  <c r="B13" i="1"/>
  <c r="M12" i="1"/>
  <c r="E12" i="1"/>
  <c r="L11" i="1"/>
  <c r="H11" i="1"/>
  <c r="O10" i="1"/>
  <c r="G10" i="1"/>
  <c r="M25" i="1"/>
  <c r="E25" i="1"/>
  <c r="A25" i="1"/>
  <c r="L24" i="1"/>
  <c r="D24" i="1"/>
  <c r="K23" i="1"/>
  <c r="C23" i="1"/>
  <c r="J22" i="1"/>
  <c r="B22" i="1"/>
  <c r="I21" i="1"/>
  <c r="L20" i="1"/>
  <c r="D20" i="1"/>
  <c r="K19" i="1"/>
  <c r="C19" i="1"/>
  <c r="J18" i="1"/>
  <c r="M17" i="1"/>
  <c r="E17" i="1"/>
  <c r="A17" i="1"/>
  <c r="H16" i="1"/>
  <c r="O15" i="1"/>
  <c r="G15" i="1"/>
  <c r="N14" i="1"/>
  <c r="F14" i="1"/>
  <c r="M13" i="1"/>
  <c r="E13" i="1"/>
  <c r="H12" i="1"/>
  <c r="O11" i="1"/>
  <c r="G11" i="1"/>
  <c r="N10" i="1"/>
  <c r="F10" i="1"/>
  <c r="L25" i="1"/>
  <c r="D25" i="1"/>
  <c r="O24" i="1"/>
  <c r="K24" i="1"/>
  <c r="G24" i="1"/>
  <c r="C24" i="1"/>
  <c r="J23" i="1"/>
  <c r="B23" i="1"/>
  <c r="M22" i="1"/>
  <c r="E22" i="1"/>
  <c r="L21" i="1"/>
  <c r="D21" i="1"/>
  <c r="K20" i="1"/>
  <c r="C20" i="1"/>
  <c r="F19" i="1"/>
  <c r="M18" i="1"/>
  <c r="E18" i="1"/>
  <c r="L17" i="1"/>
  <c r="D17" i="1"/>
  <c r="O16" i="1"/>
  <c r="G16" i="1"/>
  <c r="N25" i="1"/>
  <c r="J25" i="1"/>
  <c r="F25" i="1"/>
  <c r="B25" i="1"/>
  <c r="M24" i="1"/>
  <c r="I24" i="1"/>
  <c r="E24" i="1"/>
  <c r="A24" i="1"/>
  <c r="L23" i="1"/>
  <c r="H23" i="1"/>
  <c r="D23" i="1"/>
  <c r="O22" i="1"/>
  <c r="K22" i="1"/>
  <c r="G22" i="1"/>
  <c r="C22" i="1"/>
  <c r="N21" i="1"/>
  <c r="J21" i="1"/>
  <c r="F21" i="1"/>
  <c r="B21" i="1"/>
  <c r="M20" i="1"/>
  <c r="I20" i="1"/>
  <c r="E20" i="1"/>
  <c r="A20" i="1"/>
  <c r="L19" i="1"/>
  <c r="H19" i="1"/>
  <c r="D19" i="1"/>
  <c r="O18" i="1"/>
  <c r="K18" i="1"/>
  <c r="G18" i="1"/>
  <c r="C18" i="1"/>
  <c r="N17" i="1"/>
  <c r="F17" i="1"/>
  <c r="M16" i="1"/>
  <c r="E16" i="1"/>
  <c r="L15" i="1"/>
  <c r="D15" i="1"/>
  <c r="G14" i="1"/>
  <c r="N13" i="1"/>
  <c r="F13" i="1"/>
  <c r="I12" i="1"/>
  <c r="A12" i="1"/>
  <c r="D11" i="1"/>
  <c r="K10" i="1"/>
  <c r="C10" i="1"/>
  <c r="I25" i="1"/>
  <c r="H24" i="1"/>
  <c r="O23" i="1"/>
  <c r="G23" i="1"/>
  <c r="N22" i="1"/>
  <c r="F22" i="1"/>
  <c r="M21" i="1"/>
  <c r="E21" i="1"/>
  <c r="A21" i="1"/>
  <c r="H20" i="1"/>
  <c r="O19" i="1"/>
  <c r="G19" i="1"/>
  <c r="N18" i="1"/>
  <c r="F18" i="1"/>
  <c r="B18" i="1"/>
  <c r="I17" i="1"/>
  <c r="L16" i="1"/>
  <c r="D16" i="1"/>
  <c r="K15" i="1"/>
  <c r="C15" i="1"/>
  <c r="J14" i="1"/>
  <c r="B14" i="1"/>
  <c r="I13" i="1"/>
  <c r="A13" i="1"/>
  <c r="L12" i="1"/>
  <c r="D12" i="1"/>
  <c r="K11" i="1"/>
  <c r="C11" i="1"/>
  <c r="J10" i="1"/>
  <c r="B10" i="1"/>
  <c r="H25" i="1"/>
  <c r="N23" i="1"/>
  <c r="F23" i="1"/>
  <c r="I22" i="1"/>
  <c r="A22" i="1"/>
  <c r="H21" i="1"/>
  <c r="O20" i="1"/>
  <c r="G20" i="1"/>
  <c r="N19" i="1"/>
  <c r="J19" i="1"/>
  <c r="B19" i="1"/>
  <c r="I18" i="1"/>
  <c r="A18" i="1"/>
  <c r="H17" i="1"/>
  <c r="K16" i="1"/>
  <c r="C16" i="1"/>
  <c r="J15" i="1"/>
  <c r="N15" i="1"/>
  <c r="I14" i="1"/>
  <c r="H13" i="1"/>
  <c r="G12" i="1"/>
  <c r="F11" i="1"/>
  <c r="E10" i="1"/>
  <c r="F15" i="1"/>
  <c r="E14" i="1"/>
  <c r="D13" i="1"/>
  <c r="C12" i="1"/>
  <c r="B11" i="1"/>
  <c r="A14" i="1"/>
  <c r="O12" i="1"/>
  <c r="N11" i="1"/>
  <c r="M10" i="1"/>
  <c r="L13" i="1"/>
  <c r="K12" i="1"/>
  <c r="J11" i="1"/>
  <c r="I10" i="1"/>
  <c r="B15" i="1"/>
  <c r="M14" i="1"/>
  <c r="A10" i="1"/>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A10" i="1"/>
  <c r="U22" i="1"/>
  <c r="AA11" i="1"/>
  <c r="AR16" i="1"/>
  <c r="AS13" i="1"/>
  <c r="AF24" i="1"/>
  <c r="AC12" i="1"/>
  <c r="AE17" i="1"/>
  <c r="W11" i="1"/>
  <c r="AA24" i="1"/>
  <c r="AI21" i="1"/>
  <c r="AZ19" i="1"/>
  <c r="W20" i="1"/>
  <c r="AC20" i="1"/>
  <c r="V23" i="1"/>
  <c r="AP14" i="1"/>
  <c r="AX23" i="1"/>
  <c r="AT22" i="1"/>
  <c r="BA18" i="1"/>
  <c r="AW16" i="1"/>
  <c r="BA19" i="1"/>
  <c r="W17" i="1"/>
  <c r="AP24" i="1"/>
  <c r="AP12" i="1"/>
  <c r="AQ15" i="1"/>
  <c r="AQ10" i="1"/>
  <c r="X17" i="1"/>
  <c r="U20" i="1"/>
  <c r="AV14" i="1"/>
  <c r="AT19" i="1"/>
  <c r="AP15" i="1"/>
  <c r="AG12" i="1"/>
  <c r="U23" i="1"/>
  <c r="AT25" i="1"/>
  <c r="AH17" i="1"/>
  <c r="Y23" i="1"/>
  <c r="AC15" i="1"/>
  <c r="BA15" i="1"/>
  <c r="AQ16" i="1"/>
  <c r="AD17" i="1"/>
  <c r="V13" i="1"/>
  <c r="W10" i="1"/>
  <c r="W16" i="1"/>
  <c r="AD15" i="1"/>
  <c r="AX16" i="1"/>
  <c r="AU15" i="1"/>
  <c r="U13" i="1"/>
  <c r="AF22" i="1"/>
  <c r="AE13" i="1"/>
  <c r="AQ22" i="1"/>
  <c r="AP25" i="1"/>
  <c r="AW23" i="1"/>
  <c r="AP21" i="1"/>
  <c r="AG23" i="1"/>
  <c r="AD16" i="1"/>
  <c r="AC14" i="1"/>
  <c r="AX19" i="1"/>
  <c r="AT15" i="1"/>
  <c r="AR21" i="1"/>
  <c r="AV24" i="1"/>
  <c r="Y20" i="1"/>
  <c r="W21" i="1"/>
  <c r="AG22" i="1"/>
  <c r="AI15" i="1"/>
  <c r="AW14" i="1"/>
  <c r="AV10" i="1"/>
  <c r="U11" i="1"/>
  <c r="BA24" i="1"/>
  <c r="AR18" i="1"/>
  <c r="Y14" i="1"/>
  <c r="AX18" i="1"/>
  <c r="AV16" i="1"/>
  <c r="AZ23" i="1"/>
  <c r="W15" i="1"/>
  <c r="AU19" i="1"/>
  <c r="AQ11" i="1"/>
  <c r="AR20" i="1"/>
  <c r="AX25" i="1"/>
  <c r="AF15" i="1"/>
  <c r="AI22" i="1"/>
  <c r="AT21" i="1"/>
  <c r="AP23" i="1"/>
  <c r="AP20" i="1"/>
  <c r="Z13" i="1"/>
  <c r="AV13" i="1"/>
  <c r="AV20" i="1"/>
  <c r="Y21" i="1"/>
  <c r="AR14" i="1"/>
  <c r="AE24" i="1"/>
  <c r="AI16" i="1"/>
  <c r="AW11" i="1"/>
  <c r="AT18" i="1"/>
  <c r="AO18" i="1"/>
  <c r="AQ20" i="1"/>
  <c r="V18" i="1"/>
  <c r="AF13" i="1"/>
  <c r="AB15" i="1"/>
  <c r="AW12" i="1"/>
  <c r="AY23" i="1"/>
  <c r="AY17" i="1"/>
  <c r="AX11" i="1"/>
  <c r="AY14" i="1"/>
  <c r="X11" i="1"/>
  <c r="AU21" i="1"/>
  <c r="AG11" i="1"/>
  <c r="U17" i="1"/>
  <c r="Z18" i="1"/>
  <c r="AE18" i="1"/>
  <c r="AI11" i="1"/>
  <c r="AV22" i="1"/>
  <c r="AA16" i="1"/>
  <c r="W23" i="1"/>
  <c r="AB19" i="1"/>
  <c r="AZ15" i="1"/>
  <c r="AD12" i="1"/>
  <c r="AH22" i="1"/>
  <c r="AF11" i="1"/>
  <c r="AD23" i="1"/>
  <c r="AP18" i="1"/>
  <c r="AI17" i="1"/>
  <c r="AX22" i="1"/>
  <c r="U19" i="1"/>
  <c r="AU23" i="1"/>
  <c r="BA13" i="1"/>
  <c r="AD25" i="1"/>
  <c r="AG21" i="1"/>
  <c r="AH18" i="1"/>
  <c r="AO25" i="1"/>
  <c r="AG16" i="1"/>
  <c r="AD19" i="1"/>
  <c r="AO23" i="1"/>
  <c r="AX20" i="1"/>
  <c r="AY22" i="1"/>
  <c r="AR15" i="1"/>
  <c r="AT11" i="1"/>
  <c r="Y19" i="1"/>
  <c r="AG19" i="1"/>
  <c r="BA21" i="1"/>
  <c r="AU24" i="1"/>
  <c r="AE21" i="1"/>
  <c r="AY18" i="1"/>
  <c r="U24" i="1"/>
  <c r="AG10" i="1"/>
  <c r="V10" i="1"/>
  <c r="AI14" i="1"/>
  <c r="Y15" i="1"/>
  <c r="X16" i="1"/>
  <c r="W12" i="1"/>
  <c r="AV17" i="1"/>
  <c r="AB24" i="1"/>
  <c r="X14" i="1"/>
  <c r="Y10" i="1"/>
  <c r="AF16" i="1"/>
  <c r="AA17" i="1"/>
  <c r="AD24" i="1"/>
  <c r="AT20" i="1"/>
  <c r="AZ21" i="1"/>
  <c r="V19" i="1"/>
  <c r="AW20" i="1"/>
  <c r="AH12" i="1"/>
  <c r="AA21" i="1"/>
  <c r="AC21" i="1"/>
  <c r="Y24" i="1"/>
  <c r="AQ17" i="1"/>
  <c r="BA12" i="1"/>
  <c r="AB11" i="1"/>
  <c r="AP17" i="1"/>
  <c r="AS12" i="1"/>
  <c r="AI25" i="1"/>
  <c r="AU20" i="1"/>
  <c r="V12" i="1"/>
  <c r="Y22" i="1"/>
  <c r="AX13" i="1"/>
  <c r="BA22" i="1"/>
  <c r="V17" i="1"/>
  <c r="AY20" i="1"/>
  <c r="AF20" i="1"/>
  <c r="BA23" i="1"/>
  <c r="Y17" i="1"/>
  <c r="Z19" i="1"/>
  <c r="X23" i="1"/>
  <c r="AE15" i="1"/>
  <c r="BA20" i="1"/>
  <c r="V11" i="1"/>
  <c r="AX10" i="1"/>
  <c r="AB14" i="1"/>
  <c r="AU16" i="1"/>
  <c r="V25" i="1"/>
  <c r="AA25" i="1"/>
  <c r="AE14" i="1"/>
  <c r="AV12" i="1"/>
  <c r="AC19" i="1"/>
  <c r="AS14" i="1"/>
  <c r="AA12" i="1"/>
  <c r="BA25" i="1"/>
  <c r="AR11" i="1"/>
  <c r="X25" i="1"/>
  <c r="AF14" i="1"/>
  <c r="Y16" i="1"/>
  <c r="AF23" i="1"/>
  <c r="X24" i="1"/>
  <c r="AT24" i="1"/>
  <c r="U16" i="1"/>
  <c r="AT13" i="1"/>
  <c r="V14" i="1"/>
  <c r="AC13" i="1"/>
  <c r="AO20" i="1"/>
  <c r="Z21" i="1"/>
  <c r="AQ19" i="1"/>
  <c r="AY25" i="1"/>
  <c r="AB18" i="1"/>
  <c r="AI23" i="1"/>
  <c r="AQ13" i="1"/>
  <c r="Z16" i="1"/>
  <c r="AS11" i="1"/>
  <c r="AA13" i="1"/>
  <c r="U15" i="1"/>
  <c r="AZ14" i="1"/>
  <c r="AW17" i="1"/>
  <c r="AO24" i="1"/>
  <c r="BA16" i="1"/>
  <c r="AY11" i="1"/>
  <c r="AU17" i="1"/>
  <c r="AZ25" i="1"/>
  <c r="U10" i="1"/>
  <c r="AU18" i="1"/>
  <c r="AD22" i="1"/>
  <c r="AF21" i="1"/>
  <c r="X18" i="1"/>
  <c r="AI20" i="1"/>
  <c r="AD20" i="1"/>
  <c r="AI12" i="1"/>
  <c r="AH23" i="1"/>
  <c r="AV25" i="1"/>
  <c r="AO11" i="1"/>
  <c r="AW22" i="1"/>
  <c r="AB25" i="1"/>
  <c r="BA14" i="1"/>
  <c r="AI24" i="1"/>
  <c r="AC11" i="1"/>
  <c r="X12" i="1"/>
  <c r="AR17" i="1"/>
  <c r="AP10" i="1"/>
  <c r="Z15" i="1"/>
  <c r="AI18" i="1"/>
  <c r="V24" i="1"/>
  <c r="AD21" i="1"/>
  <c r="AS23" i="1"/>
  <c r="AA14" i="1"/>
  <c r="AS21" i="1"/>
  <c r="AT16" i="1"/>
  <c r="AE23" i="1"/>
  <c r="AZ17" i="1"/>
  <c r="AG24" i="1"/>
  <c r="AC17" i="1"/>
  <c r="AP19" i="1"/>
  <c r="AR13" i="1"/>
  <c r="X19" i="1"/>
  <c r="W14" i="1"/>
  <c r="AC25" i="1"/>
  <c r="U21" i="1"/>
  <c r="U18" i="1"/>
  <c r="AO15" i="1"/>
  <c r="Z24" i="1"/>
  <c r="AU12" i="1"/>
  <c r="AG13" i="1"/>
  <c r="Y13" i="1"/>
  <c r="AH10" i="1"/>
  <c r="AD11" i="1"/>
  <c r="AY13" i="1"/>
  <c r="AG18" i="1"/>
  <c r="AV15" i="1"/>
  <c r="AW19" i="1"/>
  <c r="AD14" i="1"/>
  <c r="AW15" i="1"/>
  <c r="AO21" i="1"/>
  <c r="AY10" i="1"/>
  <c r="AQ25" i="1"/>
  <c r="AX12" i="1"/>
  <c r="AV11" i="1"/>
  <c r="AH15" i="1"/>
  <c r="AH16" i="1"/>
  <c r="AE11" i="1"/>
  <c r="AD13" i="1"/>
  <c r="AO22" i="1"/>
  <c r="U14" i="1"/>
  <c r="W18" i="1"/>
  <c r="AZ22" i="1"/>
  <c r="W25" i="1"/>
  <c r="AG15" i="1"/>
  <c r="AP13" i="1"/>
  <c r="AG14" i="1"/>
  <c r="AU11" i="1"/>
  <c r="AS10" i="1"/>
  <c r="AY15" i="1"/>
  <c r="AZ20" i="1"/>
  <c r="AV18" i="1"/>
  <c r="AC10" i="1"/>
  <c r="AQ24" i="1"/>
  <c r="X15" i="1"/>
  <c r="AQ18" i="1"/>
  <c r="Y25" i="1"/>
  <c r="Z11" i="1"/>
  <c r="AT12" i="1"/>
  <c r="AF12" i="1"/>
  <c r="V16" i="1"/>
  <c r="AP11" i="1"/>
  <c r="W19" i="1"/>
  <c r="AB21" i="1"/>
  <c r="AA15" i="1"/>
  <c r="AZ13" i="1"/>
  <c r="Z20" i="1"/>
  <c r="AC18" i="1"/>
  <c r="AZ16" i="1"/>
  <c r="AB23" i="1"/>
  <c r="AR10" i="1"/>
  <c r="AH11" i="1"/>
  <c r="AX14" i="1"/>
  <c r="AU13" i="1"/>
  <c r="V21" i="1"/>
  <c r="AO16" i="1"/>
  <c r="Z22" i="1"/>
  <c r="AB12" i="1"/>
  <c r="AC16" i="1"/>
  <c r="AH14" i="1"/>
  <c r="AF17" i="1"/>
  <c r="Z14" i="1"/>
  <c r="AO13" i="1"/>
  <c r="AY19" i="1"/>
  <c r="AA20" i="1"/>
  <c r="AP16" i="1"/>
  <c r="AI19" i="1"/>
  <c r="AF10" i="1"/>
  <c r="AZ24" i="1"/>
  <c r="Z12" i="1"/>
  <c r="Y18" i="1"/>
  <c r="Y12" i="1"/>
  <c r="AO14" i="1"/>
  <c r="AR12" i="1"/>
  <c r="AQ14" i="1"/>
  <c r="AU14" i="1"/>
  <c r="AT17" i="1"/>
  <c r="BA10" i="1"/>
  <c r="AV21" i="1"/>
  <c r="AF19" i="1"/>
  <c r="AE22" i="1"/>
  <c r="AB22" i="1"/>
  <c r="AO10" i="1"/>
  <c r="AS17" i="1"/>
  <c r="AH20" i="1"/>
  <c r="U25" i="1"/>
  <c r="AZ12" i="1"/>
  <c r="AZ10" i="1"/>
  <c r="AS22" i="1"/>
  <c r="X20" i="1"/>
  <c r="AQ23" i="1"/>
  <c r="AH19" i="1"/>
  <c r="AP22" i="1"/>
  <c r="Z17" i="1"/>
  <c r="W22" i="1"/>
  <c r="AZ11" i="1"/>
  <c r="AS18" i="1"/>
  <c r="AB13" i="1"/>
  <c r="AU25" i="1"/>
  <c r="Y11" i="1"/>
  <c r="AS20" i="1"/>
  <c r="AB20" i="1"/>
  <c r="AO19" i="1"/>
  <c r="Z25" i="1"/>
  <c r="AR22" i="1"/>
  <c r="AS16" i="1"/>
  <c r="AB17" i="1"/>
  <c r="AV19" i="1"/>
  <c r="AF25" i="1"/>
  <c r="AE25" i="1"/>
  <c r="AG20" i="1"/>
  <c r="AG25" i="1"/>
  <c r="BA11" i="1"/>
  <c r="AE12" i="1"/>
  <c r="AS19" i="1"/>
  <c r="AW10" i="1"/>
  <c r="AB16" i="1"/>
  <c r="AX15" i="1"/>
  <c r="AH24" i="1"/>
  <c r="W13" i="1"/>
  <c r="AE20" i="1"/>
  <c r="AG17" i="1"/>
  <c r="AW18" i="1"/>
  <c r="AE19" i="1"/>
  <c r="X22" i="1"/>
  <c r="AY12" i="1"/>
  <c r="AS24" i="1"/>
  <c r="Z10" i="1"/>
  <c r="AD10" i="1"/>
  <c r="Z23" i="1"/>
  <c r="X21" i="1"/>
  <c r="AI10" i="1"/>
  <c r="AO17" i="1"/>
  <c r="AH25" i="1"/>
  <c r="V22" i="1"/>
  <c r="AI13" i="1"/>
  <c r="AW24" i="1"/>
  <c r="AA22" i="1"/>
  <c r="AX24" i="1"/>
  <c r="AA19" i="1"/>
  <c r="W24" i="1"/>
  <c r="AT23" i="1"/>
  <c r="AQ12" i="1"/>
  <c r="AO12" i="1"/>
  <c r="AC22" i="1"/>
  <c r="AF18" i="1"/>
  <c r="AX17" i="1"/>
  <c r="AY21" i="1"/>
  <c r="AD18" i="1"/>
  <c r="AY16" i="1"/>
  <c r="AE10" i="1"/>
  <c r="AY24" i="1"/>
  <c r="AB10" i="1"/>
  <c r="AH13" i="1"/>
  <c r="AW21" i="1"/>
  <c r="AV23" i="1"/>
  <c r="X13" i="1"/>
  <c r="AA23" i="1"/>
  <c r="AS25" i="1"/>
  <c r="AR23" i="1"/>
  <c r="AA18" i="1"/>
  <c r="V15" i="1"/>
  <c r="AC23" i="1"/>
  <c r="AQ21" i="1"/>
  <c r="AU22" i="1"/>
  <c r="AW13" i="1"/>
  <c r="AC24" i="1"/>
  <c r="AT14" i="1"/>
  <c r="AS15" i="1"/>
  <c r="AR19" i="1"/>
  <c r="AH21" i="1"/>
  <c r="AT10" i="1"/>
  <c r="AR25" i="1"/>
  <c r="AX21" i="1"/>
  <c r="V20" i="1"/>
  <c r="U12" i="1"/>
  <c r="AR24" i="1"/>
  <c r="AE16" i="1"/>
  <c r="AZ18" i="1"/>
  <c r="BA17" i="1"/>
  <c r="AU10" i="1"/>
  <c r="X10" i="1"/>
  <c r="AW25"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R13" i="8"/>
  <c r="V29" i="1"/>
  <c r="V28" i="1"/>
  <c r="U34" i="1"/>
  <c r="N86" i="8"/>
  <c r="DH3" i="23" s="1"/>
  <c r="D47" i="26"/>
  <c r="N49" i="26"/>
  <c r="P108" i="8"/>
  <c r="HP3" i="23" s="1"/>
  <c r="AP29" i="1"/>
  <c r="AO34" i="1"/>
  <c r="AP28" i="1"/>
  <c r="N100" i="8"/>
  <c r="FZ3" i="23" s="1"/>
  <c r="L41" i="26"/>
  <c r="M27" i="1"/>
  <c r="M29" i="1" s="1"/>
  <c r="AY29" i="1"/>
  <c r="AY28"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R27" i="8"/>
  <c r="AD28" i="1"/>
  <c r="N94" i="8"/>
  <c r="EV3" i="23" s="1"/>
  <c r="O94" i="8"/>
  <c r="EW3" i="23" s="1"/>
  <c r="AE27" i="1"/>
  <c r="I29" i="1"/>
  <c r="I28" i="1"/>
  <c r="D40" i="26"/>
  <c r="N79" i="8"/>
  <c r="BY3" i="23" s="1"/>
  <c r="AU27" i="1"/>
  <c r="AU29" i="1" s="1"/>
  <c r="B27" i="1"/>
  <c r="F34" i="26"/>
  <c r="P73" i="8"/>
  <c r="AW3" i="23" s="1"/>
  <c r="P87" i="8"/>
  <c r="DO3" i="23" s="1"/>
  <c r="F48" i="26"/>
  <c r="F38" i="26"/>
  <c r="P77" i="8"/>
  <c r="BQ3" i="23" s="1"/>
  <c r="W29" i="1"/>
  <c r="W28" i="1"/>
  <c r="D48" i="26"/>
  <c r="N87" i="8"/>
  <c r="DM3" i="23" s="1"/>
  <c r="N47" i="26"/>
  <c r="P106" i="8"/>
  <c r="HF3" i="23" s="1"/>
  <c r="K27" i="1"/>
  <c r="K29" i="1" s="1"/>
  <c r="F27" i="1"/>
  <c r="F29" i="1" s="1"/>
  <c r="P97" i="8"/>
  <c r="FM3" i="23" s="1"/>
  <c r="N38" i="26"/>
  <c r="Y29" i="1"/>
  <c r="D50" i="26"/>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F52" i="26"/>
  <c r="P91" i="8"/>
  <c r="EI3" i="23" s="1"/>
  <c r="AQ29" i="1"/>
  <c r="N101" i="8"/>
  <c r="GE3" i="23" s="1"/>
  <c r="AQ28" i="1"/>
  <c r="L42" i="26"/>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O28" i="1"/>
  <c r="D46" i="26"/>
  <c r="N85" i="8"/>
  <c r="DC3" i="23" s="1"/>
  <c r="Z29" i="1"/>
  <c r="N90" i="8"/>
  <c r="EB3" i="23" s="1"/>
  <c r="Z28" i="1"/>
  <c r="D51" i="26"/>
  <c r="P99" i="8"/>
  <c r="FW3" i="23" s="1"/>
  <c r="N40" i="26"/>
  <c r="AB27" i="1"/>
  <c r="AB29" i="1" s="1"/>
  <c r="AT27" i="1"/>
  <c r="AT29" i="1" s="1"/>
  <c r="X29" i="1"/>
  <c r="X28" i="1"/>
  <c r="N88" i="8"/>
  <c r="DR3" i="23" s="1"/>
  <c r="D49" i="26"/>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J65" i="1" l="1" a="1"/>
  <c r="J65" i="1" s="1"/>
  <c r="L65" i="1" a="1"/>
  <c r="L65" i="1" s="1"/>
  <c r="L51" i="1" a="1"/>
  <c r="L51" i="1" s="1"/>
  <c r="L37" i="1" a="1"/>
  <c r="L37" i="1" s="1"/>
  <c r="C29" i="1"/>
  <c r="E34" i="26" s="1"/>
  <c r="B29" i="1"/>
  <c r="O72" i="8" s="1"/>
  <c r="AQ3" i="23" s="1"/>
  <c r="O91" i="8"/>
  <c r="EH3" i="23" s="1"/>
  <c r="E52" i="26"/>
  <c r="M34" i="26"/>
  <c r="O93" i="8"/>
  <c r="ER3" i="23" s="1"/>
  <c r="O104" i="8"/>
  <c r="GU3" i="23" s="1"/>
  <c r="M45" i="26"/>
  <c r="M40" i="26"/>
  <c r="O99" i="8"/>
  <c r="FV3" i="23" s="1"/>
  <c r="E45" i="26"/>
  <c r="O84" i="8"/>
  <c r="CY3" i="23" s="1"/>
  <c r="J49" i="1"/>
  <c r="M46" i="26"/>
  <c r="O105" i="8"/>
  <c r="GZ3" i="23" s="1"/>
  <c r="O83" i="8"/>
  <c r="CT3" i="23" s="1"/>
  <c r="J48" i="1"/>
  <c r="R16" i="8" s="1"/>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J42" i="1"/>
  <c r="R10" i="8" s="1"/>
  <c r="M52" i="26"/>
  <c r="O111" i="8"/>
  <c r="ID3" i="23" s="1"/>
  <c r="L34" i="26"/>
  <c r="N93" i="8"/>
  <c r="EQ3" i="23" s="1"/>
  <c r="AC28" i="1"/>
  <c r="R26" i="8"/>
  <c r="U3" i="4"/>
  <c r="R6" i="4" s="1"/>
  <c r="O23" i="4" s="1"/>
  <c r="O76" i="8"/>
  <c r="BK3" i="23" s="1"/>
  <c r="E37" i="26"/>
  <c r="J41" i="1"/>
  <c r="R9" i="8" s="1"/>
  <c r="N105" i="8"/>
  <c r="GY3" i="23" s="1"/>
  <c r="AU28" i="1"/>
  <c r="L46" i="26"/>
  <c r="O82" i="8"/>
  <c r="CO3" i="23" s="1"/>
  <c r="E43" i="26"/>
  <c r="J47" i="1"/>
  <c r="R15" i="8" s="1"/>
  <c r="O96" i="8"/>
  <c r="FG3" i="23" s="1"/>
  <c r="M37" i="26"/>
  <c r="O109" i="8"/>
  <c r="HT3" i="23" s="1"/>
  <c r="M50" i="26"/>
  <c r="M41" i="26"/>
  <c r="O100" i="8"/>
  <c r="GA3" i="23" s="1"/>
  <c r="AO33" i="1"/>
  <c r="O86" i="8"/>
  <c r="DI3" i="23" s="1"/>
  <c r="U33" i="1"/>
  <c r="E47" i="26"/>
  <c r="L40" i="26"/>
  <c r="AI28" i="1"/>
  <c r="N99" i="8"/>
  <c r="FU3" i="23" s="1"/>
  <c r="J40" i="1"/>
  <c r="R8" i="8" s="1"/>
  <c r="O75" i="8"/>
  <c r="BF3" i="23" s="1"/>
  <c r="E36" i="26"/>
  <c r="O74" i="8"/>
  <c r="BA3" i="23" s="1"/>
  <c r="E35" i="26"/>
  <c r="J39" i="1"/>
  <c r="R6" i="8"/>
  <c r="D34" i="26"/>
  <c r="N73" i="8"/>
  <c r="AU3" i="23" s="1"/>
  <c r="C28" i="1"/>
  <c r="D52" i="26"/>
  <c r="N91" i="8"/>
  <c r="EG3" i="23" s="1"/>
  <c r="AA28" i="1"/>
  <c r="R24" i="8"/>
  <c r="M33" i="26"/>
  <c r="O92" i="8"/>
  <c r="EM3" i="23" s="1"/>
  <c r="E51" i="26"/>
  <c r="O90" i="8"/>
  <c r="EC3" i="23" s="1"/>
  <c r="U2" i="4"/>
  <c r="R4" i="4" s="1"/>
  <c r="O13" i="4" s="1"/>
  <c r="N19" i="4"/>
  <c r="R30" i="8"/>
  <c r="M38" i="26"/>
  <c r="O97" i="8"/>
  <c r="FL3" i="23" s="1"/>
  <c r="M42" i="26"/>
  <c r="O101" i="8"/>
  <c r="GF3" i="23" s="1"/>
  <c r="R40" i="8"/>
  <c r="M48" i="26"/>
  <c r="O107" i="8"/>
  <c r="HJ3" i="23" s="1"/>
  <c r="T4" i="4"/>
  <c r="R7" i="4" s="1"/>
  <c r="O24" i="4" s="1"/>
  <c r="E50" i="26"/>
  <c r="O89" i="8"/>
  <c r="DX3" i="23" s="1"/>
  <c r="R22" i="8"/>
  <c r="F28" i="1"/>
  <c r="D37" i="26"/>
  <c r="N76" i="8"/>
  <c r="BJ3" i="23" s="1"/>
  <c r="O79" i="8"/>
  <c r="BZ3" i="23" s="1"/>
  <c r="E40" i="26"/>
  <c r="J44" i="1"/>
  <c r="M35" i="26"/>
  <c r="D43" i="26"/>
  <c r="N82" i="8"/>
  <c r="CN3" i="23" s="1"/>
  <c r="L28" i="1"/>
  <c r="L37" i="26"/>
  <c r="AF28" i="1"/>
  <c r="N96" i="8"/>
  <c r="FF3" i="23" s="1"/>
  <c r="R29" i="8"/>
  <c r="J45" i="1"/>
  <c r="O80" i="8"/>
  <c r="CE3" i="23" s="1"/>
  <c r="E41" i="26"/>
  <c r="R35" i="8"/>
  <c r="O102" i="8"/>
  <c r="GK3" i="23" s="1"/>
  <c r="M43" i="26"/>
  <c r="E49" i="26"/>
  <c r="O88" i="8"/>
  <c r="DS3" i="23" s="1"/>
  <c r="AB28" i="1"/>
  <c r="L33" i="26"/>
  <c r="N92" i="8"/>
  <c r="EL3" i="23" s="1"/>
  <c r="O85" i="8"/>
  <c r="DD3" i="23" s="1"/>
  <c r="J50" i="1"/>
  <c r="R18" i="8" s="1"/>
  <c r="E46" i="26"/>
  <c r="T2" i="4"/>
  <c r="R3" i="4" s="1"/>
  <c r="O12" i="4" s="1"/>
  <c r="K19" i="4"/>
  <c r="O106" i="8"/>
  <c r="HE3" i="23" s="1"/>
  <c r="M47" i="26"/>
  <c r="N84" i="8"/>
  <c r="CX3" i="23" s="1"/>
  <c r="D45" i="26"/>
  <c r="N28" i="1"/>
  <c r="T3" i="4"/>
  <c r="R5" i="4" s="1"/>
  <c r="O22" i="4" s="1"/>
  <c r="J46" i="1"/>
  <c r="R14" i="8" s="1"/>
  <c r="O81" i="8"/>
  <c r="CJ3" i="23" s="1"/>
  <c r="E42" i="26"/>
  <c r="O87" i="8"/>
  <c r="DN3" i="23" s="1"/>
  <c r="E48" i="26"/>
  <c r="A34" i="1"/>
  <c r="N72" i="8"/>
  <c r="AP3" i="23" s="1"/>
  <c r="D33" i="26"/>
  <c r="B28" i="1"/>
  <c r="AE29" i="1"/>
  <c r="J51" i="1" s="1" a="1"/>
  <c r="J51" i="1" s="1"/>
  <c r="N83" i="8"/>
  <c r="CS3" i="23" s="1"/>
  <c r="M28" i="1"/>
  <c r="D44" i="26"/>
  <c r="N26" i="26"/>
  <c r="AF2" i="23"/>
  <c r="O73" i="8" l="1"/>
  <c r="AV3" i="23" s="1"/>
  <c r="A33" i="1"/>
  <c r="F34" i="1" s="1"/>
  <c r="E33" i="26"/>
  <c r="S5" i="8"/>
  <c r="J37" i="1"/>
  <c r="J38" i="1"/>
  <c r="O10" i="4"/>
  <c r="F32" i="8"/>
  <c r="G6" i="4"/>
  <c r="M36" i="26"/>
  <c r="O95" i="8"/>
  <c r="FB3" i="23" s="1"/>
  <c r="J34" i="1"/>
  <c r="K34" i="1"/>
  <c r="E39" i="26"/>
  <c r="J43" i="1"/>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<sst xmlns="http://schemas.openxmlformats.org/spreadsheetml/2006/main" count="22033" uniqueCount="5913">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</sst>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abSelected="1" workbookViewId="0">
      <selection activeCell="I4" sqref="I4"/>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e">
        <f t="shared" ref="A15:A78" si="0">HOUR(B15)&amp;":"&amp;MINUTE(B15)</f>
        <v>#VALUE!</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e">
        <f t="shared" si="0"/>
        <v>#VALUE!</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e">
        <f t="shared" si="0"/>
        <v>#VALUE!</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e">
        <f t="shared" si="0"/>
        <v>#VALUE!</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e">
        <f t="shared" si="0"/>
        <v>#VALUE!</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e">
        <f t="shared" si="0"/>
        <v>#VALUE!</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e">
        <f t="shared" si="0"/>
        <v>#VALUE!</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e">
        <f t="shared" si="0"/>
        <v>#VALUE!</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e">
        <f t="shared" si="0"/>
        <v>#VALUE!</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e">
        <f t="shared" si="0"/>
        <v>#VALUE!</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e">
        <f t="shared" si="0"/>
        <v>#VALUE!</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e">
        <f t="shared" si="0"/>
        <v>#VALUE!</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e">
        <f t="shared" si="0"/>
        <v>#VALUE!</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e">
        <f t="shared" si="0"/>
        <v>#VALUE!</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e">
        <f t="shared" si="0"/>
        <v>#VALUE!</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e">
        <f t="shared" si="0"/>
        <v>#VALUE!</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e">
        <f t="shared" si="0"/>
        <v>#VALUE!</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e">
        <f t="shared" si="0"/>
        <v>#VALUE!</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e">
        <f t="shared" si="0"/>
        <v>#VALUE!</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e">
        <f t="shared" si="0"/>
        <v>#VALUE!</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e">
        <f t="shared" si="0"/>
        <v>#VALUE!</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e">
        <f t="shared" si="0"/>
        <v>#VALUE!</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e">
        <f t="shared" si="0"/>
        <v>#VALUE!</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e">
        <f t="shared" si="0"/>
        <v>#VALUE!</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e">
        <f t="shared" si="0"/>
        <v>#VALUE!</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e">
        <f t="shared" si="0"/>
        <v>#VALUE!</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e">
        <f t="shared" si="0"/>
        <v>#VALUE!</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e">
        <f t="shared" si="0"/>
        <v>#VALUE!</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e">
        <f t="shared" si="0"/>
        <v>#VALUE!</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e">
        <f t="shared" si="0"/>
        <v>#VALUE!</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e">
        <f t="shared" si="0"/>
        <v>#VALUE!</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e">
        <f t="shared" si="0"/>
        <v>#VALUE!</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e">
        <f t="shared" si="0"/>
        <v>#VALUE!</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e">
        <f t="shared" si="0"/>
        <v>#VALUE!</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e">
        <f t="shared" si="0"/>
        <v>#VALUE!</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e">
        <f t="shared" si="0"/>
        <v>#VALUE!</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e">
        <f t="shared" si="0"/>
        <v>#VALUE!</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e">
        <f t="shared" si="0"/>
        <v>#VALUE!</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e">
        <f t="shared" si="0"/>
        <v>#VALUE!</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e">
        <f t="shared" si="0"/>
        <v>#VALUE!</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e">
        <f t="shared" si="0"/>
        <v>#VALUE!</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e">
        <f t="shared" si="0"/>
        <v>#VALUE!</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e">
        <f t="shared" si="0"/>
        <v>#VALUE!</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e">
        <f t="shared" si="0"/>
        <v>#VALUE!</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e">
        <f t="shared" si="0"/>
        <v>#VALUE!</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e">
        <f t="shared" si="0"/>
        <v>#VALUE!</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e">
        <f t="shared" si="0"/>
        <v>#VALUE!</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e">
        <f t="shared" si="0"/>
        <v>#VALUE!</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e">
        <f t="shared" si="0"/>
        <v>#VALUE!</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e">
        <f t="shared" si="0"/>
        <v>#VALUE!</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e">
        <f t="shared" si="0"/>
        <v>#VALUE!</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e">
        <f t="shared" si="0"/>
        <v>#VALUE!</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e">
        <f t="shared" si="0"/>
        <v>#VALUE!</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e">
        <f t="shared" si="0"/>
        <v>#VALUE!</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e">
        <f t="shared" si="0"/>
        <v>#VALUE!</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e">
        <f t="shared" si="0"/>
        <v>#VALUE!</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e">
        <f t="shared" si="0"/>
        <v>#VALUE!</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e">
        <f t="shared" si="0"/>
        <v>#VALUE!</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e">
        <f t="shared" si="0"/>
        <v>#VALUE!</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e">
        <f t="shared" si="0"/>
        <v>#VALUE!</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e">
        <f t="shared" si="0"/>
        <v>#VALUE!</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e">
        <f t="shared" si="0"/>
        <v>#VALUE!</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e">
        <f t="shared" si="0"/>
        <v>#VALUE!</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e">
        <f t="shared" si="0"/>
        <v>#VALUE!</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e">
        <f t="shared" ref="A79:A142" si="1">HOUR(B79)&amp;":"&amp;MINUTE(B79)</f>
        <v>#VALUE!</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e">
        <f t="shared" si="1"/>
        <v>#VALUE!</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e">
        <f t="shared" si="1"/>
        <v>#VALUE!</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e">
        <f t="shared" si="1"/>
        <v>#VALUE!</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e">
        <f t="shared" si="1"/>
        <v>#VALUE!</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e">
        <f t="shared" si="1"/>
        <v>#VALUE!</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e">
        <f t="shared" si="1"/>
        <v>#VALUE!</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e">
        <f t="shared" si="1"/>
        <v>#VALUE!</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e">
        <f t="shared" si="1"/>
        <v>#VALUE!</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e">
        <f t="shared" si="1"/>
        <v>#VALUE!</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e">
        <f t="shared" si="1"/>
        <v>#VALUE!</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e">
        <f t="shared" si="1"/>
        <v>#VALUE!</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e">
        <f t="shared" si="1"/>
        <v>#VALUE!</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e">
        <f t="shared" si="1"/>
        <v>#VALUE!</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e">
        <f t="shared" si="1"/>
        <v>#VALUE!</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e">
        <f t="shared" si="1"/>
        <v>#VALUE!</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e">
        <f t="shared" si="1"/>
        <v>#VALUE!</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e">
        <f t="shared" si="1"/>
        <v>#VALUE!</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e">
        <f t="shared" si="1"/>
        <v>#VALUE!</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e">
        <f t="shared" si="1"/>
        <v>#VALUE!</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e">
        <f t="shared" si="1"/>
        <v>#VALUE!</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e">
        <f t="shared" si="1"/>
        <v>#VALUE!</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e">
        <f t="shared" si="1"/>
        <v>#VALUE!</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e">
        <f t="shared" si="1"/>
        <v>#VALUE!</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e">
        <f t="shared" si="1"/>
        <v>#VALUE!</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e">
        <f t="shared" si="1"/>
        <v>#VALUE!</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e">
        <f t="shared" si="1"/>
        <v>#VALUE!</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e">
        <f t="shared" si="1"/>
        <v>#VALUE!</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e">
        <f t="shared" si="1"/>
        <v>#VALUE!</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e">
        <f t="shared" si="1"/>
        <v>#VALUE!</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e">
        <f t="shared" si="1"/>
        <v>#VALUE!</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e">
        <f t="shared" si="1"/>
        <v>#VALUE!</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e">
        <f t="shared" si="1"/>
        <v>#VALUE!</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e">
        <f t="shared" si="1"/>
        <v>#VALUE!</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e">
        <f t="shared" si="1"/>
        <v>#VALUE!</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e">
        <f t="shared" si="1"/>
        <v>#VALUE!</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e">
        <f t="shared" si="1"/>
        <v>#VALUE!</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e">
        <f t="shared" si="1"/>
        <v>#VALUE!</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e">
        <f t="shared" si="1"/>
        <v>#VALUE!</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e">
        <f t="shared" si="1"/>
        <v>#VALUE!</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e">
        <f t="shared" si="1"/>
        <v>#VALUE!</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e">
        <f t="shared" si="1"/>
        <v>#VALUE!</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e">
        <f t="shared" si="1"/>
        <v>#VALUE!</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e">
        <f t="shared" si="1"/>
        <v>#VALUE!</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e">
        <f t="shared" si="1"/>
        <v>#VALUE!</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e">
        <f t="shared" si="1"/>
        <v>#VALUE!</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e">
        <f t="shared" si="1"/>
        <v>#VALUE!</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e">
        <f t="shared" si="1"/>
        <v>#VALUE!</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e">
        <f t="shared" si="1"/>
        <v>#VALUE!</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e">
        <f t="shared" si="1"/>
        <v>#VALUE!</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e">
        <f t="shared" si="1"/>
        <v>#VALUE!</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e">
        <f t="shared" si="1"/>
        <v>#VALUE!</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e">
        <f t="shared" si="1"/>
        <v>#VALUE!</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e">
        <f t="shared" si="1"/>
        <v>#VALUE!</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e">
        <f t="shared" si="1"/>
        <v>#VALUE!</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e">
        <f t="shared" si="1"/>
        <v>#VALUE!</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e">
        <f t="shared" si="1"/>
        <v>#VALUE!</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e">
        <f t="shared" si="1"/>
        <v>#VALUE!</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e">
        <f t="shared" si="1"/>
        <v>#VALUE!</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e">
        <f t="shared" si="1"/>
        <v>#VALUE!</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e">
        <f t="shared" si="1"/>
        <v>#VALUE!</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e">
        <f t="shared" si="1"/>
        <v>#VALUE!</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e">
        <f t="shared" si="1"/>
        <v>#VALUE!</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e">
        <f t="shared" si="1"/>
        <v>#VALUE!</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e">
        <f t="shared" ref="A143:A206" si="2">HOUR(B143)&amp;":"&amp;MINUTE(B143)</f>
        <v>#VALUE!</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e">
        <f t="shared" si="2"/>
        <v>#VALUE!</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e">
        <f t="shared" si="2"/>
        <v>#VALUE!</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e">
        <f t="shared" si="2"/>
        <v>#VALUE!</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e">
        <f t="shared" si="2"/>
        <v>#VALUE!</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e">
        <f t="shared" si="2"/>
        <v>#VALUE!</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e">
        <f t="shared" si="2"/>
        <v>#VALUE!</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e">
        <f t="shared" si="2"/>
        <v>#VALUE!</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e">
        <f t="shared" si="2"/>
        <v>#VALUE!</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e">
        <f t="shared" si="2"/>
        <v>#VALUE!</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e">
        <f t="shared" si="2"/>
        <v>#VALUE!</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e">
        <f t="shared" si="2"/>
        <v>#VALUE!</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e">
        <f t="shared" si="2"/>
        <v>#VALUE!</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e">
        <f t="shared" si="2"/>
        <v>#VALUE!</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e">
        <f t="shared" si="2"/>
        <v>#VALUE!</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e">
        <f t="shared" si="2"/>
        <v>#VALUE!</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e">
        <f t="shared" si="2"/>
        <v>#VALUE!</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e">
        <f t="shared" si="2"/>
        <v>#VALUE!</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e">
        <f t="shared" si="2"/>
        <v>#VALUE!</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e">
        <f t="shared" si="2"/>
        <v>#VALUE!</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e">
        <f t="shared" si="2"/>
        <v>#VALUE!</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e">
        <f t="shared" si="2"/>
        <v>#VALUE!</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e">
        <f t="shared" si="2"/>
        <v>#VALUE!</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e">
        <f t="shared" si="2"/>
        <v>#VALUE!</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e">
        <f t="shared" si="2"/>
        <v>#VALUE!</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e">
        <f t="shared" si="2"/>
        <v>#VALUE!</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e">
        <f t="shared" si="2"/>
        <v>#VALUE!</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e">
        <f t="shared" si="2"/>
        <v>#VALUE!</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e">
        <f t="shared" si="2"/>
        <v>#VALUE!</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e">
        <f t="shared" si="2"/>
        <v>#VALUE!</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e">
        <f t="shared" si="2"/>
        <v>#VALUE!</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e">
        <f t="shared" si="2"/>
        <v>#VALUE!</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e">
        <f t="shared" si="2"/>
        <v>#VALUE!</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e">
        <f t="shared" si="2"/>
        <v>#VALUE!</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e">
        <f t="shared" si="2"/>
        <v>#VALUE!</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e">
        <f t="shared" si="2"/>
        <v>#VALUE!</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e">
        <f t="shared" si="2"/>
        <v>#VALUE!</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e">
        <f t="shared" si="2"/>
        <v>#VALUE!</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e">
        <f t="shared" si="2"/>
        <v>#VALUE!</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e">
        <f t="shared" si="2"/>
        <v>#VALUE!</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e">
        <f t="shared" si="2"/>
        <v>#VALUE!</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e">
        <f t="shared" si="2"/>
        <v>#VALUE!</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e">
        <f t="shared" si="2"/>
        <v>#VALUE!</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e">
        <f t="shared" si="2"/>
        <v>#VALUE!</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e">
        <f t="shared" si="2"/>
        <v>#VALUE!</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e">
        <f t="shared" si="2"/>
        <v>#VALUE!</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e">
        <f t="shared" si="2"/>
        <v>#VALUE!</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e">
        <f t="shared" si="2"/>
        <v>#VALUE!</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e">
        <f t="shared" si="2"/>
        <v>#VALUE!</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e">
        <f t="shared" si="2"/>
        <v>#VALUE!</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e">
        <f t="shared" si="2"/>
        <v>#VALUE!</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e">
        <f t="shared" si="2"/>
        <v>#VALUE!</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e">
        <f t="shared" si="2"/>
        <v>#VALUE!</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e">
        <f t="shared" si="2"/>
        <v>#VALUE!</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e">
        <f t="shared" si="2"/>
        <v>#VALUE!</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e">
        <f t="shared" si="2"/>
        <v>#VALUE!</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e">
        <f t="shared" si="2"/>
        <v>#VALUE!</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e">
        <f t="shared" si="2"/>
        <v>#VALUE!</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e">
        <f t="shared" si="2"/>
        <v>#VALUE!</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e">
        <f t="shared" si="2"/>
        <v>#VALUE!</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e">
        <f t="shared" si="2"/>
        <v>#VALUE!</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e">
        <f t="shared" si="2"/>
        <v>#VALUE!</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e">
        <f t="shared" si="2"/>
        <v>#VALUE!</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e">
        <f t="shared" si="2"/>
        <v>#VALUE!</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e">
        <f t="shared" ref="A207:A270" si="3">HOUR(B207)&amp;":"&amp;MINUTE(B207)</f>
        <v>#VALUE!</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e">
        <f t="shared" si="3"/>
        <v>#VALUE!</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e">
        <f t="shared" si="3"/>
        <v>#VALUE!</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e">
        <f t="shared" si="3"/>
        <v>#VALUE!</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e">
        <f t="shared" si="3"/>
        <v>#VALUE!</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e">
        <f t="shared" si="3"/>
        <v>#VALUE!</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e">
        <f t="shared" si="3"/>
        <v>#VALUE!</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e">
        <f t="shared" si="3"/>
        <v>#VALUE!</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e">
        <f t="shared" si="3"/>
        <v>#VALUE!</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e">
        <f t="shared" si="3"/>
        <v>#VALUE!</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e">
        <f t="shared" si="3"/>
        <v>#VALUE!</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e">
        <f t="shared" si="3"/>
        <v>#VALUE!</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e">
        <f t="shared" si="3"/>
        <v>#VALUE!</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e">
        <f t="shared" si="3"/>
        <v>#VALUE!</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e">
        <f t="shared" si="3"/>
        <v>#VALUE!</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e">
        <f t="shared" si="3"/>
        <v>#VALUE!</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e">
        <f t="shared" si="3"/>
        <v>#VALUE!</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e">
        <f t="shared" si="3"/>
        <v>#VALUE!</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e">
        <f t="shared" si="3"/>
        <v>#VALUE!</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e">
        <f t="shared" si="3"/>
        <v>#VALUE!</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e">
        <f t="shared" si="3"/>
        <v>#VALUE!</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e">
        <f t="shared" si="3"/>
        <v>#VALUE!</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e">
        <f t="shared" si="3"/>
        <v>#VALUE!</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e">
        <f t="shared" si="3"/>
        <v>#VALUE!</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e">
        <f t="shared" si="3"/>
        <v>#VALUE!</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e">
        <f t="shared" si="3"/>
        <v>#VALUE!</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e">
        <f t="shared" si="3"/>
        <v>#VALUE!</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e">
        <f t="shared" si="3"/>
        <v>#VALUE!</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e">
        <f t="shared" si="3"/>
        <v>#VALUE!</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e">
        <f t="shared" si="3"/>
        <v>#VALUE!</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e">
        <f t="shared" si="3"/>
        <v>#VALUE!</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e">
        <f t="shared" si="3"/>
        <v>#VALUE!</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e">
        <f t="shared" si="3"/>
        <v>#VALUE!</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e">
        <f t="shared" si="3"/>
        <v>#VALUE!</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e">
        <f t="shared" si="3"/>
        <v>#VALUE!</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e">
        <f t="shared" si="3"/>
        <v>#VALUE!</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e">
        <f t="shared" si="3"/>
        <v>#VALUE!</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e">
        <f t="shared" si="3"/>
        <v>#VALUE!</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e">
        <f t="shared" si="3"/>
        <v>#VALUE!</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e">
        <f t="shared" si="3"/>
        <v>#VALUE!</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e">
        <f t="shared" si="3"/>
        <v>#VALUE!</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e">
        <f t="shared" si="3"/>
        <v>#VALUE!</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e">
        <f t="shared" si="3"/>
        <v>#VALUE!</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e">
        <f t="shared" si="3"/>
        <v>#VALUE!</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e">
        <f t="shared" si="3"/>
        <v>#VALUE!</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e">
        <f t="shared" si="3"/>
        <v>#VALUE!</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e">
        <f t="shared" si="3"/>
        <v>#VALUE!</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e">
        <f t="shared" si="3"/>
        <v>#VALUE!</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e">
        <f t="shared" si="3"/>
        <v>#VALUE!</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e">
        <f t="shared" si="3"/>
        <v>#VALUE!</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e">
        <f t="shared" si="3"/>
        <v>#VALUE!</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e">
        <f t="shared" si="3"/>
        <v>#VALUE!</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e">
        <f t="shared" si="3"/>
        <v>#VALUE!</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e">
        <f t="shared" si="3"/>
        <v>#VALUE!</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e">
        <f t="shared" si="3"/>
        <v>#VALUE!</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e">
        <f t="shared" si="3"/>
        <v>#VALUE!</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e">
        <f t="shared" si="3"/>
        <v>#VALUE!</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e">
        <f t="shared" si="3"/>
        <v>#VALUE!</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e">
        <f t="shared" si="3"/>
        <v>#VALUE!</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e">
        <f t="shared" si="3"/>
        <v>#VALUE!</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e">
        <f t="shared" si="3"/>
        <v>#VALUE!</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e">
        <f t="shared" si="3"/>
        <v>#VALUE!</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e">
        <f t="shared" si="3"/>
        <v>#VALUE!</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e">
        <f t="shared" si="3"/>
        <v>#VALUE!</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e">
        <f t="shared" ref="A271:A334" si="4">HOUR(B271)&amp;":"&amp;MINUTE(B271)</f>
        <v>#VALUE!</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e">
        <f t="shared" si="4"/>
        <v>#VALUE!</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e">
        <f t="shared" si="4"/>
        <v>#VALUE!</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e">
        <f t="shared" si="4"/>
        <v>#VALUE!</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e">
        <f t="shared" si="4"/>
        <v>#VALUE!</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e">
        <f t="shared" si="4"/>
        <v>#VALUE!</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e">
        <f t="shared" si="4"/>
        <v>#VALUE!</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e">
        <f t="shared" si="4"/>
        <v>#VALUE!</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e">
        <f t="shared" si="4"/>
        <v>#VALUE!</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e">
        <f t="shared" si="4"/>
        <v>#VALUE!</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e">
        <f t="shared" si="4"/>
        <v>#VALUE!</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e">
        <f t="shared" si="4"/>
        <v>#VALUE!</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e">
        <f t="shared" si="4"/>
        <v>#VALUE!</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e">
        <f t="shared" si="4"/>
        <v>#VALUE!</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e">
        <f t="shared" si="4"/>
        <v>#VALUE!</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e">
        <f t="shared" si="4"/>
        <v>#VALUE!</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e">
        <f t="shared" si="4"/>
        <v>#VALUE!</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e">
        <f t="shared" si="4"/>
        <v>#VALUE!</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e">
        <f t="shared" si="4"/>
        <v>#VALUE!</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e">
        <f t="shared" si="4"/>
        <v>#VALUE!</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e">
        <f t="shared" si="4"/>
        <v>#VALUE!</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e">
        <f t="shared" si="4"/>
        <v>#VALUE!</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e">
        <f t="shared" si="4"/>
        <v>#VALUE!</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e">
        <f t="shared" si="4"/>
        <v>#VALUE!</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e">
        <f t="shared" si="4"/>
        <v>#VALUE!</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e">
        <f t="shared" si="4"/>
        <v>#VALUE!</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e">
        <f t="shared" si="4"/>
        <v>#VALUE!</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e">
        <f t="shared" si="4"/>
        <v>#VALUE!</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e">
        <f t="shared" si="4"/>
        <v>#VALUE!</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e">
        <f t="shared" si="4"/>
        <v>#VALUE!</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e">
        <f t="shared" si="4"/>
        <v>#VALUE!</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e">
        <f t="shared" si="4"/>
        <v>#VALUE!</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e">
        <f t="shared" si="4"/>
        <v>#VALUE!</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e">
        <f t="shared" si="4"/>
        <v>#VALUE!</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e">
        <f t="shared" si="4"/>
        <v>#VALUE!</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e">
        <f t="shared" si="4"/>
        <v>#VALUE!</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e">
        <f t="shared" si="4"/>
        <v>#VALUE!</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e">
        <f t="shared" si="4"/>
        <v>#VALUE!</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e">
        <f t="shared" si="4"/>
        <v>#VALUE!</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e">
        <f t="shared" si="4"/>
        <v>#VALUE!</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e">
        <f t="shared" si="4"/>
        <v>#VALUE!</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e">
        <f t="shared" si="4"/>
        <v>#VALUE!</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e">
        <f t="shared" si="4"/>
        <v>#VALUE!</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e">
        <f t="shared" si="4"/>
        <v>#VALUE!</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e">
        <f t="shared" si="4"/>
        <v>#VALUE!</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e">
        <f t="shared" si="4"/>
        <v>#VALUE!</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e">
        <f t="shared" si="4"/>
        <v>#VALUE!</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e">
        <f t="shared" si="4"/>
        <v>#VALUE!</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e">
        <f t="shared" si="4"/>
        <v>#VALUE!</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e">
        <f t="shared" si="4"/>
        <v>#VALUE!</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e">
        <f t="shared" si="4"/>
        <v>#VALUE!</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e">
        <f t="shared" si="4"/>
        <v>#VALUE!</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e">
        <f t="shared" si="4"/>
        <v>#VALUE!</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e">
        <f t="shared" si="4"/>
        <v>#VALUE!</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e">
        <f t="shared" si="4"/>
        <v>#VALUE!</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e">
        <f t="shared" si="4"/>
        <v>#VALUE!</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e">
        <f t="shared" si="4"/>
        <v>#VALUE!</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e">
        <f t="shared" si="4"/>
        <v>#VALUE!</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e">
        <f t="shared" si="4"/>
        <v>#VALUE!</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e">
        <f t="shared" si="4"/>
        <v>#VALUE!</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e">
        <f t="shared" si="4"/>
        <v>#VALUE!</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e">
        <f t="shared" si="4"/>
        <v>#VALUE!</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e">
        <f t="shared" si="4"/>
        <v>#VALUE!</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e">
        <f t="shared" si="4"/>
        <v>#VALUE!</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e">
        <f t="shared" ref="A335:A398" si="5">HOUR(B335)&amp;":"&amp;MINUTE(B335)</f>
        <v>#VALUE!</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e">
        <f t="shared" si="5"/>
        <v>#VALUE!</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e">
        <f t="shared" si="5"/>
        <v>#VALUE!</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e">
        <f t="shared" si="5"/>
        <v>#VALUE!</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e">
        <f t="shared" si="5"/>
        <v>#VALUE!</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e">
        <f t="shared" si="5"/>
        <v>#VALUE!</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e">
        <f t="shared" si="5"/>
        <v>#VALUE!</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e">
        <f t="shared" si="5"/>
        <v>#VALUE!</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e">
        <f t="shared" si="5"/>
        <v>#VALUE!</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e">
        <f t="shared" si="5"/>
        <v>#VALUE!</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e">
        <f t="shared" si="5"/>
        <v>#VALUE!</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e">
        <f t="shared" si="5"/>
        <v>#VALUE!</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e">
        <f t="shared" si="5"/>
        <v>#VALUE!</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e">
        <f t="shared" si="5"/>
        <v>#VALUE!</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e">
        <f t="shared" si="5"/>
        <v>#VALUE!</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e">
        <f t="shared" si="5"/>
        <v>#VALUE!</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e">
        <f t="shared" si="5"/>
        <v>#VALUE!</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e">
        <f t="shared" si="5"/>
        <v>#VALUE!</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e">
        <f t="shared" si="5"/>
        <v>#VALUE!</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e">
        <f t="shared" si="5"/>
        <v>#VALUE!</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e">
        <f t="shared" si="5"/>
        <v>#VALUE!</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e">
        <f t="shared" si="5"/>
        <v>#VALUE!</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e">
        <f t="shared" si="5"/>
        <v>#VALUE!</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e">
        <f t="shared" si="5"/>
        <v>#VALUE!</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e">
        <f t="shared" si="5"/>
        <v>#VALUE!</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e">
        <f t="shared" si="5"/>
        <v>#VALUE!</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e">
        <f t="shared" si="5"/>
        <v>#VALUE!</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e">
        <f t="shared" si="5"/>
        <v>#VALUE!</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e">
        <f t="shared" si="5"/>
        <v>#VALUE!</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e">
        <f t="shared" si="5"/>
        <v>#VALUE!</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e">
        <f t="shared" si="5"/>
        <v>#VALUE!</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e">
        <f t="shared" si="5"/>
        <v>#VALUE!</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e">
        <f t="shared" si="5"/>
        <v>#VALUE!</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e">
        <f t="shared" si="5"/>
        <v>#VALUE!</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e">
        <f t="shared" si="5"/>
        <v>#VALUE!</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e">
        <f t="shared" si="5"/>
        <v>#VALUE!</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e">
        <f t="shared" si="5"/>
        <v>#VALUE!</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e">
        <f t="shared" si="5"/>
        <v>#VALUE!</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e">
        <f t="shared" si="5"/>
        <v>#VALUE!</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e">
        <f t="shared" si="5"/>
        <v>#VALUE!</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e">
        <f t="shared" si="5"/>
        <v>#VALUE!</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e">
        <f t="shared" si="5"/>
        <v>#VALUE!</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e">
        <f t="shared" si="5"/>
        <v>#VALUE!</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e">
        <f t="shared" si="5"/>
        <v>#VALUE!</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e">
        <f t="shared" si="5"/>
        <v>#VALUE!</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e">
        <f t="shared" si="5"/>
        <v>#VALUE!</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e">
        <f t="shared" si="5"/>
        <v>#VALUE!</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e">
        <f t="shared" si="5"/>
        <v>#VALUE!</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e">
        <f t="shared" si="5"/>
        <v>#VALUE!</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e">
        <f t="shared" si="5"/>
        <v>#VALUE!</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e">
        <f t="shared" si="5"/>
        <v>#VALUE!</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e">
        <f t="shared" si="5"/>
        <v>#VALUE!</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e">
        <f t="shared" si="5"/>
        <v>#VALUE!</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e">
        <f t="shared" si="5"/>
        <v>#VALUE!</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e">
        <f t="shared" si="5"/>
        <v>#VALUE!</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e">
        <f t="shared" si="5"/>
        <v>#VALUE!</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e">
        <f t="shared" si="5"/>
        <v>#VALUE!</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e">
        <f t="shared" si="5"/>
        <v>#VALUE!</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e">
        <f t="shared" si="5"/>
        <v>#VALUE!</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e">
        <f t="shared" si="5"/>
        <v>#VALUE!</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e">
        <f t="shared" si="5"/>
        <v>#VALUE!</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e">
        <f t="shared" si="5"/>
        <v>#VALUE!</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e">
        <f t="shared" si="5"/>
        <v>#VALUE!</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e">
        <f t="shared" si="5"/>
        <v>#VALUE!</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e">
        <f t="shared" ref="A399:A462" si="6">HOUR(B399)&amp;":"&amp;MINUTE(B399)</f>
        <v>#VALUE!</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e">
        <f t="shared" si="6"/>
        <v>#VALUE!</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e">
        <f t="shared" si="6"/>
        <v>#VALUE!</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e">
        <f t="shared" si="6"/>
        <v>#VALUE!</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e">
        <f t="shared" si="6"/>
        <v>#VALUE!</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e">
        <f t="shared" si="6"/>
        <v>#VALUE!</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e">
        <f t="shared" si="6"/>
        <v>#VALUE!</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e">
        <f t="shared" si="6"/>
        <v>#VALUE!</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e">
        <f t="shared" si="6"/>
        <v>#VALUE!</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e">
        <f t="shared" si="6"/>
        <v>#VALUE!</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e">
        <f t="shared" si="6"/>
        <v>#VALUE!</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e">
        <f t="shared" si="6"/>
        <v>#VALUE!</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e">
        <f t="shared" si="6"/>
        <v>#VALUE!</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e">
        <f t="shared" si="6"/>
        <v>#VALUE!</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e">
        <f t="shared" si="6"/>
        <v>#VALUE!</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e">
        <f t="shared" si="6"/>
        <v>#VALUE!</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e">
        <f t="shared" si="6"/>
        <v>#VALUE!</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e">
        <f t="shared" si="6"/>
        <v>#VALUE!</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e">
        <f t="shared" si="6"/>
        <v>#VALUE!</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e">
        <f t="shared" si="6"/>
        <v>#VALUE!</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e">
        <f t="shared" si="6"/>
        <v>#VALUE!</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e">
        <f t="shared" si="6"/>
        <v>#VALUE!</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e">
        <f t="shared" si="6"/>
        <v>#VALUE!</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e">
        <f t="shared" si="6"/>
        <v>#VALUE!</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e">
        <f t="shared" si="6"/>
        <v>#VALUE!</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e">
        <f t="shared" si="6"/>
        <v>#VALUE!</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e">
        <f t="shared" si="6"/>
        <v>#VALUE!</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e">
        <f t="shared" si="6"/>
        <v>#VALUE!</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e">
        <f t="shared" si="6"/>
        <v>#VALUE!</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e">
        <f t="shared" si="6"/>
        <v>#VALUE!</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e">
        <f t="shared" si="6"/>
        <v>#VALUE!</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e">
        <f t="shared" si="6"/>
        <v>#VALUE!</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e">
        <f t="shared" si="6"/>
        <v>#VALUE!</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e">
        <f t="shared" si="6"/>
        <v>#VALUE!</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e">
        <f t="shared" si="6"/>
        <v>#VALUE!</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e">
        <f t="shared" si="6"/>
        <v>#VALUE!</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e">
        <f t="shared" si="6"/>
        <v>#VALUE!</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e">
        <f t="shared" si="6"/>
        <v>#VALUE!</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e">
        <f t="shared" si="6"/>
        <v>#VALUE!</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e">
        <f t="shared" si="6"/>
        <v>#VALUE!</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e">
        <f t="shared" si="6"/>
        <v>#VALUE!</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e">
        <f t="shared" si="6"/>
        <v>#VALUE!</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e">
        <f t="shared" si="6"/>
        <v>#VALUE!</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e">
        <f t="shared" si="6"/>
        <v>#VALUE!</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e">
        <f t="shared" si="6"/>
        <v>#VALUE!</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e">
        <f t="shared" si="6"/>
        <v>#VALUE!</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e">
        <f t="shared" si="6"/>
        <v>#VALUE!</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e">
        <f t="shared" si="6"/>
        <v>#VALUE!</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e">
        <f t="shared" si="6"/>
        <v>#VALUE!</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e">
        <f t="shared" si="6"/>
        <v>#VALUE!</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e">
        <f t="shared" si="6"/>
        <v>#VALUE!</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e">
        <f t="shared" si="6"/>
        <v>#VALUE!</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e">
        <f t="shared" si="6"/>
        <v>#VALUE!</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e">
        <f t="shared" si="6"/>
        <v>#VALUE!</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e">
        <f t="shared" si="6"/>
        <v>#VALUE!</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e">
        <f t="shared" si="6"/>
        <v>#VALUE!</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e">
        <f t="shared" si="6"/>
        <v>#VALUE!</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e">
        <f t="shared" si="6"/>
        <v>#VALUE!</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e">
        <f t="shared" si="6"/>
        <v>#VALUE!</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e">
        <f t="shared" si="6"/>
        <v>#VALUE!</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e">
        <f t="shared" si="6"/>
        <v>#VALUE!</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e">
        <f t="shared" si="6"/>
        <v>#VALUE!</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e">
        <f t="shared" si="6"/>
        <v>#VALUE!</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e">
        <f t="shared" si="6"/>
        <v>#VALUE!</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e">
        <f t="shared" ref="A463:A526" si="7">HOUR(B463)&amp;":"&amp;MINUTE(B463)</f>
        <v>#VALUE!</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e">
        <f t="shared" si="7"/>
        <v>#VALUE!</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e">
        <f t="shared" si="7"/>
        <v>#VALUE!</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e">
        <f t="shared" si="7"/>
        <v>#VALUE!</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e">
        <f t="shared" si="7"/>
        <v>#VALUE!</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e">
        <f t="shared" si="7"/>
        <v>#VALUE!</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e">
        <f t="shared" si="7"/>
        <v>#VALUE!</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e">
        <f t="shared" si="7"/>
        <v>#VALUE!</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e">
        <f t="shared" si="7"/>
        <v>#VALUE!</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e">
        <f t="shared" si="7"/>
        <v>#VALUE!</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e">
        <f t="shared" si="7"/>
        <v>#VALUE!</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e">
        <f t="shared" si="7"/>
        <v>#VALUE!</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e">
        <f t="shared" si="7"/>
        <v>#VALUE!</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e">
        <f t="shared" si="7"/>
        <v>#VALUE!</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e">
        <f t="shared" si="7"/>
        <v>#VALUE!</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e">
        <f t="shared" si="7"/>
        <v>#VALUE!</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e">
        <f t="shared" si="7"/>
        <v>#VALUE!</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e">
        <f t="shared" si="7"/>
        <v>#VALUE!</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e">
        <f t="shared" si="7"/>
        <v>#VALUE!</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e">
        <f t="shared" si="7"/>
        <v>#VALUE!</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e">
        <f t="shared" si="7"/>
        <v>#VALUE!</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e">
        <f t="shared" si="7"/>
        <v>#VALUE!</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e">
        <f t="shared" si="7"/>
        <v>#VALUE!</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e">
        <f t="shared" si="7"/>
        <v>#VALUE!</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e">
        <f t="shared" si="7"/>
        <v>#VALUE!</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e">
        <f t="shared" si="7"/>
        <v>#VALUE!</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e">
        <f t="shared" si="7"/>
        <v>#VALUE!</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e">
        <f t="shared" si="7"/>
        <v>#VALUE!</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e">
        <f t="shared" si="7"/>
        <v>#VALUE!</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e">
        <f t="shared" si="7"/>
        <v>#VALUE!</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e">
        <f t="shared" si="7"/>
        <v>#VALUE!</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e">
        <f t="shared" si="7"/>
        <v>#VALUE!</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e">
        <f t="shared" si="7"/>
        <v>#VALUE!</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e">
        <f t="shared" si="7"/>
        <v>#VALUE!</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e">
        <f t="shared" si="7"/>
        <v>#VALUE!</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e">
        <f t="shared" si="7"/>
        <v>#VALUE!</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e">
        <f t="shared" si="7"/>
        <v>#VALUE!</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e">
        <f t="shared" si="7"/>
        <v>#VALUE!</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e">
        <f t="shared" si="7"/>
        <v>#VALUE!</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e">
        <f t="shared" si="7"/>
        <v>#VALUE!</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e">
        <f t="shared" si="7"/>
        <v>#VALUE!</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e">
        <f t="shared" si="7"/>
        <v>#VALUE!</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e">
        <f t="shared" si="7"/>
        <v>#VALUE!</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e">
        <f t="shared" si="7"/>
        <v>#VALUE!</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e">
        <f t="shared" si="7"/>
        <v>#VALUE!</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e">
        <f t="shared" si="7"/>
        <v>#VALUE!</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e">
        <f t="shared" si="7"/>
        <v>#VALUE!</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e">
        <f t="shared" si="7"/>
        <v>#VALUE!</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e">
        <f t="shared" si="7"/>
        <v>#VALUE!</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e">
        <f t="shared" si="7"/>
        <v>#VALUE!</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e">
        <f t="shared" si="7"/>
        <v>#VALUE!</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e">
        <f t="shared" si="7"/>
        <v>#VALUE!</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e">
        <f t="shared" si="7"/>
        <v>#VALUE!</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e">
        <f t="shared" si="7"/>
        <v>#VALUE!</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e">
        <f t="shared" si="7"/>
        <v>#VALUE!</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e">
        <f t="shared" si="7"/>
        <v>#VALUE!</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e">
        <f t="shared" si="7"/>
        <v>#VALUE!</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e">
        <f t="shared" si="7"/>
        <v>#VALUE!</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e">
        <f t="shared" si="7"/>
        <v>#VALUE!</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e">
        <f t="shared" si="7"/>
        <v>#VALUE!</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e">
        <f t="shared" si="7"/>
        <v>#VALUE!</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e">
        <f t="shared" si="7"/>
        <v>#VALUE!</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e">
        <f t="shared" si="7"/>
        <v>#VALUE!</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e">
        <f t="shared" si="7"/>
        <v>#VALUE!</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e">
        <f t="shared" ref="A527:A590" si="8">HOUR(B527)&amp;":"&amp;MINUTE(B527)</f>
        <v>#VALUE!</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e">
        <f t="shared" si="8"/>
        <v>#VALUE!</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e">
        <f t="shared" si="8"/>
        <v>#VALUE!</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e">
        <f t="shared" si="8"/>
        <v>#VALUE!</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e">
        <f t="shared" si="8"/>
        <v>#VALUE!</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e">
        <f t="shared" si="8"/>
        <v>#VALUE!</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e">
        <f t="shared" si="8"/>
        <v>#VALUE!</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e">
        <f t="shared" si="8"/>
        <v>#VALUE!</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e">
        <f t="shared" si="8"/>
        <v>#VALUE!</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e">
        <f t="shared" si="8"/>
        <v>#VALUE!</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e">
        <f t="shared" si="8"/>
        <v>#VALUE!</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e">
        <f t="shared" si="8"/>
        <v>#VALUE!</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e">
        <f t="shared" si="8"/>
        <v>#VALUE!</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e">
        <f t="shared" si="8"/>
        <v>#VALUE!</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e">
        <f t="shared" si="8"/>
        <v>#VALUE!</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e">
        <f t="shared" si="8"/>
        <v>#VALUE!</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e">
        <f t="shared" si="8"/>
        <v>#VALUE!</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e">
        <f t="shared" si="8"/>
        <v>#VALUE!</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e">
        <f t="shared" si="8"/>
        <v>#VALUE!</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e">
        <f t="shared" si="8"/>
        <v>#VALUE!</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e">
        <f t="shared" si="8"/>
        <v>#VALUE!</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e">
        <f t="shared" si="8"/>
        <v>#VALUE!</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e">
        <f t="shared" si="8"/>
        <v>#VALUE!</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e">
        <f t="shared" si="8"/>
        <v>#VALUE!</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e">
        <f t="shared" si="8"/>
        <v>#VALUE!</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e">
        <f t="shared" si="8"/>
        <v>#VALUE!</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e">
        <f t="shared" si="8"/>
        <v>#VALUE!</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e">
        <f t="shared" si="8"/>
        <v>#VALUE!</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e">
        <f t="shared" si="8"/>
        <v>#VALUE!</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e">
        <f t="shared" si="8"/>
        <v>#VALUE!</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e">
        <f t="shared" si="8"/>
        <v>#VALUE!</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e">
        <f t="shared" si="8"/>
        <v>#VALUE!</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e">
        <f t="shared" si="8"/>
        <v>#VALUE!</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e">
        <f t="shared" si="8"/>
        <v>#VALUE!</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e">
        <f t="shared" si="8"/>
        <v>#VALUE!</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e">
        <f t="shared" si="8"/>
        <v>#VALUE!</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e">
        <f t="shared" si="8"/>
        <v>#VALUE!</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e">
        <f t="shared" si="8"/>
        <v>#VALUE!</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e">
        <f t="shared" si="8"/>
        <v>#VALUE!</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e">
        <f t="shared" si="8"/>
        <v>#VALUE!</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e">
        <f t="shared" si="8"/>
        <v>#VALUE!</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e">
        <f t="shared" si="8"/>
        <v>#VALUE!</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e">
        <f t="shared" si="8"/>
        <v>#VALUE!</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e">
        <f t="shared" si="8"/>
        <v>#VALUE!</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e">
        <f t="shared" si="8"/>
        <v>#VALUE!</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e">
        <f t="shared" si="8"/>
        <v>#VALUE!</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e">
        <f t="shared" si="8"/>
        <v>#VALUE!</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e">
        <f t="shared" si="8"/>
        <v>#VALUE!</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e">
        <f t="shared" si="8"/>
        <v>#VALUE!</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e">
        <f t="shared" si="8"/>
        <v>#VALUE!</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e">
        <f t="shared" si="8"/>
        <v>#VALUE!</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e">
        <f t="shared" si="8"/>
        <v>#VALUE!</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e">
        <f t="shared" si="8"/>
        <v>#VALUE!</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e">
        <f t="shared" si="8"/>
        <v>#VALUE!</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e">
        <f t="shared" si="8"/>
        <v>#VALUE!</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e">
        <f t="shared" si="8"/>
        <v>#VALUE!</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e">
        <f t="shared" si="8"/>
        <v>#VALUE!</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e">
        <f t="shared" si="8"/>
        <v>#VALUE!</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e">
        <f t="shared" si="8"/>
        <v>#VALUE!</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e">
        <f t="shared" si="8"/>
        <v>#VALUE!</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e">
        <f t="shared" si="8"/>
        <v>#VALUE!</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e">
        <f t="shared" si="8"/>
        <v>#VALUE!</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e">
        <f t="shared" si="8"/>
        <v>#VALUE!</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e">
        <f t="shared" si="8"/>
        <v>#VALUE!</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e">
        <f t="shared" ref="A591:A654" si="9">HOUR(B591)&amp;":"&amp;MINUTE(B591)</f>
        <v>#VALUE!</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e">
        <f t="shared" si="9"/>
        <v>#VALUE!</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e">
        <f t="shared" si="9"/>
        <v>#VALUE!</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e">
        <f t="shared" si="9"/>
        <v>#VALUE!</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e">
        <f t="shared" si="9"/>
        <v>#VALUE!</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e">
        <f t="shared" si="9"/>
        <v>#VALUE!</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e">
        <f t="shared" si="9"/>
        <v>#VALUE!</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e">
        <f t="shared" si="9"/>
        <v>#VALUE!</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e">
        <f t="shared" si="9"/>
        <v>#VALUE!</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e">
        <f t="shared" si="9"/>
        <v>#VALUE!</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e">
        <f t="shared" si="9"/>
        <v>#VALUE!</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e">
        <f t="shared" si="9"/>
        <v>#VALUE!</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e">
        <f t="shared" si="9"/>
        <v>#VALUE!</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e">
        <f t="shared" si="9"/>
        <v>#VALUE!</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e">
        <f t="shared" si="9"/>
        <v>#VALUE!</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e">
        <f t="shared" si="9"/>
        <v>#VALUE!</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e">
        <f t="shared" si="9"/>
        <v>#VALUE!</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e">
        <f t="shared" si="9"/>
        <v>#VALUE!</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e">
        <f t="shared" si="9"/>
        <v>#VALUE!</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e">
        <f t="shared" si="9"/>
        <v>#VALUE!</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e">
        <f t="shared" si="9"/>
        <v>#VALUE!</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e">
        <f t="shared" si="9"/>
        <v>#VALUE!</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e">
        <f t="shared" si="9"/>
        <v>#VALUE!</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e">
        <f t="shared" si="9"/>
        <v>#VALUE!</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e">
        <f t="shared" si="9"/>
        <v>#VALUE!</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e">
        <f t="shared" si="9"/>
        <v>#VALUE!</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e">
        <f t="shared" si="9"/>
        <v>#VALUE!</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e">
        <f t="shared" si="9"/>
        <v>#VALUE!</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e">
        <f t="shared" si="9"/>
        <v>#VALUE!</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e">
        <f t="shared" si="9"/>
        <v>#VALUE!</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e">
        <f t="shared" si="9"/>
        <v>#VALUE!</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e">
        <f t="shared" si="9"/>
        <v>#VALUE!</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e">
        <f t="shared" si="9"/>
        <v>#VALUE!</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e">
        <f t="shared" si="9"/>
        <v>#VALUE!</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e">
        <f t="shared" si="9"/>
        <v>#VALUE!</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e">
        <f t="shared" si="9"/>
        <v>#VALUE!</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e">
        <f t="shared" si="9"/>
        <v>#VALUE!</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e">
        <f t="shared" si="9"/>
        <v>#VALUE!</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e">
        <f t="shared" si="9"/>
        <v>#VALUE!</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e">
        <f t="shared" si="9"/>
        <v>#VALUE!</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e">
        <f t="shared" si="9"/>
        <v>#VALUE!</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e">
        <f t="shared" si="9"/>
        <v>#VALUE!</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e">
        <f t="shared" si="9"/>
        <v>#VALUE!</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e">
        <f t="shared" si="9"/>
        <v>#VALUE!</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e">
        <f t="shared" si="9"/>
        <v>#VALUE!</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e">
        <f t="shared" si="9"/>
        <v>#VALUE!</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e">
        <f t="shared" si="9"/>
        <v>#VALUE!</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e">
        <f t="shared" si="9"/>
        <v>#VALUE!</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e">
        <f t="shared" si="9"/>
        <v>#VALUE!</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e">
        <f t="shared" si="9"/>
        <v>#VALUE!</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e">
        <f t="shared" si="9"/>
        <v>#VALUE!</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e">
        <f t="shared" si="9"/>
        <v>#VALUE!</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e">
        <f t="shared" si="9"/>
        <v>#VALUE!</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e">
        <f t="shared" si="9"/>
        <v>#VALUE!</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e">
        <f t="shared" si="9"/>
        <v>#VALUE!</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e">
        <f t="shared" si="9"/>
        <v>#VALUE!</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e">
        <f t="shared" si="9"/>
        <v>#VALUE!</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e">
        <f t="shared" si="9"/>
        <v>#VALUE!</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e">
        <f t="shared" si="9"/>
        <v>#VALUE!</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e">
        <f t="shared" si="9"/>
        <v>#VALUE!</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e">
        <f t="shared" si="9"/>
        <v>#VALUE!</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e">
        <f t="shared" si="9"/>
        <v>#VALUE!</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e">
        <f t="shared" si="9"/>
        <v>#VALUE!</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e">
        <f t="shared" si="9"/>
        <v>#VALUE!</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e">
        <f t="shared" ref="A655:A718" si="10">HOUR(B655)&amp;":"&amp;MINUTE(B655)</f>
        <v>#VALUE!</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e">
        <f t="shared" si="10"/>
        <v>#VALUE!</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e">
        <f t="shared" si="10"/>
        <v>#VALUE!</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e">
        <f t="shared" si="10"/>
        <v>#VALUE!</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e">
        <f t="shared" si="10"/>
        <v>#VALUE!</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e">
        <f t="shared" si="10"/>
        <v>#VALUE!</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e">
        <f t="shared" si="10"/>
        <v>#VALUE!</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e">
        <f t="shared" si="10"/>
        <v>#VALUE!</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e">
        <f t="shared" si="10"/>
        <v>#VALUE!</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e">
        <f t="shared" si="10"/>
        <v>#VALUE!</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e">
        <f t="shared" si="10"/>
        <v>#VALUE!</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e">
        <f t="shared" si="10"/>
        <v>#VALUE!</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e">
        <f t="shared" si="10"/>
        <v>#VALUE!</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e">
        <f t="shared" si="10"/>
        <v>#VALUE!</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e">
        <f t="shared" si="10"/>
        <v>#VALUE!</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e">
        <f t="shared" si="10"/>
        <v>#VALUE!</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e">
        <f t="shared" si="10"/>
        <v>#VALUE!</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e">
        <f t="shared" si="10"/>
        <v>#VALUE!</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e">
        <f t="shared" si="10"/>
        <v>#VALUE!</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e">
        <f t="shared" si="10"/>
        <v>#VALUE!</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e">
        <f t="shared" si="10"/>
        <v>#VALUE!</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e">
        <f t="shared" si="10"/>
        <v>#VALUE!</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e">
        <f t="shared" si="10"/>
        <v>#VALUE!</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e">
        <f t="shared" si="10"/>
        <v>#VALUE!</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e">
        <f t="shared" si="10"/>
        <v>#VALUE!</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e">
        <f t="shared" si="10"/>
        <v>#VALUE!</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e">
        <f t="shared" si="10"/>
        <v>#VALUE!</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e">
        <f t="shared" si="10"/>
        <v>#VALUE!</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e">
        <f t="shared" si="10"/>
        <v>#VALUE!</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e">
        <f t="shared" si="10"/>
        <v>#VALUE!</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e">
        <f t="shared" si="10"/>
        <v>#VALUE!</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e">
        <f t="shared" si="10"/>
        <v>#VALUE!</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e">
        <f t="shared" si="10"/>
        <v>#VALUE!</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e">
        <f t="shared" si="10"/>
        <v>#VALUE!</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e">
        <f t="shared" si="10"/>
        <v>#VALUE!</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e">
        <f t="shared" si="10"/>
        <v>#VALUE!</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e">
        <f t="shared" si="10"/>
        <v>#VALUE!</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e">
        <f t="shared" si="10"/>
        <v>#VALUE!</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e">
        <f t="shared" si="10"/>
        <v>#VALUE!</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e">
        <f t="shared" si="10"/>
        <v>#VALUE!</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e">
        <f t="shared" si="10"/>
        <v>#VALUE!</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e">
        <f t="shared" si="10"/>
        <v>#VALUE!</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e">
        <f t="shared" si="10"/>
        <v>#VALUE!</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e">
        <f t="shared" si="10"/>
        <v>#VALUE!</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e">
        <f t="shared" si="10"/>
        <v>#VALUE!</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e">
        <f t="shared" si="10"/>
        <v>#VALUE!</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e">
        <f t="shared" si="10"/>
        <v>#VALUE!</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e">
        <f t="shared" si="10"/>
        <v>#VALUE!</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e">
        <f t="shared" si="10"/>
        <v>#VALUE!</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e">
        <f t="shared" si="10"/>
        <v>#VALUE!</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e">
        <f t="shared" si="10"/>
        <v>#VALUE!</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e">
        <f t="shared" si="10"/>
        <v>#VALUE!</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e">
        <f t="shared" si="10"/>
        <v>#VALUE!</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e">
        <f t="shared" si="10"/>
        <v>#VALUE!</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e">
        <f t="shared" si="10"/>
        <v>#VALUE!</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e">
        <f t="shared" si="10"/>
        <v>#VALUE!</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e">
        <f t="shared" si="10"/>
        <v>#VALUE!</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e">
        <f t="shared" si="10"/>
        <v>#VALUE!</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e">
        <f t="shared" si="10"/>
        <v>#VALUE!</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e">
        <f t="shared" si="10"/>
        <v>#VALUE!</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e">
        <f t="shared" si="10"/>
        <v>#VALUE!</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e">
        <f t="shared" si="10"/>
        <v>#VALUE!</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e">
        <f t="shared" si="10"/>
        <v>#VALUE!</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e">
        <f t="shared" si="10"/>
        <v>#VALUE!</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e">
        <f t="shared" ref="A719:A782" si="11">HOUR(B719)&amp;":"&amp;MINUTE(B719)</f>
        <v>#VALUE!</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e">
        <f t="shared" si="11"/>
        <v>#VALUE!</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e">
        <f t="shared" si="11"/>
        <v>#VALUE!</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e">
        <f t="shared" si="11"/>
        <v>#VALUE!</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e">
        <f t="shared" si="11"/>
        <v>#VALUE!</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e">
        <f t="shared" si="11"/>
        <v>#VALUE!</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e">
        <f t="shared" si="11"/>
        <v>#VALUE!</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e">
        <f t="shared" si="11"/>
        <v>#VALUE!</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e">
        <f t="shared" si="11"/>
        <v>#VALUE!</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e">
        <f t="shared" si="11"/>
        <v>#VALUE!</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e">
        <f t="shared" si="11"/>
        <v>#VALUE!</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e">
        <f t="shared" si="11"/>
        <v>#VALUE!</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e">
        <f t="shared" si="11"/>
        <v>#VALUE!</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e">
        <f t="shared" si="11"/>
        <v>#VALUE!</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e">
        <f t="shared" si="11"/>
        <v>#VALUE!</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e">
        <f t="shared" si="11"/>
        <v>#VALUE!</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e">
        <f t="shared" si="11"/>
        <v>#VALUE!</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e">
        <f t="shared" si="11"/>
        <v>#VALUE!</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e">
        <f t="shared" si="11"/>
        <v>#VALUE!</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e">
        <f t="shared" si="11"/>
        <v>#VALUE!</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e">
        <f t="shared" si="11"/>
        <v>#VALUE!</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e">
        <f t="shared" si="11"/>
        <v>#VALUE!</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e">
        <f t="shared" si="11"/>
        <v>#VALUE!</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e">
        <f t="shared" si="11"/>
        <v>#VALUE!</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e">
        <f t="shared" si="11"/>
        <v>#VALUE!</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e">
        <f t="shared" si="11"/>
        <v>#VALUE!</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e">
        <f t="shared" si="11"/>
        <v>#VALUE!</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e">
        <f t="shared" si="11"/>
        <v>#VALUE!</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e">
        <f t="shared" si="11"/>
        <v>#VALUE!</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e">
        <f t="shared" si="11"/>
        <v>#VALUE!</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e">
        <f t="shared" si="11"/>
        <v>#VALUE!</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e">
        <f t="shared" si="11"/>
        <v>#VALUE!</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e">
        <f t="shared" si="11"/>
        <v>#VALUE!</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e">
        <f t="shared" si="11"/>
        <v>#VALUE!</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e">
        <f t="shared" si="11"/>
        <v>#VALUE!</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e">
        <f t="shared" si="11"/>
        <v>#VALUE!</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e">
        <f t="shared" si="11"/>
        <v>#VALUE!</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e">
        <f t="shared" si="11"/>
        <v>#VALUE!</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e">
        <f t="shared" si="11"/>
        <v>#VALUE!</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e">
        <f t="shared" si="11"/>
        <v>#VALUE!</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e">
        <f t="shared" si="11"/>
        <v>#VALUE!</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e">
        <f t="shared" si="11"/>
        <v>#VALUE!</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e">
        <f t="shared" si="11"/>
        <v>#VALUE!</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e">
        <f t="shared" si="11"/>
        <v>#VALUE!</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e">
        <f t="shared" si="11"/>
        <v>#VALUE!</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e">
        <f t="shared" si="11"/>
        <v>#VALUE!</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e">
        <f t="shared" si="11"/>
        <v>#VALUE!</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e">
        <f t="shared" si="11"/>
        <v>#VALUE!</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e">
        <f t="shared" si="11"/>
        <v>#VALUE!</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e">
        <f t="shared" si="11"/>
        <v>#VALUE!</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e">
        <f t="shared" si="11"/>
        <v>#VALUE!</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e">
        <f t="shared" si="11"/>
        <v>#VALUE!</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e">
        <f t="shared" si="11"/>
        <v>#VALUE!</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e">
        <f t="shared" si="11"/>
        <v>#VALUE!</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e">
        <f t="shared" si="11"/>
        <v>#VALUE!</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e">
        <f t="shared" si="11"/>
        <v>#VALUE!</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e">
        <f t="shared" si="11"/>
        <v>#VALUE!</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e">
        <f t="shared" si="11"/>
        <v>#VALUE!</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e">
        <f t="shared" si="11"/>
        <v>#VALUE!</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e">
        <f t="shared" si="11"/>
        <v>#VALUE!</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e">
        <f t="shared" si="11"/>
        <v>#VALUE!</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e">
        <f t="shared" si="11"/>
        <v>#VALUE!</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e">
        <f t="shared" si="11"/>
        <v>#VALUE!</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e">
        <f t="shared" si="11"/>
        <v>#VALUE!</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e">
        <f t="shared" ref="A783:A846" si="12">HOUR(B783)&amp;":"&amp;MINUTE(B783)</f>
        <v>#VALUE!</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e">
        <f t="shared" si="12"/>
        <v>#VALUE!</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e">
        <f t="shared" si="12"/>
        <v>#VALUE!</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e">
        <f t="shared" si="12"/>
        <v>#VALUE!</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e">
        <f t="shared" si="12"/>
        <v>#VALUE!</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e">
        <f t="shared" si="12"/>
        <v>#VALUE!</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e">
        <f t="shared" si="12"/>
        <v>#VALUE!</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e">
        <f t="shared" si="12"/>
        <v>#VALUE!</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e">
        <f t="shared" si="12"/>
        <v>#VALUE!</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e">
        <f t="shared" si="12"/>
        <v>#VALUE!</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e">
        <f t="shared" si="12"/>
        <v>#VALUE!</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e">
        <f t="shared" si="12"/>
        <v>#VALUE!</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e">
        <f t="shared" si="12"/>
        <v>#VALUE!</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e">
        <f t="shared" si="12"/>
        <v>#VALUE!</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e">
        <f t="shared" si="12"/>
        <v>#VALUE!</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e">
        <f t="shared" si="12"/>
        <v>#VALUE!</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e">
        <f t="shared" si="12"/>
        <v>#VALUE!</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e">
        <f t="shared" si="12"/>
        <v>#VALUE!</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e">
        <f t="shared" si="12"/>
        <v>#VALUE!</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e">
        <f t="shared" si="12"/>
        <v>#VALUE!</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e">
        <f t="shared" si="12"/>
        <v>#VALUE!</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e">
        <f t="shared" si="12"/>
        <v>#VALUE!</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e">
        <f t="shared" si="12"/>
        <v>#VALUE!</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e">
        <f t="shared" si="12"/>
        <v>#VALUE!</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e">
        <f t="shared" si="12"/>
        <v>#VALUE!</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e">
        <f t="shared" si="12"/>
        <v>#VALUE!</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e">
        <f t="shared" si="12"/>
        <v>#VALUE!</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e">
        <f t="shared" si="12"/>
        <v>#VALUE!</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e">
        <f t="shared" si="12"/>
        <v>#VALUE!</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e">
        <f t="shared" si="12"/>
        <v>#VALUE!</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e">
        <f t="shared" si="12"/>
        <v>#VALUE!</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e">
        <f t="shared" si="12"/>
        <v>#VALUE!</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e">
        <f t="shared" si="12"/>
        <v>#VALUE!</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e">
        <f t="shared" si="12"/>
        <v>#VALUE!</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e">
        <f t="shared" si="12"/>
        <v>#VALUE!</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e">
        <f t="shared" si="12"/>
        <v>#VALUE!</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e">
        <f t="shared" si="12"/>
        <v>#VALUE!</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e">
        <f t="shared" si="12"/>
        <v>#VALUE!</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e">
        <f t="shared" si="12"/>
        <v>#VALUE!</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e">
        <f t="shared" si="12"/>
        <v>#VALUE!</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e">
        <f t="shared" si="12"/>
        <v>#VALUE!</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e">
        <f t="shared" si="12"/>
        <v>#VALUE!</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e">
        <f t="shared" si="12"/>
        <v>#VALUE!</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e">
        <f t="shared" si="12"/>
        <v>#VALUE!</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e">
        <f t="shared" si="12"/>
        <v>#VALUE!</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e">
        <f t="shared" si="12"/>
        <v>#VALUE!</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e">
        <f t="shared" si="12"/>
        <v>#VALUE!</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e">
        <f t="shared" si="12"/>
        <v>#VALUE!</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e">
        <f t="shared" si="12"/>
        <v>#VALUE!</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e">
        <f t="shared" si="12"/>
        <v>#VALUE!</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e">
        <f t="shared" si="12"/>
        <v>#VALUE!</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e">
        <f t="shared" si="12"/>
        <v>#VALUE!</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e">
        <f t="shared" si="12"/>
        <v>#VALUE!</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e">
        <f t="shared" si="12"/>
        <v>#VALUE!</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e">
        <f t="shared" si="12"/>
        <v>#VALUE!</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e">
        <f t="shared" si="12"/>
        <v>#VALUE!</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e">
        <f t="shared" si="12"/>
        <v>#VALUE!</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e">
        <f t="shared" si="12"/>
        <v>#VALUE!</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e">
        <f t="shared" si="12"/>
        <v>#VALUE!</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e">
        <f t="shared" si="12"/>
        <v>#VALUE!</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e">
        <f t="shared" si="12"/>
        <v>#VALUE!</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e">
        <f t="shared" si="12"/>
        <v>#VALUE!</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e">
        <f t="shared" si="12"/>
        <v>#VALUE!</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e">
        <f t="shared" si="12"/>
        <v>#VALUE!</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e">
        <f t="shared" ref="A847:A903" si="13">HOUR(B847)&amp;":"&amp;MINUTE(B847)</f>
        <v>#VALUE!</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e">
        <f t="shared" si="13"/>
        <v>#VALUE!</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e">
        <f t="shared" si="13"/>
        <v>#VALUE!</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e">
        <f t="shared" si="13"/>
        <v>#VALUE!</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e">
        <f t="shared" si="13"/>
        <v>#VALUE!</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e">
        <f t="shared" si="13"/>
        <v>#VALUE!</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e">
        <f t="shared" si="13"/>
        <v>#VALUE!</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e">
        <f t="shared" si="13"/>
        <v>#VALUE!</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e">
        <f t="shared" si="13"/>
        <v>#VALUE!</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e">
        <f t="shared" si="13"/>
        <v>#VALUE!</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e">
        <f t="shared" si="13"/>
        <v>#VALUE!</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e">
        <f t="shared" si="13"/>
        <v>#VALUE!</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e">
        <f t="shared" si="13"/>
        <v>#VALUE!</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e">
        <f t="shared" si="13"/>
        <v>#VALUE!</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e">
        <f t="shared" si="13"/>
        <v>#VALUE!</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e">
        <f t="shared" si="13"/>
        <v>#VALUE!</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e">
        <f t="shared" si="13"/>
        <v>#VALUE!</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e">
        <f t="shared" si="13"/>
        <v>#VALUE!</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e">
        <f t="shared" si="13"/>
        <v>#VALUE!</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e">
        <f t="shared" si="13"/>
        <v>#VALUE!</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e">
        <f t="shared" si="13"/>
        <v>#VALUE!</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e">
        <f t="shared" si="13"/>
        <v>#VALUE!</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e">
        <f t="shared" si="13"/>
        <v>#VALUE!</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e">
        <f t="shared" si="13"/>
        <v>#VALUE!</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e">
        <f t="shared" si="13"/>
        <v>#VALUE!</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e">
        <f t="shared" si="13"/>
        <v>#VALUE!</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e">
        <f t="shared" si="13"/>
        <v>#VALUE!</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e">
        <f t="shared" si="13"/>
        <v>#VALUE!</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e">
        <f t="shared" si="13"/>
        <v>#VALUE!</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e">
        <f t="shared" si="13"/>
        <v>#VALUE!</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e">
        <f t="shared" si="13"/>
        <v>#VALUE!</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e">
        <f t="shared" si="13"/>
        <v>#VALUE!</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e">
        <f t="shared" si="13"/>
        <v>#VALUE!</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e">
        <f t="shared" si="13"/>
        <v>#VALUE!</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e">
        <f t="shared" si="13"/>
        <v>#VALUE!</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e">
        <f t="shared" si="13"/>
        <v>#VALUE!</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e">
        <f t="shared" si="13"/>
        <v>#VALUE!</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e">
        <f t="shared" si="13"/>
        <v>#VALUE!</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e">
        <f t="shared" si="13"/>
        <v>#VALUE!</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e">
        <f t="shared" si="13"/>
        <v>#VALUE!</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e">
        <f t="shared" si="13"/>
        <v>#VALUE!</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e">
        <f t="shared" si="13"/>
        <v>#VALUE!</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e">
        <f t="shared" si="13"/>
        <v>#VALUE!</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e">
        <f t="shared" si="13"/>
        <v>#VALUE!</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e">
        <f t="shared" si="13"/>
        <v>#VALUE!</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e">
        <f t="shared" si="13"/>
        <v>#VALUE!</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e">
        <f t="shared" si="13"/>
        <v>#VALUE!</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e">
        <f t="shared" si="13"/>
        <v>#VALUE!</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e">
        <f t="shared" si="13"/>
        <v>#VALUE!</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e">
        <f t="shared" si="13"/>
        <v>#VALUE!</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e">
        <f t="shared" si="13"/>
        <v>#VALUE!</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e">
        <f t="shared" si="13"/>
        <v>#VALUE!</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e">
        <f t="shared" si="13"/>
        <v>#VALUE!</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e">
        <f t="shared" si="13"/>
        <v>#VALUE!</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e">
        <f t="shared" si="13"/>
        <v>#VALUE!</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e">
        <f t="shared" si="13"/>
        <v>#VALUE!</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e">
        <f t="shared" si="13"/>
        <v>#VALUE!</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C19" sqref="AC19"/>
    </sheetView>
  </sheetViews>
  <sheetFormatPr defaultRowHeight="12.75" x14ac:dyDescent="0.2"/>
  <cols>
    <col min="1" max="1" width="20.28515625" bestFit="1" customWidth="1"/>
    <col min="2" max="2" width="10.7109375" customWidth="1"/>
    <col min="9" max="9" width="10.8554687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INDIRECT("Data_Sheet!B"&amp;10+$B$50)</f>
        <v>#N/A</v>
      </c>
      <c r="B10" s="49" t="e">
        <f ca="1">INDIRECT("Data_Sheet!c"&amp;10+$B$50)</f>
        <v>#N/A</v>
      </c>
      <c r="C10" s="49" t="e">
        <f ca="1">INDIRECT("Data_Sheet!D"&amp;10+$B$50)</f>
        <v>#N/A</v>
      </c>
      <c r="D10" s="49" t="e">
        <f ca="1">INDIRECT("Data_Sheet!E"&amp;10+$B$50)</f>
        <v>#N/A</v>
      </c>
      <c r="E10" s="49" t="e">
        <f ca="1">INDIRECT("Data_Sheet!F"&amp;10+$B$50)</f>
        <v>#N/A</v>
      </c>
      <c r="F10" s="49" t="e">
        <f ca="1">INDIRECT("Data_Sheet!G"&amp;10+$B$50)</f>
        <v>#N/A</v>
      </c>
      <c r="G10" s="49" t="e">
        <f ca="1">INDIRECT("Data_Sheet!H"&amp;10+$B$50)</f>
        <v>#N/A</v>
      </c>
      <c r="H10" s="49" t="e">
        <f ca="1">INDIRECT("Data_Sheet!I"&amp;10+$B$50)</f>
        <v>#N/A</v>
      </c>
      <c r="I10" s="49" t="e">
        <f ca="1">INDIRECT("Data_Sheet!J"&amp;10+$B$50)</f>
        <v>#N/A</v>
      </c>
      <c r="J10" s="49" t="e">
        <f ca="1">INDIRECT("Data_Sheet!K"&amp;10+$B$50)</f>
        <v>#N/A</v>
      </c>
      <c r="K10" s="49" t="e">
        <f ca="1">INDIRECT("Data_Sheet!L"&amp;10+$B$50)</f>
        <v>#N/A</v>
      </c>
      <c r="L10" s="49" t="e">
        <f ca="1">INDIRECT("Data_Sheet!M"&amp;10+$B$50)</f>
        <v>#N/A</v>
      </c>
      <c r="M10" s="49" t="e">
        <f ca="1">INDIRECT("Data_Sheet!N"&amp;10+$B$50)</f>
        <v>#N/A</v>
      </c>
      <c r="N10" s="49" t="e">
        <f ca="1">INDIRECT("Data_Sheet!O"&amp;10+$B$50)</f>
        <v>#N/A</v>
      </c>
      <c r="O10" s="49" t="e">
        <f ca="1">INDIRECT("Data_Sheet!P"&amp;10+$B$50)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INDIRECT("Data_Sheet!B"&amp;11+$B$50)</f>
        <v>#N/A</v>
      </c>
      <c r="B11" s="49" t="e">
        <f ca="1">INDIRECT("Data_Sheet!c"&amp;11+$B$50)</f>
        <v>#N/A</v>
      </c>
      <c r="C11" s="49" t="e">
        <f ca="1">INDIRECT("Data_Sheet!D"&amp;11+$B$50)</f>
        <v>#N/A</v>
      </c>
      <c r="D11" s="49" t="e">
        <f ca="1">INDIRECT("Data_Sheet!E"&amp;11+$B$50)</f>
        <v>#N/A</v>
      </c>
      <c r="E11" s="49" t="e">
        <f ca="1">INDIRECT("Data_Sheet!F"&amp;11+$B$50)</f>
        <v>#N/A</v>
      </c>
      <c r="F11" s="49" t="e">
        <f ca="1">INDIRECT("Data_Sheet!G"&amp;11+$B$50)</f>
        <v>#N/A</v>
      </c>
      <c r="G11" s="49" t="e">
        <f ca="1">INDIRECT("Data_Sheet!H"&amp;11+$B$50)</f>
        <v>#N/A</v>
      </c>
      <c r="H11" s="49" t="e">
        <f ca="1">INDIRECT("Data_Sheet!I"&amp;11+$B$50)</f>
        <v>#N/A</v>
      </c>
      <c r="I11" s="49" t="e">
        <f ca="1">INDIRECT("Data_Sheet!J"&amp;11+$B$50)</f>
        <v>#N/A</v>
      </c>
      <c r="J11" s="49" t="e">
        <f ca="1">INDIRECT("Data_Sheet!K"&amp;11+$B$50)</f>
        <v>#N/A</v>
      </c>
      <c r="K11" s="49" t="e">
        <f ca="1">INDIRECT("Data_Sheet!L"&amp;11+$B$50)</f>
        <v>#N/A</v>
      </c>
      <c r="L11" s="49" t="e">
        <f ca="1">INDIRECT("Data_Sheet!M"&amp;11+$B$50)</f>
        <v>#N/A</v>
      </c>
      <c r="M11" s="49" t="e">
        <f ca="1">INDIRECT("Data_Sheet!N"&amp;11+$B$50)</f>
        <v>#N/A</v>
      </c>
      <c r="N11" s="49" t="e">
        <f ca="1">INDIRECT("Data_Sheet!O"&amp;11+$B$50)</f>
        <v>#N/A</v>
      </c>
      <c r="O11" s="49" t="e">
        <f ca="1">INDIRECT("Data_Sheet!P"&amp;11+$B$50)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INDIRECT("Data_Sheet!B"&amp;12+$B$50)</f>
        <v>#N/A</v>
      </c>
      <c r="B12" s="49" t="e">
        <f ca="1">INDIRECT("Data_Sheet!c"&amp;12+$B$50)</f>
        <v>#N/A</v>
      </c>
      <c r="C12" s="49" t="e">
        <f ca="1">INDIRECT("Data_Sheet!D"&amp;12+$B$50)</f>
        <v>#N/A</v>
      </c>
      <c r="D12" s="49" t="e">
        <f ca="1">INDIRECT("Data_Sheet!E"&amp;12+$B$50)</f>
        <v>#N/A</v>
      </c>
      <c r="E12" s="49" t="e">
        <f ca="1">INDIRECT("Data_Sheet!F"&amp;12+$B$50)</f>
        <v>#N/A</v>
      </c>
      <c r="F12" s="49" t="e">
        <f ca="1">INDIRECT("Data_Sheet!G"&amp;12+$B$50)</f>
        <v>#N/A</v>
      </c>
      <c r="G12" s="49" t="e">
        <f ca="1">INDIRECT("Data_Sheet!H"&amp;12+$B$50)</f>
        <v>#N/A</v>
      </c>
      <c r="H12" s="49" t="e">
        <f ca="1">INDIRECT("Data_Sheet!I"&amp;12+$B$50)</f>
        <v>#N/A</v>
      </c>
      <c r="I12" s="49" t="e">
        <f ca="1">INDIRECT("Data_Sheet!J"&amp;12+$B$50)</f>
        <v>#N/A</v>
      </c>
      <c r="J12" s="49" t="e">
        <f ca="1">INDIRECT("Data_Sheet!K"&amp;12+$B$50)</f>
        <v>#N/A</v>
      </c>
      <c r="K12" s="49" t="e">
        <f ca="1">INDIRECT("Data_Sheet!L"&amp;12+$B$50)</f>
        <v>#N/A</v>
      </c>
      <c r="L12" s="49" t="e">
        <f ca="1">INDIRECT("Data_Sheet!M"&amp;12+$B$50)</f>
        <v>#N/A</v>
      </c>
      <c r="M12" s="49" t="e">
        <f ca="1">INDIRECT("Data_Sheet!N"&amp;12+$B$50)</f>
        <v>#N/A</v>
      </c>
      <c r="N12" s="49" t="e">
        <f ca="1">INDIRECT("Data_Sheet!O"&amp;12+$B$50)</f>
        <v>#N/A</v>
      </c>
      <c r="O12" s="49" t="e">
        <f ca="1">INDIRECT("Data_Sheet!P"&amp;12+$B$50)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INDIRECT("Data_Sheet!B"&amp;13+$B$50)</f>
        <v>#N/A</v>
      </c>
      <c r="B13" s="49" t="e">
        <f ca="1">INDIRECT("Data_Sheet!C"&amp;13+$B$50)</f>
        <v>#N/A</v>
      </c>
      <c r="C13" s="49" t="e">
        <f ca="1">INDIRECT("Data_Sheet!D"&amp;13+$B$50)</f>
        <v>#N/A</v>
      </c>
      <c r="D13" s="49" t="e">
        <f ca="1">INDIRECT("Data_Sheet!E"&amp;13+$B$50)</f>
        <v>#N/A</v>
      </c>
      <c r="E13" s="49" t="e">
        <f ca="1">INDIRECT("Data_Sheet!F"&amp;13+$B$50)</f>
        <v>#N/A</v>
      </c>
      <c r="F13" s="49" t="e">
        <f ca="1">INDIRECT("Data_Sheet!G"&amp;13+$B$50)</f>
        <v>#N/A</v>
      </c>
      <c r="G13" s="49" t="e">
        <f ca="1">INDIRECT("Data_Sheet!H"&amp;13+$B$50)</f>
        <v>#N/A</v>
      </c>
      <c r="H13" s="49" t="e">
        <f ca="1">INDIRECT("Data_Sheet!I"&amp;13+$B$50)</f>
        <v>#N/A</v>
      </c>
      <c r="I13" s="49" t="e">
        <f ca="1">INDIRECT("Data_Sheet!J"&amp;13+$B$50)</f>
        <v>#N/A</v>
      </c>
      <c r="J13" s="49" t="e">
        <f ca="1">INDIRECT("Data_Sheet!K"&amp;13+$B$50)</f>
        <v>#N/A</v>
      </c>
      <c r="K13" s="49" t="e">
        <f ca="1">INDIRECT("Data_Sheet!L"&amp;13+$B$50)</f>
        <v>#N/A</v>
      </c>
      <c r="L13" s="49" t="e">
        <f ca="1">INDIRECT("Data_Sheet!M"&amp;13+$B$50)</f>
        <v>#N/A</v>
      </c>
      <c r="M13" s="49" t="e">
        <f ca="1">INDIRECT("Data_Sheet!N"&amp;13+$B$50)</f>
        <v>#N/A</v>
      </c>
      <c r="N13" s="49" t="e">
        <f ca="1">INDIRECT("Data_Sheet!O"&amp;13+$B$50)</f>
        <v>#N/A</v>
      </c>
      <c r="O13" s="49" t="e">
        <f ca="1">INDIRECT("Data_Sheet!P"&amp;13+$B$50)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INDIRECT("Data_Sheet!B"&amp;14+$B$50)</f>
        <v>#N/A</v>
      </c>
      <c r="B14" s="49" t="e">
        <f ca="1">INDIRECT("Data_Sheet!C"&amp;14+$B$50)</f>
        <v>#N/A</v>
      </c>
      <c r="C14" s="49" t="e">
        <f ca="1">INDIRECT("Data_Sheet!D"&amp;14+$B$50)</f>
        <v>#N/A</v>
      </c>
      <c r="D14" s="49" t="e">
        <f ca="1">INDIRECT("Data_Sheet!E"&amp;14+$B$50)</f>
        <v>#N/A</v>
      </c>
      <c r="E14" s="49" t="e">
        <f ca="1">INDIRECT("Data_Sheet!F"&amp;14+$B$50)</f>
        <v>#N/A</v>
      </c>
      <c r="F14" s="49" t="e">
        <f ca="1">INDIRECT("Data_Sheet!G"&amp;14+$B$50)</f>
        <v>#N/A</v>
      </c>
      <c r="G14" s="49" t="e">
        <f ca="1">INDIRECT("Data_Sheet!H"&amp;14+$B$50)</f>
        <v>#N/A</v>
      </c>
      <c r="H14" s="49" t="e">
        <f ca="1">INDIRECT("Data_Sheet!I"&amp;14+$B$50)</f>
        <v>#N/A</v>
      </c>
      <c r="I14" s="49" t="e">
        <f ca="1">INDIRECT("Data_Sheet!J"&amp;14+$B$50)</f>
        <v>#N/A</v>
      </c>
      <c r="J14" s="49" t="e">
        <f ca="1">INDIRECT("Data_Sheet!K"&amp;14+$B$50)</f>
        <v>#N/A</v>
      </c>
      <c r="K14" s="49" t="e">
        <f ca="1">INDIRECT("Data_Sheet!L"&amp;14+$B$50)</f>
        <v>#N/A</v>
      </c>
      <c r="L14" s="49" t="e">
        <f ca="1">INDIRECT("Data_Sheet!M"&amp;14+$B$50)</f>
        <v>#N/A</v>
      </c>
      <c r="M14" s="49" t="e">
        <f ca="1">INDIRECT("Data_Sheet!N"&amp;14+$B$50)</f>
        <v>#N/A</v>
      </c>
      <c r="N14" s="49" t="e">
        <f ca="1">INDIRECT("Data_Sheet!O"&amp;14+$B$50)</f>
        <v>#N/A</v>
      </c>
      <c r="O14" s="49" t="e">
        <f ca="1">INDIRECT("Data_Sheet!P"&amp;14+$B$50)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INDIRECT("Data_Sheet!B"&amp;15+$B$50)</f>
        <v>#N/A</v>
      </c>
      <c r="B15" s="49" t="e">
        <f ca="1">INDIRECT("Data_Sheet!C"&amp;15+$B$50)</f>
        <v>#N/A</v>
      </c>
      <c r="C15" s="49" t="e">
        <f ca="1">INDIRECT("Data_Sheet!D"&amp;15+$B$50)</f>
        <v>#N/A</v>
      </c>
      <c r="D15" s="49" t="e">
        <f ca="1">INDIRECT("Data_Sheet!E"&amp;15+$B$50)</f>
        <v>#N/A</v>
      </c>
      <c r="E15" s="49" t="e">
        <f ca="1">INDIRECT("Data_Sheet!F"&amp;15+$B$50)</f>
        <v>#N/A</v>
      </c>
      <c r="F15" s="49" t="e">
        <f ca="1">INDIRECT("Data_Sheet!G"&amp;15+$B$50)</f>
        <v>#N/A</v>
      </c>
      <c r="G15" s="49" t="e">
        <f ca="1">INDIRECT("Data_Sheet!H"&amp;15+$B$50)</f>
        <v>#N/A</v>
      </c>
      <c r="H15" s="49" t="e">
        <f ca="1">INDIRECT("Data_Sheet!I"&amp;15+$B$50)</f>
        <v>#N/A</v>
      </c>
      <c r="I15" s="49" t="e">
        <f ca="1">INDIRECT("Data_Sheet!J"&amp;15+$B$50)</f>
        <v>#N/A</v>
      </c>
      <c r="J15" s="49" t="e">
        <f ca="1">INDIRECT("Data_Sheet!K"&amp;15+$B$50)</f>
        <v>#N/A</v>
      </c>
      <c r="K15" s="49" t="e">
        <f ca="1">INDIRECT("Data_Sheet!L"&amp;15+$B$50)</f>
        <v>#N/A</v>
      </c>
      <c r="L15" s="49" t="e">
        <f ca="1">INDIRECT("Data_Sheet!M"&amp;15+$B$50)</f>
        <v>#N/A</v>
      </c>
      <c r="M15" s="49" t="e">
        <f ca="1">INDIRECT("Data_Sheet!N"&amp;15+$B$50)</f>
        <v>#N/A</v>
      </c>
      <c r="N15" s="49" t="e">
        <f ca="1">INDIRECT("Data_Sheet!O"&amp;15+$B$50)</f>
        <v>#N/A</v>
      </c>
      <c r="O15" s="49" t="e">
        <f ca="1">INDIRECT("Data_Sheet!P"&amp;15+$B$50)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INDIRECT("Data_Sheet!B"&amp;16+$B$50)</f>
        <v>#N/A</v>
      </c>
      <c r="B16" s="49" t="e">
        <f ca="1">INDIRECT("Data_Sheet!C"&amp;16+$B$50)</f>
        <v>#N/A</v>
      </c>
      <c r="C16" s="49" t="e">
        <f ca="1">INDIRECT("Data_Sheet!D"&amp;16+$B$50)</f>
        <v>#N/A</v>
      </c>
      <c r="D16" s="49" t="e">
        <f ca="1">INDIRECT("Data_Sheet!E"&amp;16+$B$50)</f>
        <v>#N/A</v>
      </c>
      <c r="E16" s="49" t="e">
        <f ca="1">INDIRECT("Data_Sheet!F"&amp;16+$B$50)</f>
        <v>#N/A</v>
      </c>
      <c r="F16" s="49" t="e">
        <f ca="1">INDIRECT("Data_Sheet!G"&amp;16+$B$50)</f>
        <v>#N/A</v>
      </c>
      <c r="G16" s="49" t="e">
        <f ca="1">INDIRECT("Data_Sheet!H"&amp;16+$B$50)</f>
        <v>#N/A</v>
      </c>
      <c r="H16" s="49" t="e">
        <f ca="1">INDIRECT("Data_Sheet!I"&amp;16+$B$50)</f>
        <v>#N/A</v>
      </c>
      <c r="I16" s="49" t="e">
        <f ca="1">INDIRECT("Data_Sheet!J"&amp;16+$B$50)</f>
        <v>#N/A</v>
      </c>
      <c r="J16" s="49" t="e">
        <f ca="1">INDIRECT("Data_Sheet!K"&amp;16+$B$50)</f>
        <v>#N/A</v>
      </c>
      <c r="K16" s="49" t="e">
        <f ca="1">INDIRECT("Data_Sheet!L"&amp;16+$B$50)</f>
        <v>#N/A</v>
      </c>
      <c r="L16" s="49" t="e">
        <f ca="1">INDIRECT("Data_Sheet!M"&amp;16+$B$50)</f>
        <v>#N/A</v>
      </c>
      <c r="M16" s="49" t="e">
        <f ca="1">INDIRECT("Data_Sheet!N"&amp;16+$B$50)</f>
        <v>#N/A</v>
      </c>
      <c r="N16" s="49" t="e">
        <f ca="1">INDIRECT("Data_Sheet!O"&amp;16+$B$50)</f>
        <v>#N/A</v>
      </c>
      <c r="O16" s="49" t="e">
        <f ca="1">INDIRECT("Data_Sheet!P"&amp;16+$B$50)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INDIRECT("Data_Sheet!B"&amp;17+$B$50)</f>
        <v>#N/A</v>
      </c>
      <c r="B17" s="49" t="e">
        <f ca="1">INDIRECT("Data_Sheet!C"&amp;17+$B$50)</f>
        <v>#N/A</v>
      </c>
      <c r="C17" s="49" t="e">
        <f ca="1">INDIRECT("Data_Sheet!D"&amp;17+$B$50)</f>
        <v>#N/A</v>
      </c>
      <c r="D17" s="49" t="e">
        <f ca="1">INDIRECT("Data_Sheet!E"&amp;17+$B$50)</f>
        <v>#N/A</v>
      </c>
      <c r="E17" s="49" t="e">
        <f ca="1">INDIRECT("Data_Sheet!F"&amp;17+$B$50)</f>
        <v>#N/A</v>
      </c>
      <c r="F17" s="49" t="e">
        <f ca="1">INDIRECT("Data_Sheet!G"&amp;17+$B$50)</f>
        <v>#N/A</v>
      </c>
      <c r="G17" s="49" t="e">
        <f ca="1">INDIRECT("Data_Sheet!H"&amp;17+$B$50)</f>
        <v>#N/A</v>
      </c>
      <c r="H17" s="49" t="e">
        <f ca="1">INDIRECT("Data_Sheet!I"&amp;17+$B$50)</f>
        <v>#N/A</v>
      </c>
      <c r="I17" s="49" t="e">
        <f ca="1">INDIRECT("Data_Sheet!J"&amp;17+$B$50)</f>
        <v>#N/A</v>
      </c>
      <c r="J17" s="49" t="e">
        <f ca="1">INDIRECT("Data_Sheet!K"&amp;17+$B$50)</f>
        <v>#N/A</v>
      </c>
      <c r="K17" s="49" t="e">
        <f ca="1">INDIRECT("Data_Sheet!L"&amp;17+$B$50)</f>
        <v>#N/A</v>
      </c>
      <c r="L17" s="49" t="e">
        <f ca="1">INDIRECT("Data_Sheet!M"&amp;17+$B$50)</f>
        <v>#N/A</v>
      </c>
      <c r="M17" s="49" t="e">
        <f ca="1">INDIRECT("Data_Sheet!N"&amp;17+$B$50)</f>
        <v>#N/A</v>
      </c>
      <c r="N17" s="49" t="e">
        <f ca="1">INDIRECT("Data_Sheet!O"&amp;17+$B$50)</f>
        <v>#N/A</v>
      </c>
      <c r="O17" s="49" t="e">
        <f ca="1">INDIRECT("Data_Sheet!P"&amp;17+$B$50)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INDIRECT("Data_Sheet!B"&amp;18+$B$50)</f>
        <v>#N/A</v>
      </c>
      <c r="B18" s="49" t="e">
        <f ca="1">INDIRECT("Data_Sheet!C"&amp;18+$B$50)</f>
        <v>#N/A</v>
      </c>
      <c r="C18" s="49" t="e">
        <f ca="1">INDIRECT("Data_Sheet!D"&amp;18+$B$50)</f>
        <v>#N/A</v>
      </c>
      <c r="D18" s="49" t="e">
        <f ca="1">INDIRECT("Data_Sheet!E"&amp;18+$B$50)</f>
        <v>#N/A</v>
      </c>
      <c r="E18" s="49" t="e">
        <f ca="1">INDIRECT("Data_Sheet!F"&amp;18+$B$50)</f>
        <v>#N/A</v>
      </c>
      <c r="F18" s="49" t="e">
        <f ca="1">INDIRECT("Data_Sheet!G"&amp;18+$B$50)</f>
        <v>#N/A</v>
      </c>
      <c r="G18" s="49" t="e">
        <f ca="1">INDIRECT("Data_Sheet!H"&amp;18+$B$50)</f>
        <v>#N/A</v>
      </c>
      <c r="H18" s="49" t="e">
        <f ca="1">INDIRECT("Data_Sheet!I"&amp;18+$B$50)</f>
        <v>#N/A</v>
      </c>
      <c r="I18" s="49" t="e">
        <f ca="1">INDIRECT("Data_Sheet!J"&amp;18+$B$50)</f>
        <v>#N/A</v>
      </c>
      <c r="J18" s="49" t="e">
        <f ca="1">INDIRECT("Data_Sheet!K"&amp;18+$B$50)</f>
        <v>#N/A</v>
      </c>
      <c r="K18" s="49" t="e">
        <f ca="1">INDIRECT("Data_Sheet!L"&amp;18+$B$50)</f>
        <v>#N/A</v>
      </c>
      <c r="L18" s="49" t="e">
        <f ca="1">INDIRECT("Data_Sheet!M"&amp;18+$B$50)</f>
        <v>#N/A</v>
      </c>
      <c r="M18" s="49" t="e">
        <f ca="1">INDIRECT("Data_Sheet!N"&amp;18+$B$50)</f>
        <v>#N/A</v>
      </c>
      <c r="N18" s="49" t="e">
        <f ca="1">INDIRECT("Data_Sheet!O"&amp;18+$B$50)</f>
        <v>#N/A</v>
      </c>
      <c r="O18" s="49" t="e">
        <f ca="1">INDIRECT("Data_Sheet!P"&amp;18+$B$50)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INDIRECT("Data_Sheet!B"&amp;19+$B$50)</f>
        <v>#N/A</v>
      </c>
      <c r="B19" s="49" t="e">
        <f ca="1">INDIRECT("Data_Sheet!C"&amp;19+$B$50)</f>
        <v>#N/A</v>
      </c>
      <c r="C19" s="49" t="e">
        <f ca="1">INDIRECT("Data_Sheet!D"&amp;19+$B$50)</f>
        <v>#N/A</v>
      </c>
      <c r="D19" s="49" t="e">
        <f ca="1">INDIRECT("Data_Sheet!E"&amp;19+$B$50)</f>
        <v>#N/A</v>
      </c>
      <c r="E19" s="49" t="e">
        <f ca="1">INDIRECT("Data_Sheet!F"&amp;19+$B$50)</f>
        <v>#N/A</v>
      </c>
      <c r="F19" s="49" t="e">
        <f ca="1">INDIRECT("Data_Sheet!G"&amp;19+$B$50)</f>
        <v>#N/A</v>
      </c>
      <c r="G19" s="49" t="e">
        <f ca="1">INDIRECT("Data_Sheet!H"&amp;19+$B$50)</f>
        <v>#N/A</v>
      </c>
      <c r="H19" s="49" t="e">
        <f ca="1">INDIRECT("Data_Sheet!I"&amp;19+$B$50)</f>
        <v>#N/A</v>
      </c>
      <c r="I19" s="49" t="e">
        <f ca="1">INDIRECT("Data_Sheet!J"&amp;19+$B$50)</f>
        <v>#N/A</v>
      </c>
      <c r="J19" s="49" t="e">
        <f ca="1">INDIRECT("Data_Sheet!K"&amp;19+$B$50)</f>
        <v>#N/A</v>
      </c>
      <c r="K19" s="49" t="e">
        <f ca="1">INDIRECT("Data_Sheet!L"&amp;19+$B$50)</f>
        <v>#N/A</v>
      </c>
      <c r="L19" s="49" t="e">
        <f ca="1">INDIRECT("Data_Sheet!M"&amp;19+$B$50)</f>
        <v>#N/A</v>
      </c>
      <c r="M19" s="49" t="e">
        <f ca="1">INDIRECT("Data_Sheet!N"&amp;19+$B$50)</f>
        <v>#N/A</v>
      </c>
      <c r="N19" s="49" t="e">
        <f ca="1">INDIRECT("Data_Sheet!O"&amp;19+$B$50)</f>
        <v>#N/A</v>
      </c>
      <c r="O19" s="49" t="e">
        <f ca="1">INDIRECT("Data_Sheet!P"&amp;19+$B$50)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INDIRECT("Data_Sheet!B"&amp;20+$B$50)</f>
        <v>#N/A</v>
      </c>
      <c r="B20" s="49" t="e">
        <f ca="1">INDIRECT("Data_Sheet!C"&amp;20+$B$50)</f>
        <v>#N/A</v>
      </c>
      <c r="C20" s="49" t="e">
        <f ca="1">INDIRECT("Data_Sheet!D"&amp;20+$B$50)</f>
        <v>#N/A</v>
      </c>
      <c r="D20" s="49" t="e">
        <f ca="1">INDIRECT("Data_Sheet!E"&amp;20+$B$50)</f>
        <v>#N/A</v>
      </c>
      <c r="E20" s="49" t="e">
        <f ca="1">INDIRECT("Data_Sheet!F"&amp;20+$B$50)</f>
        <v>#N/A</v>
      </c>
      <c r="F20" s="49" t="e">
        <f ca="1">INDIRECT("Data_Sheet!G"&amp;20+$B$50)</f>
        <v>#N/A</v>
      </c>
      <c r="G20" s="49" t="e">
        <f ca="1">INDIRECT("Data_Sheet!H"&amp;20+$B$50)</f>
        <v>#N/A</v>
      </c>
      <c r="H20" s="49" t="e">
        <f ca="1">INDIRECT("Data_Sheet!I"&amp;20+$B$50)</f>
        <v>#N/A</v>
      </c>
      <c r="I20" s="49" t="e">
        <f ca="1">INDIRECT("Data_Sheet!J"&amp;20+$B$50)</f>
        <v>#N/A</v>
      </c>
      <c r="J20" s="49" t="e">
        <f ca="1">INDIRECT("Data_Sheet!K"&amp;20+$B$50)</f>
        <v>#N/A</v>
      </c>
      <c r="K20" s="49" t="e">
        <f ca="1">INDIRECT("Data_Sheet!L"&amp;20+$B$50)</f>
        <v>#N/A</v>
      </c>
      <c r="L20" s="49" t="e">
        <f ca="1">INDIRECT("Data_Sheet!M"&amp;20+$B$50)</f>
        <v>#N/A</v>
      </c>
      <c r="M20" s="49" t="e">
        <f ca="1">INDIRECT("Data_Sheet!N"&amp;20+$B$50)</f>
        <v>#N/A</v>
      </c>
      <c r="N20" s="49" t="e">
        <f ca="1">INDIRECT("Data_Sheet!O"&amp;20+$B$50)</f>
        <v>#N/A</v>
      </c>
      <c r="O20" s="49" t="e">
        <f ca="1">INDIRECT("Data_Sheet!P"&amp;20+$B$50)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INDIRECT("Data_Sheet!B"&amp;21+$B$50)</f>
        <v>#N/A</v>
      </c>
      <c r="B21" s="49" t="e">
        <f ca="1">INDIRECT("Data_Sheet!C"&amp;21+$B$50)</f>
        <v>#N/A</v>
      </c>
      <c r="C21" s="49" t="e">
        <f ca="1">INDIRECT("Data_Sheet!D"&amp;21+$B$50)</f>
        <v>#N/A</v>
      </c>
      <c r="D21" s="49" t="e">
        <f ca="1">INDIRECT("Data_Sheet!E"&amp;21+$B$50)</f>
        <v>#N/A</v>
      </c>
      <c r="E21" s="49" t="e">
        <f ca="1">INDIRECT("Data_Sheet!F"&amp;21+$B$50)</f>
        <v>#N/A</v>
      </c>
      <c r="F21" s="49" t="e">
        <f ca="1">INDIRECT("Data_Sheet!G"&amp;21+$B$50)</f>
        <v>#N/A</v>
      </c>
      <c r="G21" s="49" t="e">
        <f ca="1">INDIRECT("Data_Sheet!H"&amp;21+$B$50)</f>
        <v>#N/A</v>
      </c>
      <c r="H21" s="49" t="e">
        <f ca="1">INDIRECT("Data_Sheet!I"&amp;21+$B$50)</f>
        <v>#N/A</v>
      </c>
      <c r="I21" s="49" t="e">
        <f ca="1">INDIRECT("Data_Sheet!J"&amp;21+$B$50)</f>
        <v>#N/A</v>
      </c>
      <c r="J21" s="49" t="e">
        <f ca="1">INDIRECT("Data_Sheet!K"&amp;21+$B$50)</f>
        <v>#N/A</v>
      </c>
      <c r="K21" s="49" t="e">
        <f ca="1">INDIRECT("Data_Sheet!L"&amp;21+$B$50)</f>
        <v>#N/A</v>
      </c>
      <c r="L21" s="49" t="e">
        <f ca="1">INDIRECT("Data_Sheet!M"&amp;21+$B$50)</f>
        <v>#N/A</v>
      </c>
      <c r="M21" s="49" t="e">
        <f ca="1">INDIRECT("Data_Sheet!N"&amp;21+$B$50)</f>
        <v>#N/A</v>
      </c>
      <c r="N21" s="49" t="e">
        <f ca="1">INDIRECT("Data_Sheet!O"&amp;21+$B$50)</f>
        <v>#N/A</v>
      </c>
      <c r="O21" s="49" t="e">
        <f ca="1">INDIRECT("Data_Sheet!P"&amp;21+$B$50)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INDIRECT("Data_Sheet!B"&amp;22+$B$50)</f>
        <v>#N/A</v>
      </c>
      <c r="B22" s="49" t="e">
        <f ca="1">INDIRECT("Data_Sheet!C"&amp;22+$B$50)</f>
        <v>#N/A</v>
      </c>
      <c r="C22" s="49" t="e">
        <f ca="1">INDIRECT("Data_Sheet!D"&amp;22+$B$50)</f>
        <v>#N/A</v>
      </c>
      <c r="D22" s="49" t="e">
        <f ca="1">INDIRECT("Data_Sheet!E"&amp;22+$B$50)</f>
        <v>#N/A</v>
      </c>
      <c r="E22" s="49" t="e">
        <f ca="1">INDIRECT("Data_Sheet!F"&amp;22+$B$50)</f>
        <v>#N/A</v>
      </c>
      <c r="F22" s="49" t="e">
        <f ca="1">INDIRECT("Data_Sheet!G"&amp;22+$B$50)</f>
        <v>#N/A</v>
      </c>
      <c r="G22" s="49" t="e">
        <f ca="1">INDIRECT("Data_Sheet!H"&amp;22+$B$50)</f>
        <v>#N/A</v>
      </c>
      <c r="H22" s="49" t="e">
        <f ca="1">INDIRECT("Data_Sheet!I"&amp;22+$B$50)</f>
        <v>#N/A</v>
      </c>
      <c r="I22" s="49" t="e">
        <f ca="1">INDIRECT("Data_Sheet!J"&amp;22+$B$50)</f>
        <v>#N/A</v>
      </c>
      <c r="J22" s="49" t="e">
        <f ca="1">INDIRECT("Data_Sheet!K"&amp;22+$B$50)</f>
        <v>#N/A</v>
      </c>
      <c r="K22" s="49" t="e">
        <f ca="1">INDIRECT("Data_Sheet!L"&amp;22+$B$50)</f>
        <v>#N/A</v>
      </c>
      <c r="L22" s="49" t="e">
        <f ca="1">INDIRECT("Data_Sheet!M"&amp;22+$B$50)</f>
        <v>#N/A</v>
      </c>
      <c r="M22" s="49" t="e">
        <f ca="1">INDIRECT("Data_Sheet!N"&amp;22+$B$50)</f>
        <v>#N/A</v>
      </c>
      <c r="N22" s="49" t="e">
        <f ca="1">INDIRECT("Data_Sheet!O"&amp;22+$B$50)</f>
        <v>#N/A</v>
      </c>
      <c r="O22" s="49" t="e">
        <f ca="1">INDIRECT("Data_Sheet!P"&amp;22+$B$50)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INDIRECT("Data_Sheet!B"&amp;23+$B$50)</f>
        <v>#N/A</v>
      </c>
      <c r="B23" s="49" t="e">
        <f ca="1">INDIRECT("Data_Sheet!C"&amp;23+$B$50)</f>
        <v>#N/A</v>
      </c>
      <c r="C23" s="49" t="e">
        <f ca="1">INDIRECT("Data_Sheet!D"&amp;23+$B$50)</f>
        <v>#N/A</v>
      </c>
      <c r="D23" s="49" t="e">
        <f ca="1">INDIRECT("Data_Sheet!E"&amp;23+$B$50)</f>
        <v>#N/A</v>
      </c>
      <c r="E23" s="49" t="e">
        <f ca="1">INDIRECT("Data_Sheet!F"&amp;23+$B$50)</f>
        <v>#N/A</v>
      </c>
      <c r="F23" s="49" t="e">
        <f ca="1">INDIRECT("Data_Sheet!G"&amp;23+$B$50)</f>
        <v>#N/A</v>
      </c>
      <c r="G23" s="49" t="e">
        <f ca="1">INDIRECT("Data_Sheet!H"&amp;23+$B$50)</f>
        <v>#N/A</v>
      </c>
      <c r="H23" s="49" t="e">
        <f ca="1">INDIRECT("Data_Sheet!I"&amp;23+$B$50)</f>
        <v>#N/A</v>
      </c>
      <c r="I23" s="49" t="e">
        <f ca="1">INDIRECT("Data_Sheet!J"&amp;23+$B$50)</f>
        <v>#N/A</v>
      </c>
      <c r="J23" s="49" t="e">
        <f ca="1">INDIRECT("Data_Sheet!K"&amp;23+$B$50)</f>
        <v>#N/A</v>
      </c>
      <c r="K23" s="49" t="e">
        <f ca="1">INDIRECT("Data_Sheet!L"&amp;23+$B$50)</f>
        <v>#N/A</v>
      </c>
      <c r="L23" s="49" t="e">
        <f ca="1">INDIRECT("Data_Sheet!M"&amp;23+$B$50)</f>
        <v>#N/A</v>
      </c>
      <c r="M23" s="49" t="e">
        <f ca="1">INDIRECT("Data_Sheet!N"&amp;23+$B$50)</f>
        <v>#N/A</v>
      </c>
      <c r="N23" s="49" t="e">
        <f ca="1">INDIRECT("Data_Sheet!O"&amp;23+$B$50)</f>
        <v>#N/A</v>
      </c>
      <c r="O23" s="49" t="e">
        <f ca="1">INDIRECT("Data_Sheet!P"&amp;23+$B$50)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INDIRECT("Data_Sheet!B"&amp;24+$B$50)</f>
        <v>#N/A</v>
      </c>
      <c r="B24" s="49" t="e">
        <f ca="1">INDIRECT("Data_Sheet!C"&amp;24+$B$50)</f>
        <v>#N/A</v>
      </c>
      <c r="C24" s="49" t="e">
        <f ca="1">INDIRECT("Data_Sheet!D"&amp;24+$B$50)</f>
        <v>#N/A</v>
      </c>
      <c r="D24" s="49" t="e">
        <f ca="1">INDIRECT("Data_Sheet!E"&amp;24+$B$50)</f>
        <v>#N/A</v>
      </c>
      <c r="E24" s="49" t="e">
        <f ca="1">INDIRECT("Data_Sheet!F"&amp;24+$B$50)</f>
        <v>#N/A</v>
      </c>
      <c r="F24" s="49" t="e">
        <f ca="1">INDIRECT("Data_Sheet!G"&amp;24+$B$50)</f>
        <v>#N/A</v>
      </c>
      <c r="G24" s="49" t="e">
        <f ca="1">INDIRECT("Data_Sheet!H"&amp;24+$B$50)</f>
        <v>#N/A</v>
      </c>
      <c r="H24" s="49" t="e">
        <f ca="1">INDIRECT("Data_Sheet!I"&amp;24+$B$50)</f>
        <v>#N/A</v>
      </c>
      <c r="I24" s="49" t="e">
        <f ca="1">INDIRECT("Data_Sheet!J"&amp;24+$B$50)</f>
        <v>#N/A</v>
      </c>
      <c r="J24" s="49" t="e">
        <f ca="1">INDIRECT("Data_Sheet!K"&amp;24+$B$50)</f>
        <v>#N/A</v>
      </c>
      <c r="K24" s="49" t="e">
        <f ca="1">INDIRECT("Data_Sheet!L"&amp;24+$B$50)</f>
        <v>#N/A</v>
      </c>
      <c r="L24" s="49" t="e">
        <f ca="1">INDIRECT("Data_Sheet!M"&amp;24+$B$50)</f>
        <v>#N/A</v>
      </c>
      <c r="M24" s="49" t="e">
        <f ca="1">INDIRECT("Data_Sheet!N"&amp;24+$B$50)</f>
        <v>#N/A</v>
      </c>
      <c r="N24" s="49" t="e">
        <f ca="1">INDIRECT("Data_Sheet!O"&amp;24+$B$50)</f>
        <v>#N/A</v>
      </c>
      <c r="O24" s="49" t="e">
        <f ca="1">INDIRECT("Data_Sheet!P"&amp;24+$B$50)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INDIRECT("Data_Sheet!B"&amp;25+$B$50)</f>
        <v>#N/A</v>
      </c>
      <c r="B25" s="49" t="e">
        <f ca="1">INDIRECT("Data_Sheet!C"&amp;25+$B$50)</f>
        <v>#N/A</v>
      </c>
      <c r="C25" s="49" t="e">
        <f ca="1">INDIRECT("Data_Sheet!D"&amp;25+$B$50)</f>
        <v>#N/A</v>
      </c>
      <c r="D25" s="49" t="e">
        <f ca="1">INDIRECT("Data_Sheet!E"&amp;25+$B$50)</f>
        <v>#N/A</v>
      </c>
      <c r="E25" s="49" t="e">
        <f ca="1">INDIRECT("Data_Sheet!F"&amp;25+$B$50)</f>
        <v>#N/A</v>
      </c>
      <c r="F25" s="49" t="e">
        <f ca="1">INDIRECT("Data_Sheet!G"&amp;25+$B$50)</f>
        <v>#N/A</v>
      </c>
      <c r="G25" s="49" t="e">
        <f ca="1">INDIRECT("Data_Sheet!H"&amp;25+$B$50)</f>
        <v>#N/A</v>
      </c>
      <c r="H25" s="49" t="e">
        <f ca="1">INDIRECT("Data_Sheet!I"&amp;25+$B$50)</f>
        <v>#N/A</v>
      </c>
      <c r="I25" s="49" t="e">
        <f ca="1">INDIRECT("Data_Sheet!J"&amp;25+$B$50)</f>
        <v>#N/A</v>
      </c>
      <c r="J25" s="49" t="e">
        <f ca="1">INDIRECT("Data_Sheet!K"&amp;25+$B$50)</f>
        <v>#N/A</v>
      </c>
      <c r="K25" s="49" t="e">
        <f ca="1">INDIRECT("Data_Sheet!L"&amp;25+$B$50)</f>
        <v>#N/A</v>
      </c>
      <c r="L25" s="49" t="e">
        <f ca="1">INDIRECT("Data_Sheet!M"&amp;25+$B$50)</f>
        <v>#N/A</v>
      </c>
      <c r="M25" s="49" t="e">
        <f ca="1">INDIRECT("Data_Sheet!N"&amp;25+$B$50)</f>
        <v>#N/A</v>
      </c>
      <c r="N25" s="49" t="e">
        <f ca="1">INDIRECT("Data_Sheet!O"&amp;25+$B$50)</f>
        <v>#N/A</v>
      </c>
      <c r="O25" s="49" t="e">
        <f ca="1">INDIRECT("Data_Sheet!P"&amp;25+$B$50)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f ca="1">IF(ISERROR($B$29),"-",$B$29)</f>
        <v>-</v>
      </c>
      <c r="K37" s="102" t="s">
        <v>36</v>
      </c>
      <c r="L37" s="6" t="str" cm="1">
        <f t="array" aca="1" ref="L37:L50" ca="1">IFERROR(TRANSPOSE(B27:O27),"-")</f>
        <v>-</v>
      </c>
      <c r="M37" s="64"/>
    </row>
    <row r="38" spans="1:41" x14ac:dyDescent="0.2">
      <c r="A38" s="44" t="s">
        <v>303</v>
      </c>
      <c r="B38" t="e">
        <f ca="1">F40</f>
        <v>#N/A</v>
      </c>
      <c r="E38" t="s">
        <v>300</v>
      </c>
      <c r="F38" t="e">
        <f ca="1">B37/SQRT(5)</f>
        <v>#N/A</v>
      </c>
      <c r="I38" s="6"/>
      <c r="J38" s="6" t="str">
        <f ca="1">IF(ISERROR($C$29),"-",$C$29)</f>
        <v>-</v>
      </c>
      <c r="K38" s="102" t="s">
        <v>36</v>
      </c>
      <c r="L38" s="6" t="str">
        <f ca="1"/>
        <v>-</v>
      </c>
      <c r="M38" s="64"/>
    </row>
    <row r="39" spans="1:41" x14ac:dyDescent="0.2">
      <c r="E39" t="s">
        <v>301</v>
      </c>
      <c r="F39" t="e">
        <f ca="1">IF(J35=1,6.9,IF(J35=2,6.9,IF(J35=3,2.27,IF(J35=4,1.66,1.43))))</f>
        <v>#N/A</v>
      </c>
      <c r="I39" s="6"/>
      <c r="J39" s="6" t="str">
        <f ca="1">IF(ISERROR($D$29),"-",$D$29)</f>
        <v>-</v>
      </c>
      <c r="K39" s="102" t="s">
        <v>36</v>
      </c>
      <c r="L39" s="6" t="str">
        <f ca="1"/>
        <v>-</v>
      </c>
      <c r="M39" s="64"/>
    </row>
    <row r="40" spans="1:41" x14ac:dyDescent="0.2">
      <c r="A40" s="44" t="s">
        <v>17</v>
      </c>
      <c r="B40" s="1" t="e">
        <f ca="1">(SQRT(B45)*2)</f>
        <v>#N/A</v>
      </c>
      <c r="E40" s="44" t="s">
        <v>302</v>
      </c>
      <c r="F40" t="e">
        <f ca="1">(F38*F39)</f>
        <v>#N/A</v>
      </c>
      <c r="I40" s="6"/>
      <c r="J40" s="6" t="str">
        <f ca="1">IF(ISERROR($E$29),"-",$E$29)</f>
        <v>-</v>
      </c>
      <c r="K40" s="102" t="s">
        <v>36</v>
      </c>
      <c r="L40" s="6" t="str">
        <f ca="1"/>
        <v>-</v>
      </c>
      <c r="M40" s="64"/>
    </row>
    <row r="41" spans="1:41" x14ac:dyDescent="0.2">
      <c r="I41" s="6"/>
      <c r="J41" s="6" t="str">
        <f ca="1">IF(ISERROR($F$29),"-",$F$29)</f>
        <v>-</v>
      </c>
      <c r="K41" s="102" t="s">
        <v>36</v>
      </c>
      <c r="L41" s="6" t="str">
        <f ca="1"/>
        <v>-</v>
      </c>
      <c r="M41" s="64"/>
    </row>
    <row r="42" spans="1:41" x14ac:dyDescent="0.2">
      <c r="A42" t="s">
        <v>15</v>
      </c>
      <c r="B42">
        <f>IF($A$1&lt;32.1,0.618,IF(A1&lt;392.1,0.71,IF(A1&lt;752.1,3.09,IF(A1&lt;1200.1,1.65,IF(A1&lt;1800.1,2.69,IF(A1&lt;2372.1,4.08))))))</f>
        <v>0.61799999999999999</v>
      </c>
      <c r="C42">
        <f>VALUE(B42)</f>
        <v>0.61799999999999999</v>
      </c>
      <c r="I42" s="6"/>
      <c r="J42" s="6" t="str">
        <f ca="1">IF(ISERROR($G$29),"-",$G$29)</f>
        <v>-</v>
      </c>
      <c r="K42" s="102" t="s">
        <v>36</v>
      </c>
      <c r="L42" s="6" t="str">
        <f ca="1"/>
        <v>-</v>
      </c>
      <c r="M42" s="64"/>
    </row>
    <row r="43" spans="1:41" x14ac:dyDescent="0.2">
      <c r="I43" s="6"/>
      <c r="J43" s="6" t="str">
        <f ca="1">IF(ISERROR($H$29),"-",$H$29)</f>
        <v>-</v>
      </c>
      <c r="K43" s="102" t="s">
        <v>36</v>
      </c>
      <c r="L43" s="6" t="str">
        <f ca="1"/>
        <v>-</v>
      </c>
      <c r="M43" s="64"/>
    </row>
    <row r="44" spans="1:41" x14ac:dyDescent="0.2">
      <c r="A44" t="s">
        <v>12</v>
      </c>
      <c r="B44">
        <f>C42/2</f>
        <v>0.309</v>
      </c>
      <c r="I44" s="6"/>
      <c r="J44" s="6" t="str">
        <f ca="1">IF(ISERROR($I$29),"-",$I$29)</f>
        <v>-</v>
      </c>
      <c r="K44" s="102" t="s">
        <v>36</v>
      </c>
      <c r="L44" s="6" t="str">
        <f ca="1"/>
        <v>-</v>
      </c>
      <c r="M44" s="64"/>
    </row>
    <row r="45" spans="1:41" x14ac:dyDescent="0.2">
      <c r="A45" t="s">
        <v>13</v>
      </c>
      <c r="B45" t="e">
        <f ca="1">(B38*B38)+(B44*B44)</f>
        <v>#N/A</v>
      </c>
      <c r="I45" s="6"/>
      <c r="J45" s="6" t="str">
        <f ca="1">IF(ISERROR($J$29),"-",$J$29)</f>
        <v>-</v>
      </c>
      <c r="K45" s="102" t="s">
        <v>36</v>
      </c>
      <c r="L45" s="6" t="str">
        <f ca="1"/>
        <v>-</v>
      </c>
      <c r="M45" s="64"/>
    </row>
    <row r="46" spans="1:41" x14ac:dyDescent="0.2">
      <c r="I46" s="6"/>
      <c r="J46" s="6" t="str">
        <f ca="1">IF(ISERROR($K$29),"-",$K$29)</f>
        <v>-</v>
      </c>
      <c r="K46" s="102" t="s">
        <v>36</v>
      </c>
      <c r="L46" s="6" t="str">
        <f ca="1"/>
        <v>-</v>
      </c>
      <c r="M46" s="64"/>
    </row>
    <row r="47" spans="1:41" x14ac:dyDescent="0.2">
      <c r="A47" s="44" t="s">
        <v>16</v>
      </c>
      <c r="B47" s="1">
        <f>IF($A$1&lt;392.1,1.4,IF($A$1&lt;752.1,3.1,IF($A$1&lt;1200.1,3.1,IF($A$1&lt;1800.1,3.7,IF($A$1&lt;2300.1,4.1)))))</f>
        <v>1.4</v>
      </c>
      <c r="I47" s="6"/>
      <c r="J47" s="6" t="str">
        <f ca="1">IF(ISERROR($L$29),"-",$L$29)</f>
        <v>-</v>
      </c>
      <c r="K47" s="102" t="s">
        <v>36</v>
      </c>
      <c r="L47" s="6" t="str">
        <f ca="1"/>
        <v>-</v>
      </c>
      <c r="M47" s="64"/>
    </row>
    <row r="48" spans="1:41" x14ac:dyDescent="0.2">
      <c r="B48">
        <f>VALUE(B47)</f>
        <v>1.4</v>
      </c>
      <c r="I48" s="6"/>
      <c r="J48" s="6" t="str">
        <f ca="1">IF(ISERROR($M$29),"-",$M$29)</f>
        <v>-</v>
      </c>
      <c r="K48" s="102" t="s">
        <v>36</v>
      </c>
      <c r="L48" s="6" t="str">
        <f ca="1"/>
        <v>-</v>
      </c>
      <c r="M48" s="64"/>
    </row>
    <row r="49" spans="1:13" x14ac:dyDescent="0.2">
      <c r="I49" s="6"/>
      <c r="J49" s="6" t="str">
        <f ca="1">IF(ISERROR($N$29),"-",$N$29)</f>
        <v>-</v>
      </c>
      <c r="K49" s="102" t="s">
        <v>36</v>
      </c>
      <c r="L49" s="6" t="str">
        <f ca="1"/>
        <v>-</v>
      </c>
      <c r="M49" s="64"/>
    </row>
    <row r="50" spans="1:13" x14ac:dyDescent="0.2">
      <c r="B50" t="e">
        <f>MATCH(Main!$E$30,Data_Sheet!$A$11:$A$900,0)</f>
        <v>#N/A</v>
      </c>
      <c r="I50" s="6"/>
      <c r="J50" s="6" t="str">
        <f ca="1">IF(ISERROR($O$29),"-",$O$29)</f>
        <v>-</v>
      </c>
      <c r="K50" s="102" t="s">
        <v>36</v>
      </c>
      <c r="L50" s="6" t="str">
        <f ca="1"/>
        <v>-</v>
      </c>
      <c r="M50" s="64"/>
    </row>
    <row r="51" spans="1:13" x14ac:dyDescent="0.2">
      <c r="I51" s="6"/>
      <c r="J51" s="6" t="str" cm="1">
        <f t="array" aca="1" ref="J51:J64" ca="1">IFERROR(TRANSPOSE(V29:AI29),"-")</f>
        <v>-</v>
      </c>
      <c r="K51" s="102" t="s">
        <v>36</v>
      </c>
      <c r="L51" s="6" t="str" cm="1">
        <f t="array" aca="1" ref="L51:L64" ca="1">IFERROR(TRANSPOSE(V27:AI27),"-")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102" t="s">
        <v>36</v>
      </c>
      <c r="L52" s="6" t="str">
        <f ca="1"/>
        <v>-</v>
      </c>
      <c r="M52" s="64"/>
    </row>
    <row r="53" spans="1:13" x14ac:dyDescent="0.2">
      <c r="A53" s="53"/>
      <c r="I53" s="6"/>
      <c r="J53" s="6" t="str">
        <f ca="1"/>
        <v>-</v>
      </c>
      <c r="K53" s="102" t="s">
        <v>36</v>
      </c>
      <c r="L53" s="6" t="str">
        <f ca="1"/>
        <v>-</v>
      </c>
      <c r="M53" s="64"/>
    </row>
    <row r="54" spans="1:13" x14ac:dyDescent="0.2">
      <c r="I54" s="6"/>
      <c r="J54" s="6" t="str">
        <f ca="1"/>
        <v>-</v>
      </c>
      <c r="K54" s="102" t="s">
        <v>36</v>
      </c>
      <c r="L54" s="6" t="str">
        <f ca="1"/>
        <v>-</v>
      </c>
      <c r="M54" s="64"/>
    </row>
    <row r="55" spans="1:13" x14ac:dyDescent="0.2">
      <c r="I55" s="6"/>
      <c r="J55" s="6" t="str">
        <f ca="1"/>
        <v>-</v>
      </c>
      <c r="K55" s="102" t="s">
        <v>36</v>
      </c>
      <c r="L55" s="6" t="str">
        <f ca="1"/>
        <v>-</v>
      </c>
      <c r="M55" s="64"/>
    </row>
    <row r="56" spans="1:13" x14ac:dyDescent="0.2">
      <c r="I56" s="6"/>
      <c r="J56" s="6" t="str">
        <f ca="1"/>
        <v>-</v>
      </c>
      <c r="K56" s="102" t="s">
        <v>36</v>
      </c>
      <c r="L56" s="6" t="str">
        <f ca="1"/>
        <v>-</v>
      </c>
      <c r="M56" s="64"/>
    </row>
    <row r="57" spans="1:13" x14ac:dyDescent="0.2">
      <c r="I57" s="6"/>
      <c r="J57" s="6" t="str">
        <f ca="1"/>
        <v>-</v>
      </c>
      <c r="K57" s="102" t="s">
        <v>36</v>
      </c>
      <c r="L57" s="6" t="str">
        <f ca="1"/>
        <v>-</v>
      </c>
      <c r="M57" s="64"/>
    </row>
    <row r="58" spans="1:13" x14ac:dyDescent="0.2">
      <c r="I58" s="6"/>
      <c r="J58" s="6" t="str">
        <f ca="1"/>
        <v>-</v>
      </c>
      <c r="K58" s="102" t="s">
        <v>36</v>
      </c>
      <c r="L58" s="6" t="str">
        <f ca="1"/>
        <v>-</v>
      </c>
      <c r="M58" s="64"/>
    </row>
    <row r="59" spans="1:13" x14ac:dyDescent="0.2">
      <c r="I59" s="6"/>
      <c r="J59" s="6" t="str">
        <f ca="1"/>
        <v>-</v>
      </c>
      <c r="K59" s="102" t="s">
        <v>36</v>
      </c>
      <c r="L59" s="6" t="str">
        <f ca="1"/>
        <v>-</v>
      </c>
      <c r="M59" s="64"/>
    </row>
    <row r="60" spans="1:13" x14ac:dyDescent="0.2">
      <c r="I60" s="6"/>
      <c r="J60" s="6" t="str">
        <f ca="1"/>
        <v>-</v>
      </c>
      <c r="K60" s="102" t="s">
        <v>36</v>
      </c>
      <c r="L60" s="6" t="str">
        <f ca="1"/>
        <v>-</v>
      </c>
      <c r="M60" s="64"/>
    </row>
    <row r="61" spans="1:13" x14ac:dyDescent="0.2">
      <c r="I61" s="6"/>
      <c r="J61" s="6" t="str">
        <f ca="1"/>
        <v>-</v>
      </c>
      <c r="K61" s="102" t="s">
        <v>36</v>
      </c>
      <c r="L61" s="6" t="str">
        <f ca="1"/>
        <v>-</v>
      </c>
      <c r="M61" s="64"/>
    </row>
    <row r="62" spans="1:13" x14ac:dyDescent="0.2">
      <c r="I62" s="6"/>
      <c r="J62" s="6" t="str">
        <f ca="1"/>
        <v>-</v>
      </c>
      <c r="K62" s="102" t="s">
        <v>36</v>
      </c>
      <c r="L62" s="6" t="str">
        <f ca="1"/>
        <v>-</v>
      </c>
      <c r="M62" s="64"/>
    </row>
    <row r="63" spans="1:13" x14ac:dyDescent="0.2">
      <c r="I63" s="6"/>
      <c r="J63" s="6" t="str">
        <f ca="1"/>
        <v>-</v>
      </c>
      <c r="K63" s="102" t="s">
        <v>36</v>
      </c>
      <c r="L63" s="6" t="str">
        <f ca="1"/>
        <v>-</v>
      </c>
      <c r="M63" s="64"/>
    </row>
    <row r="64" spans="1:13" x14ac:dyDescent="0.2">
      <c r="I64" s="6"/>
      <c r="J64" s="6" t="str">
        <f ca="1"/>
        <v>-</v>
      </c>
      <c r="K64" s="102" t="s">
        <v>36</v>
      </c>
      <c r="L64" s="6" t="str">
        <f ca="1"/>
        <v>-</v>
      </c>
      <c r="M64" s="64"/>
    </row>
    <row r="65" spans="9:13" x14ac:dyDescent="0.2">
      <c r="I65" s="6"/>
      <c r="J65" s="6" t="str" cm="1">
        <f t="array" aca="1" ref="J65:J76" ca="1">IFERROR(TRANSPOSE(AP29:BA29),"-")</f>
        <v>-</v>
      </c>
      <c r="K65" s="102" t="s">
        <v>36</v>
      </c>
      <c r="L65" s="6" t="str" cm="1">
        <f t="array" aca="1" ref="L65:L76" ca="1">IFERROR(TRANSPOSE(AP27:BA27),"-")</f>
        <v>-</v>
      </c>
      <c r="M65" s="64"/>
    </row>
    <row r="66" spans="9:13" x14ac:dyDescent="0.2">
      <c r="I66" s="6"/>
      <c r="J66" s="6" t="str">
        <f ca="1"/>
        <v>-</v>
      </c>
      <c r="K66" s="102" t="s">
        <v>36</v>
      </c>
      <c r="L66" s="6" t="str">
        <f ca="1"/>
        <v>-</v>
      </c>
      <c r="M66" s="64"/>
    </row>
    <row r="67" spans="9:13" x14ac:dyDescent="0.2">
      <c r="I67" s="6"/>
      <c r="J67" s="6" t="str">
        <f ca="1"/>
        <v>-</v>
      </c>
      <c r="K67" s="102" t="s">
        <v>36</v>
      </c>
      <c r="L67" s="6" t="str">
        <f ca="1"/>
        <v>-</v>
      </c>
      <c r="M67" s="64"/>
    </row>
    <row r="68" spans="9:13" x14ac:dyDescent="0.2">
      <c r="I68" s="6"/>
      <c r="J68" s="6" t="str">
        <f ca="1"/>
        <v>-</v>
      </c>
      <c r="K68" s="102" t="s">
        <v>36</v>
      </c>
      <c r="L68" s="6" t="str">
        <f ca="1"/>
        <v>-</v>
      </c>
      <c r="M68" s="64"/>
    </row>
    <row r="69" spans="9:13" x14ac:dyDescent="0.2">
      <c r="I69" s="6"/>
      <c r="J69" s="6" t="str">
        <f ca="1"/>
        <v>-</v>
      </c>
      <c r="K69" s="102" t="s">
        <v>36</v>
      </c>
      <c r="L69" s="6" t="str">
        <f ca="1"/>
        <v>-</v>
      </c>
      <c r="M69" s="64"/>
    </row>
    <row r="70" spans="9:13" x14ac:dyDescent="0.2">
      <c r="I70" s="6"/>
      <c r="J70" s="6" t="str">
        <f ca="1"/>
        <v>-</v>
      </c>
      <c r="K70" s="102" t="s">
        <v>36</v>
      </c>
      <c r="L70" s="6" t="str">
        <f ca="1"/>
        <v>-</v>
      </c>
      <c r="M70" s="64"/>
    </row>
    <row r="71" spans="9:13" x14ac:dyDescent="0.2">
      <c r="I71" s="6"/>
      <c r="J71" s="6" t="str">
        <f ca="1"/>
        <v>-</v>
      </c>
      <c r="K71" s="102" t="s">
        <v>36</v>
      </c>
      <c r="L71" s="6" t="str">
        <f ca="1"/>
        <v>-</v>
      </c>
      <c r="M71" s="64"/>
    </row>
    <row r="72" spans="9:13" x14ac:dyDescent="0.2">
      <c r="I72" s="6"/>
      <c r="J72" s="6" t="str">
        <f ca="1"/>
        <v>-</v>
      </c>
      <c r="K72" s="102" t="s">
        <v>36</v>
      </c>
      <c r="L72" s="6" t="str">
        <f ca="1"/>
        <v>-</v>
      </c>
      <c r="M72" s="64"/>
    </row>
    <row r="73" spans="9:13" x14ac:dyDescent="0.2">
      <c r="I73" s="6"/>
      <c r="J73" s="6" t="str">
        <f ca="1"/>
        <v>-</v>
      </c>
      <c r="K73" s="102" t="s">
        <v>36</v>
      </c>
      <c r="L73" s="6" t="str">
        <f ca="1"/>
        <v>-</v>
      </c>
      <c r="M73" s="64"/>
    </row>
    <row r="74" spans="9:13" x14ac:dyDescent="0.2">
      <c r="I74" s="6"/>
      <c r="J74" s="6" t="str">
        <f ca="1"/>
        <v>-</v>
      </c>
      <c r="K74" s="102" t="s">
        <v>36</v>
      </c>
      <c r="L74" s="6" t="str">
        <f ca="1"/>
        <v>-</v>
      </c>
      <c r="M74" s="64"/>
    </row>
    <row r="75" spans="9:13" x14ac:dyDescent="0.2">
      <c r="I75" s="6"/>
      <c r="J75" s="6" t="str">
        <f ca="1"/>
        <v>-</v>
      </c>
      <c r="K75" s="102" t="s">
        <v>36</v>
      </c>
      <c r="L75" s="6" t="str">
        <f ca="1"/>
        <v>-</v>
      </c>
      <c r="M75" s="64"/>
    </row>
    <row r="76" spans="9:13" x14ac:dyDescent="0.2">
      <c r="I76" s="6"/>
      <c r="J76" s="6" t="str">
        <f ca="1"/>
        <v>-</v>
      </c>
      <c r="K76" s="102" t="s">
        <v>36</v>
      </c>
      <c r="L76" s="6" t="str">
        <f ca="1"/>
        <v>-</v>
      </c>
      <c r="M76" s="64"/>
    </row>
    <row r="77" spans="9:13" x14ac:dyDescent="0.2">
      <c r="I77" s="6"/>
      <c r="M77" s="53"/>
    </row>
  </sheetData>
  <sheetProtection algorithmName="SHA-512" hashValue="VVglDC+sqJryADroVaO5eqHdEI/zh6rmytKElZLhkuKQvp7Jeg62juMABeO1iDOYz+W6yX9v/3VCp49FNNmvFQ==" saltValue="rFqFiPZpbMMjk/p23ZTCOw=="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2025-03-29T04:35:28Z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